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45" windowWidth="18885" windowHeight="11535" tabRatio="855"/>
  </bookViews>
  <sheets>
    <sheet name="ImportantDisclosures" sheetId="62" r:id="rId1"/>
    <sheet name="IS" sheetId="13" r:id="rId2"/>
    <sheet name="RevBuild" sheetId="12" r:id="rId3"/>
    <sheet name="OrgRev" sheetId="11" r:id="rId4"/>
    <sheet name="BS" sheetId="10" r:id="rId5"/>
    <sheet name="CFS" sheetId="9" r:id="rId6"/>
    <sheet name="Debt" sheetId="40" r:id="rId7"/>
    <sheet name="IndexInformation" sheetId="63" r:id="rId8"/>
    <sheet name="ModPubIndex" sheetId="64" r:id="rId9"/>
    <sheet name="MW-Cache" sheetId="21" state="veryHidden" r:id="rId10"/>
    <sheet name="__FDSCACHE__" sheetId="25" state="veryHidden" r:id="rId11"/>
  </sheets>
  <externalReferences>
    <externalReference r:id="rId12"/>
    <externalReference r:id="rId13"/>
  </externalReferences>
  <definedNames>
    <definedName name="__FDS_HYPERLINK_TOGGLE_STATE__" hidden="1">"ON"</definedName>
    <definedName name="__FDS_UNIQUE_RANGE_ID_GENERATOR_COUNTER">73</definedName>
    <definedName name="_1__FDSAUDITLINK__" localSheetId="6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1__FDSAUDITLINK__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10__FDSAUDITLINK__" localSheetId="6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0__FDSAUDITLINK__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00__FDSAUDITLINK__" localSheetId="6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00__FDSAUDITLINK__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01__FDSAUDITLINK__" localSheetId="6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01__FDSAUDITLINK__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02__FDSAUDITLINK__" localSheetId="6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02__FDSAUDITLINK__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03__FDSAUDITLINK__" localSheetId="6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03__FDSAUDITLINK__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04__FDSAUDITLINK__" localSheetId="6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04__FDSAUDITLINK__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05__FDSAUDITLINK__" localSheetId="6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05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06__FDSAUDITLINK__" localSheetId="6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06__FDSAUDITLINK__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07__FDSAUDITLINK__" localSheetId="6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07__FDSAUDITLINK__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08__FDSAUDITLINK__" localSheetId="6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08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09__FDSAUDITLINK__" localSheetId="6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109__FDSAUDITLINK__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11__FDSAUDITLINK__" localSheetId="6" hidden="1">{"fdsup://directions/FAT Viewer?action=UPDATE&amp;creator=factset&amp;DYN_ARGS=TRUE&amp;DOC_NAME=FAT:FQL_AUDITING_CLIENT_TEMPLATE.FAT&amp;display_string=Audit&amp;VAR:KEY=CNIVYLQDOT&amp;VAR:QUERY=RkZfU0hMRFJTX0VRKEFOTiwwKQ==&amp;WINDOW=FIRST_POPUP&amp;HEIGHT=450&amp;WIDTH=450&amp;START_MAXIMIZED=","FALSE&amp;VAR:CALENDAR=US&amp;VAR:SYMBOL=ZMH&amp;VAR:INDEX=0"}</definedName>
    <definedName name="_11__FDSAUDITLINK__" hidden="1">{"fdsup://directions/FAT Viewer?action=UPDATE&amp;creator=factset&amp;DYN_ARGS=TRUE&amp;DOC_NAME=FAT:FQL_AUDITING_CLIENT_TEMPLATE.FAT&amp;display_string=Audit&amp;VAR:KEY=CNIVYLQDOT&amp;VAR:QUERY=RkZfU0hMRFJTX0VRKEFOTiwwKQ==&amp;WINDOW=FIRST_POPUP&amp;HEIGHT=450&amp;WIDTH=450&amp;START_MAXIMIZED=","FALSE&amp;VAR:CALENDAR=US&amp;VAR:SYMBOL=ZMH&amp;VAR:INDEX=0"}</definedName>
    <definedName name="_110__FDSAUDITLINK__" localSheetId="6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110__FDSAUDITLINK__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111__FDSAUDITLINK__" localSheetId="6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111__FDSAUDITLINK__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112__FDSAUDITLINK__" localSheetId="6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112__FDSAUDITLINK__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113__FDSAUDITLINK__" localSheetId="6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113__FDSAUDITLINK__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114__FDSAUDITLINK__" localSheetId="6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114__FDSAUDITLINK__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115__FDSAUDITLINK__" localSheetId="6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115__FDSAUDITLINK__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116__FDSAUDITLINK__" localSheetId="6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116__FDSAUDITLINK__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117__FDSAUDITLINK__" localSheetId="6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117__FDSAUDITLINK__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118__FDSAUDITLINK__" localSheetId="6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118__FDSAUDITLINK__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119__FDSAUDITLINK__" localSheetId="6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119__FDSAUDITLINK__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12__FDSAUDITLINK__" localSheetId="6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2__FDSAUDITLINK__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20__FDSAUDITLINK__" localSheetId="6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120__FDSAUDITLINK__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121__FDSAUDITLINK__" localSheetId="6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121__FDSAUDITLINK__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122__FDSAUDITLINK__" localSheetId="6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122__FDSAUDITLINK__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123__FDSAUDITLINK__" localSheetId="6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123__FDSAUDITLINK__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124__FDSAUDITLINK__" localSheetId="6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124__FDSAUDITLINK__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125__FDSAUDITLINK__" localSheetId="6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125__FDSAUDITLINK__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126__FDSAUDITLINK__" localSheetId="6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126__FDSAUDITLINK__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127__FDSAUDITLINK__" localSheetId="6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127__FDSAUDITLINK__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128__FDSAUDITLINK__" localSheetId="6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128__FDSAUDITLINK__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129__FDSAUDITLINK__" localSheetId="6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129__FDSAUDITLINK__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13__FDSAUDITLINK__" localSheetId="6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3__FDSAUDITLINK__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30__FDSAUDITLINK__" localSheetId="6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30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31__FDSAUDITLINK__" localSheetId="6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131__FDSAUDITLINK__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132__FDSAUDITLINK__" localSheetId="6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132__FDSAUDITLINK__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133__FDSAUDITLINK__" localSheetId="6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33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34__FDSAUDITLINK__" localSheetId="6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134__FDSAUDITLINK__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135__FDSAUDITLINK__" localSheetId="6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35__FDSAUDITLINK__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36__FDSAUDITLINK__" localSheetId="6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36__FDSAUDITLINK__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37__FDSAUDITLINK__" localSheetId="6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37__FDSAUDITLINK__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38__FDSAUDITLINK__" localSheetId="6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38__FDSAUDITLINK__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39__FDSAUDITLINK__" localSheetId="6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39__FDSAUDITLINK__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4__FDSAUDITLINK__" localSheetId="6" hidden="1">{"fdsup://directions/FAT Viewer?action=UPDATE&amp;creator=factset&amp;DYN_ARGS=TRUE&amp;DOC_NAME=FAT:FQL_AUDITING_CLIENT_TEMPLATE.FAT&amp;display_string=Audit&amp;VAR:KEY=IHYVYNANAD&amp;VAR:QUERY=RkZfU0hMRFJTX0VRKEFOTiwwKQ==&amp;WINDOW=FIRST_POPUP&amp;HEIGHT=450&amp;WIDTH=450&amp;START_MAXIMIZED=","FALSE&amp;VAR:CALENDAR=US&amp;VAR:SYMBOL=MDT&amp;VAR:INDEX=0"}</definedName>
    <definedName name="_14__FDSAUDITLINK__" hidden="1">{"fdsup://directions/FAT Viewer?action=UPDATE&amp;creator=factset&amp;DYN_ARGS=TRUE&amp;DOC_NAME=FAT:FQL_AUDITING_CLIENT_TEMPLATE.FAT&amp;display_string=Audit&amp;VAR:KEY=IHYVYNANAD&amp;VAR:QUERY=RkZfU0hMRFJTX0VRKEFOTiwwKQ==&amp;WINDOW=FIRST_POPUP&amp;HEIGHT=450&amp;WIDTH=450&amp;START_MAXIMIZED=","FALSE&amp;VAR:CALENDAR=US&amp;VAR:SYMBOL=MDT&amp;VAR:INDEX=0"}</definedName>
    <definedName name="_140__FDSAUDITLINK__" localSheetId="6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40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41__FDSAUDITLINK__" localSheetId="6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41__FDSAUDITLINK__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42__FDSAUDITLINK__" localSheetId="6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42__FDSAUDITLINK__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5__FDSAUDITLINK__" localSheetId="6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5__FDSAUDITLINK__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6__FDSAUDITLINK__" localSheetId="6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6__FDSAUDITLINK__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7__FDSAUDITLINK__" localSheetId="6" hidden="1">{"fdsup://directions/FAT Viewer?action=UPDATE&amp;creator=factset&amp;DYN_ARGS=TRUE&amp;DOC_NAME=FAT:FQL_AUDITING_CLIENT_TEMPLATE.FAT&amp;display_string=Audit&amp;VAR:KEY=ADKHANUJIB&amp;VAR:QUERY=RkZfU0hMRFJTX0VRKEFOTiwwKQ==&amp;WINDOW=FIRST_POPUP&amp;HEIGHT=450&amp;WIDTH=450&amp;START_MAXIMIZED=","FALSE&amp;VAR:CALENDAR=US&amp;VAR:SYMBOL=IART&amp;VAR:INDEX=0"}</definedName>
    <definedName name="_17__FDSAUDITLINK__" hidden="1">{"fdsup://directions/FAT Viewer?action=UPDATE&amp;creator=factset&amp;DYN_ARGS=TRUE&amp;DOC_NAME=FAT:FQL_AUDITING_CLIENT_TEMPLATE.FAT&amp;display_string=Audit&amp;VAR:KEY=ADKHANUJIB&amp;VAR:QUERY=RkZfU0hMRFJTX0VRKEFOTiwwKQ==&amp;WINDOW=FIRST_POPUP&amp;HEIGHT=450&amp;WIDTH=450&amp;START_MAXIMIZED=","FALSE&amp;VAR:CALENDAR=US&amp;VAR:SYMBOL=IART&amp;VAR:INDEX=0"}</definedName>
    <definedName name="_18__FDSAUDITLINK__" localSheetId="6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8__FDSAUDITLINK__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9__FDSAUDITLINK__" localSheetId="6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19__FDSAUDITLINK__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__FDSAUDITLINK__" localSheetId="6" hidden="1">{"fdsup://directions/FAT Viewer?action=UPDATE&amp;creator=factset&amp;DYN_ARGS=TRUE&amp;DOC_NAME=FAT:FQL_AUDITING_CLIENT_TEMPLATE.FAT&amp;display_string=Audit&amp;VAR:KEY=INSRWVSTON&amp;VAR:QUERY=RkZfU0hMRFJTX0VRKEFOTiwwKQ==&amp;WINDOW=FIRST_POPUP&amp;HEIGHT=450&amp;WIDTH=450&amp;START_MAXIMIZED=","FALSE&amp;VAR:CALENDAR=US&amp;VAR:SYMBOL=HNSN&amp;VAR:INDEX=0"}</definedName>
    <definedName name="_2__FDSAUDITLINK__" hidden="1">{"fdsup://directions/FAT Viewer?action=UPDATE&amp;creator=factset&amp;DYN_ARGS=TRUE&amp;DOC_NAME=FAT:FQL_AUDITING_CLIENT_TEMPLATE.FAT&amp;display_string=Audit&amp;VAR:KEY=INSRWVSTON&amp;VAR:QUERY=RkZfU0hMRFJTX0VRKEFOTiwwKQ==&amp;WINDOW=FIRST_POPUP&amp;HEIGHT=450&amp;WIDTH=450&amp;START_MAXIMIZED=","FALSE&amp;VAR:CALENDAR=US&amp;VAR:SYMBOL=HNSN&amp;VAR:INDEX=0"}</definedName>
    <definedName name="_20__FDSAUDITLINK__" localSheetId="6" hidden="1">{"fdsup://directions/FAT Viewer?action=UPDATE&amp;creator=factset&amp;DYN_ARGS=TRUE&amp;DOC_NAME=FAT:FQL_AUDITING_CLIENT_TEMPLATE.FAT&amp;display_string=Audit&amp;VAR:KEY=ATKJAZWHCF&amp;VAR:QUERY=RkZfU0hMRFJTX0VRKEFOTiwwKQ==&amp;WINDOW=FIRST_POPUP&amp;HEIGHT=450&amp;WIDTH=450&amp;START_MAXIMIZED=","FALSE&amp;VAR:CALENDAR=US&amp;VAR:SYMBOL=ISRG&amp;VAR:INDEX=0"}</definedName>
    <definedName name="_20__FDSAUDITLINK__" hidden="1">{"fdsup://directions/FAT Viewer?action=UPDATE&amp;creator=factset&amp;DYN_ARGS=TRUE&amp;DOC_NAME=FAT:FQL_AUDITING_CLIENT_TEMPLATE.FAT&amp;display_string=Audit&amp;VAR:KEY=ATKJAZWHCF&amp;VAR:QUERY=RkZfU0hMRFJTX0VRKEFOTiwwKQ==&amp;WINDOW=FIRST_POPUP&amp;HEIGHT=450&amp;WIDTH=450&amp;START_MAXIMIZED=","FALSE&amp;VAR:CALENDAR=US&amp;VAR:SYMBOL=ISRG&amp;VAR:INDEX=0"}</definedName>
    <definedName name="_21__FDSAUDITLINK__" localSheetId="6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1__FDSAUDITLINK__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2__FDSAUDITLINK__" localSheetId="6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2__FDSAUDITLINK__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3__FDSAUDITLINK__" localSheetId="6" hidden="1">{"fdsup://directions/FAT Viewer?action=UPDATE&amp;creator=factset&amp;DYN_ARGS=TRUE&amp;DOC_NAME=FAT:FQL_AUDITING_CLIENT_TEMPLATE.FAT&amp;display_string=Audit&amp;VAR:KEY=EDUDMBAJMN&amp;VAR:QUERY=RkZfU0hMRFJTX0VRKEFOTiwwKQ==&amp;WINDOW=FIRST_POPUP&amp;HEIGHT=450&amp;WIDTH=450&amp;START_MAXIMIZED=","FALSE&amp;VAR:CALENDAR=US&amp;VAR:SYMBOL=HOLX&amp;VAR:INDEX=0"}</definedName>
    <definedName name="_23__FDSAUDITLINK__" hidden="1">{"fdsup://directions/FAT Viewer?action=UPDATE&amp;creator=factset&amp;DYN_ARGS=TRUE&amp;DOC_NAME=FAT:FQL_AUDITING_CLIENT_TEMPLATE.FAT&amp;display_string=Audit&amp;VAR:KEY=EDUDMBAJMN&amp;VAR:QUERY=RkZfU0hMRFJTX0VRKEFOTiwwKQ==&amp;WINDOW=FIRST_POPUP&amp;HEIGHT=450&amp;WIDTH=450&amp;START_MAXIMIZED=","FALSE&amp;VAR:CALENDAR=US&amp;VAR:SYMBOL=HOLX&amp;VAR:INDEX=0"}</definedName>
    <definedName name="_24__FDSAUDITLINK__" localSheetId="6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4__FDSAUDITLINK__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5__FDSAUDITLINK__" localSheetId="6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5__FDSAUDITLINK__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6__FDSAUDITLINK__" localSheetId="6" hidden="1">{"fdsup://directions/FAT Viewer?action=UPDATE&amp;creator=factset&amp;DYN_ARGS=TRUE&amp;DOC_NAME=FAT:FQL_AUDITING_CLIENT_TEMPLATE.FAT&amp;display_string=Audit&amp;VAR:KEY=ODONEVYNGP&amp;VAR:QUERY=RkZfU0hMRFJTX0VRKEFOTiwwKQ==&amp;WINDOW=FIRST_POPUP&amp;HEIGHT=450&amp;WIDTH=450&amp;START_MAXIMIZED=","FALSE&amp;VAR:CALENDAR=US&amp;VAR:SYMBOL=MAKO&amp;VAR:INDEX=0"}</definedName>
    <definedName name="_26__FDSAUDITLINK__" hidden="1">{"fdsup://directions/FAT Viewer?action=UPDATE&amp;creator=factset&amp;DYN_ARGS=TRUE&amp;DOC_NAME=FAT:FQL_AUDITING_CLIENT_TEMPLATE.FAT&amp;display_string=Audit&amp;VAR:KEY=ODONEVYNGP&amp;VAR:QUERY=RkZfU0hMRFJTX0VRKEFOTiwwKQ==&amp;WINDOW=FIRST_POPUP&amp;HEIGHT=450&amp;WIDTH=450&amp;START_MAXIMIZED=","FALSE&amp;VAR:CALENDAR=US&amp;VAR:SYMBOL=MAKO&amp;VAR:INDEX=0"}</definedName>
    <definedName name="_27__FDSAUDITLINK__" localSheetId="6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7__FDSAUDITLINK__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8__FDSAUDITLINK__" localSheetId="6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28__FDSAUDITLINK__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29__FDSAUDITLINK__" localSheetId="6" hidden="1">{"fdsup://directions/FAT Viewer?action=UPDATE&amp;creator=factset&amp;DYN_ARGS=TRUE&amp;DOC_NAME=FAT:FQL_AUDITING_CLIENT_TEMPLATE.FAT&amp;display_string=Audit&amp;VAR:KEY=SPIJALOVOX&amp;VAR:QUERY=RkZfU0hMRFJTX0VRKEFOTiwwKQ==&amp;WINDOW=FIRST_POPUP&amp;HEIGHT=450&amp;WIDTH=450&amp;START_MAXIMIZED=","FALSE&amp;VAR:CALENDAR=US&amp;VAR:SYMBOL=BCR&amp;VAR:INDEX=0"}</definedName>
    <definedName name="_29__FDSAUDITLINK__" hidden="1">{"fdsup://directions/FAT Viewer?action=UPDATE&amp;creator=factset&amp;DYN_ARGS=TRUE&amp;DOC_NAME=FAT:FQL_AUDITING_CLIENT_TEMPLATE.FAT&amp;display_string=Audit&amp;VAR:KEY=SPIJALOVOX&amp;VAR:QUERY=RkZfU0hMRFJTX0VRKEFOTiwwKQ==&amp;WINDOW=FIRST_POPUP&amp;HEIGHT=450&amp;WIDTH=450&amp;START_MAXIMIZED=","FALSE&amp;VAR:CALENDAR=US&amp;VAR:SYMBOL=BCR&amp;VAR:INDEX=0"}</definedName>
    <definedName name="_3__FDSAUDITLINK__" localSheetId="6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3__FDSAUDITLINK__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30__FDSAUDITLINK__" localSheetId="6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30__FDSAUDITLINK__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31__FDSAUDITLINK__" localSheetId="6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1__FDSAUDITLINK__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2__FDSAUDITLINK__" localSheetId="6" hidden="1">{"fdsup://directions/FAT Viewer?action=UPDATE&amp;creator=factset&amp;DYN_ARGS=TRUE&amp;DOC_NAME=FAT:FQL_AUDITING_CLIENT_TEMPLATE.FAT&amp;display_string=Audit&amp;VAR:KEY=SBADOJWLUZ&amp;VAR:QUERY=RkZfU0hMRFJTX0VRKEFOTiwwKQ==&amp;WINDOW=FIRST_POPUP&amp;HEIGHT=450&amp;WIDTH=450&amp;START_MAXIMIZED=","FALSE&amp;VAR:CALENDAR=US&amp;VAR:SYMBOL=EW&amp;VAR:INDEX=0"}</definedName>
    <definedName name="_32__FDSAUDITLINK__" hidden="1">{"fdsup://directions/FAT Viewer?action=UPDATE&amp;creator=factset&amp;DYN_ARGS=TRUE&amp;DOC_NAME=FAT:FQL_AUDITING_CLIENT_TEMPLATE.FAT&amp;display_string=Audit&amp;VAR:KEY=SBADOJWLUZ&amp;VAR:QUERY=RkZfU0hMRFJTX0VRKEFOTiwwKQ==&amp;WINDOW=FIRST_POPUP&amp;HEIGHT=450&amp;WIDTH=450&amp;START_MAXIMIZED=","FALSE&amp;VAR:CALENDAR=US&amp;VAR:SYMBOL=EW&amp;VAR:INDEX=0"}</definedName>
    <definedName name="_33__FDSAUDITLINK__" localSheetId="6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3__FDSAUDITLINK__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4__FDSAUDITLINK__" localSheetId="6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4__FDSAUDITLINK__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5__FDSAUDITLINK__" localSheetId="6" hidden="1">{"fdsup://directions/FAT Viewer?action=UPDATE&amp;creator=factset&amp;DYN_ARGS=TRUE&amp;DOC_NAME=FAT:FQL_AUDITING_CLIENT_TEMPLATE.FAT&amp;display_string=Audit&amp;VAR:KEY=WPWDABQVWF&amp;VAR:QUERY=RkZfU0hMRFJTX0VRKEFOTiwwKQ==&amp;WINDOW=FIRST_POPUP&amp;HEIGHT=450&amp;WIDTH=450&amp;START_MAXIMIZED=","FALSE&amp;VAR:CALENDAR=US&amp;VAR:SYMBOL=BSX&amp;VAR:INDEX=0"}</definedName>
    <definedName name="_35__FDSAUDITLINK__" hidden="1">{"fdsup://directions/FAT Viewer?action=UPDATE&amp;creator=factset&amp;DYN_ARGS=TRUE&amp;DOC_NAME=FAT:FQL_AUDITING_CLIENT_TEMPLATE.FAT&amp;display_string=Audit&amp;VAR:KEY=WPWDABQVWF&amp;VAR:QUERY=RkZfU0hMRFJTX0VRKEFOTiwwKQ==&amp;WINDOW=FIRST_POPUP&amp;HEIGHT=450&amp;WIDTH=450&amp;START_MAXIMIZED=","FALSE&amp;VAR:CALENDAR=US&amp;VAR:SYMBOL=BSX&amp;VAR:INDEX=0"}</definedName>
    <definedName name="_36__FDSAUDITLINK__" localSheetId="6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6__FDSAUDITLINK__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7__FDSAUDITLINK__" localSheetId="6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7__FDSAUDITLINK__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8__FDSAUDITLINK__" localSheetId="6" hidden="1">{"fdsup://directions/FAT Viewer?action=UPDATE&amp;creator=factset&amp;DYN_ARGS=TRUE&amp;DOC_NAME=FAT:FQL_AUDITING_CLIENT_TEMPLATE.FAT&amp;display_string=Audit&amp;VAR:KEY=QBGRYJGXCZ&amp;VAR:QUERY=RkZfU0hMRFJTX0VRKEFOTiwwKQ==&amp;WINDOW=FIRST_POPUP&amp;HEIGHT=450&amp;WIDTH=450&amp;START_MAXIMIZED=","FALSE&amp;VAR:CALENDAR=US&amp;VAR:SYMBOL=BDX&amp;VAR:INDEX=0"}</definedName>
    <definedName name="_38__FDSAUDITLINK__" hidden="1">{"fdsup://directions/FAT Viewer?action=UPDATE&amp;creator=factset&amp;DYN_ARGS=TRUE&amp;DOC_NAME=FAT:FQL_AUDITING_CLIENT_TEMPLATE.FAT&amp;display_string=Audit&amp;VAR:KEY=QBGRYJGXCZ&amp;VAR:QUERY=RkZfU0hMRFJTX0VRKEFOTiwwKQ==&amp;WINDOW=FIRST_POPUP&amp;HEIGHT=450&amp;WIDTH=450&amp;START_MAXIMIZED=","FALSE&amp;VAR:CALENDAR=US&amp;VAR:SYMBOL=BDX&amp;VAR:INDEX=0"}</definedName>
    <definedName name="_39__FDSAUDITLINK__" localSheetId="6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9__FDSAUDITLINK__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4__FDSAUDITLINK__" localSheetId="6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4__FDSAUDITLINK__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40__FDSAUDITLINK__" localSheetId="6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0__FDSAUDITLINK__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1__FDSAUDITLINK__" localSheetId="6" hidden="1">{"fdsup://directions/FAT Viewer?action=UPDATE&amp;creator=factset&amp;DYN_ARGS=TRUE&amp;DOC_NAME=FAT:FQL_AUDITING_CLIENT_TEMPLATE.FAT&amp;display_string=Audit&amp;VAR:KEY=AZQJQZGTYH&amp;VAR:QUERY=RkZfU0hMRFJTX0VRKEFOTiwwKQ==&amp;WINDOW=FIRST_POPUP&amp;HEIGHT=450&amp;WIDTH=450&amp;START_MAXIMIZED=","FALSE&amp;VAR:CALENDAR=US&amp;VAR:SYMBOL=JNJ&amp;VAR:INDEX=0"}</definedName>
    <definedName name="_41__FDSAUDITLINK__" hidden="1">{"fdsup://directions/FAT Viewer?action=UPDATE&amp;creator=factset&amp;DYN_ARGS=TRUE&amp;DOC_NAME=FAT:FQL_AUDITING_CLIENT_TEMPLATE.FAT&amp;display_string=Audit&amp;VAR:KEY=AZQJQZGTYH&amp;VAR:QUERY=RkZfU0hMRFJTX0VRKEFOTiwwKQ==&amp;WINDOW=FIRST_POPUP&amp;HEIGHT=450&amp;WIDTH=450&amp;START_MAXIMIZED=","FALSE&amp;VAR:CALENDAR=US&amp;VAR:SYMBOL=JNJ&amp;VAR:INDEX=0"}</definedName>
    <definedName name="_42__FDSAUDITLINK__" localSheetId="6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2__FDSAUDITLINK__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3__FDSAUDITLINK__" localSheetId="6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3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4__FDSAUDITLINK__" localSheetId="6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44__FDSAUDITLINK__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45__FDSAUDITLINK__" localSheetId="6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5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6__FDSAUDITLINK__" localSheetId="6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6__FDSAUDITLINK__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7__FDSAUDITLINK__" localSheetId="6" hidden="1">{"fdsup://directions/FAT Viewer?action=UPDATE&amp;creator=factset&amp;DYN_ARGS=TRUE&amp;DOC_NAME=FAT:FQL_AUDITING_CLIENT_TEMPLATE.FAT&amp;display_string=Audit&amp;VAR:KEY=QJQXAFAHUH&amp;VAR:QUERY=RkZfU0hMRFJTX0VRKEFOTiwwKQ==&amp;WINDOW=FIRST_POPUP&amp;HEIGHT=450&amp;WIDTH=450&amp;START_MAXIMIZED=","FALSE&amp;VAR:CALENDAR=US&amp;VAR:SYMBOL=GRFS&amp;VAR:INDEX=0"}</definedName>
    <definedName name="_47__FDSAUDITLINK__" hidden="1">{"fdsup://directions/FAT Viewer?action=UPDATE&amp;creator=factset&amp;DYN_ARGS=TRUE&amp;DOC_NAME=FAT:FQL_AUDITING_CLIENT_TEMPLATE.FAT&amp;display_string=Audit&amp;VAR:KEY=QJQXAFAHUH&amp;VAR:QUERY=RkZfU0hMRFJTX0VRKEFOTiwwKQ==&amp;WINDOW=FIRST_POPUP&amp;HEIGHT=450&amp;WIDTH=450&amp;START_MAXIMIZED=","FALSE&amp;VAR:CALENDAR=US&amp;VAR:SYMBOL=GRFS&amp;VAR:INDEX=0"}</definedName>
    <definedName name="_48__FDSAUDITLINK__" localSheetId="6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8__FDSAUDITLINK__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9__FDSAUDITLINK__" localSheetId="6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49__FDSAUDITLINK__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__FDSAUDITLINK__" localSheetId="6" hidden="1">{"fdsup://directions/FAT Viewer?action=UPDATE&amp;creator=factset&amp;DYN_ARGS=TRUE&amp;DOC_NAME=FAT:FQL_AUDITING_CLIENT_TEMPLATE.FAT&amp;display_string=Audit&amp;VAR:KEY=CZONIFIPEV&amp;VAR:QUERY=RkZfU0hMRFJTX0VRKEFOTiwwKQ==&amp;WINDOW=FIRST_POPUP&amp;HEIGHT=450&amp;WIDTH=450&amp;START_MAXIMIZED=","FALSE&amp;VAR:CALENDAR=US&amp;VAR:SYMBOL=HAE&amp;VAR:INDEX=0"}</definedName>
    <definedName name="_5__FDSAUDITLINK__" hidden="1">{"fdsup://directions/FAT Viewer?action=UPDATE&amp;creator=factset&amp;DYN_ARGS=TRUE&amp;DOC_NAME=FAT:FQL_AUDITING_CLIENT_TEMPLATE.FAT&amp;display_string=Audit&amp;VAR:KEY=CZONIFIPEV&amp;VAR:QUERY=RkZfU0hMRFJTX0VRKEFOTiwwKQ==&amp;WINDOW=FIRST_POPUP&amp;HEIGHT=450&amp;WIDTH=450&amp;START_MAXIMIZED=","FALSE&amp;VAR:CALENDAR=US&amp;VAR:SYMBOL=HAE&amp;VAR:INDEX=0"}</definedName>
    <definedName name="_50__FDSAUDITLINK__" localSheetId="6" hidden="1">{"fdsup://directions/FAT Viewer?action=UPDATE&amp;creator=factset&amp;DYN_ARGS=TRUE&amp;DOC_NAME=FAT:FQL_AUDITING_CLIENT_TEMPLATE.FAT&amp;display_string=Audit&amp;VAR:KEY=WFGRSLKHUJ&amp;VAR:QUERY=RkZfU0hMRFJTX0VRKEFOTiwwKQ==&amp;WINDOW=FIRST_POPUP&amp;HEIGHT=450&amp;WIDTH=450&amp;START_MAXIMIZED=","FALSE&amp;VAR:CALENDAR=US&amp;VAR:SYMBOL=SYK&amp;VAR:INDEX=0"}</definedName>
    <definedName name="_50__FDSAUDITLINK__" hidden="1">{"fdsup://directions/FAT Viewer?action=UPDATE&amp;creator=factset&amp;DYN_ARGS=TRUE&amp;DOC_NAME=FAT:FQL_AUDITING_CLIENT_TEMPLATE.FAT&amp;display_string=Audit&amp;VAR:KEY=WFGRSLKHUJ&amp;VAR:QUERY=RkZfU0hMRFJTX0VRKEFOTiwwKQ==&amp;WINDOW=FIRST_POPUP&amp;HEIGHT=450&amp;WIDTH=450&amp;START_MAXIMIZED=","FALSE&amp;VAR:CALENDAR=US&amp;VAR:SYMBOL=SYK&amp;VAR:INDEX=0"}</definedName>
    <definedName name="_51__FDSAUDITLINK__" localSheetId="6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1__FDSAUDITLINK__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2__FDSAUDITLINK__" localSheetId="6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2__FDSAUDITLINK__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3__FDSAUDITLINK__" localSheetId="6" hidden="1">{"fdsup://directions/FAT Viewer?action=UPDATE&amp;creator=factset&amp;DYN_ARGS=TRUE&amp;DOC_NAME=FAT:FQL_AUDITING_CLIENT_TEMPLATE.FAT&amp;display_string=Audit&amp;VAR:KEY=UPALKLADUR&amp;VAR:QUERY=RkZfU0hMRFJTX0VRKEFOTiwwKQ==&amp;WINDOW=FIRST_POPUP&amp;HEIGHT=450&amp;WIDTH=450&amp;START_MAXIMIZED=","FALSE&amp;VAR:CALENDAR=US&amp;VAR:SYMBOL=G2554F11&amp;VAR:INDEX=0"}</definedName>
    <definedName name="_53__FDSAUDITLINK__" hidden="1">{"fdsup://directions/FAT Viewer?action=UPDATE&amp;creator=factset&amp;DYN_ARGS=TRUE&amp;DOC_NAME=FAT:FQL_AUDITING_CLIENT_TEMPLATE.FAT&amp;display_string=Audit&amp;VAR:KEY=UPALKLADUR&amp;VAR:QUERY=RkZfU0hMRFJTX0VRKEFOTiwwKQ==&amp;WINDOW=FIRST_POPUP&amp;HEIGHT=450&amp;WIDTH=450&amp;START_MAXIMIZED=","FALSE&amp;VAR:CALENDAR=US&amp;VAR:SYMBOL=G2554F11&amp;VAR:INDEX=0"}</definedName>
    <definedName name="_54__FDSAUDITLINK__" localSheetId="6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4__FDSAUDITLINK__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5__FDSAUDITLINK__" localSheetId="6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5__FDSAUDITLINK__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6__FDSAUDITLINK__" localSheetId="6" hidden="1">{"fdsup://directions/FAT Viewer?action=UPDATE&amp;creator=factset&amp;DYN_ARGS=TRUE&amp;DOC_NAME=FAT:FQL_AUDITING_CLIENT_TEMPLATE.FAT&amp;display_string=Audit&amp;VAR:KEY=AJONIVGJWF&amp;VAR:QUERY=RkZfU0hMRFJTX0VRKEFOTiwwKQ==&amp;WINDOW=FIRST_POPUP&amp;HEIGHT=450&amp;WIDTH=450&amp;START_MAXIMIZED=","FALSE&amp;VAR:CALENDAR=US&amp;VAR:SYMBOL=CFN&amp;VAR:INDEX=0"}</definedName>
    <definedName name="_56__FDSAUDITLINK__" hidden="1">{"fdsup://directions/FAT Viewer?action=UPDATE&amp;creator=factset&amp;DYN_ARGS=TRUE&amp;DOC_NAME=FAT:FQL_AUDITING_CLIENT_TEMPLATE.FAT&amp;display_string=Audit&amp;VAR:KEY=AJONIVGJWF&amp;VAR:QUERY=RkZfU0hMRFJTX0VRKEFOTiwwKQ==&amp;WINDOW=FIRST_POPUP&amp;HEIGHT=450&amp;WIDTH=450&amp;START_MAXIMIZED=","FALSE&amp;VAR:CALENDAR=US&amp;VAR:SYMBOL=CFN&amp;VAR:INDEX=0"}</definedName>
    <definedName name="_57__FDSAUDITLINK__" localSheetId="6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7__FDSAUDITLINK__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8__FDSAUDITLINK__" localSheetId="6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58__FDSAUDITLINK__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59__FDSAUDITLINK__" localSheetId="6" hidden="1">{"fdsup://directions/FAT Viewer?action=UPDATE&amp;creator=factset&amp;DYN_ARGS=TRUE&amp;DOC_NAME=FAT:FQL_AUDITING_CLIENT_TEMPLATE.FAT&amp;display_string=Audit&amp;VAR:KEY=ULODCZQHUV&amp;VAR:QUERY=RkZfU0hMRFJTX0VRKEFOTiwwKQ==&amp;WINDOW=FIRST_POPUP&amp;HEIGHT=450&amp;WIDTH=450&amp;START_MAXIMIZED=","FALSE&amp;VAR:CALENDAR=US&amp;VAR:SYMBOL=BAX&amp;VAR:INDEX=0"}</definedName>
    <definedName name="_59__FDSAUDITLINK__" hidden="1">{"fdsup://directions/FAT Viewer?action=UPDATE&amp;creator=factset&amp;DYN_ARGS=TRUE&amp;DOC_NAME=FAT:FQL_AUDITING_CLIENT_TEMPLATE.FAT&amp;display_string=Audit&amp;VAR:KEY=ULODCZQHUV&amp;VAR:QUERY=RkZfU0hMRFJTX0VRKEFOTiwwKQ==&amp;WINDOW=FIRST_POPUP&amp;HEIGHT=450&amp;WIDTH=450&amp;START_MAXIMIZED=","FALSE&amp;VAR:CALENDAR=US&amp;VAR:SYMBOL=BAX&amp;VAR:INDEX=0"}</definedName>
    <definedName name="_6__FDSAUDITLINK__" localSheetId="6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6__FDSAUDITLINK__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60__FDSAUDITLINK__" localSheetId="6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60__FDSAUDITLINK__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61__FDSAUDITLINK__" localSheetId="6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1__FDSAUDITLINK__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2__FDSAUDITLINK__" localSheetId="6" hidden="1">{"fdsup://directions/FAT Viewer?action=UPDATE&amp;creator=factset&amp;DYN_ARGS=TRUE&amp;DOC_NAME=FAT:FQL_AUDITING_CLIENT_TEMPLATE.FAT&amp;display_string=Audit&amp;VAR:KEY=MHEPWPCLGD&amp;VAR:QUERY=RkZfU0hMRFJTX0VRKEFOTiwwKQ==&amp;WINDOW=FIRST_POPUP&amp;HEIGHT=450&amp;WIDTH=450&amp;START_MAXIMIZED=","FALSE&amp;VAR:CALENDAR=US&amp;VAR:SYMBOL=ABT&amp;VAR:INDEX=0"}</definedName>
    <definedName name="_62__FDSAUDITLINK__" hidden="1">{"fdsup://directions/FAT Viewer?action=UPDATE&amp;creator=factset&amp;DYN_ARGS=TRUE&amp;DOC_NAME=FAT:FQL_AUDITING_CLIENT_TEMPLATE.FAT&amp;display_string=Audit&amp;VAR:KEY=MHEPWPCLGD&amp;VAR:QUERY=RkZfU0hMRFJTX0VRKEFOTiwwKQ==&amp;WINDOW=FIRST_POPUP&amp;HEIGHT=450&amp;WIDTH=450&amp;START_MAXIMIZED=","FALSE&amp;VAR:CALENDAR=US&amp;VAR:SYMBOL=ABT&amp;VAR:INDEX=0"}</definedName>
    <definedName name="_63__FDSAUDITLINK__" localSheetId="6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3__FDSAUDITLINK__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4__FDSAUDITLINK__" localSheetId="6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4__FDSAUDITLINK__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5__FDSAUDITLINK__" localSheetId="6" hidden="1">{"fdsup://directions/FAT Viewer?action=UPDATE&amp;creator=factset&amp;DYN_ARGS=TRUE&amp;DOC_NAME=FAT:FQL_AUDITING_CLIENT_TEMPLATE.FAT&amp;display_string=Audit&amp;VAR:KEY=KVAPUVMPGH&amp;VAR:QUERY=RkZfU0hMRFJTX0VRKEFOTiwwKQ==&amp;WINDOW=FIRST_POPUP&amp;HEIGHT=450&amp;WIDTH=450&amp;START_MAXIMIZED=","FALSE&amp;VAR:CALENDAR=US&amp;VAR:SYMBOL=TFX&amp;VAR:INDEX=0"}</definedName>
    <definedName name="_65__FDSAUDITLINK__" hidden="1">{"fdsup://directions/FAT Viewer?action=UPDATE&amp;creator=factset&amp;DYN_ARGS=TRUE&amp;DOC_NAME=FAT:FQL_AUDITING_CLIENT_TEMPLATE.FAT&amp;display_string=Audit&amp;VAR:KEY=KVAPUVMPGH&amp;VAR:QUERY=RkZfU0hMRFJTX0VRKEFOTiwwKQ==&amp;WINDOW=FIRST_POPUP&amp;HEIGHT=450&amp;WIDTH=450&amp;START_MAXIMIZED=","FALSE&amp;VAR:CALENDAR=US&amp;VAR:SYMBOL=TFX&amp;VAR:INDEX=0"}</definedName>
    <definedName name="_66__FDSAUDITLINK__" localSheetId="6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6__FDSAUDITLINK__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7__FDSAUDITLINK__" localSheetId="6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7__FDSAUDITLINK__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8__FDSAUDITLINK__" localSheetId="6" hidden="1">{"fdsup://directions/FAT Viewer?action=UPDATE&amp;creator=factset&amp;DYN_ARGS=TRUE&amp;DOC_NAME=FAT:FQL_AUDITING_CLIENT_TEMPLATE.FAT&amp;display_string=Audit&amp;VAR:KEY=QJGDGREDEZ&amp;VAR:QUERY=RkZfU0hMRFJTX0VRKEFOTiwwKQ==&amp;WINDOW=FIRST_POPUP&amp;HEIGHT=450&amp;WIDTH=450&amp;START_MAXIMIZED=","FALSE&amp;VAR:CALENDAR=US&amp;VAR:SYMBOL=HRC&amp;VAR:INDEX=0"}</definedName>
    <definedName name="_68__FDSAUDITLINK__" hidden="1">{"fdsup://directions/FAT Viewer?action=UPDATE&amp;creator=factset&amp;DYN_ARGS=TRUE&amp;DOC_NAME=FAT:FQL_AUDITING_CLIENT_TEMPLATE.FAT&amp;display_string=Audit&amp;VAR:KEY=QJGDGREDEZ&amp;VAR:QUERY=RkZfU0hMRFJTX0VRKEFOTiwwKQ==&amp;WINDOW=FIRST_POPUP&amp;HEIGHT=450&amp;WIDTH=450&amp;START_MAXIMIZED=","FALSE&amp;VAR:CALENDAR=US&amp;VAR:SYMBOL=HRC&amp;VAR:INDEX=0"}</definedName>
    <definedName name="_69__FDSAUDITLINK__" localSheetId="6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9__FDSAUDITLINK__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7__FDSAUDITLINK__" localSheetId="6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7__FDSAUDITLINK__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70__FDSAUDITLINK__" localSheetId="6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0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1__FDSAUDITLINK__" localSheetId="6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71__FDSAUDITLINK__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72__FDSAUDITLINK__" localSheetId="6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2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3__FDSAUDITLINK__" localSheetId="6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73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74__FDSAUDITLINK__" localSheetId="6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74__FDSAUDITLINK__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75__FDSAUDITLINK__" localSheetId="6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75__FDSAUDITLINK__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76__FDSAUDITLINK__" localSheetId="6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76__FDSAUDITLINK__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77__FDSAUDITLINK__" localSheetId="6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77__FDSAUDITLINK__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78__FDSAUDITLINK__" localSheetId="6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78__FDSAUDITLINK__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79__FDSAUDITLINK__" localSheetId="6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79__FDSAUDITLINK__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8__FDSAUDITLINK__" localSheetId="6" hidden="1">{"fdsup://directions/FAT Viewer?action=UPDATE&amp;creator=factset&amp;DYN_ARGS=TRUE&amp;DOC_NAME=FAT:FQL_AUDITING_CLIENT_TEMPLATE.FAT&amp;display_string=Audit&amp;VAR:KEY=OTKPETWXCN&amp;VAR:QUERY=RkZfU0hMRFJTX0VRKEFOTiwwKQ==&amp;WINDOW=FIRST_POPUP&amp;HEIGHT=450&amp;WIDTH=450&amp;START_MAXIMIZED=","FALSE&amp;VAR:CALENDAR=US&amp;VAR:SYMBOL=STJ&amp;VAR:INDEX=0"}</definedName>
    <definedName name="_8__FDSAUDITLINK__" hidden="1">{"fdsup://directions/FAT Viewer?action=UPDATE&amp;creator=factset&amp;DYN_ARGS=TRUE&amp;DOC_NAME=FAT:FQL_AUDITING_CLIENT_TEMPLATE.FAT&amp;display_string=Audit&amp;VAR:KEY=OTKPETWXCN&amp;VAR:QUERY=RkZfU0hMRFJTX0VRKEFOTiwwKQ==&amp;WINDOW=FIRST_POPUP&amp;HEIGHT=450&amp;WIDTH=450&amp;START_MAXIMIZED=","FALSE&amp;VAR:CALENDAR=US&amp;VAR:SYMBOL=STJ&amp;VAR:INDEX=0"}</definedName>
    <definedName name="_80__FDSAUDITLINK__" localSheetId="6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80__FDSAUDITLINK__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81__FDSAUDITLINK__" localSheetId="6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81__FDSAUDITLINK__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82__FDSAUDITLINK__" localSheetId="6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82__FDSAUDITLINK__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83__FDSAUDITLINK__" localSheetId="6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83__FDSAUDITLINK__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84__FDSAUDITLINK__" localSheetId="6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84__FDSAUDITLINK__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85__FDSAUDITLINK__" localSheetId="6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85__FDSAUDITLINK__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86__FDSAUDITLINK__" localSheetId="6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86__FDSAUDITLINK__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87__FDSAUDITLINK__" localSheetId="6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87__FDSAUDITLINK__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88__FDSAUDITLINK__" localSheetId="6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88__FDSAUDITLINK__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89__FDSAUDITLINK__" localSheetId="6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89__FDSAUDITLINK__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9__FDSAUDITLINK__" localSheetId="6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9__FDSAUDITLINK__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90__FDSAUDITLINK__" localSheetId="6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90__FDSAUDITLINK__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91__FDSAUDITLINK__" localSheetId="6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91__FDSAUDITLINK__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92__FDSAUDITLINK__" localSheetId="6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92__FDSAUDITLINK__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93__FDSAUDITLINK__" localSheetId="6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93__FDSAUDITLINK__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94__FDSAUDITLINK__" localSheetId="6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94__FDSAUDITLINK__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95__FDSAUDITLINK__" localSheetId="6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95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96__FDSAUDITLINK__" localSheetId="6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96__FDSAUDITLINK__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97__FDSAUDITLINK__" localSheetId="6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97__FDSAUDITLINK__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98__FDSAUDITLINK__" localSheetId="6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98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99__FDSAUDITLINK__" localSheetId="6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99__FDSAUDITLINK__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AdditionalInstructions">IndexInformation!$B$42</definedName>
    <definedName name="Address" localSheetId="0">ImportantDisclosures!$A$2:$A$2</definedName>
    <definedName name="ANA" localSheetId="8">ModPubIndex!$A$7</definedName>
    <definedName name="Authors" localSheetId="0">ImportantDisclosures!$A$7</definedName>
    <definedName name="Authors" localSheetId="7">IndexInformation!$B$18</definedName>
    <definedName name="BRO" localSheetId="8">ModPubIndex!$A$1</definedName>
    <definedName name="CashFlowCapitalExpenditureCellular">0</definedName>
    <definedName name="CashFlowCapitalExpenditureOther">0</definedName>
    <definedName name="CashFlowCapitalExpenditurePaging">0</definedName>
    <definedName name="CashFlowCapitalExpenditureTelephone">0</definedName>
    <definedName name="CashFlowCapitalExpenditureWireless">0</definedName>
    <definedName name="CashFlowDividendPaidPreferredStock">0</definedName>
    <definedName name="CopyrightStamp">ImportantDisclosures!$A$27</definedName>
    <definedName name="COU" localSheetId="8">ModPubIndex!$A$5</definedName>
    <definedName name="CQEnd" localSheetId="7">IndexInformation!$B$31</definedName>
    <definedName name="Currency" localSheetId="7">IndexInformation!$B$24</definedName>
    <definedName name="CurrentStockPrice" localSheetId="7">IndexInformation!$B$23</definedName>
    <definedName name="CurrQtrEPS" localSheetId="7">IndexInformation!$B$29</definedName>
    <definedName name="CurrYearEPS" localSheetId="7">IndexInformation!$B$11</definedName>
    <definedName name="CurrYearTotalRevenue" localSheetId="7">IndexInformation!$B$10</definedName>
    <definedName name="CurrYearTotalRevenueActual" localSheetId="7">IndexInformation!$B$32</definedName>
    <definedName name="CUSIP" localSheetId="7">IndexInformation!$B$20</definedName>
    <definedName name="CYEnd" localSheetId="7">IndexInformation!$B$30</definedName>
    <definedName name="Date" localSheetId="0">ImportantDisclosures!$A$8</definedName>
    <definedName name="Deleted" localSheetId="7">IndexInformation!$B$27</definedName>
    <definedName name="Description" localSheetId="7">IndexInformation!$B$7</definedName>
    <definedName name="Discipline" localSheetId="7">IndexInformation!$B$3</definedName>
    <definedName name="DISCIPLINE" localSheetId="8">ModPubIndex!$A$12</definedName>
    <definedName name="DisclosuresText">ImportantDisclosures!$A$22</definedName>
    <definedName name="Distribution" localSheetId="7">IndexInformation!$B$26</definedName>
    <definedName name="DistTable" localSheetId="0">ImportantDisclosures!#REF!</definedName>
    <definedName name="DistTablePreamble" localSheetId="0">ImportantDisclosures!#REF!</definedName>
    <definedName name="DOCDAT" localSheetId="8">ModPubIndex!$A$2</definedName>
    <definedName name="DOCTIME" localSheetId="8">ModPubIndex!$A$3</definedName>
    <definedName name="DocType" localSheetId="7">IndexInformation!$B$5</definedName>
    <definedName name="EMAIL_ALERT" localSheetId="8">ModPubIndex!$A$10</definedName>
    <definedName name="EmailAlert" localSheetId="7">IndexInformation!$B$28</definedName>
    <definedName name="EquityAdjustments">0</definedName>
    <definedName name="EquityEmployeeStockOwnershipPlan">0</definedName>
    <definedName name="EquityPaidInCapital">0</definedName>
    <definedName name="EquityTreasuryStock">0</definedName>
    <definedName name="FiveYearGrowthRate" localSheetId="7">IndexInformation!$B$16</definedName>
    <definedName name="FollowingYearEPS" localSheetId="7">IndexInformation!$B$15</definedName>
    <definedName name="FollowingYearTotalRevenue" localSheetId="7">IndexInformation!$B$14</definedName>
    <definedName name="FollowingYearTotalRevenueActual" localSheetId="7">IndexInformation!$B$34</definedName>
    <definedName name="HL" localSheetId="8">ModPubIndex!$A$8</definedName>
    <definedName name="IncomeEPSFullyDiluted">0</definedName>
    <definedName name="IncomeEPSPrimary">0</definedName>
    <definedName name="IncomeEPSRegular">0</definedName>
    <definedName name="IND" localSheetId="8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XITY" hidden="1">"c2182"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38859.8503356481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KeepVersions" localSheetId="7">IndexInformation!$B$8</definedName>
    <definedName name="LanguageCode">IndexInformation!$B$38</definedName>
    <definedName name="LastCell" localSheetId="0">ImportantDisclosures!$A$22</definedName>
    <definedName name="LiabilitiesCurrentAccruedLiabilities">0</definedName>
    <definedName name="LiabilitiesCurrentNotesPayable">0</definedName>
    <definedName name="LiabilitiesDeferredIncomeTaxes">0</definedName>
    <definedName name="LiabilitiesOther">0</definedName>
    <definedName name="LiabilitiesUnamortizedInvestmentTaxCredits">0</definedName>
    <definedName name="Linking_1">OrgRev!$CO$5:$DE$27</definedName>
    <definedName name="Linking_11">IS!$A$7:$BU$65</definedName>
    <definedName name="Linking_12">RevBuild!$A$7:$BU$72</definedName>
    <definedName name="Linking_16">OrgRev!$CO$30:$DJ$54</definedName>
    <definedName name="Linking_18">IS!$A$7:$CA$65</definedName>
    <definedName name="Linking_19">RevBuild!$A$7:$CA$72</definedName>
    <definedName name="Linking_2">OrgRev!$CO$5:$DI$27</definedName>
    <definedName name="Linking_20">OrgRev!$CO$30:$DK$54</definedName>
    <definedName name="Linking_21">OrgRev!$CO$5:$DQ$28</definedName>
    <definedName name="Linking_22">OrgRev!$CO$30:$DL$54</definedName>
    <definedName name="Linking_24">OrgRev!$CO$6:$DQ$28</definedName>
    <definedName name="Linking_25">IS!$A$7:$CG$65</definedName>
    <definedName name="Linking_26">RevBuild!$A$7:$CG$72</definedName>
    <definedName name="Linking_28">OrgRev!$CO$30:$DM$54</definedName>
    <definedName name="Linking_3">OrgRev!$CO$5:$DI$28</definedName>
    <definedName name="Linking_30">OrgRev!$CO$43:$DM$54</definedName>
    <definedName name="Linking_4">OrgRev!$CO$30:$DI$54</definedName>
    <definedName name="Linking_5">OrgRev!$CO$30:$DG$54</definedName>
    <definedName name="Linking_6">OrgRev!$CO$30:$DH$54</definedName>
    <definedName name="Linking_7">OrgRev!$CO$5:$DM$28</definedName>
    <definedName name="Linking_Range_1" localSheetId="6">[1]DCF!$G$56:$Q$66</definedName>
    <definedName name="Linking_Range_10" localSheetId="6">'[1]P&amp;L'!$C$7:$CA$46</definedName>
    <definedName name="Linking_Range_10">IS!$A$7:$BC$40</definedName>
    <definedName name="Linking_Range_11">IS!$A$7:$BC$65</definedName>
    <definedName name="Linking_Range_12" localSheetId="6">'[1]Q Variance'!$D$7:$P$37</definedName>
    <definedName name="Linking_Range_12">BS!$A$8:$BC$59</definedName>
    <definedName name="Linking_Range_13" localSheetId="6">'[1]Q Variance'!$D$7:$Q$37</definedName>
    <definedName name="Linking_Range_13">RevBuild!$A$7:$BC$86</definedName>
    <definedName name="Linking_Range_14" localSheetId="6">'[1]Earnings Charts'!$A$1:$E$15</definedName>
    <definedName name="Linking_Range_15" localSheetId="6">'[1]Earnings Charts'!$Q$50:$Y$90</definedName>
    <definedName name="Linking_Range_15">BS!$A$8:$BC$42</definedName>
    <definedName name="Linking_Range_16" localSheetId="6">'[1]Earnings Charts'!$H$17:$I$38</definedName>
    <definedName name="Linking_Range_16">CFS!$A$8:$BC$51</definedName>
    <definedName name="Linking_Range_20" localSheetId="6">'[1]Earnings Charts'!$Q$50:$X$90</definedName>
    <definedName name="Linking_Range_23" localSheetId="6">'[1]P&amp;L'!$C$7:$CA$60</definedName>
    <definedName name="Linking_Range_23">RevBuild!$A$7:$BC$58</definedName>
    <definedName name="Linking_Range_24">OrgRev!$A$5:$AK$27</definedName>
    <definedName name="Linking_Range_25" localSheetId="6">'[1]P&amp;L'!$C$7:$BO$60</definedName>
    <definedName name="Linking_Range_25">BS!$A$7:$BC$53</definedName>
    <definedName name="Linking_Range_26">CFS!$A$7:$BC$49</definedName>
    <definedName name="Linking_Range_27">CFS!$A$7:$BC$60</definedName>
    <definedName name="Linking_Range_28">OrgRev!$A$5:$BC$27</definedName>
    <definedName name="Linking_Range_29">IS!$A$7:$AQ$65</definedName>
    <definedName name="Linking_Range_3" localSheetId="6">[1]BBB!$B$1:$E$32</definedName>
    <definedName name="Linking_Range_30">BS!$A$8:$AQ$53</definedName>
    <definedName name="Linking_Range_31">BS!$A$8:$AQ$42</definedName>
    <definedName name="Linking_Range_32">CFS!$A$7:$AQ$60</definedName>
    <definedName name="Linking_Range_33" localSheetId="6">'[1]Earnings Charts'!$A$1:$F$15</definedName>
    <definedName name="Linking_Range_33">RevBuild!$A$7:$AQ$73</definedName>
    <definedName name="Linking_Range_34">CFS!$A$8:$BC$49</definedName>
    <definedName name="Linking_Range_36">BS!$A$7:$BC$42</definedName>
    <definedName name="Linking_Range_37">BS!$A$8:$BC$53</definedName>
    <definedName name="Linking_Range_38">CFS!$A$8:$AQ$49</definedName>
    <definedName name="Linking_Range_39">CFS!$A$7:$BC$51</definedName>
    <definedName name="Linking_Range_45">IS!$A$7:$BO$65</definedName>
    <definedName name="Linking_Range_46">RevBuild!$A$7:$BO$70</definedName>
    <definedName name="Linking_Range_47">BS!$A$7:$BO$42</definedName>
    <definedName name="Linking_Range_48">CFS!$A$7:$BO$49</definedName>
    <definedName name="Linking_Range_49">BS!$A$7:$AW$53</definedName>
    <definedName name="Linking_Range_5" localSheetId="6">'[1]P&amp;L'!$C$7:$CA$70</definedName>
    <definedName name="Linking_Range_5">IS!$A$8:$BC$65</definedName>
    <definedName name="Linking_Range_50">IS!$A$7:$AW$65</definedName>
    <definedName name="Linking_Range_51">CFS!$A$7:$AW$60</definedName>
    <definedName name="Linking_Range_52">RevBuild!$A$7:$AW$58</definedName>
    <definedName name="Linking_Range_53">RevBuild!$A$7:$BO$72</definedName>
    <definedName name="Linking_Range_55">RevBuild!$A$7:$AW$72</definedName>
    <definedName name="Linking_Range_56">BS!$A$7:$AW$42</definedName>
    <definedName name="Linking_Range_57">CFS!$A$7:$AW$49</definedName>
    <definedName name="Linking_Range_59">BS!$A$7:$AW$48</definedName>
    <definedName name="Linking_Range_6">BS!$A$8:$BC$65</definedName>
    <definedName name="Linking_Range_61">IS!$A$7:$BI$65</definedName>
    <definedName name="Linking_Range_62">RevBuild!$A$7:$BD$71</definedName>
    <definedName name="Linking_Range_63">BS!$A$7:$BI$42</definedName>
    <definedName name="Linking_Range_64">CFS!$A$7:$BI$49</definedName>
    <definedName name="Linking_Range_65">OrgRev!$A$5:$BO$41</definedName>
    <definedName name="Linking_Range_66">BS!$A$7:$BO$48</definedName>
    <definedName name="Linking_Range_7">CFS!$A$8:$BC$60</definedName>
    <definedName name="Linking_Range_72">OrgRev!$CO$5:$DA$28</definedName>
    <definedName name="Linking_Range_76">IS!$A$4:$BI$65</definedName>
    <definedName name="Linking_Range_77">RevBuild!$A$7:$BI$72</definedName>
    <definedName name="Linking_Range_78">RevBuild!$A$4:$BI$72</definedName>
    <definedName name="Linking_Range_8">RevBuild!$A$7:$BC$73</definedName>
    <definedName name="Linking_Range_81">OrgRev!$CO$5:$DE$28</definedName>
    <definedName name="Linking_Range_83">IS!$A$7:$BI$40</definedName>
    <definedName name="Linking_Range_84">IS!$A$7:$BO$35</definedName>
    <definedName name="Linking_Range_85">OrgRev!$A$5:$BO$27</definedName>
    <definedName name="Linking_Range_86">BS!$A$7:$BO$72</definedName>
    <definedName name="Linking_Range_87">CFS!$A$7:$BO$60</definedName>
    <definedName name="Linking_Range_9">RevBuild!$A$7:$BC$17</definedName>
    <definedName name="Linking_Range_90">BS!$A$7:$BO$78</definedName>
    <definedName name="Linking_Text_1">'[1]Q Variance'!$D$8</definedName>
    <definedName name="Linking_Text_2">541.1097</definedName>
    <definedName name="MacroVersion" localSheetId="7">IndexInformation!$B$1</definedName>
    <definedName name="ModelPrice" localSheetId="0">ImportantDisclosures!$A$14</definedName>
    <definedName name="Multiplier" localSheetId="7">IndexInformation!$B$35</definedName>
    <definedName name="NextYearEPS" localSheetId="7">IndexInformation!$B$13</definedName>
    <definedName name="NextYearTotalRevenue" localSheetId="7">IndexInformation!$B$12</definedName>
    <definedName name="NextYearTotalRevenueActual" localSheetId="7">IndexInformation!$B$33</definedName>
    <definedName name="Normalized_Income_Statement">"IS_Annual"</definedName>
    <definedName name="ObjectType">IndexInformation!$B$37</definedName>
    <definedName name="OpExAmortization">0</definedName>
    <definedName name="OpExBeforeDepreciationAmortizationExtraordinariesOther">0</definedName>
    <definedName name="OpExBeforeDepreciationAmortizationExtraordinariesTotal">0</definedName>
    <definedName name="OpExCostOfEquipment">0</definedName>
    <definedName name="OpExDepreciation">0</definedName>
    <definedName name="OpExGeneralAdministrative">0</definedName>
    <definedName name="OpExSellingMarketing">0</definedName>
    <definedName name="OpExTotal">0</definedName>
    <definedName name="OtherExEquityIncome">0</definedName>
    <definedName name="OtherExGainOnSale">0</definedName>
    <definedName name="OtherExInterestIncome">0</definedName>
    <definedName name="OtherExMinorityInterest">0</definedName>
    <definedName name="OtherExTotal">0</definedName>
    <definedName name="PANA" localSheetId="8">ModPubIndex!$A$11</definedName>
    <definedName name="PathName" localSheetId="7">IndexInformation!$B$25</definedName>
    <definedName name="_xlnm.Print_Area" localSheetId="4">BS!$A$2:$AW$53</definedName>
    <definedName name="_xlnm.Print_Area" localSheetId="5">CFS!$A$2:$AW$60</definedName>
    <definedName name="_xlnm.Print_Area" localSheetId="6">Debt!$A$2:$BI$52</definedName>
    <definedName name="_xlnm.Print_Area" localSheetId="1">IS!$A$2:$CM$65</definedName>
    <definedName name="_xlnm.Print_Area" localSheetId="3">OrgRev!$A$2:$CM$125</definedName>
    <definedName name="_xlnm.Print_Area" localSheetId="2">RevBuild!$A$2:$CG$86</definedName>
    <definedName name="PRODUCT" localSheetId="8">ModPubIndex!$A$6</definedName>
    <definedName name="ProjectName" localSheetId="6">{"Client Name or Project Name"}</definedName>
    <definedName name="ProjectName">{"Client Name or Project Name"}</definedName>
    <definedName name="PSYM" localSheetId="8">ModPubIndex!$A$4</definedName>
    <definedName name="PublishDate" localSheetId="7">IndexInformation!$B$2</definedName>
    <definedName name="Rating" localSheetId="7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7">IndexInformation!$B$4</definedName>
    <definedName name="RevenuesCellularEquipment">0</definedName>
    <definedName name="RevenuesCellularOther">0</definedName>
    <definedName name="RevenuesCellularService">0</definedName>
    <definedName name="RevenuesCellularTotal">0</definedName>
    <definedName name="RevenuesPagingEquipment">0</definedName>
    <definedName name="RevenuesPagingOther">0</definedName>
    <definedName name="RevenuesPagingService">0</definedName>
    <definedName name="RevenuesPagingTotal">0</definedName>
    <definedName name="RevenuesWirelessEquipment">0</definedName>
    <definedName name="RevenuesWirelessOther">0</definedName>
    <definedName name="RevenuesWirelessService">0</definedName>
    <definedName name="RIC" localSheetId="7">IndexInformation!$B$21</definedName>
    <definedName name="SECSettlement" localSheetId="0">ImportantDisclosures!#REF!</definedName>
    <definedName name="SEDOL" localSheetId="7">IndexInformation!$B$22</definedName>
    <definedName name="SharesConvertibleSecurities">0</definedName>
    <definedName name="SharesFullyDiluted">0</definedName>
    <definedName name="SharesOptions">0</definedName>
    <definedName name="SharesOutstandingLatestDate">0</definedName>
    <definedName name="SharesOutstandingOther">0</definedName>
    <definedName name="SharesOutstandingSenior">0</definedName>
    <definedName name="SharesOutstandingSubordinate">0</definedName>
    <definedName name="SharesPrimary">0</definedName>
    <definedName name="SharesWarrants">0</definedName>
    <definedName name="SourceDefined" localSheetId="0">ImportantDisclosures!$A$19</definedName>
    <definedName name="StatsAccessLinesDomesticInternationalTotalAverage">0</definedName>
    <definedName name="StatsAccessLinesTotalAverage">0</definedName>
    <definedName name="StatsAverageMonthlyRevenue">0</definedName>
    <definedName name="StatsEmployeesConsolidatedInternational">0</definedName>
    <definedName name="StatsEmployeesTelephoneInternational">0</definedName>
    <definedName name="StatsPagingAverageMonthlyRevenue">0</definedName>
    <definedName name="StatsPagingSubscribers">0</definedName>
    <definedName name="StatsPenetration">0</definedName>
    <definedName name="StatsPOPS">0</definedName>
    <definedName name="StatsProportionatePenetration">0</definedName>
    <definedName name="StatsProportionatePOPS">0</definedName>
    <definedName name="StatsProportionateSubscribersAverage">0</definedName>
    <definedName name="StatsProportionateSubscribersBeginning">0</definedName>
    <definedName name="StatsProportionateSubscribersEnding">0</definedName>
    <definedName name="StatsProportionateSubscribersNetAdds">0</definedName>
    <definedName name="StatsSubscribersAverage">0</definedName>
    <definedName name="StatsSubscribersBeginning">0</definedName>
    <definedName name="StatsSubscribersEnding">0</definedName>
    <definedName name="StatsSubscribersNetAdds">0</definedName>
    <definedName name="StockRating" localSheetId="0">ImportantDisclosures!$A$11</definedName>
    <definedName name="SubjectCode" localSheetId="7">IndexInformation!$B$6</definedName>
    <definedName name="SubmitterUserId">IndexInformation!$B$39</definedName>
    <definedName name="SUPPRESSED" localSheetId="8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7">IndexInformation!$B$19</definedName>
    <definedName name="UpdateReason" localSheetId="7">IndexInformation!$B$17</definedName>
    <definedName name="USRegDisclosures" localSheetId="0">ImportantDisclosures!#REF!</definedName>
    <definedName name="ValuationAdjustmentsOther">0</definedName>
    <definedName name="ValuationAdjustmentsValue">0</definedName>
    <definedName name="ValuationCellularValue">0</definedName>
    <definedName name="ValuationDebtAdjustment">0</definedName>
    <definedName name="ValuationDebtNet">0</definedName>
    <definedName name="ValuationDebtTotal">0</definedName>
    <definedName name="ValuationFirmValue">0</definedName>
    <definedName name="ValuationInvestments">0</definedName>
    <definedName name="ValuationMarketCapitalization">0</definedName>
    <definedName name="ValuationOtherValue">0</definedName>
    <definedName name="ValuationPagingValue">0</definedName>
    <definedName name="ValuationTelephoneValue">0</definedName>
    <definedName name="ValuationWirelessValue">0</definedName>
  </definedNames>
  <calcPr calcId="145621"/>
</workbook>
</file>

<file path=xl/calcChain.xml><?xml version="1.0" encoding="utf-8"?>
<calcChain xmlns="http://schemas.openxmlformats.org/spreadsheetml/2006/main">
  <c r="AK118" i="11" l="1"/>
  <c r="B19" i="40" l="1"/>
  <c r="B17" i="40"/>
  <c r="BN54" i="40"/>
  <c r="BO51" i="40"/>
  <c r="BO47" i="40"/>
  <c r="BO46" i="40"/>
  <c r="BN46" i="40"/>
  <c r="BO45" i="40"/>
  <c r="BN45" i="40"/>
  <c r="BO43" i="40"/>
  <c r="BN43" i="40"/>
  <c r="BO42" i="40"/>
  <c r="BN42" i="40"/>
  <c r="BO41" i="40"/>
  <c r="BN41" i="40"/>
  <c r="BO40" i="40"/>
  <c r="BN40" i="40"/>
  <c r="BO39" i="40"/>
  <c r="BN39" i="40"/>
  <c r="BO38" i="40"/>
  <c r="BN38" i="40"/>
  <c r="BO37" i="40"/>
  <c r="BN37" i="40"/>
  <c r="BO36" i="40"/>
  <c r="BN36" i="40"/>
  <c r="BO35" i="40"/>
  <c r="BN35" i="40"/>
  <c r="BO34" i="40"/>
  <c r="BN34" i="40"/>
  <c r="BO33" i="40"/>
  <c r="BN33" i="40"/>
  <c r="BO32" i="40"/>
  <c r="BN32" i="40"/>
  <c r="BO31" i="40"/>
  <c r="BO44" i="40" s="1"/>
  <c r="BN31" i="40"/>
  <c r="BN44" i="40" s="1"/>
  <c r="BN22" i="40"/>
  <c r="BN152" i="10" l="1"/>
  <c r="BN151" i="10"/>
  <c r="BN150" i="10"/>
  <c r="BN147" i="10"/>
  <c r="BN146" i="10"/>
  <c r="BN145" i="10"/>
  <c r="BN144" i="10"/>
  <c r="BN143" i="10"/>
  <c r="BN142" i="10"/>
  <c r="BN136" i="10"/>
  <c r="BN126" i="10"/>
  <c r="BO124" i="10"/>
  <c r="BN120" i="10"/>
  <c r="BO116" i="10"/>
  <c r="BN109" i="10"/>
  <c r="BO99" i="10"/>
  <c r="BN90" i="10"/>
  <c r="BN87" i="10"/>
  <c r="BN83" i="10"/>
  <c r="BN69" i="10"/>
  <c r="BT69" i="10" s="1"/>
  <c r="BZ69" i="10" s="1"/>
  <c r="BN46" i="10"/>
  <c r="BN25" i="10"/>
  <c r="BN16" i="10"/>
  <c r="BK75" i="9"/>
  <c r="BK73" i="9"/>
  <c r="BO69" i="9"/>
  <c r="BN69" i="9"/>
  <c r="BN146" i="12"/>
  <c r="BO146" i="12" s="1"/>
  <c r="BN145" i="12"/>
  <c r="BN144" i="12"/>
  <c r="BN143" i="12"/>
  <c r="BN142" i="12" s="1"/>
  <c r="BN141" i="12"/>
  <c r="BO141" i="12" s="1"/>
  <c r="BN140" i="12"/>
  <c r="BO140" i="12" s="1"/>
  <c r="BN163" i="12"/>
  <c r="BO145" i="12"/>
  <c r="BO144" i="12"/>
  <c r="BN41" i="13"/>
  <c r="BQ41" i="13" s="1"/>
  <c r="BN14" i="13"/>
  <c r="BN13" i="13"/>
  <c r="BN12" i="13" s="1"/>
  <c r="BO143" i="12" l="1"/>
  <c r="BN148" i="10"/>
  <c r="BN153" i="10"/>
  <c r="BN71" i="10"/>
  <c r="BT71" i="10" s="1"/>
  <c r="BZ71" i="10" s="1"/>
  <c r="BN70" i="10"/>
  <c r="BO147" i="12"/>
  <c r="BN147" i="12"/>
  <c r="BN72" i="10" l="1"/>
  <c r="BT70" i="10"/>
  <c r="BZ70" i="10" s="1"/>
  <c r="BN155" i="10"/>
  <c r="BN148" i="12"/>
  <c r="BO105" i="11"/>
  <c r="BN105" i="11"/>
  <c r="BN104" i="11"/>
  <c r="BN103" i="11"/>
  <c r="BN102" i="11"/>
  <c r="BN101" i="11"/>
  <c r="BN100" i="11"/>
  <c r="BQ13" i="11" l="1"/>
  <c r="BN117" i="11" l="1"/>
  <c r="DM39" i="11"/>
  <c r="DM40" i="11"/>
  <c r="DM41" i="11"/>
  <c r="DM33" i="11"/>
  <c r="DM34" i="11"/>
  <c r="DM35" i="11"/>
  <c r="DM36" i="11"/>
  <c r="DM37" i="11"/>
  <c r="BN111" i="12"/>
  <c r="BN110" i="12"/>
  <c r="BN109" i="12"/>
  <c r="BN108" i="12"/>
  <c r="BN107" i="12"/>
  <c r="BO102" i="12"/>
  <c r="CM40" i="9" l="1"/>
  <c r="CG40" i="9"/>
  <c r="CA40" i="9"/>
  <c r="CM31" i="12" l="1"/>
  <c r="CG31" i="12"/>
  <c r="CA31" i="12"/>
  <c r="CM28" i="12"/>
  <c r="CG28" i="12"/>
  <c r="CA28" i="12"/>
  <c r="CJ54" i="13" l="1"/>
  <c r="CK54" i="13" s="1"/>
  <c r="CL54" i="13" s="1"/>
  <c r="CD54" i="13"/>
  <c r="CE54" i="13" s="1"/>
  <c r="CF54" i="13" s="1"/>
  <c r="BN16" i="11" l="1"/>
  <c r="BQ79" i="9"/>
  <c r="BS54" i="13"/>
  <c r="BT54" i="13" s="1"/>
  <c r="BO105" i="12" l="1"/>
  <c r="BO103" i="12"/>
  <c r="BO101" i="12"/>
  <c r="BO100" i="12"/>
  <c r="BO99" i="12"/>
  <c r="BO98" i="12"/>
  <c r="BN98" i="13"/>
  <c r="BN97" i="13"/>
  <c r="BO40" i="13"/>
  <c r="BN100" i="13"/>
  <c r="BN112" i="12"/>
  <c r="BN125" i="11"/>
  <c r="BN124" i="11"/>
  <c r="BN123" i="11"/>
  <c r="BO118" i="11"/>
  <c r="BO117" i="11"/>
  <c r="BO116" i="11"/>
  <c r="BN62" i="13"/>
  <c r="BN61" i="13"/>
  <c r="BN57" i="13"/>
  <c r="BN48" i="13"/>
  <c r="BT48" i="13" s="1"/>
  <c r="BN47" i="13"/>
  <c r="BN30" i="13"/>
  <c r="BN73" i="13"/>
  <c r="BN20" i="13"/>
  <c r="BS100" i="13" l="1"/>
  <c r="BT47" i="13" l="1"/>
  <c r="BZ47" i="13" s="1"/>
  <c r="CF47" i="13" s="1"/>
  <c r="CL47" i="13" s="1"/>
  <c r="BM45" i="40" l="1"/>
  <c r="BM43" i="40"/>
  <c r="BM42" i="40"/>
  <c r="BM41" i="40"/>
  <c r="BM40" i="40"/>
  <c r="BM39" i="40"/>
  <c r="BM38" i="40"/>
  <c r="BM37" i="40"/>
  <c r="BM36" i="40"/>
  <c r="BM35" i="40"/>
  <c r="BM34" i="40"/>
  <c r="BM33" i="40"/>
  <c r="BM32" i="40"/>
  <c r="BM31" i="40"/>
  <c r="BM22" i="40"/>
  <c r="BM126" i="10"/>
  <c r="BN123" i="10" s="1"/>
  <c r="BN125" i="10" s="1"/>
  <c r="BM120" i="10"/>
  <c r="BN115" i="10" s="1"/>
  <c r="BM109" i="10"/>
  <c r="BM90" i="10"/>
  <c r="BM87" i="10"/>
  <c r="BM83" i="10"/>
  <c r="BM69" i="10"/>
  <c r="BS69" i="10" s="1"/>
  <c r="BY69" i="10" s="1"/>
  <c r="BM46" i="10"/>
  <c r="BM25" i="10"/>
  <c r="BM44" i="40" l="1"/>
  <c r="BM147" i="12"/>
  <c r="BM142" i="12"/>
  <c r="BM41" i="13"/>
  <c r="BM12" i="13"/>
  <c r="BM71" i="10" l="1"/>
  <c r="BS71" i="10" s="1"/>
  <c r="BY71" i="10" s="1"/>
  <c r="BM70" i="10"/>
  <c r="BS70" i="10" s="1"/>
  <c r="BY70" i="10" s="1"/>
  <c r="BM44" i="13"/>
  <c r="BM148" i="12"/>
  <c r="BM72" i="10" l="1"/>
  <c r="BL171" i="10"/>
  <c r="BK171" i="10"/>
  <c r="BH171" i="10"/>
  <c r="BG171" i="10"/>
  <c r="BF171" i="10"/>
  <c r="BE171" i="10"/>
  <c r="BB171" i="10"/>
  <c r="BA171" i="10"/>
  <c r="AZ171" i="10"/>
  <c r="AY171" i="10"/>
  <c r="AV171" i="10"/>
  <c r="AU171" i="10"/>
  <c r="AT171" i="10"/>
  <c r="AS171" i="10"/>
  <c r="AP171" i="10"/>
  <c r="AO171" i="10"/>
  <c r="AN171" i="10"/>
  <c r="AM171" i="10"/>
  <c r="AJ171" i="10"/>
  <c r="AI171" i="10"/>
  <c r="AH171" i="10"/>
  <c r="AG171" i="10"/>
  <c r="AD171" i="10"/>
  <c r="AC171" i="10"/>
  <c r="AB171" i="10"/>
  <c r="AA171" i="10"/>
  <c r="X171" i="10"/>
  <c r="W171" i="10"/>
  <c r="V171" i="10"/>
  <c r="U171" i="10"/>
  <c r="R171" i="10"/>
  <c r="Q171" i="10"/>
  <c r="P171" i="10"/>
  <c r="O171" i="10"/>
  <c r="L171" i="10"/>
  <c r="K171" i="10"/>
  <c r="J171" i="10"/>
  <c r="I171" i="10"/>
  <c r="G171" i="10"/>
  <c r="BL170" i="10"/>
  <c r="BK170" i="10"/>
  <c r="BH170" i="10"/>
  <c r="BG170" i="10"/>
  <c r="BF170" i="10"/>
  <c r="BE170" i="10"/>
  <c r="BB170" i="10"/>
  <c r="BA170" i="10"/>
  <c r="AZ170" i="10"/>
  <c r="AY170" i="10"/>
  <c r="AV170" i="10"/>
  <c r="AU170" i="10"/>
  <c r="AT170" i="10"/>
  <c r="AS170" i="10"/>
  <c r="AP170" i="10"/>
  <c r="AO170" i="10"/>
  <c r="AN170" i="10"/>
  <c r="AM170" i="10"/>
  <c r="AJ170" i="10"/>
  <c r="AI170" i="10"/>
  <c r="AH170" i="10"/>
  <c r="AG170" i="10"/>
  <c r="AD170" i="10"/>
  <c r="AC170" i="10"/>
  <c r="AB170" i="10"/>
  <c r="AA170" i="10"/>
  <c r="X170" i="10"/>
  <c r="W170" i="10"/>
  <c r="V170" i="10"/>
  <c r="U170" i="10"/>
  <c r="R170" i="10"/>
  <c r="Q170" i="10"/>
  <c r="P170" i="10"/>
  <c r="O170" i="10"/>
  <c r="L170" i="10"/>
  <c r="K170" i="10"/>
  <c r="J170" i="10"/>
  <c r="I170" i="10"/>
  <c r="G170" i="10"/>
  <c r="BL179" i="10" l="1"/>
  <c r="BK179" i="10"/>
  <c r="BH179" i="10"/>
  <c r="BG179" i="10"/>
  <c r="BF179" i="10"/>
  <c r="BE179" i="10"/>
  <c r="BB179" i="10"/>
  <c r="BA179" i="10"/>
  <c r="AZ179" i="10"/>
  <c r="AY179" i="10"/>
  <c r="AV179" i="10"/>
  <c r="AU179" i="10"/>
  <c r="AT179" i="10"/>
  <c r="AS179" i="10"/>
  <c r="AP179" i="10"/>
  <c r="AO179" i="10"/>
  <c r="AN179" i="10"/>
  <c r="AM179" i="10"/>
  <c r="AJ179" i="10"/>
  <c r="AI179" i="10"/>
  <c r="AH179" i="10"/>
  <c r="AG179" i="10"/>
  <c r="AD179" i="10"/>
  <c r="AC179" i="10"/>
  <c r="AB179" i="10"/>
  <c r="AA179" i="10"/>
  <c r="X179" i="10"/>
  <c r="W179" i="10"/>
  <c r="V179" i="10"/>
  <c r="U179" i="10"/>
  <c r="R179" i="10"/>
  <c r="Q179" i="10"/>
  <c r="P179" i="10"/>
  <c r="O179" i="10"/>
  <c r="L179" i="10"/>
  <c r="K179" i="10"/>
  <c r="J179" i="10"/>
  <c r="I179" i="10"/>
  <c r="AW11" i="10" l="1"/>
  <c r="AW179" i="10" s="1"/>
  <c r="AW12" i="10"/>
  <c r="AW13" i="10"/>
  <c r="AW142" i="10" s="1"/>
  <c r="AW14" i="10"/>
  <c r="AW143" i="10" s="1"/>
  <c r="AW15" i="10"/>
  <c r="AW144" i="10" s="1"/>
  <c r="AW17" i="10"/>
  <c r="AW145" i="10" s="1"/>
  <c r="AW18" i="10"/>
  <c r="AW181" i="10" s="1"/>
  <c r="AW19" i="10"/>
  <c r="AW20" i="10"/>
  <c r="AW146" i="10" s="1"/>
  <c r="AW23" i="10"/>
  <c r="AW24" i="10"/>
  <c r="AW150" i="10" s="1"/>
  <c r="AW25" i="10"/>
  <c r="AW26" i="10"/>
  <c r="AW27" i="10"/>
  <c r="AW29" i="10"/>
  <c r="AW30" i="10"/>
  <c r="AW31" i="10"/>
  <c r="AW170" i="10" s="1"/>
  <c r="AW32" i="10"/>
  <c r="AW35" i="10"/>
  <c r="AW175" i="10" s="1"/>
  <c r="AW36" i="10"/>
  <c r="AW37" i="10"/>
  <c r="AW38" i="10"/>
  <c r="AW39" i="10"/>
  <c r="AW40" i="10"/>
  <c r="AW68" i="10"/>
  <c r="AW99" i="10"/>
  <c r="AW116" i="10"/>
  <c r="AW124" i="10"/>
  <c r="BL181" i="10"/>
  <c r="BK181" i="10"/>
  <c r="BL175" i="10"/>
  <c r="BK175" i="10"/>
  <c r="BM169" i="10"/>
  <c r="BL169" i="10"/>
  <c r="BK169" i="10"/>
  <c r="BH181" i="10"/>
  <c r="BG181" i="10"/>
  <c r="BF181" i="10"/>
  <c r="BE181" i="10"/>
  <c r="BH175" i="10"/>
  <c r="BG175" i="10"/>
  <c r="BF175" i="10"/>
  <c r="BE175" i="10"/>
  <c r="BH169" i="10"/>
  <c r="BG169" i="10"/>
  <c r="BF169" i="10"/>
  <c r="BE169" i="10"/>
  <c r="BB181" i="10"/>
  <c r="BA181" i="10"/>
  <c r="AZ181" i="10"/>
  <c r="AY181" i="10"/>
  <c r="BA175" i="10"/>
  <c r="AZ175" i="10"/>
  <c r="AY175" i="10"/>
  <c r="BB169" i="10"/>
  <c r="BA169" i="10"/>
  <c r="AZ169" i="10"/>
  <c r="AY169" i="10"/>
  <c r="AV181" i="10"/>
  <c r="AU181" i="10"/>
  <c r="AT181" i="10"/>
  <c r="AS181" i="10"/>
  <c r="AV175" i="10"/>
  <c r="AU175" i="10"/>
  <c r="AT175" i="10"/>
  <c r="AS175" i="10"/>
  <c r="AV169" i="10"/>
  <c r="AU169" i="10"/>
  <c r="AT169" i="10"/>
  <c r="AS169" i="10"/>
  <c r="AP181" i="10"/>
  <c r="AO181" i="10"/>
  <c r="AN181" i="10"/>
  <c r="AM181" i="10"/>
  <c r="AP175" i="10"/>
  <c r="AO175" i="10"/>
  <c r="AN175" i="10"/>
  <c r="AM175" i="10"/>
  <c r="AP169" i="10"/>
  <c r="AO169" i="10"/>
  <c r="AN169" i="10"/>
  <c r="AM169" i="10"/>
  <c r="AJ181" i="10"/>
  <c r="AI181" i="10"/>
  <c r="AH181" i="10"/>
  <c r="AG181" i="10"/>
  <c r="AJ175" i="10"/>
  <c r="AI175" i="10"/>
  <c r="AG175" i="10"/>
  <c r="AJ169" i="10"/>
  <c r="AI169" i="10"/>
  <c r="AH169" i="10"/>
  <c r="AG169" i="10"/>
  <c r="AD181" i="10"/>
  <c r="AC181" i="10"/>
  <c r="AB181" i="10"/>
  <c r="AA181" i="10"/>
  <c r="AD175" i="10"/>
  <c r="AC175" i="10"/>
  <c r="AB175" i="10"/>
  <c r="AA175" i="10"/>
  <c r="AD169" i="10"/>
  <c r="AC169" i="10"/>
  <c r="AB169" i="10"/>
  <c r="AA169" i="10"/>
  <c r="X181" i="10"/>
  <c r="W181" i="10"/>
  <c r="V181" i="10"/>
  <c r="U181" i="10"/>
  <c r="X175" i="10"/>
  <c r="W175" i="10"/>
  <c r="V175" i="10"/>
  <c r="U175" i="10"/>
  <c r="X169" i="10"/>
  <c r="W169" i="10"/>
  <c r="V169" i="10"/>
  <c r="U169" i="10"/>
  <c r="R181" i="10"/>
  <c r="Q181" i="10"/>
  <c r="P181" i="10"/>
  <c r="O181" i="10"/>
  <c r="R175" i="10"/>
  <c r="Q175" i="10"/>
  <c r="P175" i="10"/>
  <c r="O175" i="10"/>
  <c r="R169" i="10"/>
  <c r="Q169" i="10"/>
  <c r="P169" i="10"/>
  <c r="O169" i="10"/>
  <c r="L181" i="10"/>
  <c r="K181" i="10"/>
  <c r="J181" i="10"/>
  <c r="I181" i="10"/>
  <c r="L175" i="10"/>
  <c r="K175" i="10"/>
  <c r="J175" i="10"/>
  <c r="I175" i="10"/>
  <c r="L169" i="10"/>
  <c r="K169" i="10"/>
  <c r="J169" i="10"/>
  <c r="I169" i="10"/>
  <c r="AW171" i="10" l="1"/>
  <c r="AW147" i="10"/>
  <c r="AW148" i="10" s="1"/>
  <c r="AW16" i="10"/>
  <c r="AW21" i="10" s="1"/>
  <c r="AW41" i="10"/>
  <c r="AW176" i="10" s="1"/>
  <c r="AW28" i="10"/>
  <c r="AW151" i="10"/>
  <c r="AW46" i="10"/>
  <c r="AW152" i="10"/>
  <c r="AW34" i="10"/>
  <c r="AW10" i="10"/>
  <c r="AW169" i="10"/>
  <c r="AW59" i="10" l="1"/>
  <c r="AW47" i="10"/>
  <c r="AW48" i="10" s="1"/>
  <c r="AW62" i="10"/>
  <c r="AW65" i="10"/>
  <c r="AW42" i="10"/>
  <c r="AW43" i="10" s="1"/>
  <c r="AW153" i="10"/>
  <c r="AW155" i="10" s="1"/>
  <c r="AW182" i="10"/>
  <c r="AW183" i="10"/>
  <c r="AW63" i="10"/>
  <c r="AW64" i="10"/>
  <c r="G181" i="10"/>
  <c r="G179" i="10"/>
  <c r="G169" i="10"/>
  <c r="I46" i="10"/>
  <c r="CL68" i="10" l="1"/>
  <c r="CK68" i="10"/>
  <c r="CJ68" i="10"/>
  <c r="CI68" i="10"/>
  <c r="CF68" i="10"/>
  <c r="CE68" i="10"/>
  <c r="CD68" i="10"/>
  <c r="CC68" i="10"/>
  <c r="CG68" i="10" l="1"/>
  <c r="CM68" i="10"/>
  <c r="CJ60" i="12"/>
  <c r="CK60" i="12" s="1"/>
  <c r="CL60" i="12" s="1"/>
  <c r="CD60" i="12"/>
  <c r="CE60" i="12" s="1"/>
  <c r="CF60" i="12" s="1"/>
  <c r="BX60" i="12"/>
  <c r="BY60" i="12" s="1"/>
  <c r="BZ60" i="12" s="1"/>
  <c r="BX51" i="12"/>
  <c r="BY51" i="12" s="1"/>
  <c r="BZ51" i="12" s="1"/>
  <c r="CD51" i="12"/>
  <c r="CE51" i="12"/>
  <c r="CF51" i="12" s="1"/>
  <c r="CJ51" i="12"/>
  <c r="CK51" i="12" s="1"/>
  <c r="CL51" i="12" s="1"/>
  <c r="CM33" i="12"/>
  <c r="CG33" i="12"/>
  <c r="CA33" i="12"/>
  <c r="BM54" i="40" l="1"/>
  <c r="BM116" i="11" l="1"/>
  <c r="BM100" i="13" s="1"/>
  <c r="BM98" i="12"/>
  <c r="BM107" i="12" s="1"/>
  <c r="BM98" i="13"/>
  <c r="BM97" i="13"/>
  <c r="BM47" i="13"/>
  <c r="BS47" i="13" s="1"/>
  <c r="BY47" i="13" s="1"/>
  <c r="CE47" i="13" s="1"/>
  <c r="CK47" i="13" s="1"/>
  <c r="BM48" i="13"/>
  <c r="BS48" i="13" s="1"/>
  <c r="BM57" i="13"/>
  <c r="BM61" i="13"/>
  <c r="BM62" i="13"/>
  <c r="BM95" i="13"/>
  <c r="BM108" i="12"/>
  <c r="BM109" i="12"/>
  <c r="BM110" i="12"/>
  <c r="BM111" i="12"/>
  <c r="BM112" i="12"/>
  <c r="BM163" i="12"/>
  <c r="BM100" i="11"/>
  <c r="BM101" i="11"/>
  <c r="BM102" i="11"/>
  <c r="BM103" i="11"/>
  <c r="BM104" i="11"/>
  <c r="BM105" i="11"/>
  <c r="BM123" i="11"/>
  <c r="BM124" i="11"/>
  <c r="BM125" i="11"/>
  <c r="BM73" i="13"/>
  <c r="BM14" i="12" l="1"/>
  <c r="BM12" i="12"/>
  <c r="BM20" i="13"/>
  <c r="BM10" i="12" l="1"/>
  <c r="DL41" i="11" l="1"/>
  <c r="DL40" i="11"/>
  <c r="DL39" i="11"/>
  <c r="DL37" i="11"/>
  <c r="DL36" i="11"/>
  <c r="DL35" i="11"/>
  <c r="DL34" i="11"/>
  <c r="DL33" i="11"/>
  <c r="DQ20" i="11" l="1"/>
  <c r="DP20" i="11"/>
  <c r="DO20" i="11"/>
  <c r="DQ13" i="11"/>
  <c r="DP13" i="11"/>
  <c r="DO13" i="11"/>
  <c r="DQ12" i="11"/>
  <c r="DP12" i="11"/>
  <c r="DO12" i="11"/>
  <c r="DN13" i="11"/>
  <c r="DN12" i="11"/>
  <c r="DN20" i="11"/>
  <c r="BR100" i="13" l="1"/>
  <c r="BQ100" i="13"/>
  <c r="AQ102" i="12" l="1"/>
  <c r="AQ100" i="12"/>
  <c r="AQ99" i="12"/>
  <c r="AQ98" i="12"/>
  <c r="AQ105" i="12"/>
  <c r="BL54" i="40" l="1"/>
  <c r="BL45" i="40"/>
  <c r="BL43" i="40"/>
  <c r="BL42" i="40"/>
  <c r="BL41" i="40"/>
  <c r="BL40" i="40"/>
  <c r="BL39" i="40"/>
  <c r="BL38" i="40"/>
  <c r="BL37" i="40"/>
  <c r="BL36" i="40"/>
  <c r="BL35" i="40"/>
  <c r="BL34" i="40"/>
  <c r="BL33" i="40"/>
  <c r="BL32" i="40"/>
  <c r="BL31" i="40"/>
  <c r="BL44" i="40" s="1"/>
  <c r="BL22" i="40"/>
  <c r="BL126" i="10"/>
  <c r="BM123" i="10" s="1"/>
  <c r="BM125" i="10" s="1"/>
  <c r="BL120" i="10"/>
  <c r="BM115" i="10" s="1"/>
  <c r="BL109" i="10"/>
  <c r="BL83" i="10"/>
  <c r="BL46" i="10"/>
  <c r="BL40" i="10"/>
  <c r="BL25" i="10"/>
  <c r="BL80" i="9"/>
  <c r="BL66" i="9"/>
  <c r="BL65" i="9"/>
  <c r="BL64" i="9"/>
  <c r="BL69" i="9"/>
  <c r="BL45" i="9"/>
  <c r="BL42" i="9"/>
  <c r="BL40" i="9"/>
  <c r="BL38" i="9"/>
  <c r="BL37" i="9"/>
  <c r="BL36" i="9"/>
  <c r="BL30" i="9"/>
  <c r="BL29" i="9"/>
  <c r="BL32" i="9"/>
  <c r="BL28" i="9"/>
  <c r="BL24" i="9"/>
  <c r="BL23" i="9"/>
  <c r="BL22" i="9"/>
  <c r="BL21" i="9"/>
  <c r="BL20" i="9"/>
  <c r="BL19" i="9"/>
  <c r="BL18" i="9"/>
  <c r="BL16" i="9"/>
  <c r="BL14" i="9"/>
  <c r="BL13" i="9"/>
  <c r="BL15" i="9"/>
  <c r="BL41" i="9"/>
  <c r="BL39" i="9"/>
  <c r="BL31" i="9"/>
  <c r="BL12" i="9"/>
  <c r="BL11" i="9"/>
  <c r="BL147" i="12"/>
  <c r="BL142" i="12"/>
  <c r="BM18" i="9" l="1"/>
  <c r="BN18" i="9" s="1"/>
  <c r="BM37" i="9"/>
  <c r="BN37" i="9"/>
  <c r="BN31" i="9"/>
  <c r="BM19" i="9"/>
  <c r="BN19" i="9"/>
  <c r="BM23" i="9"/>
  <c r="BN23" i="9" s="1"/>
  <c r="BM29" i="9"/>
  <c r="BN29" i="9"/>
  <c r="BM38" i="9"/>
  <c r="BN38" i="9" s="1"/>
  <c r="BM12" i="9"/>
  <c r="BN12" i="9"/>
  <c r="BM22" i="9"/>
  <c r="BN22" i="9" s="1"/>
  <c r="BM66" i="9"/>
  <c r="BN66" i="9"/>
  <c r="BM39" i="9"/>
  <c r="BN39" i="9"/>
  <c r="BM20" i="9"/>
  <c r="BN20" i="9"/>
  <c r="BM24" i="9"/>
  <c r="BN24" i="9"/>
  <c r="BM30" i="9"/>
  <c r="BN30" i="9"/>
  <c r="BN40" i="9"/>
  <c r="BM64" i="9"/>
  <c r="BM15" i="9"/>
  <c r="BN15" i="9" s="1"/>
  <c r="BM32" i="9"/>
  <c r="BN32" i="9"/>
  <c r="BM11" i="9"/>
  <c r="BN11" i="9" s="1"/>
  <c r="BM41" i="9"/>
  <c r="BN41" i="9"/>
  <c r="BM16" i="9"/>
  <c r="BN16" i="9" s="1"/>
  <c r="BM21" i="9"/>
  <c r="BN21" i="9"/>
  <c r="BN28" i="9"/>
  <c r="BN97" i="10" s="1"/>
  <c r="BN98" i="10" s="1"/>
  <c r="BM36" i="9"/>
  <c r="BN36" i="9"/>
  <c r="BM42" i="9"/>
  <c r="BN42" i="9"/>
  <c r="BL75" i="9"/>
  <c r="BM45" i="9"/>
  <c r="BN45" i="9"/>
  <c r="BM40" i="9"/>
  <c r="BM31" i="9"/>
  <c r="BM28" i="9"/>
  <c r="BM97" i="10" s="1"/>
  <c r="BM98" i="10" s="1"/>
  <c r="BM65" i="9"/>
  <c r="BL104" i="10"/>
  <c r="BM13" i="9"/>
  <c r="BM104" i="10" s="1"/>
  <c r="BL117" i="10"/>
  <c r="BM14" i="9"/>
  <c r="BM117" i="10" s="1"/>
  <c r="BM119" i="10" s="1"/>
  <c r="BL79" i="9"/>
  <c r="BL78" i="9" s="1"/>
  <c r="BL97" i="10"/>
  <c r="BL98" i="10" s="1"/>
  <c r="BL148" i="12"/>
  <c r="BI105" i="12"/>
  <c r="BC105" i="12"/>
  <c r="AW105" i="12"/>
  <c r="BN17" i="9" l="1"/>
  <c r="BN64" i="9"/>
  <c r="BM75" i="9"/>
  <c r="BO66" i="9"/>
  <c r="BN13" i="9"/>
  <c r="BN104" i="10" s="1"/>
  <c r="BN65" i="9"/>
  <c r="BN14" i="9"/>
  <c r="BN117" i="10" s="1"/>
  <c r="BM118" i="10"/>
  <c r="BL62" i="13"/>
  <c r="BL61" i="13"/>
  <c r="BL57" i="13"/>
  <c r="BL48" i="13"/>
  <c r="BR48" i="13" s="1"/>
  <c r="BL47" i="13"/>
  <c r="BR47" i="13" s="1"/>
  <c r="BX47" i="13" s="1"/>
  <c r="CD47" i="13" s="1"/>
  <c r="CJ47" i="13" s="1"/>
  <c r="BL41" i="13"/>
  <c r="BL12" i="13"/>
  <c r="BL44" i="13" s="1"/>
  <c r="BO75" i="9" l="1"/>
  <c r="BN75" i="9"/>
  <c r="BN118" i="10"/>
  <c r="BN119" i="10"/>
  <c r="BO64" i="9"/>
  <c r="BO65" i="9"/>
  <c r="CL40" i="11"/>
  <c r="CK40" i="11"/>
  <c r="CJ40" i="11"/>
  <c r="CI40" i="11"/>
  <c r="CL39" i="11"/>
  <c r="CK39" i="11"/>
  <c r="CJ39" i="11"/>
  <c r="CI39" i="11"/>
  <c r="CL38" i="11"/>
  <c r="CK38" i="11"/>
  <c r="CI38" i="11"/>
  <c r="CI35" i="11"/>
  <c r="CI34" i="11"/>
  <c r="CK32" i="11"/>
  <c r="CJ32" i="11"/>
  <c r="CI32" i="11"/>
  <c r="CL26" i="11"/>
  <c r="CK26" i="11"/>
  <c r="CJ26" i="11"/>
  <c r="CI26" i="11"/>
  <c r="CL25" i="11"/>
  <c r="CK25" i="11"/>
  <c r="CJ25" i="11"/>
  <c r="CI25" i="11"/>
  <c r="CM13" i="11"/>
  <c r="CM12" i="11"/>
  <c r="CF40" i="11"/>
  <c r="CE40" i="11"/>
  <c r="CD40" i="11"/>
  <c r="CC40" i="11"/>
  <c r="CF39" i="11"/>
  <c r="CE39" i="11"/>
  <c r="CD39" i="11"/>
  <c r="CC39" i="11"/>
  <c r="CF38" i="11"/>
  <c r="CE38" i="11"/>
  <c r="CC38" i="11"/>
  <c r="CC35" i="11"/>
  <c r="CC34" i="11"/>
  <c r="CE32" i="11"/>
  <c r="CD32" i="11"/>
  <c r="CC32" i="11"/>
  <c r="CF26" i="11"/>
  <c r="CE26" i="11"/>
  <c r="CD26" i="11"/>
  <c r="CC26" i="11"/>
  <c r="CF25" i="11"/>
  <c r="CE25" i="11"/>
  <c r="CD25" i="11"/>
  <c r="CC25" i="11"/>
  <c r="CG13" i="11"/>
  <c r="CG12" i="11"/>
  <c r="CI77" i="13"/>
  <c r="CL72" i="13"/>
  <c r="CJ72" i="13"/>
  <c r="CI72" i="13"/>
  <c r="CI71" i="13"/>
  <c r="CJ77" i="13"/>
  <c r="CK20" i="13"/>
  <c r="CM20" i="13" s="1"/>
  <c r="CJ19" i="13"/>
  <c r="CJ71" i="13" s="1"/>
  <c r="CI18" i="13"/>
  <c r="CC77" i="13"/>
  <c r="CF72" i="13"/>
  <c r="CD72" i="13"/>
  <c r="CC72" i="13"/>
  <c r="CC71" i="13"/>
  <c r="CD77" i="13"/>
  <c r="CE20" i="13"/>
  <c r="CE72" i="13" s="1"/>
  <c r="CD19" i="13"/>
  <c r="CD71" i="13" s="1"/>
  <c r="CC18" i="13"/>
  <c r="CM147" i="12"/>
  <c r="CL147" i="12"/>
  <c r="CK147" i="12"/>
  <c r="CJ147" i="12"/>
  <c r="CI147" i="12"/>
  <c r="CM69" i="12"/>
  <c r="CM66" i="12"/>
  <c r="CL18" i="12"/>
  <c r="CK18" i="12"/>
  <c r="CJ18" i="12"/>
  <c r="CI18" i="12"/>
  <c r="CG147" i="12"/>
  <c r="CF147" i="12"/>
  <c r="CE147" i="12"/>
  <c r="CD147" i="12"/>
  <c r="CC147" i="12"/>
  <c r="CG69" i="12"/>
  <c r="CG66" i="12"/>
  <c r="CF18" i="12"/>
  <c r="CE18" i="12"/>
  <c r="CD18" i="12"/>
  <c r="CC18" i="12"/>
  <c r="CM89" i="9"/>
  <c r="CM83" i="9"/>
  <c r="CL79" i="9"/>
  <c r="CK79" i="9"/>
  <c r="CJ79" i="9"/>
  <c r="CI79" i="9"/>
  <c r="CM45" i="9"/>
  <c r="CM42" i="9"/>
  <c r="CM41" i="9"/>
  <c r="CM39" i="9"/>
  <c r="CL37" i="9"/>
  <c r="CK37" i="9"/>
  <c r="CJ37" i="9"/>
  <c r="CI37" i="9"/>
  <c r="CL36" i="9"/>
  <c r="CK36" i="9"/>
  <c r="CJ36" i="9"/>
  <c r="CI36" i="9"/>
  <c r="CM32" i="9"/>
  <c r="CM31" i="9"/>
  <c r="CM30" i="9"/>
  <c r="CM29" i="9"/>
  <c r="CM21" i="9"/>
  <c r="CM16" i="9"/>
  <c r="CI14" i="9"/>
  <c r="CI24" i="13" s="1"/>
  <c r="CM12" i="9"/>
  <c r="CM11" i="9"/>
  <c r="CG89" i="9"/>
  <c r="CG83" i="9"/>
  <c r="CF79" i="9"/>
  <c r="CE79" i="9"/>
  <c r="CD79" i="9"/>
  <c r="CC79" i="9"/>
  <c r="CG45" i="9"/>
  <c r="CG42" i="9"/>
  <c r="CG41" i="9"/>
  <c r="CG39" i="9"/>
  <c r="CF37" i="9"/>
  <c r="CE37" i="9"/>
  <c r="CD37" i="9"/>
  <c r="CC37" i="9"/>
  <c r="CF36" i="9"/>
  <c r="CE36" i="9"/>
  <c r="CD36" i="9"/>
  <c r="CC36" i="9"/>
  <c r="CG32" i="9"/>
  <c r="CG31" i="9"/>
  <c r="CG30" i="9"/>
  <c r="CG29" i="9"/>
  <c r="CG21" i="9"/>
  <c r="CG16" i="9"/>
  <c r="CC14" i="9"/>
  <c r="CC24" i="13" s="1"/>
  <c r="CG12" i="9"/>
  <c r="CG11" i="9"/>
  <c r="CM125" i="10"/>
  <c r="CL124" i="10"/>
  <c r="CK124" i="10"/>
  <c r="CJ124" i="10"/>
  <c r="CI124" i="10"/>
  <c r="CM119" i="10"/>
  <c r="CJ117" i="10"/>
  <c r="CK117" i="10" s="1"/>
  <c r="CK14" i="9" s="1"/>
  <c r="CK24" i="13" s="1"/>
  <c r="CL116" i="10"/>
  <c r="CK116" i="10"/>
  <c r="CJ116" i="10"/>
  <c r="CI116" i="10"/>
  <c r="CM106" i="10"/>
  <c r="CJ105" i="10"/>
  <c r="CK105" i="10" s="1"/>
  <c r="CL105" i="10" s="1"/>
  <c r="CM100" i="10"/>
  <c r="CL99" i="10"/>
  <c r="CK99" i="10"/>
  <c r="CJ99" i="10"/>
  <c r="CI99" i="10"/>
  <c r="CJ98" i="10"/>
  <c r="CK98" i="10" s="1"/>
  <c r="CG125" i="10"/>
  <c r="CF124" i="10"/>
  <c r="CE124" i="10"/>
  <c r="CD124" i="10"/>
  <c r="CC124" i="10"/>
  <c r="CG119" i="10"/>
  <c r="CD117" i="10"/>
  <c r="CD14" i="9" s="1"/>
  <c r="CD24" i="13" s="1"/>
  <c r="CF116" i="10"/>
  <c r="CE116" i="10"/>
  <c r="CD116" i="10"/>
  <c r="CC116" i="10"/>
  <c r="CG106" i="10"/>
  <c r="CD105" i="10"/>
  <c r="CE105" i="10" s="1"/>
  <c r="CF105" i="10" s="1"/>
  <c r="CG100" i="10"/>
  <c r="CF99" i="10"/>
  <c r="CE99" i="10"/>
  <c r="CD99" i="10"/>
  <c r="CC99" i="10"/>
  <c r="CD98" i="10"/>
  <c r="CE98" i="10" s="1"/>
  <c r="CF98" i="10" s="1"/>
  <c r="CI88" i="40"/>
  <c r="CI77" i="40"/>
  <c r="CJ76" i="40"/>
  <c r="CK76" i="40" s="1"/>
  <c r="CJ75" i="40"/>
  <c r="CK75" i="40" s="1"/>
  <c r="CL75" i="40" s="1"/>
  <c r="CM75" i="40" s="1"/>
  <c r="CJ74" i="40"/>
  <c r="CI72" i="40"/>
  <c r="CJ71" i="40"/>
  <c r="CK71" i="40" s="1"/>
  <c r="CL71" i="40" s="1"/>
  <c r="CJ70" i="40"/>
  <c r="CK70" i="40" s="1"/>
  <c r="CL70" i="40" s="1"/>
  <c r="CJ69" i="40"/>
  <c r="CL65" i="40"/>
  <c r="CJ64" i="40"/>
  <c r="CJ88" i="40" s="1"/>
  <c r="CL44" i="40"/>
  <c r="CK44" i="40"/>
  <c r="CJ44" i="40"/>
  <c r="CI44" i="40"/>
  <c r="CC88" i="40"/>
  <c r="CC77" i="40"/>
  <c r="CD76" i="40"/>
  <c r="CE76" i="40" s="1"/>
  <c r="CD75" i="40"/>
  <c r="CE75" i="40" s="1"/>
  <c r="CF75" i="40" s="1"/>
  <c r="CG75" i="40" s="1"/>
  <c r="CD74" i="40"/>
  <c r="CC72" i="40"/>
  <c r="CD71" i="40"/>
  <c r="CE71" i="40" s="1"/>
  <c r="CF71" i="40" s="1"/>
  <c r="CD70" i="40"/>
  <c r="CE70" i="40" s="1"/>
  <c r="CF70" i="40" s="1"/>
  <c r="CD69" i="40"/>
  <c r="CF65" i="40"/>
  <c r="CD64" i="40"/>
  <c r="CD88" i="40" s="1"/>
  <c r="CF44" i="40"/>
  <c r="CE44" i="40"/>
  <c r="CD44" i="40"/>
  <c r="CC44" i="40"/>
  <c r="CD138" i="10" l="1"/>
  <c r="CD163" i="10"/>
  <c r="CI138" i="10"/>
  <c r="CI163" i="10"/>
  <c r="CC138" i="10"/>
  <c r="CC163" i="10"/>
  <c r="CJ138" i="10"/>
  <c r="CJ163" i="10"/>
  <c r="CD27" i="12"/>
  <c r="CD50" i="12"/>
  <c r="CD34" i="12"/>
  <c r="CL34" i="12"/>
  <c r="CL50" i="12"/>
  <c r="CE22" i="12"/>
  <c r="CE34" i="12"/>
  <c r="CE50" i="12"/>
  <c r="CI50" i="12"/>
  <c r="CI34" i="12"/>
  <c r="CF34" i="12"/>
  <c r="CF50" i="12"/>
  <c r="CJ65" i="12"/>
  <c r="CJ34" i="12"/>
  <c r="CJ50" i="12"/>
  <c r="CC22" i="12"/>
  <c r="CC34" i="12"/>
  <c r="CC50" i="12"/>
  <c r="CK34" i="12"/>
  <c r="CK50" i="12"/>
  <c r="CJ45" i="11"/>
  <c r="CJ22" i="12"/>
  <c r="CI51" i="11"/>
  <c r="CK45" i="11"/>
  <c r="CG99" i="10"/>
  <c r="CG79" i="9"/>
  <c r="CG36" i="9"/>
  <c r="CG37" i="9"/>
  <c r="CK64" i="40"/>
  <c r="CK88" i="40" s="1"/>
  <c r="CM25" i="11"/>
  <c r="CD38" i="11"/>
  <c r="CL53" i="11"/>
  <c r="CK34" i="11"/>
  <c r="CD34" i="11"/>
  <c r="CG40" i="11"/>
  <c r="CI52" i="11"/>
  <c r="CK52" i="11"/>
  <c r="CM26" i="11"/>
  <c r="CD35" i="11"/>
  <c r="CJ38" i="11"/>
  <c r="CJ51" i="11" s="1"/>
  <c r="CM39" i="11"/>
  <c r="CG39" i="11"/>
  <c r="CL32" i="11"/>
  <c r="CF32" i="11"/>
  <c r="CJ35" i="11"/>
  <c r="CJ34" i="11"/>
  <c r="CL51" i="11"/>
  <c r="CL52" i="11"/>
  <c r="CK53" i="11"/>
  <c r="CM40" i="11"/>
  <c r="CK72" i="13"/>
  <c r="CM72" i="13" s="1"/>
  <c r="CE19" i="13"/>
  <c r="CE71" i="13" s="1"/>
  <c r="CD18" i="13"/>
  <c r="CG20" i="13"/>
  <c r="CJ14" i="9"/>
  <c r="CJ24" i="13" s="1"/>
  <c r="CE64" i="40"/>
  <c r="CE88" i="40" s="1"/>
  <c r="CD77" i="40"/>
  <c r="CJ77" i="40"/>
  <c r="CI65" i="40"/>
  <c r="CJ65" i="40" s="1"/>
  <c r="CK65" i="40" s="1"/>
  <c r="CJ53" i="11"/>
  <c r="CJ48" i="12"/>
  <c r="CI45" i="11"/>
  <c r="CI47" i="11"/>
  <c r="CK51" i="11"/>
  <c r="CJ52" i="11"/>
  <c r="CI53" i="11"/>
  <c r="CI48" i="11"/>
  <c r="CJ59" i="12"/>
  <c r="CJ27" i="12"/>
  <c r="CE48" i="12"/>
  <c r="CJ18" i="13"/>
  <c r="CK19" i="13"/>
  <c r="CG72" i="13"/>
  <c r="CK65" i="12"/>
  <c r="CK48" i="12"/>
  <c r="CK22" i="12"/>
  <c r="CK59" i="12"/>
  <c r="CL68" i="12"/>
  <c r="CL59" i="12"/>
  <c r="CL48" i="12"/>
  <c r="CL65" i="12"/>
  <c r="CI68" i="12"/>
  <c r="CI59" i="12"/>
  <c r="CI48" i="12"/>
  <c r="CM18" i="12"/>
  <c r="CI22" i="12"/>
  <c r="CL22" i="12"/>
  <c r="CI30" i="12"/>
  <c r="CI65" i="12"/>
  <c r="CI27" i="12"/>
  <c r="CK68" i="12"/>
  <c r="CJ30" i="12"/>
  <c r="CJ68" i="12"/>
  <c r="CF68" i="12"/>
  <c r="CF59" i="12"/>
  <c r="CF48" i="12"/>
  <c r="CF65" i="12"/>
  <c r="CD22" i="12"/>
  <c r="CC65" i="12"/>
  <c r="CC68" i="12"/>
  <c r="CC59" i="12"/>
  <c r="CC48" i="12"/>
  <c r="CG18" i="12"/>
  <c r="CC30" i="12"/>
  <c r="CD65" i="12"/>
  <c r="CD68" i="12"/>
  <c r="CD59" i="12"/>
  <c r="CD48" i="12"/>
  <c r="CF22" i="12"/>
  <c r="CD30" i="12"/>
  <c r="CE65" i="12"/>
  <c r="CE68" i="12"/>
  <c r="CE59" i="12"/>
  <c r="CC27" i="12"/>
  <c r="CE117" i="10"/>
  <c r="CM36" i="9"/>
  <c r="CM37" i="9"/>
  <c r="CM79" i="9"/>
  <c r="CM99" i="10"/>
  <c r="CM124" i="10"/>
  <c r="CL98" i="10"/>
  <c r="CL117" i="10"/>
  <c r="CL14" i="9" s="1"/>
  <c r="CL24" i="13" s="1"/>
  <c r="CM116" i="10"/>
  <c r="CG124" i="10"/>
  <c r="CG116" i="10"/>
  <c r="CM70" i="40"/>
  <c r="CJ72" i="40"/>
  <c r="CK69" i="40"/>
  <c r="CL76" i="40"/>
  <c r="CM76" i="40" s="1"/>
  <c r="CM71" i="40"/>
  <c r="CK74" i="40"/>
  <c r="CF64" i="40"/>
  <c r="CF88" i="40" s="1"/>
  <c r="CG70" i="40"/>
  <c r="CD72" i="40"/>
  <c r="CE69" i="40"/>
  <c r="CF76" i="40"/>
  <c r="CG76" i="40" s="1"/>
  <c r="CG71" i="40"/>
  <c r="CE74" i="40"/>
  <c r="CI36" i="11" l="1"/>
  <c r="CI33" i="11" s="1"/>
  <c r="CM34" i="12"/>
  <c r="CG34" i="12"/>
  <c r="CJ47" i="11"/>
  <c r="CL27" i="12"/>
  <c r="CL64" i="40"/>
  <c r="CL88" i="40" s="1"/>
  <c r="CE30" i="12"/>
  <c r="CK27" i="12"/>
  <c r="CM53" i="11"/>
  <c r="CG35" i="11"/>
  <c r="CE34" i="11"/>
  <c r="CK47" i="11" s="1"/>
  <c r="CF30" i="12"/>
  <c r="CF35" i="11"/>
  <c r="CL34" i="11"/>
  <c r="CK35" i="11"/>
  <c r="CK30" i="12"/>
  <c r="CJ48" i="11"/>
  <c r="CL45" i="11"/>
  <c r="CM52" i="11"/>
  <c r="CE35" i="11"/>
  <c r="CF19" i="13"/>
  <c r="CE18" i="13"/>
  <c r="CM14" i="9"/>
  <c r="CM24" i="13" s="1"/>
  <c r="CM117" i="10"/>
  <c r="CJ36" i="11"/>
  <c r="CD36" i="11"/>
  <c r="CE36" i="11"/>
  <c r="CF36" i="11"/>
  <c r="CC36" i="11"/>
  <c r="CL77" i="13"/>
  <c r="CK77" i="13"/>
  <c r="CL19" i="13"/>
  <c r="CM19" i="13" s="1"/>
  <c r="CK18" i="13"/>
  <c r="CK71" i="13"/>
  <c r="CF77" i="13"/>
  <c r="CE77" i="13"/>
  <c r="CE27" i="12"/>
  <c r="CE14" i="9"/>
  <c r="CE24" i="13" s="1"/>
  <c r="CF117" i="10"/>
  <c r="CK72" i="40"/>
  <c r="CL69" i="40"/>
  <c r="CK77" i="40"/>
  <c r="CL74" i="40"/>
  <c r="CE72" i="40"/>
  <c r="CF69" i="40"/>
  <c r="CE77" i="40"/>
  <c r="CF74" i="40"/>
  <c r="CF138" i="10" l="1"/>
  <c r="CF163" i="10"/>
  <c r="CK138" i="10"/>
  <c r="CK163" i="10"/>
  <c r="CE138" i="10"/>
  <c r="CE163" i="10"/>
  <c r="CL138" i="10"/>
  <c r="CL163" i="10"/>
  <c r="CI49" i="11"/>
  <c r="CK48" i="11"/>
  <c r="CM34" i="11"/>
  <c r="CG34" i="11"/>
  <c r="CF27" i="12"/>
  <c r="CF34" i="11"/>
  <c r="CL47" i="11" s="1"/>
  <c r="CL30" i="12"/>
  <c r="CL35" i="11"/>
  <c r="CL48" i="11" s="1"/>
  <c r="CF18" i="13"/>
  <c r="CF71" i="13"/>
  <c r="CG19" i="13"/>
  <c r="CJ33" i="11"/>
  <c r="CJ49" i="11"/>
  <c r="CK36" i="11"/>
  <c r="CE33" i="11"/>
  <c r="CC33" i="11"/>
  <c r="CD33" i="11"/>
  <c r="CG36" i="11"/>
  <c r="CL18" i="13"/>
  <c r="CL71" i="13"/>
  <c r="CF14" i="9"/>
  <c r="CG117" i="10"/>
  <c r="CM69" i="40"/>
  <c r="CL72" i="40"/>
  <c r="CL77" i="40"/>
  <c r="CM77" i="40" s="1"/>
  <c r="CM74" i="40"/>
  <c r="CG69" i="40"/>
  <c r="CF72" i="40"/>
  <c r="CF77" i="40"/>
  <c r="CG77" i="40" s="1"/>
  <c r="CG74" i="40"/>
  <c r="CF33" i="11" l="1"/>
  <c r="CM18" i="13"/>
  <c r="CG18" i="13"/>
  <c r="CM47" i="11"/>
  <c r="CM35" i="11"/>
  <c r="CM48" i="11" s="1"/>
  <c r="CG71" i="13"/>
  <c r="CG14" i="9"/>
  <c r="CG24" i="13" s="1"/>
  <c r="CF24" i="13"/>
  <c r="CJ46" i="11"/>
  <c r="CI46" i="11"/>
  <c r="CL36" i="11"/>
  <c r="CK33" i="11"/>
  <c r="CK46" i="11" s="1"/>
  <c r="CK49" i="11"/>
  <c r="CG33" i="11"/>
  <c r="CM71" i="13"/>
  <c r="CM72" i="40"/>
  <c r="CG72" i="40"/>
  <c r="BE118" i="11"/>
  <c r="BE117" i="11"/>
  <c r="BE116" i="11"/>
  <c r="CL49" i="11" l="1"/>
  <c r="CL33" i="11"/>
  <c r="CL46" i="11" s="1"/>
  <c r="CM36" i="11"/>
  <c r="CM49" i="11" l="1"/>
  <c r="CM33" i="11"/>
  <c r="CM46" i="11" s="1"/>
  <c r="BL163" i="12"/>
  <c r="BK163" i="12"/>
  <c r="BF163" i="12"/>
  <c r="BG163" i="12"/>
  <c r="BH163" i="12"/>
  <c r="BE163" i="12"/>
  <c r="BX105" i="10" l="1"/>
  <c r="BY105" i="10" s="1"/>
  <c r="BZ105" i="10" s="1"/>
  <c r="BX98" i="10"/>
  <c r="BY98" i="10" s="1"/>
  <c r="BZ98" i="10" s="1"/>
  <c r="AK9" i="13"/>
  <c r="DK39" i="11" l="1"/>
  <c r="DK40" i="11"/>
  <c r="DK41" i="11"/>
  <c r="DK33" i="11"/>
  <c r="DK34" i="11"/>
  <c r="DK35" i="11"/>
  <c r="DK36" i="11"/>
  <c r="DK37" i="11"/>
  <c r="BL105" i="11"/>
  <c r="BL104" i="11"/>
  <c r="BL103" i="11"/>
  <c r="BL102" i="11"/>
  <c r="BL101" i="11"/>
  <c r="BL100" i="11"/>
  <c r="BL98" i="13"/>
  <c r="BL97" i="13"/>
  <c r="BL162" i="12"/>
  <c r="BL14" i="12"/>
  <c r="BL112" i="12"/>
  <c r="BL111" i="12"/>
  <c r="BL110" i="12"/>
  <c r="BL109" i="12"/>
  <c r="BL108" i="12"/>
  <c r="BL107" i="12"/>
  <c r="BL125" i="11" l="1"/>
  <c r="BL124" i="11"/>
  <c r="BL123" i="11"/>
  <c r="BL100" i="13"/>
  <c r="BL95" i="13" l="1"/>
  <c r="BL73" i="13"/>
  <c r="BL20" i="13"/>
  <c r="BL102" i="13" l="1"/>
  <c r="BL96" i="13"/>
  <c r="BL103" i="13" l="1"/>
  <c r="BK54" i="40" l="1"/>
  <c r="BO54" i="40" s="1"/>
  <c r="BK22" i="40"/>
  <c r="BK126" i="10"/>
  <c r="BL123" i="10" s="1"/>
  <c r="BL125" i="10" s="1"/>
  <c r="BK120" i="10"/>
  <c r="BL115" i="10" s="1"/>
  <c r="BK117" i="10"/>
  <c r="BO117" i="10" s="1"/>
  <c r="BK109" i="10"/>
  <c r="BK104" i="10"/>
  <c r="BO104" i="10" s="1"/>
  <c r="BK97" i="10"/>
  <c r="BO97" i="10" s="1"/>
  <c r="BK83" i="10"/>
  <c r="BK68" i="10"/>
  <c r="BK46" i="10"/>
  <c r="BK27" i="10"/>
  <c r="BK25" i="10"/>
  <c r="BK80" i="9"/>
  <c r="BK79" i="9"/>
  <c r="BK69" i="9"/>
  <c r="BK32" i="9"/>
  <c r="BK16" i="9"/>
  <c r="BK162" i="12"/>
  <c r="BK147" i="12"/>
  <c r="BK142" i="12"/>
  <c r="BO142" i="12" s="1"/>
  <c r="BK62" i="13"/>
  <c r="BK61" i="13"/>
  <c r="BK57" i="13"/>
  <c r="BK48" i="13"/>
  <c r="BQ48" i="13" s="1"/>
  <c r="BK47" i="13"/>
  <c r="BQ47" i="13" s="1"/>
  <c r="BW47" i="13" s="1"/>
  <c r="CC47" i="13" s="1"/>
  <c r="CI47" i="13" s="1"/>
  <c r="BK41" i="13"/>
  <c r="BK12" i="13"/>
  <c r="BK28" i="10" l="1"/>
  <c r="BL119" i="10"/>
  <c r="BL118" i="10"/>
  <c r="BK78" i="9"/>
  <c r="BK71" i="10"/>
  <c r="BQ71" i="10" s="1"/>
  <c r="BW71" i="10" s="1"/>
  <c r="BK44" i="13"/>
  <c r="BK98" i="10"/>
  <c r="BK70" i="10"/>
  <c r="BQ70" i="10" s="1"/>
  <c r="BW70" i="10" s="1"/>
  <c r="BK69" i="10"/>
  <c r="BQ69" i="10" s="1"/>
  <c r="BW69" i="10" s="1"/>
  <c r="BK148" i="12"/>
  <c r="BZ68" i="10"/>
  <c r="BY68" i="10"/>
  <c r="BX68" i="10"/>
  <c r="BW68" i="10"/>
  <c r="CC71" i="10" l="1"/>
  <c r="CI71" i="10" s="1"/>
  <c r="CC70" i="10"/>
  <c r="CI70" i="10" s="1"/>
  <c r="CA68" i="10"/>
  <c r="BK72" i="10"/>
  <c r="BK105" i="11"/>
  <c r="BK104" i="11"/>
  <c r="BO104" i="11" s="1"/>
  <c r="BK103" i="11"/>
  <c r="BO103" i="11" s="1"/>
  <c r="BK102" i="11"/>
  <c r="BO102" i="11" s="1"/>
  <c r="BK101" i="11"/>
  <c r="BO101" i="11" s="1"/>
  <c r="BK100" i="11"/>
  <c r="BO100" i="11" s="1"/>
  <c r="BK112" i="12"/>
  <c r="BK111" i="12"/>
  <c r="BK110" i="12"/>
  <c r="BK109" i="12"/>
  <c r="BK108" i="12"/>
  <c r="BK107" i="12"/>
  <c r="CC69" i="10" l="1"/>
  <c r="CC72" i="10" s="1"/>
  <c r="BW72" i="10"/>
  <c r="CI69" i="10" l="1"/>
  <c r="CI72" i="10" s="1"/>
  <c r="AW102" i="12" l="1"/>
  <c r="AW111" i="12" s="1"/>
  <c r="AW100" i="12"/>
  <c r="AW109" i="12" s="1"/>
  <c r="AW99" i="12"/>
  <c r="AW98" i="12"/>
  <c r="AV111" i="12"/>
  <c r="AU111" i="12"/>
  <c r="AT111" i="12"/>
  <c r="AS111" i="12"/>
  <c r="AV109" i="12"/>
  <c r="AU109" i="12"/>
  <c r="AT109" i="12"/>
  <c r="AS109" i="12"/>
  <c r="AV108" i="12"/>
  <c r="AU108" i="12"/>
  <c r="AT108" i="12"/>
  <c r="AS108" i="12"/>
  <c r="AV107" i="12"/>
  <c r="AU107" i="12"/>
  <c r="AT107" i="12"/>
  <c r="AS107" i="12"/>
  <c r="AQ111" i="12"/>
  <c r="AP111" i="12"/>
  <c r="AO111" i="12"/>
  <c r="AN111" i="12"/>
  <c r="AQ109" i="12"/>
  <c r="AP109" i="12"/>
  <c r="AO109" i="12"/>
  <c r="AN109" i="12"/>
  <c r="AQ108" i="12"/>
  <c r="AP108" i="12"/>
  <c r="AO108" i="12"/>
  <c r="AN108" i="12"/>
  <c r="AQ107" i="12"/>
  <c r="AP107" i="12"/>
  <c r="AO107" i="12"/>
  <c r="AN107" i="12"/>
  <c r="AM111" i="12"/>
  <c r="AM109" i="12"/>
  <c r="AM108" i="12"/>
  <c r="AM107" i="12"/>
  <c r="AK111" i="12"/>
  <c r="AI111" i="12"/>
  <c r="AH111" i="12"/>
  <c r="AI109" i="12"/>
  <c r="AH109" i="12"/>
  <c r="AI108" i="12"/>
  <c r="AH108" i="12"/>
  <c r="AI107" i="12"/>
  <c r="AH107" i="12"/>
  <c r="AG111" i="12"/>
  <c r="AG109" i="12"/>
  <c r="AG108" i="12"/>
  <c r="AG107" i="12"/>
  <c r="AD111" i="12"/>
  <c r="AC111" i="12"/>
  <c r="AB111" i="12"/>
  <c r="AA111" i="12"/>
  <c r="AD109" i="12"/>
  <c r="AC109" i="12"/>
  <c r="AB109" i="12"/>
  <c r="AA109" i="12"/>
  <c r="AD108" i="12"/>
  <c r="AC108" i="12"/>
  <c r="AB108" i="12"/>
  <c r="AA108" i="12"/>
  <c r="AD107" i="12"/>
  <c r="AC107" i="12"/>
  <c r="AB107" i="12"/>
  <c r="AA107" i="12"/>
  <c r="X111" i="12"/>
  <c r="W111" i="12"/>
  <c r="V111" i="12"/>
  <c r="X109" i="12"/>
  <c r="W109" i="12"/>
  <c r="V109" i="12"/>
  <c r="X108" i="12"/>
  <c r="W108" i="12"/>
  <c r="V108" i="12"/>
  <c r="X107" i="12"/>
  <c r="W107" i="12"/>
  <c r="V107" i="12"/>
  <c r="U111" i="12"/>
  <c r="U109" i="12"/>
  <c r="U108" i="12"/>
  <c r="U107" i="12"/>
  <c r="Q111" i="12"/>
  <c r="P111" i="12"/>
  <c r="O111" i="12"/>
  <c r="R109" i="12"/>
  <c r="Q109" i="12"/>
  <c r="P109" i="12"/>
  <c r="R108" i="12"/>
  <c r="Q108" i="12"/>
  <c r="P108" i="12"/>
  <c r="R107" i="12"/>
  <c r="Q107" i="12"/>
  <c r="P107" i="12"/>
  <c r="O109" i="12"/>
  <c r="O108" i="12"/>
  <c r="O107" i="12"/>
  <c r="L109" i="12"/>
  <c r="L108" i="12"/>
  <c r="K108" i="12"/>
  <c r="J108" i="12"/>
  <c r="L107" i="12"/>
  <c r="K107" i="12"/>
  <c r="J107" i="12"/>
  <c r="I108" i="12"/>
  <c r="I107" i="12"/>
  <c r="AK114" i="12"/>
  <c r="AQ114" i="12"/>
  <c r="BK98" i="13"/>
  <c r="BK97" i="13"/>
  <c r="BH98" i="13"/>
  <c r="BH97" i="13"/>
  <c r="AW107" i="12" l="1"/>
  <c r="AW108" i="12"/>
  <c r="BH118" i="11"/>
  <c r="BH117" i="11"/>
  <c r="BH116" i="11"/>
  <c r="DJ37" i="11"/>
  <c r="DJ36" i="11"/>
  <c r="DJ35" i="11"/>
  <c r="DJ34" i="11"/>
  <c r="DJ33" i="11"/>
  <c r="BK118" i="11"/>
  <c r="BK125" i="11" s="1"/>
  <c r="BK117" i="11"/>
  <c r="BK124" i="11" s="1"/>
  <c r="BK116" i="11"/>
  <c r="BK73" i="13"/>
  <c r="BK95" i="13"/>
  <c r="BK30" i="13"/>
  <c r="BK20" i="13"/>
  <c r="DJ41" i="11" l="1"/>
  <c r="BK123" i="11"/>
  <c r="BK100" i="13"/>
  <c r="DJ39" i="11"/>
  <c r="DJ40" i="11"/>
  <c r="AK117" i="11" l="1"/>
  <c r="BE54" i="40" l="1"/>
  <c r="BF54" i="40"/>
  <c r="BG54" i="40"/>
  <c r="BH54" i="40"/>
  <c r="BI47" i="40"/>
  <c r="BC47" i="40"/>
  <c r="BH22" i="40" l="1"/>
  <c r="BH126" i="10" l="1"/>
  <c r="BI124" i="10"/>
  <c r="BH120" i="10"/>
  <c r="BI116" i="10"/>
  <c r="BH109" i="10"/>
  <c r="BI99" i="10"/>
  <c r="BH90" i="10"/>
  <c r="BH83" i="10"/>
  <c r="BH45" i="40"/>
  <c r="BH42" i="40"/>
  <c r="BH41" i="40"/>
  <c r="BH40" i="40"/>
  <c r="BH39" i="40"/>
  <c r="BH38" i="40"/>
  <c r="BH37" i="40"/>
  <c r="BH36" i="40"/>
  <c r="BH35" i="40"/>
  <c r="BH34" i="40"/>
  <c r="BH33" i="40"/>
  <c r="BH32" i="40"/>
  <c r="BH31" i="40"/>
  <c r="BH25" i="10"/>
  <c r="BI25" i="10" s="1"/>
  <c r="BH10" i="10"/>
  <c r="BI12" i="10"/>
  <c r="BI13" i="10"/>
  <c r="BI14" i="10"/>
  <c r="BI15" i="10"/>
  <c r="BH16" i="10"/>
  <c r="BH21" i="10" s="1"/>
  <c r="BI17" i="10"/>
  <c r="BI18" i="10"/>
  <c r="BI181" i="10" s="1"/>
  <c r="BI19" i="10"/>
  <c r="BI20" i="10"/>
  <c r="BI23" i="10"/>
  <c r="BI24" i="10"/>
  <c r="BI26" i="10"/>
  <c r="BH28" i="10"/>
  <c r="BH34" i="10" s="1"/>
  <c r="BI29" i="10"/>
  <c r="BI30" i="10"/>
  <c r="BI31" i="10"/>
  <c r="BI170" i="10" s="1"/>
  <c r="BI32" i="10"/>
  <c r="BI35" i="10"/>
  <c r="BI175" i="10" s="1"/>
  <c r="BI36" i="10"/>
  <c r="BI37" i="10"/>
  <c r="BI38" i="10"/>
  <c r="BK90" i="10" s="1"/>
  <c r="BI39" i="10"/>
  <c r="BI40" i="10"/>
  <c r="BH41" i="10"/>
  <c r="BH176" i="10" s="1"/>
  <c r="BI69" i="9"/>
  <c r="BH69" i="9"/>
  <c r="BI105" i="11"/>
  <c r="BO112" i="11" s="1"/>
  <c r="BB146" i="12"/>
  <c r="BB145" i="12"/>
  <c r="BC145" i="12" s="1"/>
  <c r="BB144" i="12"/>
  <c r="BB143" i="12"/>
  <c r="BC143" i="12" s="1"/>
  <c r="BB141" i="12"/>
  <c r="BC141" i="12" s="1"/>
  <c r="BB140" i="12"/>
  <c r="BC140" i="12" s="1"/>
  <c r="BH146" i="12"/>
  <c r="BI146" i="12" s="1"/>
  <c r="BH145" i="12"/>
  <c r="BH144" i="12"/>
  <c r="BI144" i="12" s="1"/>
  <c r="BH143" i="12"/>
  <c r="BN162" i="12" s="1"/>
  <c r="BH141" i="12"/>
  <c r="BH140" i="12"/>
  <c r="BH48" i="13"/>
  <c r="BH47" i="13"/>
  <c r="BH41" i="13"/>
  <c r="BH14" i="13"/>
  <c r="BH13" i="13"/>
  <c r="BI171" i="10" l="1"/>
  <c r="BH183" i="10"/>
  <c r="BH182" i="10"/>
  <c r="BI169" i="10"/>
  <c r="BK87" i="10"/>
  <c r="BH63" i="10"/>
  <c r="BH12" i="13"/>
  <c r="BH147" i="12"/>
  <c r="BC144" i="12"/>
  <c r="BI140" i="12"/>
  <c r="BC146" i="12"/>
  <c r="BI141" i="12"/>
  <c r="BI143" i="12"/>
  <c r="BI145" i="12"/>
  <c r="BH65" i="10"/>
  <c r="BH64" i="10"/>
  <c r="BH62" i="10"/>
  <c r="BH42" i="10"/>
  <c r="BI41" i="10"/>
  <c r="BI176" i="10" s="1"/>
  <c r="BI27" i="10"/>
  <c r="BI28" i="10" s="1"/>
  <c r="BI34" i="10" s="1"/>
  <c r="BI11" i="10"/>
  <c r="BI179" i="10" s="1"/>
  <c r="BB147" i="12"/>
  <c r="BB142" i="12"/>
  <c r="BH142" i="12"/>
  <c r="BN60" i="13" l="1"/>
  <c r="BI183" i="10"/>
  <c r="BI182" i="10"/>
  <c r="BB148" i="12"/>
  <c r="BI147" i="12"/>
  <c r="BH148" i="12"/>
  <c r="BC147" i="12"/>
  <c r="BI42" i="10"/>
  <c r="BI10" i="10"/>
  <c r="BI16" i="10"/>
  <c r="BK50" i="40" l="1"/>
  <c r="BI21" i="10"/>
  <c r="BI62" i="10"/>
  <c r="BI65" i="10"/>
  <c r="BI64" i="10"/>
  <c r="BI63" i="10"/>
  <c r="DI33" i="11"/>
  <c r="DM46" i="11" s="1"/>
  <c r="DI34" i="11"/>
  <c r="DM47" i="11" s="1"/>
  <c r="DI35" i="11"/>
  <c r="DM48" i="11" s="1"/>
  <c r="DI36" i="11"/>
  <c r="DM49" i="11" s="1"/>
  <c r="DI37" i="11"/>
  <c r="DM50" i="11" s="1"/>
  <c r="DI39" i="11"/>
  <c r="DM52" i="11" s="1"/>
  <c r="DI40" i="11"/>
  <c r="DM53" i="11" s="1"/>
  <c r="DI41" i="11"/>
  <c r="DM54" i="11" s="1"/>
  <c r="BH14" i="12"/>
  <c r="BH13" i="12" s="1"/>
  <c r="BI100" i="12"/>
  <c r="BO109" i="12" s="1"/>
  <c r="BI101" i="12"/>
  <c r="BO110" i="12" s="1"/>
  <c r="BI102" i="12"/>
  <c r="BO111" i="12" s="1"/>
  <c r="BI118" i="11"/>
  <c r="BO125" i="11" s="1"/>
  <c r="BI117" i="11"/>
  <c r="BI116" i="11"/>
  <c r="BH100" i="13"/>
  <c r="BH100" i="11"/>
  <c r="BN107" i="11" s="1"/>
  <c r="BH101" i="11"/>
  <c r="BN108" i="11" s="1"/>
  <c r="BH102" i="11"/>
  <c r="BN109" i="11" s="1"/>
  <c r="BH103" i="11"/>
  <c r="BN110" i="11" s="1"/>
  <c r="BH104" i="11"/>
  <c r="BN111" i="11" s="1"/>
  <c r="BH105" i="11"/>
  <c r="BN112" i="11" s="1"/>
  <c r="BH123" i="11"/>
  <c r="BH73" i="13"/>
  <c r="BH20" i="13"/>
  <c r="X21" i="12"/>
  <c r="AD22" i="12"/>
  <c r="J32" i="12"/>
  <c r="O11" i="12"/>
  <c r="O52" i="12" s="1"/>
  <c r="X50" i="12"/>
  <c r="AD50" i="12"/>
  <c r="AJ46" i="12"/>
  <c r="AP46" i="12" s="1"/>
  <c r="AV46" i="12" s="1"/>
  <c r="BB46" i="12" s="1"/>
  <c r="BH46" i="12" s="1"/>
  <c r="BN46" i="12" s="1"/>
  <c r="BB12" i="12"/>
  <c r="BC12" i="12" s="1"/>
  <c r="AV14" i="12"/>
  <c r="AV15" i="12"/>
  <c r="AW15" i="12" s="1"/>
  <c r="AW67" i="12" s="1"/>
  <c r="AV13" i="13"/>
  <c r="AV14" i="13"/>
  <c r="AW14" i="13" s="1"/>
  <c r="BB12" i="13"/>
  <c r="BB10" i="12"/>
  <c r="BB11" i="12"/>
  <c r="BB14" i="12"/>
  <c r="BC14" i="12" s="1"/>
  <c r="BC64" i="12" s="1"/>
  <c r="BB15" i="12"/>
  <c r="BB48" i="13"/>
  <c r="BB21" i="13"/>
  <c r="BH99" i="13" s="1"/>
  <c r="BG41" i="13"/>
  <c r="BR41" i="13" s="1"/>
  <c r="BS41" i="13" s="1"/>
  <c r="BT41" i="13" s="1"/>
  <c r="BW41" i="13" s="1"/>
  <c r="BX41" i="13" s="1"/>
  <c r="BY41" i="13" s="1"/>
  <c r="BZ41" i="13" s="1"/>
  <c r="CC41" i="13" s="1"/>
  <c r="CD41" i="13" s="1"/>
  <c r="CE41" i="13" s="1"/>
  <c r="CF41" i="13" s="1"/>
  <c r="CI41" i="13" s="1"/>
  <c r="CJ41" i="13" s="1"/>
  <c r="CK41" i="13" s="1"/>
  <c r="CL41" i="13" s="1"/>
  <c r="U21" i="12"/>
  <c r="U122" i="12" s="1"/>
  <c r="O32" i="12"/>
  <c r="O35" i="12" s="1"/>
  <c r="O80" i="12" s="1"/>
  <c r="U50" i="12"/>
  <c r="AA50" i="12"/>
  <c r="AM46" i="12"/>
  <c r="AS46" i="12" s="1"/>
  <c r="AY46" i="12" s="1"/>
  <c r="BE46" i="12" s="1"/>
  <c r="BK46" i="12" s="1"/>
  <c r="BQ46" i="12" s="1"/>
  <c r="BW46" i="12" s="1"/>
  <c r="CC46" i="12" s="1"/>
  <c r="AY58" i="12"/>
  <c r="AS64" i="12"/>
  <c r="AS67" i="12"/>
  <c r="AY69" i="11" s="1"/>
  <c r="BE10" i="12"/>
  <c r="BE15" i="12"/>
  <c r="AH71" i="13"/>
  <c r="AM12" i="13"/>
  <c r="AM15" i="13" s="1"/>
  <c r="AM71" i="13"/>
  <c r="AM72" i="13"/>
  <c r="AN12" i="13"/>
  <c r="AN71" i="13"/>
  <c r="AO12" i="13"/>
  <c r="AO71" i="13"/>
  <c r="AO72" i="13"/>
  <c r="AP13" i="13"/>
  <c r="AP14" i="13"/>
  <c r="AQ14" i="13" s="1"/>
  <c r="AP71" i="13"/>
  <c r="AP72" i="13"/>
  <c r="AS12" i="13"/>
  <c r="AS44" i="13" s="1"/>
  <c r="AS71" i="13"/>
  <c r="AS72" i="13"/>
  <c r="AT12" i="13"/>
  <c r="AT72" i="13"/>
  <c r="AU12" i="13"/>
  <c r="AU71" i="13"/>
  <c r="AU72" i="13"/>
  <c r="AV71" i="13"/>
  <c r="AY12" i="13"/>
  <c r="AY71" i="13"/>
  <c r="AY72" i="13"/>
  <c r="AZ12" i="13"/>
  <c r="AZ44" i="13" s="1"/>
  <c r="AZ21" i="13"/>
  <c r="AZ71" i="13"/>
  <c r="AZ72" i="13"/>
  <c r="BA12" i="13"/>
  <c r="BA21" i="13"/>
  <c r="BA71" i="13"/>
  <c r="BA72" i="13"/>
  <c r="BB71" i="13"/>
  <c r="BE12" i="13"/>
  <c r="BK60" i="13" s="1"/>
  <c r="BE21" i="13"/>
  <c r="BE71" i="13"/>
  <c r="BF12" i="13"/>
  <c r="BL60" i="13" s="1"/>
  <c r="BF21" i="13"/>
  <c r="BL99" i="13" s="1"/>
  <c r="BF71" i="13"/>
  <c r="BF72" i="13"/>
  <c r="BG12" i="13"/>
  <c r="BG21" i="13"/>
  <c r="BG71" i="13"/>
  <c r="BG72" i="13"/>
  <c r="BH71" i="13"/>
  <c r="AS74" i="13"/>
  <c r="AT74" i="13" s="1"/>
  <c r="AU74" i="13" s="1"/>
  <c r="AV74" i="13" s="1"/>
  <c r="AY74" i="13" s="1"/>
  <c r="AZ74" i="13" s="1"/>
  <c r="BA74" i="13" s="1"/>
  <c r="BB74" i="13" s="1"/>
  <c r="BE74" i="13" s="1"/>
  <c r="BF74" i="13" s="1"/>
  <c r="BG74" i="13" s="1"/>
  <c r="BH74" i="13" s="1"/>
  <c r="BK74" i="13" s="1"/>
  <c r="BL74" i="13" s="1"/>
  <c r="BG83" i="10"/>
  <c r="BS83" i="10" s="1"/>
  <c r="BY83" i="10" s="1"/>
  <c r="CE83" i="10" s="1"/>
  <c r="CK83" i="10" s="1"/>
  <c r="BG14" i="12"/>
  <c r="BK13" i="11"/>
  <c r="V21" i="12"/>
  <c r="P52" i="12"/>
  <c r="V50" i="12"/>
  <c r="AB50" i="12"/>
  <c r="AN46" i="12"/>
  <c r="AT46" i="12" s="1"/>
  <c r="AZ46" i="12" s="1"/>
  <c r="BF46" i="12" s="1"/>
  <c r="BL46" i="12" s="1"/>
  <c r="BR46" i="12" s="1"/>
  <c r="BX46" i="12" s="1"/>
  <c r="CD46" i="12" s="1"/>
  <c r="CJ46" i="12" s="1"/>
  <c r="AZ58" i="12"/>
  <c r="BF68" i="11" s="1"/>
  <c r="AT64" i="12"/>
  <c r="AT67" i="12"/>
  <c r="W21" i="12"/>
  <c r="W78" i="12" s="1"/>
  <c r="Q52" i="12"/>
  <c r="W50" i="12"/>
  <c r="AC50" i="12"/>
  <c r="AI46" i="12"/>
  <c r="BA58" i="12"/>
  <c r="AU64" i="12"/>
  <c r="BA66" i="11" s="1"/>
  <c r="AU67" i="12"/>
  <c r="BF12" i="12"/>
  <c r="BF10" i="12" s="1"/>
  <c r="BF14" i="12"/>
  <c r="BG12" i="12"/>
  <c r="BG128" i="12" s="1"/>
  <c r="BG47" i="13"/>
  <c r="BG48" i="13"/>
  <c r="BK71" i="13"/>
  <c r="BK72" i="13"/>
  <c r="BL71" i="13"/>
  <c r="BL72" i="13"/>
  <c r="BM72" i="13"/>
  <c r="BN72" i="13"/>
  <c r="BL13" i="11"/>
  <c r="BM13" i="11"/>
  <c r="BN13" i="11"/>
  <c r="BG10" i="10"/>
  <c r="BH13" i="11"/>
  <c r="I8" i="13"/>
  <c r="J8" i="13" s="1"/>
  <c r="K8" i="13" s="1"/>
  <c r="L8" i="13" s="1"/>
  <c r="BB57" i="13"/>
  <c r="BB11" i="11" s="1"/>
  <c r="BB13" i="11"/>
  <c r="AV12" i="12"/>
  <c r="AV10" i="12"/>
  <c r="AV11" i="12"/>
  <c r="AW11" i="12" s="1"/>
  <c r="AY61" i="13"/>
  <c r="AY97" i="13" s="1"/>
  <c r="AZ97" i="13"/>
  <c r="BA61" i="13"/>
  <c r="BA97" i="13" s="1"/>
  <c r="Y147" i="12"/>
  <c r="AE147" i="12"/>
  <c r="BF28" i="9"/>
  <c r="BF13" i="9"/>
  <c r="BG13" i="9" s="1"/>
  <c r="BG23" i="13" s="1"/>
  <c r="BG45" i="40"/>
  <c r="BG42" i="40"/>
  <c r="BG41" i="40"/>
  <c r="BG40" i="40"/>
  <c r="BG39" i="40"/>
  <c r="BG38" i="40"/>
  <c r="BG37" i="40"/>
  <c r="BG36" i="40"/>
  <c r="BG35" i="40"/>
  <c r="BG34" i="40"/>
  <c r="BG33" i="40"/>
  <c r="BG32" i="40"/>
  <c r="BG31" i="40"/>
  <c r="BG22" i="40"/>
  <c r="BH43" i="40" s="1"/>
  <c r="BH44" i="40" s="1"/>
  <c r="BG152" i="10"/>
  <c r="BG150" i="10"/>
  <c r="BG147" i="10"/>
  <c r="BG146" i="10"/>
  <c r="BG145" i="10"/>
  <c r="BG144" i="10"/>
  <c r="BG143" i="10"/>
  <c r="BG142" i="10"/>
  <c r="BG136" i="10"/>
  <c r="BF142" i="10"/>
  <c r="BF143" i="10"/>
  <c r="BF144" i="10"/>
  <c r="BF145" i="10"/>
  <c r="BF146" i="10"/>
  <c r="BF147" i="10"/>
  <c r="BF150" i="10"/>
  <c r="BF152" i="10"/>
  <c r="BG126" i="10"/>
  <c r="BH123" i="10" s="1"/>
  <c r="BH125" i="10" s="1"/>
  <c r="BF126" i="10"/>
  <c r="BG123" i="10" s="1"/>
  <c r="BG120" i="10"/>
  <c r="BH115" i="10" s="1"/>
  <c r="BF120" i="10"/>
  <c r="BG115" i="10" s="1"/>
  <c r="BF14" i="9"/>
  <c r="BG14" i="9" s="1"/>
  <c r="BG109" i="10"/>
  <c r="M96" i="10"/>
  <c r="I97" i="10"/>
  <c r="J28" i="9"/>
  <c r="M99" i="10"/>
  <c r="I96" i="10"/>
  <c r="O97" i="10"/>
  <c r="O98" i="10" s="1"/>
  <c r="P28" i="9"/>
  <c r="S99" i="10"/>
  <c r="U97" i="10"/>
  <c r="U98" i="10" s="1"/>
  <c r="V28" i="9"/>
  <c r="Y99" i="10"/>
  <c r="AA97" i="10"/>
  <c r="AA98" i="10" s="1"/>
  <c r="AB28" i="9"/>
  <c r="AE99" i="10"/>
  <c r="AG97" i="10"/>
  <c r="AG98" i="10" s="1"/>
  <c r="AH28" i="9"/>
  <c r="AK99" i="10"/>
  <c r="AM97" i="10"/>
  <c r="AM98" i="10" s="1"/>
  <c r="AN28" i="9"/>
  <c r="AQ99" i="10"/>
  <c r="AS97" i="10"/>
  <c r="AT28" i="9"/>
  <c r="AY97" i="10"/>
  <c r="AY98" i="10" s="1"/>
  <c r="AZ28" i="9"/>
  <c r="BC99" i="10"/>
  <c r="BE97" i="10"/>
  <c r="BE98" i="10" s="1"/>
  <c r="BF109" i="10"/>
  <c r="BG90" i="10"/>
  <c r="BG68" i="10"/>
  <c r="BG69" i="10" s="1"/>
  <c r="BG16" i="10"/>
  <c r="BG46" i="10"/>
  <c r="BG41" i="10"/>
  <c r="BG176" i="10" s="1"/>
  <c r="BG40" i="10"/>
  <c r="BH87" i="10" s="1"/>
  <c r="BG25" i="10"/>
  <c r="BG151" i="10" s="1"/>
  <c r="BF66" i="9"/>
  <c r="BG66" i="9" s="1"/>
  <c r="BF65" i="9"/>
  <c r="BG65" i="9" s="1"/>
  <c r="BG75" i="9" s="1"/>
  <c r="BG69" i="9"/>
  <c r="BF64" i="9"/>
  <c r="BL73" i="9" s="1"/>
  <c r="G67" i="9"/>
  <c r="J64" i="9"/>
  <c r="K64" i="9" s="1"/>
  <c r="J65" i="9"/>
  <c r="K65" i="9" s="1"/>
  <c r="J66" i="9"/>
  <c r="K66" i="9" s="1"/>
  <c r="L66" i="9" s="1"/>
  <c r="M66" i="9" s="1"/>
  <c r="P64" i="9"/>
  <c r="P65" i="9"/>
  <c r="Q65" i="9" s="1"/>
  <c r="R65" i="9" s="1"/>
  <c r="S65" i="9" s="1"/>
  <c r="P66" i="9"/>
  <c r="Q66" i="9" s="1"/>
  <c r="R66" i="9" s="1"/>
  <c r="S66" i="9" s="1"/>
  <c r="V64" i="9"/>
  <c r="W64" i="9" s="1"/>
  <c r="X64" i="9" s="1"/>
  <c r="Y64" i="9" s="1"/>
  <c r="V65" i="9"/>
  <c r="W65" i="9" s="1"/>
  <c r="X65" i="9" s="1"/>
  <c r="Y65" i="9" s="1"/>
  <c r="V66" i="9"/>
  <c r="W66" i="9" s="1"/>
  <c r="X66" i="9" s="1"/>
  <c r="Y66" i="9" s="1"/>
  <c r="AB64" i="9"/>
  <c r="AC64" i="9" s="1"/>
  <c r="AB65" i="9"/>
  <c r="AC65" i="9" s="1"/>
  <c r="AB66" i="9"/>
  <c r="AC66" i="9" s="1"/>
  <c r="AD66" i="9" s="1"/>
  <c r="AE66" i="9" s="1"/>
  <c r="AH64" i="9"/>
  <c r="AI64" i="9" s="1"/>
  <c r="AH65" i="9"/>
  <c r="AI65" i="9" s="1"/>
  <c r="AH66" i="9"/>
  <c r="AI66" i="9" s="1"/>
  <c r="AJ66" i="9" s="1"/>
  <c r="AK66" i="9" s="1"/>
  <c r="AN64" i="9"/>
  <c r="AN65" i="9"/>
  <c r="AO65" i="9" s="1"/>
  <c r="AN66" i="9"/>
  <c r="AO66" i="9" s="1"/>
  <c r="AP66" i="9" s="1"/>
  <c r="AQ66" i="9" s="1"/>
  <c r="AT64" i="9"/>
  <c r="AU64" i="9" s="1"/>
  <c r="AT65" i="9"/>
  <c r="AT66" i="9"/>
  <c r="AU66" i="9" s="1"/>
  <c r="AZ64" i="9"/>
  <c r="BA64" i="9" s="1"/>
  <c r="BB64" i="9" s="1"/>
  <c r="AZ65" i="9"/>
  <c r="AZ66" i="9"/>
  <c r="BA66" i="9" s="1"/>
  <c r="BF45" i="9"/>
  <c r="BG45" i="9" s="1"/>
  <c r="BF41" i="9"/>
  <c r="BG41" i="9" s="1"/>
  <c r="BF39" i="9"/>
  <c r="BG39" i="9" s="1"/>
  <c r="BF40" i="9"/>
  <c r="BF42" i="9"/>
  <c r="BG42" i="9" s="1"/>
  <c r="BF38" i="9"/>
  <c r="BG38" i="9" s="1"/>
  <c r="BF37" i="9"/>
  <c r="BG37" i="9" s="1"/>
  <c r="BF36" i="9"/>
  <c r="BG36" i="9" s="1"/>
  <c r="BF32" i="9"/>
  <c r="BG32" i="9" s="1"/>
  <c r="BF30" i="9"/>
  <c r="BG30" i="9" s="1"/>
  <c r="BF29" i="9"/>
  <c r="BG29" i="9" s="1"/>
  <c r="BF31" i="9"/>
  <c r="BF24" i="9"/>
  <c r="BG24" i="9" s="1"/>
  <c r="BF23" i="9"/>
  <c r="BG23" i="9" s="1"/>
  <c r="BF22" i="9"/>
  <c r="BG22" i="9" s="1"/>
  <c r="BF21" i="9"/>
  <c r="BG21" i="9" s="1"/>
  <c r="BF20" i="9"/>
  <c r="BG20" i="9" s="1"/>
  <c r="BF19" i="9"/>
  <c r="BG19" i="9" s="1"/>
  <c r="BF18" i="9"/>
  <c r="BG18" i="9" s="1"/>
  <c r="BF16" i="9"/>
  <c r="BG16" i="9" s="1"/>
  <c r="BF15" i="9"/>
  <c r="BF12" i="9"/>
  <c r="BG12" i="9" s="1"/>
  <c r="BF11" i="9"/>
  <c r="BG11" i="9" s="1"/>
  <c r="BG162" i="12"/>
  <c r="BG147" i="12"/>
  <c r="BG142" i="12"/>
  <c r="BG100" i="13"/>
  <c r="BF100" i="13"/>
  <c r="BE100" i="13"/>
  <c r="BA100" i="13"/>
  <c r="AZ100" i="13"/>
  <c r="AV100" i="13"/>
  <c r="AU100" i="13"/>
  <c r="AT100" i="13"/>
  <c r="AS100" i="13"/>
  <c r="AP100" i="13"/>
  <c r="AO100" i="13"/>
  <c r="AN100" i="13"/>
  <c r="AM100" i="13"/>
  <c r="BE97" i="13"/>
  <c r="BW77" i="13"/>
  <c r="BZ72" i="13"/>
  <c r="BX72" i="13"/>
  <c r="BW72" i="13"/>
  <c r="BW71" i="13"/>
  <c r="BX54" i="13"/>
  <c r="BY20" i="13"/>
  <c r="BX19" i="13"/>
  <c r="BX18" i="13" s="1"/>
  <c r="BW18" i="13"/>
  <c r="CA147" i="12"/>
  <c r="BZ147" i="12"/>
  <c r="BY147" i="12"/>
  <c r="BX147" i="12"/>
  <c r="BW147" i="12"/>
  <c r="CA69" i="12"/>
  <c r="CA66" i="12"/>
  <c r="BX35" i="11"/>
  <c r="CD48" i="11" s="1"/>
  <c r="BX34" i="11"/>
  <c r="CD47" i="11" s="1"/>
  <c r="BZ18" i="12"/>
  <c r="BY18" i="12"/>
  <c r="BX18" i="12"/>
  <c r="BW18" i="12"/>
  <c r="BZ40" i="11"/>
  <c r="CF53" i="11" s="1"/>
  <c r="BY40" i="11"/>
  <c r="CE53" i="11" s="1"/>
  <c r="BX40" i="11"/>
  <c r="CD53" i="11" s="1"/>
  <c r="BW40" i="11"/>
  <c r="CC53" i="11" s="1"/>
  <c r="BZ39" i="11"/>
  <c r="CF52" i="11" s="1"/>
  <c r="BY39" i="11"/>
  <c r="CE52" i="11" s="1"/>
  <c r="BX39" i="11"/>
  <c r="CD52" i="11" s="1"/>
  <c r="BW39" i="11"/>
  <c r="CC52" i="11" s="1"/>
  <c r="BZ38" i="11"/>
  <c r="CF51" i="11" s="1"/>
  <c r="BY38" i="11"/>
  <c r="CE51" i="11" s="1"/>
  <c r="BW38" i="11"/>
  <c r="CC51" i="11" s="1"/>
  <c r="BW35" i="11"/>
  <c r="CC48" i="11" s="1"/>
  <c r="BW34" i="11"/>
  <c r="CC47" i="11" s="1"/>
  <c r="BY32" i="11"/>
  <c r="CE45" i="11" s="1"/>
  <c r="BX32" i="11"/>
  <c r="CD45" i="11" s="1"/>
  <c r="BW32" i="11"/>
  <c r="CC45" i="11" s="1"/>
  <c r="BZ26" i="11"/>
  <c r="BY26" i="11"/>
  <c r="BX26" i="11"/>
  <c r="BW26" i="11"/>
  <c r="BZ25" i="11"/>
  <c r="BY25" i="11"/>
  <c r="BX25" i="11"/>
  <c r="BW25" i="11"/>
  <c r="CA13" i="11"/>
  <c r="CA12" i="11"/>
  <c r="CA89" i="9"/>
  <c r="CA83" i="9"/>
  <c r="BZ79" i="9"/>
  <c r="BY79" i="9"/>
  <c r="BX79" i="9"/>
  <c r="BW79" i="9"/>
  <c r="CA45" i="9"/>
  <c r="CA42" i="9"/>
  <c r="CA41" i="9"/>
  <c r="CA39" i="9"/>
  <c r="BZ37" i="9"/>
  <c r="BY37" i="9"/>
  <c r="BX37" i="9"/>
  <c r="BW37" i="9"/>
  <c r="BZ36" i="9"/>
  <c r="BY36" i="9"/>
  <c r="BX36" i="9"/>
  <c r="BW36" i="9"/>
  <c r="CA32" i="9"/>
  <c r="CA31" i="9"/>
  <c r="CA30" i="9"/>
  <c r="CA29" i="9"/>
  <c r="CA21" i="9"/>
  <c r="CA16" i="9"/>
  <c r="BW14" i="9"/>
  <c r="BW24" i="13" s="1"/>
  <c r="CA12" i="9"/>
  <c r="CA11" i="9"/>
  <c r="CA125" i="10"/>
  <c r="BZ124" i="10"/>
  <c r="BY124" i="10"/>
  <c r="BX124" i="10"/>
  <c r="BW124" i="10"/>
  <c r="CA119" i="10"/>
  <c r="BX117" i="10"/>
  <c r="BY117" i="10" s="1"/>
  <c r="BZ116" i="10"/>
  <c r="BY116" i="10"/>
  <c r="BX116" i="10"/>
  <c r="BW116" i="10"/>
  <c r="CA106" i="10"/>
  <c r="CA100" i="10"/>
  <c r="BZ99" i="10"/>
  <c r="BY99" i="10"/>
  <c r="BX99" i="10"/>
  <c r="BW99" i="10"/>
  <c r="BW88" i="40"/>
  <c r="BW77" i="40"/>
  <c r="BX76" i="40"/>
  <c r="BY76" i="40" s="1"/>
  <c r="BX75" i="40"/>
  <c r="BX74" i="40"/>
  <c r="BY74" i="40" s="1"/>
  <c r="BW72" i="40"/>
  <c r="BX71" i="40"/>
  <c r="BY71" i="40" s="1"/>
  <c r="BX70" i="40"/>
  <c r="BY70" i="40" s="1"/>
  <c r="BX69" i="40"/>
  <c r="BZ65" i="40"/>
  <c r="CC65" i="40" s="1"/>
  <c r="CD65" i="40" s="1"/>
  <c r="CE65" i="40" s="1"/>
  <c r="BX64" i="40"/>
  <c r="BY64" i="40" s="1"/>
  <c r="BY88" i="40" s="1"/>
  <c r="BZ44" i="40"/>
  <c r="BY44" i="40"/>
  <c r="BX44" i="40"/>
  <c r="BW44" i="40"/>
  <c r="BL18" i="12"/>
  <c r="BL34" i="12" s="1"/>
  <c r="BL36" i="11" s="1"/>
  <c r="BK18" i="12"/>
  <c r="BK34" i="12" s="1"/>
  <c r="BM18" i="12"/>
  <c r="BM22" i="12" s="1"/>
  <c r="BN18" i="12"/>
  <c r="BN34" i="12" s="1"/>
  <c r="BW48" i="13"/>
  <c r="CC48" i="13" s="1"/>
  <c r="CI48" i="13" s="1"/>
  <c r="BO12" i="11"/>
  <c r="AT97" i="13"/>
  <c r="BT18" i="12"/>
  <c r="BT65" i="12" s="1"/>
  <c r="BS18" i="12"/>
  <c r="BR18" i="12"/>
  <c r="BR68" i="12" s="1"/>
  <c r="BQ18" i="12"/>
  <c r="BQ34" i="12" s="1"/>
  <c r="DM31" i="11"/>
  <c r="DL31" i="11"/>
  <c r="DK31" i="11"/>
  <c r="DJ31" i="11"/>
  <c r="DI31" i="11"/>
  <c r="DI44" i="11"/>
  <c r="DM44" i="11"/>
  <c r="DL44" i="11"/>
  <c r="DK44" i="11"/>
  <c r="DJ44" i="11"/>
  <c r="DM20" i="11"/>
  <c r="DL20" i="11"/>
  <c r="DK20" i="11"/>
  <c r="DJ20" i="11"/>
  <c r="BG97" i="13"/>
  <c r="Y23" i="10"/>
  <c r="AK14" i="10"/>
  <c r="S13" i="10"/>
  <c r="S142" i="10" s="1"/>
  <c r="AH41" i="10"/>
  <c r="AH176" i="10" s="1"/>
  <c r="J41" i="10"/>
  <c r="J176" i="10" s="1"/>
  <c r="X28" i="10"/>
  <c r="AZ16" i="10"/>
  <c r="AB16" i="10"/>
  <c r="AB21" i="10" s="1"/>
  <c r="AO41" i="10"/>
  <c r="AO176" i="10" s="1"/>
  <c r="AO10" i="10"/>
  <c r="AP50" i="40" s="1"/>
  <c r="AP51" i="40" s="1"/>
  <c r="AG16" i="10"/>
  <c r="AE17" i="10"/>
  <c r="V41" i="10"/>
  <c r="V176" i="10" s="1"/>
  <c r="R16" i="10"/>
  <c r="AI16" i="10"/>
  <c r="K16" i="10"/>
  <c r="BB10" i="10"/>
  <c r="AD10" i="10"/>
  <c r="R92" i="40"/>
  <c r="L92" i="40"/>
  <c r="Q91" i="40"/>
  <c r="AM91" i="40"/>
  <c r="AN91" i="40" s="1"/>
  <c r="AO91" i="40" s="1"/>
  <c r="AP91" i="40" s="1"/>
  <c r="AS91" i="40" s="1"/>
  <c r="AT91" i="40" s="1"/>
  <c r="AU91" i="40" s="1"/>
  <c r="AV91" i="40" s="1"/>
  <c r="AY91" i="40" s="1"/>
  <c r="AZ91" i="40" s="1"/>
  <c r="BA91" i="40" s="1"/>
  <c r="BB91" i="40" s="1"/>
  <c r="BE91" i="40" s="1"/>
  <c r="BF91" i="40" s="1"/>
  <c r="BG91" i="40" s="1"/>
  <c r="BH91" i="40" s="1"/>
  <c r="BK91" i="40" s="1"/>
  <c r="BL91" i="40" s="1"/>
  <c r="BM91" i="40" s="1"/>
  <c r="BN91" i="40" s="1"/>
  <c r="BQ91" i="40" s="1"/>
  <c r="BR91" i="40" s="1"/>
  <c r="BS91" i="40" s="1"/>
  <c r="BT91" i="40" s="1"/>
  <c r="BW91" i="40" s="1"/>
  <c r="BX91" i="40" s="1"/>
  <c r="BY91" i="40" s="1"/>
  <c r="BZ91" i="40" s="1"/>
  <c r="CC91" i="40" s="1"/>
  <c r="CD91" i="40" s="1"/>
  <c r="CE91" i="40" s="1"/>
  <c r="CF91" i="40" s="1"/>
  <c r="CI91" i="40" s="1"/>
  <c r="CJ91" i="40" s="1"/>
  <c r="CK91" i="40" s="1"/>
  <c r="CL91" i="40" s="1"/>
  <c r="X91" i="40"/>
  <c r="BQ88" i="40"/>
  <c r="BK88" i="40"/>
  <c r="BE88" i="40"/>
  <c r="BE87" i="40"/>
  <c r="BE86" i="40"/>
  <c r="AY88" i="40"/>
  <c r="AY87" i="40"/>
  <c r="AY86" i="40"/>
  <c r="AS88" i="40"/>
  <c r="AS87" i="40"/>
  <c r="AS86" i="40"/>
  <c r="AO88" i="40"/>
  <c r="AN88" i="40"/>
  <c r="AM88" i="40"/>
  <c r="AM87" i="40"/>
  <c r="AM86" i="40"/>
  <c r="AG88" i="40"/>
  <c r="AG87" i="40"/>
  <c r="AG86" i="40"/>
  <c r="AA88" i="40"/>
  <c r="AA87" i="40"/>
  <c r="AA86" i="40"/>
  <c r="W88" i="40"/>
  <c r="V88" i="40"/>
  <c r="U88" i="40"/>
  <c r="U87" i="40"/>
  <c r="U86" i="40"/>
  <c r="O88" i="40"/>
  <c r="O87" i="40"/>
  <c r="O86" i="40"/>
  <c r="I88" i="40"/>
  <c r="I75" i="40" s="1"/>
  <c r="I87" i="40"/>
  <c r="I86" i="40"/>
  <c r="R79" i="40"/>
  <c r="J79" i="40"/>
  <c r="L79" i="40" s="1"/>
  <c r="BQ77" i="40"/>
  <c r="BK77" i="40"/>
  <c r="BE77" i="40"/>
  <c r="AY77" i="40"/>
  <c r="AS77" i="40"/>
  <c r="AM77" i="40"/>
  <c r="AG77" i="40"/>
  <c r="AA77" i="40"/>
  <c r="U77" i="40"/>
  <c r="I77" i="40"/>
  <c r="V76" i="40"/>
  <c r="V75" i="40"/>
  <c r="W75" i="40" s="1"/>
  <c r="X75" i="40" s="1"/>
  <c r="BR76" i="40"/>
  <c r="BS76" i="40" s="1"/>
  <c r="BT76" i="40" s="1"/>
  <c r="BR75" i="40"/>
  <c r="BS75" i="40" s="1"/>
  <c r="BT75" i="40" s="1"/>
  <c r="BU75" i="40" s="1"/>
  <c r="BR74" i="40"/>
  <c r="BL76" i="40"/>
  <c r="BM76" i="40" s="1"/>
  <c r="BN76" i="40" s="1"/>
  <c r="BL75" i="40"/>
  <c r="BM75" i="40" s="1"/>
  <c r="BN75" i="40" s="1"/>
  <c r="BO75" i="40" s="1"/>
  <c r="BL74" i="40"/>
  <c r="BF76" i="40"/>
  <c r="BG76" i="40" s="1"/>
  <c r="BH76" i="40" s="1"/>
  <c r="BI76" i="40" s="1"/>
  <c r="BF75" i="40"/>
  <c r="BG75" i="40" s="1"/>
  <c r="BH75" i="40" s="1"/>
  <c r="BF74" i="40"/>
  <c r="AZ76" i="40"/>
  <c r="BA76" i="40" s="1"/>
  <c r="BB76" i="40" s="1"/>
  <c r="AZ75" i="40"/>
  <c r="BA75" i="40" s="1"/>
  <c r="BB75" i="40" s="1"/>
  <c r="BC75" i="40" s="1"/>
  <c r="AZ74" i="40"/>
  <c r="BA74" i="40" s="1"/>
  <c r="AT76" i="40"/>
  <c r="AU76" i="40" s="1"/>
  <c r="AV76" i="40" s="1"/>
  <c r="AW76" i="40" s="1"/>
  <c r="AT75" i="40"/>
  <c r="AU75" i="40" s="1"/>
  <c r="AV75" i="40" s="1"/>
  <c r="AT74" i="40"/>
  <c r="AU74" i="40" s="1"/>
  <c r="AN76" i="40"/>
  <c r="AO76" i="40" s="1"/>
  <c r="AN75" i="40"/>
  <c r="AO75" i="40" s="1"/>
  <c r="AP75" i="40" s="1"/>
  <c r="AN74" i="40"/>
  <c r="AH76" i="40"/>
  <c r="AI76" i="40" s="1"/>
  <c r="AJ76" i="40" s="1"/>
  <c r="AK76" i="40" s="1"/>
  <c r="AH75" i="40"/>
  <c r="AH74" i="40"/>
  <c r="AB76" i="40"/>
  <c r="AC76" i="40" s="1"/>
  <c r="AD76" i="40" s="1"/>
  <c r="AE76" i="40" s="1"/>
  <c r="AB75" i="40"/>
  <c r="AC75" i="40" s="1"/>
  <c r="AB74" i="40"/>
  <c r="AC74" i="40" s="1"/>
  <c r="V74" i="40"/>
  <c r="J74" i="40"/>
  <c r="K74" i="40" s="1"/>
  <c r="BQ72" i="40"/>
  <c r="BK72" i="40"/>
  <c r="BE72" i="40"/>
  <c r="AY72" i="40"/>
  <c r="AS72" i="40"/>
  <c r="AM72" i="40"/>
  <c r="AG72" i="40"/>
  <c r="AA72" i="40"/>
  <c r="U72" i="40"/>
  <c r="I72" i="40"/>
  <c r="V71" i="40"/>
  <c r="W71" i="40" s="1"/>
  <c r="X71" i="40" s="1"/>
  <c r="V70" i="40"/>
  <c r="BR71" i="40"/>
  <c r="BS71" i="40" s="1"/>
  <c r="BR70" i="40"/>
  <c r="BS70" i="40" s="1"/>
  <c r="BT70" i="40" s="1"/>
  <c r="BU70" i="40" s="1"/>
  <c r="BR69" i="40"/>
  <c r="BL71" i="40"/>
  <c r="BM71" i="40" s="1"/>
  <c r="BN71" i="40" s="1"/>
  <c r="BO71" i="40" s="1"/>
  <c r="BL70" i="40"/>
  <c r="BL69" i="40"/>
  <c r="BF71" i="40"/>
  <c r="BG71" i="40" s="1"/>
  <c r="BH71" i="40" s="1"/>
  <c r="BI71" i="40" s="1"/>
  <c r="BF70" i="40"/>
  <c r="BG70" i="40" s="1"/>
  <c r="BH70" i="40" s="1"/>
  <c r="BF69" i="40"/>
  <c r="AZ71" i="40"/>
  <c r="BA71" i="40" s="1"/>
  <c r="BB71" i="40" s="1"/>
  <c r="AZ70" i="40"/>
  <c r="BA70" i="40" s="1"/>
  <c r="BB70" i="40" s="1"/>
  <c r="AZ69" i="40"/>
  <c r="AT71" i="40"/>
  <c r="AU71" i="40" s="1"/>
  <c r="AV71" i="40" s="1"/>
  <c r="AW71" i="40" s="1"/>
  <c r="AT70" i="40"/>
  <c r="AT69" i="40"/>
  <c r="AN71" i="40"/>
  <c r="AO71" i="40" s="1"/>
  <c r="AP71" i="40" s="1"/>
  <c r="AQ71" i="40" s="1"/>
  <c r="AN70" i="40"/>
  <c r="AO70" i="40" s="1"/>
  <c r="AP70" i="40" s="1"/>
  <c r="AQ70" i="40" s="1"/>
  <c r="AN69" i="40"/>
  <c r="AH71" i="40"/>
  <c r="AI71" i="40" s="1"/>
  <c r="AH70" i="40"/>
  <c r="AI70" i="40" s="1"/>
  <c r="AH69" i="40"/>
  <c r="AI69" i="40" s="1"/>
  <c r="AB71" i="40"/>
  <c r="AB70" i="40"/>
  <c r="AC70" i="40" s="1"/>
  <c r="AD70" i="40" s="1"/>
  <c r="AE70" i="40" s="1"/>
  <c r="AB69" i="40"/>
  <c r="V69" i="40"/>
  <c r="W69" i="40" s="1"/>
  <c r="J69" i="40"/>
  <c r="K69" i="40" s="1"/>
  <c r="AB66" i="40"/>
  <c r="AC66" i="40" s="1"/>
  <c r="AD66" i="40" s="1"/>
  <c r="AE66" i="40" s="1"/>
  <c r="V66" i="40"/>
  <c r="W66" i="40" s="1"/>
  <c r="X66" i="40" s="1"/>
  <c r="BT65" i="40"/>
  <c r="BN65" i="40"/>
  <c r="BH65" i="40"/>
  <c r="BB65" i="40"/>
  <c r="AV65" i="40"/>
  <c r="AP65" i="40"/>
  <c r="AJ65" i="40"/>
  <c r="AD65" i="40"/>
  <c r="AA65" i="40" s="1"/>
  <c r="AB65" i="40" s="1"/>
  <c r="AC65" i="40" s="1"/>
  <c r="U65" i="40"/>
  <c r="V65" i="40" s="1"/>
  <c r="W65" i="40" s="1"/>
  <c r="I65" i="40"/>
  <c r="I57" i="40" s="1"/>
  <c r="I60" i="40" s="1"/>
  <c r="BR64" i="40"/>
  <c r="BR88" i="40" s="1"/>
  <c r="BL64" i="40"/>
  <c r="BM64" i="40" s="1"/>
  <c r="BM88" i="40" s="1"/>
  <c r="BF64" i="40"/>
  <c r="BG64" i="40" s="1"/>
  <c r="AZ64" i="40"/>
  <c r="BA64" i="40" s="1"/>
  <c r="AT64" i="40"/>
  <c r="AT88" i="40" s="1"/>
  <c r="AP64" i="40"/>
  <c r="AP88" i="40" s="1"/>
  <c r="AH64" i="40"/>
  <c r="AH88" i="40" s="1"/>
  <c r="AB64" i="40"/>
  <c r="X64" i="40"/>
  <c r="X88" i="40" s="1"/>
  <c r="P64" i="40"/>
  <c r="J64" i="40"/>
  <c r="K64" i="40" s="1"/>
  <c r="U63" i="40"/>
  <c r="V63" i="40" s="1"/>
  <c r="W63" i="40" s="1"/>
  <c r="X63" i="40" s="1"/>
  <c r="AH63" i="40"/>
  <c r="AI63" i="40" s="1"/>
  <c r="AJ63" i="40" s="1"/>
  <c r="R61" i="40"/>
  <c r="R57" i="40" s="1"/>
  <c r="Q61" i="40"/>
  <c r="Q57" i="40" s="1"/>
  <c r="P61" i="40"/>
  <c r="P57" i="40" s="1"/>
  <c r="O61" i="40"/>
  <c r="O57" i="40" s="1"/>
  <c r="J61" i="40"/>
  <c r="J57" i="40" s="1"/>
  <c r="L57" i="40"/>
  <c r="AM10" i="10"/>
  <c r="AI10" i="10"/>
  <c r="AG10" i="10"/>
  <c r="AA10" i="10"/>
  <c r="BB54" i="40"/>
  <c r="BA54" i="40"/>
  <c r="AZ54" i="40"/>
  <c r="AY54" i="40"/>
  <c r="AV54" i="40"/>
  <c r="AU54" i="40"/>
  <c r="AS54" i="40"/>
  <c r="AP54" i="40"/>
  <c r="AO54" i="40"/>
  <c r="AM54" i="40"/>
  <c r="AJ54" i="40"/>
  <c r="AI54" i="40"/>
  <c r="AH54" i="40"/>
  <c r="AG54" i="40"/>
  <c r="AD54" i="40"/>
  <c r="BT44" i="40"/>
  <c r="BS44" i="40"/>
  <c r="BR44" i="40"/>
  <c r="BQ44" i="40"/>
  <c r="BF45" i="40"/>
  <c r="BF42" i="40"/>
  <c r="BF41" i="40"/>
  <c r="BF40" i="40"/>
  <c r="BF39" i="40"/>
  <c r="BF38" i="40"/>
  <c r="BF37" i="40"/>
  <c r="BF36" i="40"/>
  <c r="BF35" i="40"/>
  <c r="BF34" i="40"/>
  <c r="BF33" i="40"/>
  <c r="BF32" i="40"/>
  <c r="BF31" i="40"/>
  <c r="BB45" i="40"/>
  <c r="BA45" i="40"/>
  <c r="AZ45" i="40"/>
  <c r="BB42" i="40"/>
  <c r="BA42" i="40"/>
  <c r="AZ42" i="40"/>
  <c r="BB41" i="40"/>
  <c r="BA41" i="40"/>
  <c r="AZ41" i="40"/>
  <c r="BB40" i="40"/>
  <c r="BA40" i="40"/>
  <c r="AZ40" i="40"/>
  <c r="BB39" i="40"/>
  <c r="BA39" i="40"/>
  <c r="AZ39" i="40"/>
  <c r="BB38" i="40"/>
  <c r="BA38" i="40"/>
  <c r="AZ38" i="40"/>
  <c r="BB37" i="40"/>
  <c r="BA37" i="40"/>
  <c r="AZ37" i="40"/>
  <c r="BB36" i="40"/>
  <c r="BA36" i="40"/>
  <c r="AZ36" i="40"/>
  <c r="BB35" i="40"/>
  <c r="BA35" i="40"/>
  <c r="AZ35" i="40"/>
  <c r="BB34" i="40"/>
  <c r="BA34" i="40"/>
  <c r="AZ34" i="40"/>
  <c r="BB33" i="40"/>
  <c r="BA33" i="40"/>
  <c r="AZ33" i="40"/>
  <c r="BB32" i="40"/>
  <c r="BA32" i="40"/>
  <c r="AZ32" i="40"/>
  <c r="BB31" i="40"/>
  <c r="BA31" i="40"/>
  <c r="AZ31" i="40"/>
  <c r="AV45" i="40"/>
  <c r="AU45" i="40"/>
  <c r="AT45" i="40"/>
  <c r="AU42" i="40"/>
  <c r="AT42" i="40"/>
  <c r="AV41" i="40"/>
  <c r="AU41" i="40"/>
  <c r="AT41" i="40"/>
  <c r="AV40" i="40"/>
  <c r="AU40" i="40"/>
  <c r="AT40" i="40"/>
  <c r="AV39" i="40"/>
  <c r="AU39" i="40"/>
  <c r="AT39" i="40"/>
  <c r="AV38" i="40"/>
  <c r="AU38" i="40"/>
  <c r="AT38" i="40"/>
  <c r="AV37" i="40"/>
  <c r="AU37" i="40"/>
  <c r="AT37" i="40"/>
  <c r="AV36" i="40"/>
  <c r="AU36" i="40"/>
  <c r="AT36" i="40"/>
  <c r="AV35" i="40"/>
  <c r="AU35" i="40"/>
  <c r="AT35" i="40"/>
  <c r="AV34" i="40"/>
  <c r="AU34" i="40"/>
  <c r="AT34" i="40"/>
  <c r="AV33" i="40"/>
  <c r="AU33" i="40"/>
  <c r="AT33" i="40"/>
  <c r="AV32" i="40"/>
  <c r="AU32" i="40"/>
  <c r="AT32" i="40"/>
  <c r="AV31" i="40"/>
  <c r="AU31" i="40"/>
  <c r="AT31" i="40"/>
  <c r="AP45" i="40"/>
  <c r="AO45" i="40"/>
  <c r="AN45" i="40"/>
  <c r="AP42" i="40"/>
  <c r="AO42" i="40"/>
  <c r="AN42" i="40"/>
  <c r="AP41" i="40"/>
  <c r="AO41" i="40"/>
  <c r="AN41" i="40"/>
  <c r="AP40" i="40"/>
  <c r="AO40" i="40"/>
  <c r="AN40" i="40"/>
  <c r="AP39" i="40"/>
  <c r="AO39" i="40"/>
  <c r="AN39" i="40"/>
  <c r="AP38" i="40"/>
  <c r="AO38" i="40"/>
  <c r="AN38" i="40"/>
  <c r="AP37" i="40"/>
  <c r="AO37" i="40"/>
  <c r="AN37" i="40"/>
  <c r="AP36" i="40"/>
  <c r="AO36" i="40"/>
  <c r="AN36" i="40"/>
  <c r="AP35" i="40"/>
  <c r="AO35" i="40"/>
  <c r="AN35" i="40"/>
  <c r="AP34" i="40"/>
  <c r="AO34" i="40"/>
  <c r="AN34" i="40"/>
  <c r="AP33" i="40"/>
  <c r="AO33" i="40"/>
  <c r="AN33" i="40"/>
  <c r="AP32" i="40"/>
  <c r="AO32" i="40"/>
  <c r="AN32" i="40"/>
  <c r="AP31" i="40"/>
  <c r="AO31" i="40"/>
  <c r="AN31" i="40"/>
  <c r="AJ45" i="40"/>
  <c r="AI45" i="40"/>
  <c r="AH45" i="40"/>
  <c r="AJ42" i="40"/>
  <c r="AI42" i="40"/>
  <c r="AH42" i="40"/>
  <c r="AJ41" i="40"/>
  <c r="AI41" i="40"/>
  <c r="AH41" i="40"/>
  <c r="AJ40" i="40"/>
  <c r="AI40" i="40"/>
  <c r="AH40" i="40"/>
  <c r="AJ39" i="40"/>
  <c r="AI39" i="40"/>
  <c r="AH39" i="40"/>
  <c r="AJ38" i="40"/>
  <c r="AI38" i="40"/>
  <c r="AH38" i="40"/>
  <c r="AJ37" i="40"/>
  <c r="AI37" i="40"/>
  <c r="AH37" i="40"/>
  <c r="AJ36" i="40"/>
  <c r="AI36" i="40"/>
  <c r="AH36" i="40"/>
  <c r="AJ35" i="40"/>
  <c r="AI35" i="40"/>
  <c r="AH35" i="40"/>
  <c r="AJ34" i="40"/>
  <c r="AI34" i="40"/>
  <c r="AH34" i="40"/>
  <c r="AJ33" i="40"/>
  <c r="AI33" i="40"/>
  <c r="AH33" i="40"/>
  <c r="AJ32" i="40"/>
  <c r="AI32" i="40"/>
  <c r="AH32" i="40"/>
  <c r="AJ31" i="40"/>
  <c r="AI31" i="40"/>
  <c r="AH31" i="40"/>
  <c r="AD45" i="40"/>
  <c r="AC45" i="40"/>
  <c r="AB45" i="40"/>
  <c r="AA45" i="40"/>
  <c r="AD42" i="40"/>
  <c r="AA42" i="40"/>
  <c r="AD41" i="40"/>
  <c r="AC41" i="40"/>
  <c r="AB41" i="40"/>
  <c r="AA41" i="40"/>
  <c r="AD40" i="40"/>
  <c r="AC40" i="40"/>
  <c r="AB40" i="40"/>
  <c r="AA40" i="40"/>
  <c r="AD39" i="40"/>
  <c r="AC39" i="40"/>
  <c r="AB39" i="40"/>
  <c r="AA39" i="40"/>
  <c r="AD38" i="40"/>
  <c r="AC38" i="40"/>
  <c r="AB38" i="40"/>
  <c r="AA38" i="40"/>
  <c r="AD37" i="40"/>
  <c r="AC37" i="40"/>
  <c r="AB37" i="40"/>
  <c r="AA37" i="40"/>
  <c r="AD36" i="40"/>
  <c r="AC36" i="40"/>
  <c r="AB36" i="40"/>
  <c r="AA36" i="40"/>
  <c r="AD35" i="40"/>
  <c r="AC35" i="40"/>
  <c r="AB35" i="40"/>
  <c r="AA35" i="40"/>
  <c r="AD34" i="40"/>
  <c r="AC34" i="40"/>
  <c r="AB34" i="40"/>
  <c r="AA34" i="40"/>
  <c r="AD33" i="40"/>
  <c r="AC33" i="40"/>
  <c r="AB33" i="40"/>
  <c r="AA33" i="40"/>
  <c r="AD32" i="40"/>
  <c r="AC32" i="40"/>
  <c r="AB32" i="40"/>
  <c r="AA32" i="40"/>
  <c r="AD31" i="40"/>
  <c r="AC31" i="40"/>
  <c r="AB31" i="40"/>
  <c r="AA31" i="40"/>
  <c r="AW28" i="40"/>
  <c r="AW27" i="40"/>
  <c r="AW24" i="40"/>
  <c r="AY45" i="40" s="1"/>
  <c r="AW20" i="40"/>
  <c r="AY41" i="40" s="1"/>
  <c r="AW19" i="40"/>
  <c r="AY40" i="40" s="1"/>
  <c r="AW18" i="40"/>
  <c r="AW17" i="40"/>
  <c r="AY38" i="40" s="1"/>
  <c r="AW16" i="40"/>
  <c r="AW15" i="40"/>
  <c r="AW14" i="40"/>
  <c r="AW13" i="40"/>
  <c r="AY34" i="40" s="1"/>
  <c r="AW12" i="40"/>
  <c r="AY33" i="40" s="1"/>
  <c r="AW11" i="40"/>
  <c r="AY32" i="40" s="1"/>
  <c r="AW10" i="40"/>
  <c r="AY31" i="40" s="1"/>
  <c r="AQ28" i="40"/>
  <c r="AQ27" i="40"/>
  <c r="AQ24" i="40"/>
  <c r="AQ21" i="40"/>
  <c r="AS42" i="40" s="1"/>
  <c r="AQ20" i="40"/>
  <c r="AS41" i="40" s="1"/>
  <c r="AQ19" i="40"/>
  <c r="AQ18" i="40"/>
  <c r="AS39" i="40" s="1"/>
  <c r="AQ17" i="40"/>
  <c r="AS38" i="40" s="1"/>
  <c r="AQ16" i="40"/>
  <c r="AS37" i="40" s="1"/>
  <c r="AQ15" i="40"/>
  <c r="AS36" i="40" s="1"/>
  <c r="AQ14" i="40"/>
  <c r="AQ13" i="40"/>
  <c r="AS34" i="40" s="1"/>
  <c r="AQ12" i="40"/>
  <c r="AQ11" i="40"/>
  <c r="AS32" i="40" s="1"/>
  <c r="AQ10" i="40"/>
  <c r="AK28" i="40"/>
  <c r="AK27" i="40"/>
  <c r="AK24" i="40"/>
  <c r="AM45" i="40" s="1"/>
  <c r="AK21" i="40"/>
  <c r="AM42" i="40" s="1"/>
  <c r="AK20" i="40"/>
  <c r="AM41" i="40" s="1"/>
  <c r="AK19" i="40"/>
  <c r="AK18" i="40"/>
  <c r="AM39" i="40" s="1"/>
  <c r="AK17" i="40"/>
  <c r="AM38" i="40" s="1"/>
  <c r="AK16" i="40"/>
  <c r="AK15" i="40"/>
  <c r="AK14" i="40"/>
  <c r="AM35" i="40" s="1"/>
  <c r="AK13" i="40"/>
  <c r="AM34" i="40" s="1"/>
  <c r="AK12" i="40"/>
  <c r="AM33" i="40" s="1"/>
  <c r="AK11" i="40"/>
  <c r="AK10" i="40"/>
  <c r="AM31" i="40" s="1"/>
  <c r="AE28" i="40"/>
  <c r="AE27" i="40"/>
  <c r="AE24" i="40"/>
  <c r="AE45" i="40" s="1"/>
  <c r="AE21" i="40"/>
  <c r="AE42" i="40" s="1"/>
  <c r="AE20" i="40"/>
  <c r="AG41" i="40" s="1"/>
  <c r="AE19" i="40"/>
  <c r="AE40" i="40" s="1"/>
  <c r="AE18" i="40"/>
  <c r="AG39" i="40" s="1"/>
  <c r="AE17" i="40"/>
  <c r="AG38" i="40" s="1"/>
  <c r="AE16" i="40"/>
  <c r="AE37" i="40" s="1"/>
  <c r="AE15" i="40"/>
  <c r="AE36" i="40" s="1"/>
  <c r="AE14" i="40"/>
  <c r="AG35" i="40" s="1"/>
  <c r="AE13" i="40"/>
  <c r="AE34" i="40" s="1"/>
  <c r="AE12" i="40"/>
  <c r="AE33" i="40" s="1"/>
  <c r="AE11" i="40"/>
  <c r="AE32" i="40" s="1"/>
  <c r="AE10" i="40"/>
  <c r="AE31" i="40" s="1"/>
  <c r="BC28" i="40"/>
  <c r="BI28" i="40" s="1"/>
  <c r="BC27" i="40"/>
  <c r="BE27" i="40" s="1"/>
  <c r="BC24" i="40"/>
  <c r="BC21" i="40"/>
  <c r="BE42" i="40" s="1"/>
  <c r="BC20" i="40"/>
  <c r="BC19" i="40"/>
  <c r="BE40" i="40" s="1"/>
  <c r="BC18" i="40"/>
  <c r="BC17" i="40"/>
  <c r="BE38" i="40" s="1"/>
  <c r="BC16" i="40"/>
  <c r="BC15" i="40"/>
  <c r="BE36" i="40" s="1"/>
  <c r="BC14" i="40"/>
  <c r="BC13" i="40"/>
  <c r="BE34" i="40" s="1"/>
  <c r="BC12" i="40"/>
  <c r="BC11" i="40"/>
  <c r="BE32" i="40" s="1"/>
  <c r="BC10" i="40"/>
  <c r="BE31" i="40" s="1"/>
  <c r="AA23" i="40"/>
  <c r="AA26" i="40" s="1"/>
  <c r="Y22" i="40"/>
  <c r="BF22" i="40"/>
  <c r="BE22" i="40"/>
  <c r="BE23" i="40" s="1"/>
  <c r="BB22" i="40"/>
  <c r="BA22" i="40"/>
  <c r="AZ22" i="40"/>
  <c r="AZ23" i="40" s="1"/>
  <c r="AY22" i="40"/>
  <c r="AV22" i="40"/>
  <c r="AW22" i="40" s="1"/>
  <c r="AU22" i="40"/>
  <c r="AU23" i="40" s="1"/>
  <c r="AT22" i="40"/>
  <c r="AS22" i="40"/>
  <c r="AS23" i="40" s="1"/>
  <c r="AP22" i="40"/>
  <c r="AQ22" i="40" s="1"/>
  <c r="AO22" i="40"/>
  <c r="AN22" i="40"/>
  <c r="AN23" i="40" s="1"/>
  <c r="AN26" i="40" s="1"/>
  <c r="AM22" i="40"/>
  <c r="AJ22" i="40"/>
  <c r="AJ23" i="40" s="1"/>
  <c r="AJ25" i="40" s="1"/>
  <c r="AI22" i="40"/>
  <c r="AI23" i="40" s="1"/>
  <c r="AH22" i="40"/>
  <c r="AG22" i="40"/>
  <c r="AG23" i="40" s="1"/>
  <c r="AD22" i="40"/>
  <c r="AE22" i="40" s="1"/>
  <c r="AC22" i="40"/>
  <c r="AC23" i="40" s="1"/>
  <c r="AB22" i="40"/>
  <c r="AV21" i="40"/>
  <c r="AV42" i="40" s="1"/>
  <c r="AB21" i="40"/>
  <c r="BI21" i="40"/>
  <c r="BK42" i="40" s="1"/>
  <c r="BI20" i="40"/>
  <c r="BI19" i="40"/>
  <c r="BK40" i="40" s="1"/>
  <c r="BI18" i="40"/>
  <c r="BI17" i="40"/>
  <c r="BK38" i="40" s="1"/>
  <c r="BI16" i="40"/>
  <c r="BI15" i="40"/>
  <c r="BK36" i="40" s="1"/>
  <c r="BI14" i="40"/>
  <c r="BI13" i="40"/>
  <c r="BK34" i="40" s="1"/>
  <c r="BI12" i="40"/>
  <c r="BI11" i="40"/>
  <c r="BK32" i="40" s="1"/>
  <c r="BU89" i="9"/>
  <c r="BO89" i="9"/>
  <c r="BI89" i="9"/>
  <c r="BC89" i="9"/>
  <c r="AQ89" i="9"/>
  <c r="AK89" i="9"/>
  <c r="AE89" i="9"/>
  <c r="Y89" i="9"/>
  <c r="S89" i="9"/>
  <c r="M89" i="9"/>
  <c r="BU83" i="9"/>
  <c r="BO83" i="9"/>
  <c r="BI83" i="9"/>
  <c r="BC83" i="9"/>
  <c r="AW83" i="9"/>
  <c r="AQ83" i="9"/>
  <c r="AK83" i="9"/>
  <c r="AE83" i="9"/>
  <c r="Y83" i="9"/>
  <c r="S83" i="9"/>
  <c r="M83" i="9"/>
  <c r="G83" i="9"/>
  <c r="M80" i="9"/>
  <c r="G80" i="9"/>
  <c r="G79" i="9"/>
  <c r="BT79" i="9"/>
  <c r="BS79" i="9"/>
  <c r="BR79" i="9"/>
  <c r="BN79" i="9"/>
  <c r="BM79" i="9"/>
  <c r="BG80" i="9"/>
  <c r="BF80" i="9"/>
  <c r="BL81" i="9" s="1"/>
  <c r="BE80" i="9"/>
  <c r="BK81" i="9" s="1"/>
  <c r="BE79" i="9"/>
  <c r="BB80" i="9"/>
  <c r="BA80" i="9"/>
  <c r="AZ80" i="9"/>
  <c r="AT80" i="9"/>
  <c r="AY80" i="9"/>
  <c r="AY79" i="9"/>
  <c r="AW80" i="9"/>
  <c r="AV80" i="9"/>
  <c r="AU80" i="9"/>
  <c r="AO80" i="9"/>
  <c r="AS80" i="9"/>
  <c r="AS79" i="9"/>
  <c r="AQ80" i="9"/>
  <c r="AP80" i="9"/>
  <c r="AN80" i="9"/>
  <c r="AM80" i="9"/>
  <c r="AM79" i="9"/>
  <c r="AK80" i="9"/>
  <c r="AJ80" i="9"/>
  <c r="AI80" i="9"/>
  <c r="AH80" i="9"/>
  <c r="AG80" i="9"/>
  <c r="AG79" i="9"/>
  <c r="AE80" i="9"/>
  <c r="AD80" i="9"/>
  <c r="AC80" i="9"/>
  <c r="AB80" i="9"/>
  <c r="AA80" i="9"/>
  <c r="AA79" i="9"/>
  <c r="Y80" i="9"/>
  <c r="X80" i="9"/>
  <c r="W80" i="9"/>
  <c r="Q80" i="9"/>
  <c r="V80" i="9"/>
  <c r="P80" i="9"/>
  <c r="U80" i="9"/>
  <c r="U79" i="9"/>
  <c r="S80" i="9"/>
  <c r="R80" i="9"/>
  <c r="L80" i="9"/>
  <c r="O80" i="9"/>
  <c r="O79" i="9"/>
  <c r="K80" i="9"/>
  <c r="J80" i="9"/>
  <c r="J40" i="9"/>
  <c r="J79" i="9" s="1"/>
  <c r="I80" i="9"/>
  <c r="I79" i="9"/>
  <c r="BE75" i="9"/>
  <c r="AY75" i="9"/>
  <c r="AS75" i="9"/>
  <c r="AM75" i="9"/>
  <c r="AG75" i="9"/>
  <c r="AA75" i="9"/>
  <c r="U75" i="9"/>
  <c r="O75" i="9"/>
  <c r="I75" i="9"/>
  <c r="G75" i="9"/>
  <c r="G72" i="9"/>
  <c r="G71" i="9"/>
  <c r="BE73" i="9"/>
  <c r="AY73" i="9"/>
  <c r="AS73" i="9"/>
  <c r="AM73" i="9"/>
  <c r="AG73" i="9"/>
  <c r="AA73" i="9"/>
  <c r="U73" i="9"/>
  <c r="O73" i="9"/>
  <c r="BF69" i="9"/>
  <c r="BE69" i="9"/>
  <c r="BC69" i="9"/>
  <c r="BB69" i="9"/>
  <c r="BA69" i="9"/>
  <c r="AZ69" i="9"/>
  <c r="AY69" i="9"/>
  <c r="AW69" i="9"/>
  <c r="AV69" i="9"/>
  <c r="AU69" i="9"/>
  <c r="AT69" i="9"/>
  <c r="AS69" i="9"/>
  <c r="AQ69" i="9"/>
  <c r="AP69" i="9"/>
  <c r="AO69" i="9"/>
  <c r="AN69" i="9"/>
  <c r="AM69" i="9"/>
  <c r="AK69" i="9"/>
  <c r="AJ69" i="9"/>
  <c r="AI69" i="9"/>
  <c r="AH69" i="9"/>
  <c r="AG69" i="9"/>
  <c r="AE69" i="9"/>
  <c r="AD69" i="9"/>
  <c r="AC69" i="9"/>
  <c r="AB69" i="9"/>
  <c r="AA69" i="9"/>
  <c r="Y69" i="9"/>
  <c r="X69" i="9"/>
  <c r="W69" i="9"/>
  <c r="V69" i="9"/>
  <c r="U69" i="9"/>
  <c r="R69" i="9"/>
  <c r="Q69" i="9"/>
  <c r="P69" i="9"/>
  <c r="O69" i="9"/>
  <c r="M68" i="9"/>
  <c r="M69" i="9" s="1"/>
  <c r="BQ64" i="9"/>
  <c r="BW64" i="9" s="1"/>
  <c r="CC64" i="9" s="1"/>
  <c r="CI64" i="9" s="1"/>
  <c r="BC60" i="9"/>
  <c r="BC80" i="9" s="1"/>
  <c r="BU45" i="9"/>
  <c r="BO45" i="9"/>
  <c r="AZ45" i="9"/>
  <c r="BA45" i="9" s="1"/>
  <c r="AT45" i="9"/>
  <c r="AU45" i="9" s="1"/>
  <c r="AV45" i="9" s="1"/>
  <c r="AW45" i="9" s="1"/>
  <c r="AN45" i="9"/>
  <c r="AO45" i="9" s="1"/>
  <c r="AP45" i="9" s="1"/>
  <c r="AH45" i="9"/>
  <c r="AI45" i="9" s="1"/>
  <c r="AJ45" i="9" s="1"/>
  <c r="AK45" i="9" s="1"/>
  <c r="AB45" i="9"/>
  <c r="AC45" i="9" s="1"/>
  <c r="V45" i="9"/>
  <c r="W45" i="9" s="1"/>
  <c r="P45" i="9"/>
  <c r="Q45" i="9" s="1"/>
  <c r="J45" i="9"/>
  <c r="K45" i="9" s="1"/>
  <c r="BE43" i="9"/>
  <c r="AY43" i="9"/>
  <c r="AS43" i="9"/>
  <c r="AM43" i="9"/>
  <c r="AG43" i="9"/>
  <c r="AA43" i="9"/>
  <c r="U43" i="9"/>
  <c r="O43" i="9"/>
  <c r="I43" i="9"/>
  <c r="G43" i="9"/>
  <c r="BU42" i="9"/>
  <c r="BU41" i="9"/>
  <c r="BU40" i="9"/>
  <c r="BU39" i="9"/>
  <c r="BO42" i="9"/>
  <c r="BO41" i="9"/>
  <c r="BO40" i="9"/>
  <c r="BO39" i="9"/>
  <c r="AH41" i="9"/>
  <c r="AI41" i="9" s="1"/>
  <c r="AJ41" i="9" s="1"/>
  <c r="AK41" i="9" s="1"/>
  <c r="AH40" i="9"/>
  <c r="AH39" i="9"/>
  <c r="AI39" i="9" s="1"/>
  <c r="AH38" i="9"/>
  <c r="AI38" i="9" s="1"/>
  <c r="AJ38" i="9" s="1"/>
  <c r="AK38" i="9" s="1"/>
  <c r="AH37" i="9"/>
  <c r="AI37" i="9" s="1"/>
  <c r="AJ37" i="9" s="1"/>
  <c r="AK37" i="9" s="1"/>
  <c r="AH36" i="9"/>
  <c r="P41" i="9"/>
  <c r="Q41" i="9" s="1"/>
  <c r="R41" i="9" s="1"/>
  <c r="S41" i="9" s="1"/>
  <c r="P40" i="9"/>
  <c r="BT37" i="9"/>
  <c r="BS37" i="9"/>
  <c r="BR37" i="9"/>
  <c r="BQ37" i="9"/>
  <c r="BT36" i="9"/>
  <c r="BS36" i="9"/>
  <c r="BR36" i="9"/>
  <c r="BQ36" i="9"/>
  <c r="AZ42" i="9"/>
  <c r="BA42" i="9" s="1"/>
  <c r="BB42" i="9" s="1"/>
  <c r="BC42" i="9" s="1"/>
  <c r="AZ41" i="9"/>
  <c r="BA41" i="9" s="1"/>
  <c r="BB41" i="9" s="1"/>
  <c r="BC41" i="9" s="1"/>
  <c r="AZ40" i="9"/>
  <c r="AZ39" i="9"/>
  <c r="BA39" i="9" s="1"/>
  <c r="BB39" i="9" s="1"/>
  <c r="BC39" i="9" s="1"/>
  <c r="AZ38" i="9"/>
  <c r="BA38" i="9" s="1"/>
  <c r="BB38" i="9" s="1"/>
  <c r="BC38" i="9" s="1"/>
  <c r="AZ37" i="9"/>
  <c r="BA37" i="9" s="1"/>
  <c r="BB37" i="9" s="1"/>
  <c r="BC37" i="9" s="1"/>
  <c r="AZ36" i="9"/>
  <c r="AT42" i="9"/>
  <c r="AU42" i="9" s="1"/>
  <c r="AT41" i="9"/>
  <c r="AU41" i="9" s="1"/>
  <c r="AV41" i="9" s="1"/>
  <c r="AW41" i="9" s="1"/>
  <c r="AT40" i="9"/>
  <c r="AT79" i="9" s="1"/>
  <c r="AT39" i="9"/>
  <c r="AU39" i="9" s="1"/>
  <c r="AT38" i="9"/>
  <c r="AU38" i="9" s="1"/>
  <c r="AV38" i="9" s="1"/>
  <c r="AW38" i="9" s="1"/>
  <c r="AT37" i="9"/>
  <c r="AU37" i="9" s="1"/>
  <c r="AV37" i="9" s="1"/>
  <c r="AT36" i="9"/>
  <c r="AN42" i="9"/>
  <c r="AO42" i="9" s="1"/>
  <c r="AP42" i="9" s="1"/>
  <c r="AQ42" i="9" s="1"/>
  <c r="AN41" i="9"/>
  <c r="AO41" i="9" s="1"/>
  <c r="AN40" i="9"/>
  <c r="AN39" i="9"/>
  <c r="AO39" i="9" s="1"/>
  <c r="AN38" i="9"/>
  <c r="AO38" i="9" s="1"/>
  <c r="AN37" i="9"/>
  <c r="AO37" i="9" s="1"/>
  <c r="AN36" i="9"/>
  <c r="AO36" i="9" s="1"/>
  <c r="AI42" i="9"/>
  <c r="AJ42" i="9" s="1"/>
  <c r="AK42" i="9" s="1"/>
  <c r="AB42" i="9"/>
  <c r="AC42" i="9" s="1"/>
  <c r="AB41" i="9"/>
  <c r="AC41" i="9" s="1"/>
  <c r="AD41" i="9" s="1"/>
  <c r="AE41" i="9" s="1"/>
  <c r="AB40" i="9"/>
  <c r="AB79" i="9" s="1"/>
  <c r="AB39" i="9"/>
  <c r="AC39" i="9" s="1"/>
  <c r="AD39" i="9" s="1"/>
  <c r="AE39" i="9" s="1"/>
  <c r="AB38" i="9"/>
  <c r="AC38" i="9" s="1"/>
  <c r="AD38" i="9" s="1"/>
  <c r="AB37" i="9"/>
  <c r="AB36" i="9"/>
  <c r="AC36" i="9" s="1"/>
  <c r="V42" i="9"/>
  <c r="W42" i="9" s="1"/>
  <c r="X42" i="9" s="1"/>
  <c r="Y42" i="9" s="1"/>
  <c r="V41" i="9"/>
  <c r="W41" i="9" s="1"/>
  <c r="X41" i="9" s="1"/>
  <c r="Y41" i="9" s="1"/>
  <c r="V40" i="9"/>
  <c r="V39" i="9"/>
  <c r="W39" i="9" s="1"/>
  <c r="X39" i="9" s="1"/>
  <c r="Y39" i="9" s="1"/>
  <c r="V38" i="9"/>
  <c r="W38" i="9" s="1"/>
  <c r="W75" i="9" s="1"/>
  <c r="V37" i="9"/>
  <c r="W37" i="9" s="1"/>
  <c r="V36" i="9"/>
  <c r="R42" i="9"/>
  <c r="S42" i="9" s="1"/>
  <c r="R39" i="9"/>
  <c r="S39" i="9" s="1"/>
  <c r="P38" i="9"/>
  <c r="Q38" i="9" s="1"/>
  <c r="P37" i="9"/>
  <c r="Q37" i="9" s="1"/>
  <c r="R37" i="9" s="1"/>
  <c r="P36" i="9"/>
  <c r="J42" i="9"/>
  <c r="K42" i="9" s="1"/>
  <c r="L42" i="9" s="1"/>
  <c r="M42" i="9" s="1"/>
  <c r="J41" i="9"/>
  <c r="K41" i="9" s="1"/>
  <c r="L41" i="9" s="1"/>
  <c r="M41" i="9" s="1"/>
  <c r="J39" i="9"/>
  <c r="K39" i="9" s="1"/>
  <c r="L39" i="9" s="1"/>
  <c r="M39" i="9" s="1"/>
  <c r="J38" i="9"/>
  <c r="K38" i="9" s="1"/>
  <c r="K75" i="9" s="1"/>
  <c r="J37" i="9"/>
  <c r="K37" i="9" s="1"/>
  <c r="L37" i="9" s="1"/>
  <c r="M37" i="9" s="1"/>
  <c r="J36" i="9"/>
  <c r="K36" i="9" s="1"/>
  <c r="BE33" i="9"/>
  <c r="AY33" i="9"/>
  <c r="AS33" i="9"/>
  <c r="AM33" i="9"/>
  <c r="AG33" i="9"/>
  <c r="AA33" i="9"/>
  <c r="U33" i="9"/>
  <c r="O33" i="9"/>
  <c r="I33" i="9"/>
  <c r="BU32" i="9"/>
  <c r="BU31" i="9"/>
  <c r="BU30" i="9"/>
  <c r="BU29" i="9"/>
  <c r="BO32" i="9"/>
  <c r="BO31" i="9"/>
  <c r="BO30" i="9"/>
  <c r="BO29" i="9"/>
  <c r="Y32" i="9"/>
  <c r="Y31" i="9"/>
  <c r="P31" i="9"/>
  <c r="Q31" i="9" s="1"/>
  <c r="K31" i="9"/>
  <c r="G31" i="9"/>
  <c r="AB30" i="9"/>
  <c r="AB29" i="9"/>
  <c r="AC29" i="9" s="1"/>
  <c r="AD29" i="9" s="1"/>
  <c r="AE29" i="9" s="1"/>
  <c r="Q30" i="9"/>
  <c r="R30" i="9" s="1"/>
  <c r="S30" i="9" s="1"/>
  <c r="J30" i="9"/>
  <c r="K30" i="9" s="1"/>
  <c r="L30" i="9" s="1"/>
  <c r="M30" i="9" s="1"/>
  <c r="J29" i="9"/>
  <c r="K29" i="9" s="1"/>
  <c r="L29" i="9" s="1"/>
  <c r="P29" i="9"/>
  <c r="AZ32" i="9"/>
  <c r="AZ31" i="9"/>
  <c r="AZ30" i="9"/>
  <c r="BA30" i="9" s="1"/>
  <c r="BB30" i="9" s="1"/>
  <c r="BC30" i="9" s="1"/>
  <c r="AZ29" i="9"/>
  <c r="BA29" i="9" s="1"/>
  <c r="AT32" i="9"/>
  <c r="AU32" i="9" s="1"/>
  <c r="AV32" i="9" s="1"/>
  <c r="AT31" i="9"/>
  <c r="AU31" i="9" s="1"/>
  <c r="AV31" i="9" s="1"/>
  <c r="AT30" i="9"/>
  <c r="AU30" i="9" s="1"/>
  <c r="AT29" i="9"/>
  <c r="AU29" i="9" s="1"/>
  <c r="AN32" i="9"/>
  <c r="AO32" i="9" s="1"/>
  <c r="AP32" i="9" s="1"/>
  <c r="AN31" i="9"/>
  <c r="AO31" i="9" s="1"/>
  <c r="AN30" i="9"/>
  <c r="AN29" i="9"/>
  <c r="AJ32" i="9"/>
  <c r="AK32" i="9" s="1"/>
  <c r="AH31" i="9"/>
  <c r="AI31" i="9" s="1"/>
  <c r="AH30" i="9"/>
  <c r="AI30" i="9" s="1"/>
  <c r="AH29" i="9"/>
  <c r="AC32" i="9"/>
  <c r="AD32" i="9" s="1"/>
  <c r="AE32" i="9" s="1"/>
  <c r="AC31" i="9"/>
  <c r="AC30" i="9"/>
  <c r="V30" i="9"/>
  <c r="W30" i="9" s="1"/>
  <c r="V29" i="9"/>
  <c r="W29" i="9" s="1"/>
  <c r="X29" i="9" s="1"/>
  <c r="Y29" i="9" s="1"/>
  <c r="R32" i="9"/>
  <c r="S32" i="9" s="1"/>
  <c r="L32" i="9"/>
  <c r="M32" i="9" s="1"/>
  <c r="L31" i="9"/>
  <c r="BU21" i="9"/>
  <c r="BU16" i="9"/>
  <c r="BU12" i="9"/>
  <c r="BU11" i="9"/>
  <c r="BO21" i="9"/>
  <c r="BO16" i="9"/>
  <c r="BO12" i="9"/>
  <c r="BO11" i="9"/>
  <c r="BE17" i="9"/>
  <c r="AY17" i="9"/>
  <c r="AS17" i="9"/>
  <c r="AM17" i="9"/>
  <c r="AG17" i="9"/>
  <c r="AA17" i="9"/>
  <c r="U17" i="9"/>
  <c r="O17" i="9"/>
  <c r="O25" i="9" s="1"/>
  <c r="I17" i="9"/>
  <c r="I25" i="9" s="1"/>
  <c r="G17" i="9"/>
  <c r="G25" i="9" s="1"/>
  <c r="BQ14" i="9"/>
  <c r="BQ24" i="13" s="1"/>
  <c r="BK24" i="13"/>
  <c r="AZ24" i="9"/>
  <c r="BA24" i="9" s="1"/>
  <c r="BB24" i="9" s="1"/>
  <c r="BC24" i="9" s="1"/>
  <c r="AZ23" i="9"/>
  <c r="BA23" i="9" s="1"/>
  <c r="BB23" i="9" s="1"/>
  <c r="BC23" i="9" s="1"/>
  <c r="AZ22" i="9"/>
  <c r="BA22" i="9" s="1"/>
  <c r="BB22" i="9" s="1"/>
  <c r="AZ21" i="9"/>
  <c r="BA21" i="9" s="1"/>
  <c r="AZ20" i="9"/>
  <c r="BA20" i="9" s="1"/>
  <c r="BB20" i="9" s="1"/>
  <c r="AZ19" i="9"/>
  <c r="BA19" i="9" s="1"/>
  <c r="BB19" i="9" s="1"/>
  <c r="BC19" i="9" s="1"/>
  <c r="AZ18" i="9"/>
  <c r="BA18" i="9" s="1"/>
  <c r="AZ16" i="9"/>
  <c r="BA16" i="9" s="1"/>
  <c r="BB16" i="9" s="1"/>
  <c r="BC16" i="9" s="1"/>
  <c r="AZ15" i="9"/>
  <c r="AZ14" i="9"/>
  <c r="AZ117" i="10" s="1"/>
  <c r="AZ13" i="9"/>
  <c r="BA13" i="9" s="1"/>
  <c r="BA104" i="10" s="1"/>
  <c r="AZ12" i="9"/>
  <c r="BA12" i="9" s="1"/>
  <c r="AZ11" i="9"/>
  <c r="BA11" i="9" s="1"/>
  <c r="BB11" i="9" s="1"/>
  <c r="BC11" i="9" s="1"/>
  <c r="AT24" i="9"/>
  <c r="AU24" i="9" s="1"/>
  <c r="AT23" i="9"/>
  <c r="AU23" i="9" s="1"/>
  <c r="AV23" i="9" s="1"/>
  <c r="AT22" i="9"/>
  <c r="AU22" i="9" s="1"/>
  <c r="AT21" i="9"/>
  <c r="AU21" i="9" s="1"/>
  <c r="AT20" i="9"/>
  <c r="AT19" i="9"/>
  <c r="AT18" i="9"/>
  <c r="AT16" i="9"/>
  <c r="AU16" i="9" s="1"/>
  <c r="AV16" i="9" s="1"/>
  <c r="AW16" i="9" s="1"/>
  <c r="AT15" i="9"/>
  <c r="AT14" i="9"/>
  <c r="AT13" i="9"/>
  <c r="AT86" i="40" s="1"/>
  <c r="AT12" i="9"/>
  <c r="AU12" i="9" s="1"/>
  <c r="AT11" i="9"/>
  <c r="AU11" i="9" s="1"/>
  <c r="AN24" i="9"/>
  <c r="AO24" i="9" s="1"/>
  <c r="AP24" i="9" s="1"/>
  <c r="AQ24" i="9" s="1"/>
  <c r="AN23" i="9"/>
  <c r="AO23" i="9" s="1"/>
  <c r="AN22" i="9"/>
  <c r="AO22" i="9" s="1"/>
  <c r="AN21" i="9"/>
  <c r="AN20" i="9"/>
  <c r="AN19" i="9"/>
  <c r="AN18" i="9"/>
  <c r="AO18" i="9" s="1"/>
  <c r="AP18" i="9" s="1"/>
  <c r="AQ18" i="9" s="1"/>
  <c r="AN16" i="9"/>
  <c r="AO16" i="9" s="1"/>
  <c r="AN15" i="9"/>
  <c r="AN69" i="13" s="1"/>
  <c r="AN25" i="13" s="1"/>
  <c r="AN14" i="9"/>
  <c r="AN117" i="10" s="1"/>
  <c r="AN13" i="9"/>
  <c r="AN12" i="9"/>
  <c r="AO12" i="9" s="1"/>
  <c r="AP12" i="9" s="1"/>
  <c r="AQ12" i="9" s="1"/>
  <c r="AN11" i="9"/>
  <c r="AO11" i="9" s="1"/>
  <c r="AH24" i="9"/>
  <c r="AI24" i="9" s="1"/>
  <c r="AH23" i="9"/>
  <c r="AI23" i="9" s="1"/>
  <c r="AJ23" i="9" s="1"/>
  <c r="AH22" i="9"/>
  <c r="AI22" i="9" s="1"/>
  <c r="AJ22" i="9" s="1"/>
  <c r="AH21" i="9"/>
  <c r="AH20" i="9"/>
  <c r="AI20" i="9" s="1"/>
  <c r="AH19" i="9"/>
  <c r="AI19" i="9" s="1"/>
  <c r="AJ19" i="9" s="1"/>
  <c r="AK19" i="9" s="1"/>
  <c r="AH18" i="9"/>
  <c r="AH16" i="9"/>
  <c r="AH15" i="9"/>
  <c r="AH69" i="13" s="1"/>
  <c r="AH14" i="9"/>
  <c r="AH24" i="13" s="1"/>
  <c r="AH13" i="9"/>
  <c r="AH104" i="10" s="1"/>
  <c r="AH12" i="9"/>
  <c r="AI12" i="9" s="1"/>
  <c r="AH11" i="9"/>
  <c r="AI11" i="9" s="1"/>
  <c r="AB24" i="9"/>
  <c r="AC24" i="9" s="1"/>
  <c r="AB23" i="9"/>
  <c r="AC23" i="9" s="1"/>
  <c r="AD23" i="9" s="1"/>
  <c r="AE23" i="9" s="1"/>
  <c r="AB22" i="9"/>
  <c r="AC22" i="9" s="1"/>
  <c r="AD22" i="9" s="1"/>
  <c r="AB21" i="9"/>
  <c r="AC21" i="9" s="1"/>
  <c r="AD21" i="9" s="1"/>
  <c r="AE21" i="9" s="1"/>
  <c r="AB20" i="9"/>
  <c r="AC20" i="9" s="1"/>
  <c r="AD20" i="9" s="1"/>
  <c r="AE20" i="9" s="1"/>
  <c r="AB19" i="9"/>
  <c r="AC19" i="9" s="1"/>
  <c r="AD19" i="9" s="1"/>
  <c r="AB18" i="9"/>
  <c r="AC18" i="9" s="1"/>
  <c r="AD18" i="9" s="1"/>
  <c r="AB16" i="9"/>
  <c r="AC16" i="9" s="1"/>
  <c r="AB15" i="9"/>
  <c r="AB69" i="13" s="1"/>
  <c r="AB25" i="13" s="1"/>
  <c r="AB14" i="9"/>
  <c r="AC14" i="9" s="1"/>
  <c r="AB13" i="9"/>
  <c r="AB86" i="40" s="1"/>
  <c r="AB12" i="9"/>
  <c r="AC12" i="9" s="1"/>
  <c r="AB11" i="9"/>
  <c r="AC11" i="9" s="1"/>
  <c r="AD11" i="9" s="1"/>
  <c r="AE11" i="9" s="1"/>
  <c r="AB10" i="9"/>
  <c r="AC10" i="9" s="1"/>
  <c r="AD10" i="9" s="1"/>
  <c r="AE10" i="9" s="1"/>
  <c r="V24" i="9"/>
  <c r="W24" i="9" s="1"/>
  <c r="V23" i="9"/>
  <c r="W23" i="9" s="1"/>
  <c r="V22" i="9"/>
  <c r="V21" i="9"/>
  <c r="W21" i="9" s="1"/>
  <c r="X21" i="9" s="1"/>
  <c r="V20" i="9"/>
  <c r="V19" i="9"/>
  <c r="V18" i="9"/>
  <c r="W18" i="9" s="1"/>
  <c r="V16" i="9"/>
  <c r="W16" i="9" s="1"/>
  <c r="X16" i="9" s="1"/>
  <c r="Y16" i="9" s="1"/>
  <c r="V15" i="9"/>
  <c r="V69" i="13" s="1"/>
  <c r="V14" i="9"/>
  <c r="W14" i="9" s="1"/>
  <c r="V13" i="9"/>
  <c r="V12" i="9"/>
  <c r="W12" i="9" s="1"/>
  <c r="X12" i="9" s="1"/>
  <c r="V11" i="9"/>
  <c r="W11" i="9" s="1"/>
  <c r="V10" i="9"/>
  <c r="W10" i="9" s="1"/>
  <c r="X10" i="9" s="1"/>
  <c r="Y10" i="9" s="1"/>
  <c r="P24" i="9"/>
  <c r="Q24" i="9" s="1"/>
  <c r="R24" i="9" s="1"/>
  <c r="P23" i="9"/>
  <c r="P22" i="9"/>
  <c r="Q22" i="9" s="1"/>
  <c r="P21" i="9"/>
  <c r="Q21" i="9" s="1"/>
  <c r="P20" i="9"/>
  <c r="Q20" i="9" s="1"/>
  <c r="R20" i="9" s="1"/>
  <c r="P19" i="9"/>
  <c r="Q19" i="9" s="1"/>
  <c r="P18" i="9"/>
  <c r="P16" i="9"/>
  <c r="Q16" i="9" s="1"/>
  <c r="P15" i="9"/>
  <c r="Q15" i="9" s="1"/>
  <c r="P14" i="9"/>
  <c r="P117" i="10" s="1"/>
  <c r="P13" i="9"/>
  <c r="P104" i="10" s="1"/>
  <c r="P12" i="9"/>
  <c r="Q12" i="9" s="1"/>
  <c r="P11" i="9"/>
  <c r="Q11" i="9" s="1"/>
  <c r="R11" i="9" s="1"/>
  <c r="S11" i="9" s="1"/>
  <c r="P10" i="9"/>
  <c r="Q10" i="9" s="1"/>
  <c r="R10" i="9" s="1"/>
  <c r="J24" i="9"/>
  <c r="J23" i="9"/>
  <c r="K23" i="9" s="1"/>
  <c r="L23" i="9" s="1"/>
  <c r="M23" i="9" s="1"/>
  <c r="J22" i="9"/>
  <c r="K22" i="9" s="1"/>
  <c r="J21" i="9"/>
  <c r="K21" i="9" s="1"/>
  <c r="L21" i="9" s="1"/>
  <c r="M21" i="9" s="1"/>
  <c r="J20" i="9"/>
  <c r="K20" i="9" s="1"/>
  <c r="L20" i="9" s="1"/>
  <c r="J19" i="9"/>
  <c r="K19" i="9" s="1"/>
  <c r="J18" i="9"/>
  <c r="K18" i="9" s="1"/>
  <c r="L18" i="9" s="1"/>
  <c r="M18" i="9" s="1"/>
  <c r="J16" i="9"/>
  <c r="K16" i="9" s="1"/>
  <c r="L16" i="9" s="1"/>
  <c r="M16" i="9" s="1"/>
  <c r="J15" i="9"/>
  <c r="J14" i="9"/>
  <c r="J13" i="9"/>
  <c r="J12" i="9"/>
  <c r="K12" i="9" s="1"/>
  <c r="L12" i="9" s="1"/>
  <c r="M12" i="9" s="1"/>
  <c r="J11" i="9"/>
  <c r="K11" i="9" s="1"/>
  <c r="L11" i="9" s="1"/>
  <c r="M11" i="9" s="1"/>
  <c r="J10" i="9"/>
  <c r="O8" i="9"/>
  <c r="U8" i="9" s="1"/>
  <c r="V8" i="9" s="1"/>
  <c r="W8" i="9" s="1"/>
  <c r="X8" i="9" s="1"/>
  <c r="J8" i="9"/>
  <c r="K8" i="9" s="1"/>
  <c r="L8" i="9" s="1"/>
  <c r="M7" i="9"/>
  <c r="S7" i="9" s="1"/>
  <c r="Y7" i="9" s="1"/>
  <c r="AE7" i="9" s="1"/>
  <c r="AK7" i="9" s="1"/>
  <c r="AQ7" i="9" s="1"/>
  <c r="AW7" i="9" s="1"/>
  <c r="BC7" i="9" s="1"/>
  <c r="BI7" i="9" s="1"/>
  <c r="BO7" i="9" s="1"/>
  <c r="BU7" i="9" s="1"/>
  <c r="CA7" i="9" s="1"/>
  <c r="CG7" i="9" s="1"/>
  <c r="CM7" i="9" s="1"/>
  <c r="I7" i="9"/>
  <c r="O7" i="9" s="1"/>
  <c r="U7" i="9" s="1"/>
  <c r="AA7" i="9" s="1"/>
  <c r="AG7" i="9" s="1"/>
  <c r="AM7" i="9" s="1"/>
  <c r="AS7" i="9" s="1"/>
  <c r="AY7" i="9" s="1"/>
  <c r="BE7" i="9" s="1"/>
  <c r="BK7" i="9" s="1"/>
  <c r="BQ7" i="9" s="1"/>
  <c r="BW7" i="9" s="1"/>
  <c r="CC7" i="9" s="1"/>
  <c r="CI7" i="9" s="1"/>
  <c r="G150" i="10"/>
  <c r="BE152" i="10"/>
  <c r="BE150" i="10"/>
  <c r="BB152" i="10"/>
  <c r="BA152" i="10"/>
  <c r="AZ152" i="10"/>
  <c r="AY152" i="10"/>
  <c r="BB150" i="10"/>
  <c r="BA150" i="10"/>
  <c r="AZ150" i="10"/>
  <c r="AY150" i="10"/>
  <c r="AV152" i="10"/>
  <c r="AU152" i="10"/>
  <c r="AT152" i="10"/>
  <c r="AS152" i="10"/>
  <c r="AV150" i="10"/>
  <c r="AU150" i="10"/>
  <c r="AT150" i="10"/>
  <c r="AS150" i="10"/>
  <c r="AP152" i="10"/>
  <c r="AO152" i="10"/>
  <c r="AN152" i="10"/>
  <c r="AM152" i="10"/>
  <c r="AP150" i="10"/>
  <c r="AO150" i="10"/>
  <c r="AN150" i="10"/>
  <c r="AM150" i="10"/>
  <c r="AJ152" i="10"/>
  <c r="AI152" i="10"/>
  <c r="AH152" i="10"/>
  <c r="AG152" i="10"/>
  <c r="AJ150" i="10"/>
  <c r="AI150" i="10"/>
  <c r="AH150" i="10"/>
  <c r="AG150" i="10"/>
  <c r="AD152" i="10"/>
  <c r="AC152" i="10"/>
  <c r="AB152" i="10"/>
  <c r="AA152" i="10"/>
  <c r="AD150" i="10"/>
  <c r="AC150" i="10"/>
  <c r="AB150" i="10"/>
  <c r="AA150" i="10"/>
  <c r="X152" i="10"/>
  <c r="W152" i="10"/>
  <c r="V152" i="10"/>
  <c r="U152" i="10"/>
  <c r="X151" i="10"/>
  <c r="X150" i="10"/>
  <c r="W150" i="10"/>
  <c r="V150" i="10"/>
  <c r="U150" i="10"/>
  <c r="R152" i="10"/>
  <c r="Q152" i="10"/>
  <c r="P152" i="10"/>
  <c r="O152" i="10"/>
  <c r="R151" i="10"/>
  <c r="R150" i="10"/>
  <c r="Q150" i="10"/>
  <c r="P150" i="10"/>
  <c r="O150" i="10"/>
  <c r="L152" i="10"/>
  <c r="K152" i="10"/>
  <c r="J152" i="10"/>
  <c r="I152" i="10"/>
  <c r="L151" i="10"/>
  <c r="L150" i="10"/>
  <c r="K150" i="10"/>
  <c r="J150" i="10"/>
  <c r="I150" i="10"/>
  <c r="G147" i="10"/>
  <c r="G146" i="10"/>
  <c r="G145" i="10"/>
  <c r="G144" i="10"/>
  <c r="G143" i="10"/>
  <c r="G142" i="10"/>
  <c r="BE147" i="10"/>
  <c r="BE146" i="10"/>
  <c r="BE145" i="10"/>
  <c r="BE144" i="10"/>
  <c r="BE143" i="10"/>
  <c r="BE142" i="10"/>
  <c r="BF136" i="10"/>
  <c r="BE136" i="10"/>
  <c r="BB147" i="10"/>
  <c r="BA147" i="10"/>
  <c r="AZ147" i="10"/>
  <c r="AY147" i="10"/>
  <c r="BB146" i="10"/>
  <c r="BA146" i="10"/>
  <c r="AZ146" i="10"/>
  <c r="AY146" i="10"/>
  <c r="BB145" i="10"/>
  <c r="BA145" i="10"/>
  <c r="AZ145" i="10"/>
  <c r="AY145" i="10"/>
  <c r="BB144" i="10"/>
  <c r="BA144" i="10"/>
  <c r="AZ144" i="10"/>
  <c r="AY144" i="10"/>
  <c r="BB143" i="10"/>
  <c r="BA143" i="10"/>
  <c r="AZ143" i="10"/>
  <c r="AY143" i="10"/>
  <c r="BB142" i="10"/>
  <c r="BB148" i="10" s="1"/>
  <c r="BA142" i="10"/>
  <c r="BA148" i="10" s="1"/>
  <c r="AZ142" i="10"/>
  <c r="AZ148" i="10" s="1"/>
  <c r="AY142" i="10"/>
  <c r="BB136" i="10"/>
  <c r="BA136" i="10"/>
  <c r="AZ136" i="10"/>
  <c r="AY136" i="10"/>
  <c r="AV147" i="10"/>
  <c r="AU147" i="10"/>
  <c r="AT147" i="10"/>
  <c r="AS147" i="10"/>
  <c r="AV146" i="10"/>
  <c r="AU146" i="10"/>
  <c r="AT146" i="10"/>
  <c r="AS146" i="10"/>
  <c r="AV145" i="10"/>
  <c r="AU145" i="10"/>
  <c r="AT145" i="10"/>
  <c r="AS145" i="10"/>
  <c r="AV144" i="10"/>
  <c r="AU144" i="10"/>
  <c r="AT144" i="10"/>
  <c r="AS144" i="10"/>
  <c r="AV143" i="10"/>
  <c r="AU143" i="10"/>
  <c r="AT143" i="10"/>
  <c r="AS143" i="10"/>
  <c r="AV142" i="10"/>
  <c r="AV148" i="10" s="1"/>
  <c r="AU142" i="10"/>
  <c r="AU148" i="10" s="1"/>
  <c r="AT142" i="10"/>
  <c r="AT148" i="10" s="1"/>
  <c r="AS142" i="10"/>
  <c r="AS148" i="10" s="1"/>
  <c r="AV136" i="10"/>
  <c r="AU136" i="10"/>
  <c r="AT136" i="10"/>
  <c r="AS136" i="10"/>
  <c r="AP147" i="10"/>
  <c r="AO147" i="10"/>
  <c r="AN147" i="10"/>
  <c r="AM147" i="10"/>
  <c r="AP146" i="10"/>
  <c r="AO146" i="10"/>
  <c r="AN146" i="10"/>
  <c r="AM146" i="10"/>
  <c r="AP145" i="10"/>
  <c r="AO145" i="10"/>
  <c r="AN145" i="10"/>
  <c r="AM145" i="10"/>
  <c r="AP144" i="10"/>
  <c r="AO144" i="10"/>
  <c r="AN144" i="10"/>
  <c r="AM144" i="10"/>
  <c r="AP143" i="10"/>
  <c r="AO143" i="10"/>
  <c r="AN143" i="10"/>
  <c r="AM143" i="10"/>
  <c r="AM142" i="10"/>
  <c r="AP142" i="10"/>
  <c r="AO142" i="10"/>
  <c r="AN142" i="10"/>
  <c r="AP136" i="10"/>
  <c r="AO136" i="10"/>
  <c r="AN136" i="10"/>
  <c r="AM136" i="10"/>
  <c r="AJ147" i="10"/>
  <c r="AI147" i="10"/>
  <c r="AH147" i="10"/>
  <c r="AG147" i="10"/>
  <c r="AJ146" i="10"/>
  <c r="AI146" i="10"/>
  <c r="AH146" i="10"/>
  <c r="AG146" i="10"/>
  <c r="AJ145" i="10"/>
  <c r="AI145" i="10"/>
  <c r="AH145" i="10"/>
  <c r="AG145" i="10"/>
  <c r="AJ144" i="10"/>
  <c r="AI144" i="10"/>
  <c r="AH144" i="10"/>
  <c r="AG144" i="10"/>
  <c r="AJ143" i="10"/>
  <c r="AI143" i="10"/>
  <c r="AH143" i="10"/>
  <c r="AG143" i="10"/>
  <c r="AJ142" i="10"/>
  <c r="AJ148" i="10" s="1"/>
  <c r="AI142" i="10"/>
  <c r="AI148" i="10" s="1"/>
  <c r="AH142" i="10"/>
  <c r="AH148" i="10" s="1"/>
  <c r="AG142" i="10"/>
  <c r="AJ136" i="10"/>
  <c r="AI136" i="10"/>
  <c r="AH136" i="10"/>
  <c r="AG136" i="10"/>
  <c r="AD147" i="10"/>
  <c r="AC147" i="10"/>
  <c r="AB147" i="10"/>
  <c r="AA147" i="10"/>
  <c r="AD146" i="10"/>
  <c r="AC146" i="10"/>
  <c r="AB146" i="10"/>
  <c r="AA146" i="10"/>
  <c r="AD145" i="10"/>
  <c r="AC145" i="10"/>
  <c r="AB145" i="10"/>
  <c r="AA145" i="10"/>
  <c r="AA142" i="10"/>
  <c r="AA143" i="10"/>
  <c r="AA144" i="10"/>
  <c r="AD144" i="10"/>
  <c r="AC144" i="10"/>
  <c r="AB144" i="10"/>
  <c r="AD143" i="10"/>
  <c r="AC143" i="10"/>
  <c r="AB143" i="10"/>
  <c r="AB142" i="10"/>
  <c r="AD142" i="10"/>
  <c r="AC142" i="10"/>
  <c r="AD136" i="10"/>
  <c r="AC136" i="10"/>
  <c r="AA136" i="10"/>
  <c r="X147" i="10"/>
  <c r="W147" i="10"/>
  <c r="V147" i="10"/>
  <c r="U147" i="10"/>
  <c r="X146" i="10"/>
  <c r="W146" i="10"/>
  <c r="V146" i="10"/>
  <c r="U146" i="10"/>
  <c r="X145" i="10"/>
  <c r="W145" i="10"/>
  <c r="V145" i="10"/>
  <c r="U145" i="10"/>
  <c r="X144" i="10"/>
  <c r="W144" i="10"/>
  <c r="V144" i="10"/>
  <c r="U144" i="10"/>
  <c r="X143" i="10"/>
  <c r="W143" i="10"/>
  <c r="V143" i="10"/>
  <c r="U143" i="10"/>
  <c r="X142" i="10"/>
  <c r="X148" i="10" s="1"/>
  <c r="W142" i="10"/>
  <c r="W148" i="10" s="1"/>
  <c r="V142" i="10"/>
  <c r="V148" i="10" s="1"/>
  <c r="U142" i="10"/>
  <c r="U148" i="10" s="1"/>
  <c r="X136" i="10"/>
  <c r="W136" i="10"/>
  <c r="V136" i="10"/>
  <c r="U136" i="10"/>
  <c r="R147" i="10"/>
  <c r="Q147" i="10"/>
  <c r="P147" i="10"/>
  <c r="O147" i="10"/>
  <c r="R146" i="10"/>
  <c r="Q146" i="10"/>
  <c r="P146" i="10"/>
  <c r="O146" i="10"/>
  <c r="R145" i="10"/>
  <c r="Q145" i="10"/>
  <c r="P145" i="10"/>
  <c r="O145" i="10"/>
  <c r="R144" i="10"/>
  <c r="Q144" i="10"/>
  <c r="P144" i="10"/>
  <c r="O144" i="10"/>
  <c r="R143" i="10"/>
  <c r="Q143" i="10"/>
  <c r="P143" i="10"/>
  <c r="P142" i="10"/>
  <c r="O143" i="10"/>
  <c r="R142" i="10"/>
  <c r="Q142" i="10"/>
  <c r="O142" i="10"/>
  <c r="R136" i="10"/>
  <c r="Q136" i="10"/>
  <c r="P136" i="10"/>
  <c r="O136" i="10"/>
  <c r="L147" i="10"/>
  <c r="K147" i="10"/>
  <c r="J147" i="10"/>
  <c r="I147" i="10"/>
  <c r="L146" i="10"/>
  <c r="L142" i="10"/>
  <c r="L143" i="10"/>
  <c r="L144" i="10"/>
  <c r="L145" i="10"/>
  <c r="K146" i="10"/>
  <c r="J146" i="10"/>
  <c r="I146" i="10"/>
  <c r="K145" i="10"/>
  <c r="J145" i="10"/>
  <c r="I145" i="10"/>
  <c r="I142" i="10"/>
  <c r="I143" i="10"/>
  <c r="I144" i="10"/>
  <c r="K144" i="10"/>
  <c r="J144" i="10"/>
  <c r="K143" i="10"/>
  <c r="J143" i="10"/>
  <c r="J142" i="10"/>
  <c r="K142" i="10"/>
  <c r="BE126" i="10"/>
  <c r="BF123" i="10" s="1"/>
  <c r="G126" i="10"/>
  <c r="M123" i="10" s="1"/>
  <c r="BU125" i="10"/>
  <c r="BB126" i="10"/>
  <c r="BA126" i="10"/>
  <c r="BB123" i="10" s="1"/>
  <c r="AZ126" i="10"/>
  <c r="BA123" i="10" s="1"/>
  <c r="AY126" i="10"/>
  <c r="AZ123" i="10" s="1"/>
  <c r="AV126" i="10"/>
  <c r="AU126" i="10"/>
  <c r="AV123" i="10" s="1"/>
  <c r="AT126" i="10"/>
  <c r="AU123" i="10" s="1"/>
  <c r="AS126" i="10"/>
  <c r="AT123" i="10" s="1"/>
  <c r="AP126" i="10"/>
  <c r="AO126" i="10"/>
  <c r="AP123" i="10" s="1"/>
  <c r="AN126" i="10"/>
  <c r="AO123" i="10" s="1"/>
  <c r="AM126" i="10"/>
  <c r="AN123" i="10" s="1"/>
  <c r="AJ126" i="10"/>
  <c r="AI126" i="10"/>
  <c r="AH126" i="10"/>
  <c r="AI123" i="10" s="1"/>
  <c r="AG126" i="10"/>
  <c r="AH123" i="10" s="1"/>
  <c r="AD126" i="10"/>
  <c r="AC126" i="10"/>
  <c r="AB126" i="10"/>
  <c r="AC123" i="10" s="1"/>
  <c r="AA126" i="10"/>
  <c r="AB123" i="10" s="1"/>
  <c r="X126" i="10"/>
  <c r="W126" i="10"/>
  <c r="V126" i="10"/>
  <c r="W123" i="10" s="1"/>
  <c r="U126" i="10"/>
  <c r="V123" i="10" s="1"/>
  <c r="R126" i="10"/>
  <c r="Q126" i="10"/>
  <c r="P126" i="10"/>
  <c r="Q123" i="10" s="1"/>
  <c r="P124" i="10"/>
  <c r="Q124" i="10" s="1"/>
  <c r="O126" i="10"/>
  <c r="P123" i="10" s="1"/>
  <c r="L126" i="10"/>
  <c r="K126" i="10"/>
  <c r="L123" i="10" s="1"/>
  <c r="J126" i="10"/>
  <c r="K123" i="10" s="1"/>
  <c r="I126" i="10"/>
  <c r="J123" i="10" s="1"/>
  <c r="BC124" i="10"/>
  <c r="AQ124" i="10"/>
  <c r="AK124" i="10"/>
  <c r="Y124" i="10"/>
  <c r="BT124" i="10"/>
  <c r="BS124" i="10"/>
  <c r="BR124" i="10"/>
  <c r="BQ124" i="10"/>
  <c r="R123" i="10"/>
  <c r="K124" i="10"/>
  <c r="BE120" i="10"/>
  <c r="BF115" i="10" s="1"/>
  <c r="G120" i="10"/>
  <c r="M115" i="10" s="1"/>
  <c r="G117" i="10"/>
  <c r="G118" i="10" s="1"/>
  <c r="BU119" i="10"/>
  <c r="BE117" i="10"/>
  <c r="BB120" i="10"/>
  <c r="BA120" i="10"/>
  <c r="BB115" i="10" s="1"/>
  <c r="AZ120" i="10"/>
  <c r="BA115" i="10" s="1"/>
  <c r="AY120" i="10"/>
  <c r="AZ115" i="10" s="1"/>
  <c r="AY117" i="10"/>
  <c r="AV120" i="10"/>
  <c r="AU120" i="10"/>
  <c r="AV115" i="10" s="1"/>
  <c r="AT120" i="10"/>
  <c r="AU115" i="10" s="1"/>
  <c r="AS120" i="10"/>
  <c r="AT115" i="10" s="1"/>
  <c r="AS117" i="10"/>
  <c r="AP120" i="10"/>
  <c r="AO120" i="10"/>
  <c r="AP115" i="10" s="1"/>
  <c r="AN120" i="10"/>
  <c r="AO115" i="10" s="1"/>
  <c r="AM120" i="10"/>
  <c r="AN115" i="10" s="1"/>
  <c r="AM117" i="10"/>
  <c r="AJ120" i="10"/>
  <c r="AI120" i="10"/>
  <c r="AJ115" i="10" s="1"/>
  <c r="AH120" i="10"/>
  <c r="AI115" i="10" s="1"/>
  <c r="AG120" i="10"/>
  <c r="AH115" i="10" s="1"/>
  <c r="AG117" i="10"/>
  <c r="AD120" i="10"/>
  <c r="AC120" i="10"/>
  <c r="AD115" i="10" s="1"/>
  <c r="AB120" i="10"/>
  <c r="AC115" i="10" s="1"/>
  <c r="AA120" i="10"/>
  <c r="AB115" i="10" s="1"/>
  <c r="AA117" i="10"/>
  <c r="X120" i="10"/>
  <c r="W120" i="10"/>
  <c r="X115" i="10" s="1"/>
  <c r="V120" i="10"/>
  <c r="W115" i="10" s="1"/>
  <c r="U120" i="10"/>
  <c r="V115" i="10" s="1"/>
  <c r="U117" i="10"/>
  <c r="R120" i="10"/>
  <c r="Q120" i="10"/>
  <c r="R115" i="10" s="1"/>
  <c r="P120" i="10"/>
  <c r="Q115" i="10" s="1"/>
  <c r="O120" i="10"/>
  <c r="P115" i="10" s="1"/>
  <c r="O117" i="10"/>
  <c r="L120" i="10"/>
  <c r="K120" i="10"/>
  <c r="L115" i="10" s="1"/>
  <c r="J120" i="10"/>
  <c r="K115" i="10" s="1"/>
  <c r="I120" i="10"/>
  <c r="J115" i="10" s="1"/>
  <c r="I117" i="10"/>
  <c r="I115" i="10"/>
  <c r="BQ116" i="10"/>
  <c r="BC116" i="10"/>
  <c r="AQ116" i="10"/>
  <c r="AK116" i="10"/>
  <c r="Y116" i="10"/>
  <c r="BR117" i="10"/>
  <c r="BS117" i="10" s="1"/>
  <c r="BT117" i="10" s="1"/>
  <c r="BU117" i="10" s="1"/>
  <c r="BT116" i="10"/>
  <c r="BS116" i="10"/>
  <c r="BR116" i="10"/>
  <c r="BL24" i="13"/>
  <c r="P116" i="10"/>
  <c r="Q116" i="10" s="1"/>
  <c r="R116" i="10" s="1"/>
  <c r="S116" i="10" s="1"/>
  <c r="K116" i="10"/>
  <c r="L116" i="10" s="1"/>
  <c r="M116" i="10" s="1"/>
  <c r="BE109" i="10"/>
  <c r="BB109" i="10"/>
  <c r="BA109" i="10"/>
  <c r="AZ109" i="10"/>
  <c r="AY109" i="10"/>
  <c r="AV109" i="10"/>
  <c r="AU109" i="10"/>
  <c r="AT109" i="10"/>
  <c r="AS109" i="10"/>
  <c r="AP109" i="10"/>
  <c r="AO109" i="10"/>
  <c r="AN109" i="10"/>
  <c r="AM109" i="10"/>
  <c r="AJ109" i="10"/>
  <c r="AI109" i="10"/>
  <c r="AH109" i="10"/>
  <c r="AG109" i="10"/>
  <c r="AD109" i="10"/>
  <c r="AC109" i="10"/>
  <c r="AB109" i="10"/>
  <c r="AA109" i="10"/>
  <c r="X109" i="10"/>
  <c r="W109" i="10"/>
  <c r="V109" i="10"/>
  <c r="U109" i="10"/>
  <c r="R109" i="10"/>
  <c r="Q109" i="10"/>
  <c r="P109" i="10"/>
  <c r="O109" i="10"/>
  <c r="L109" i="10"/>
  <c r="K109" i="10"/>
  <c r="J109" i="10"/>
  <c r="I109" i="10"/>
  <c r="G109" i="10"/>
  <c r="M103" i="10"/>
  <c r="BU106" i="10"/>
  <c r="G104" i="10"/>
  <c r="BR105" i="10"/>
  <c r="BS105" i="10" s="1"/>
  <c r="BE104" i="10"/>
  <c r="AY104" i="10"/>
  <c r="AS104" i="10"/>
  <c r="AM104" i="10"/>
  <c r="AG104" i="10"/>
  <c r="AA104" i="10"/>
  <c r="U104" i="10"/>
  <c r="O104" i="10"/>
  <c r="I104" i="10"/>
  <c r="I103" i="10"/>
  <c r="BU100" i="10"/>
  <c r="BT99" i="10"/>
  <c r="BS99" i="10"/>
  <c r="BR99" i="10"/>
  <c r="BQ99" i="10"/>
  <c r="G97" i="10"/>
  <c r="G100" i="10" s="1"/>
  <c r="BR98" i="10"/>
  <c r="BS98" i="10" s="1"/>
  <c r="BT98" i="10" s="1"/>
  <c r="G90" i="10"/>
  <c r="BF90" i="10"/>
  <c r="BC38" i="10"/>
  <c r="BB90" i="10"/>
  <c r="BA90" i="10"/>
  <c r="AZ90" i="10"/>
  <c r="AV90" i="10"/>
  <c r="AU90" i="10"/>
  <c r="AT90" i="10"/>
  <c r="AP90" i="10"/>
  <c r="AO90" i="10"/>
  <c r="AN90" i="10"/>
  <c r="AH90" i="10"/>
  <c r="AD90" i="10"/>
  <c r="AC90" i="10"/>
  <c r="AB90" i="10"/>
  <c r="X90" i="10"/>
  <c r="W90" i="10"/>
  <c r="V90" i="10"/>
  <c r="R90" i="10"/>
  <c r="Q90" i="10"/>
  <c r="P90" i="10"/>
  <c r="L90" i="10"/>
  <c r="K90" i="10"/>
  <c r="J90" i="10"/>
  <c r="I90" i="10"/>
  <c r="G87" i="10"/>
  <c r="BF87" i="10"/>
  <c r="BB87" i="10"/>
  <c r="BA87" i="10"/>
  <c r="AZ87" i="10"/>
  <c r="AV87" i="10"/>
  <c r="AU87" i="10"/>
  <c r="AT87" i="10"/>
  <c r="AP87" i="10"/>
  <c r="AO87" i="10"/>
  <c r="AN87" i="10"/>
  <c r="AH87" i="10"/>
  <c r="AD87" i="10"/>
  <c r="AC87" i="10"/>
  <c r="AB87" i="10"/>
  <c r="X87" i="10"/>
  <c r="W87" i="10"/>
  <c r="V87" i="10"/>
  <c r="R87" i="10"/>
  <c r="Q87" i="10"/>
  <c r="P87" i="10"/>
  <c r="L87" i="10"/>
  <c r="K87" i="10"/>
  <c r="J87" i="10"/>
  <c r="I87" i="10"/>
  <c r="BF83" i="10"/>
  <c r="BR83" i="10" s="1"/>
  <c r="BX83" i="10" s="1"/>
  <c r="CD83" i="10" s="1"/>
  <c r="CJ83" i="10" s="1"/>
  <c r="BE83" i="10"/>
  <c r="BQ83" i="10" s="1"/>
  <c r="BW83" i="10" s="1"/>
  <c r="CC83" i="10" s="1"/>
  <c r="CI83" i="10" s="1"/>
  <c r="BB83" i="10"/>
  <c r="BT83" i="10" s="1"/>
  <c r="BZ83" i="10" s="1"/>
  <c r="CF83" i="10" s="1"/>
  <c r="CL83" i="10" s="1"/>
  <c r="BA83" i="10"/>
  <c r="AZ83" i="10"/>
  <c r="AY83" i="10"/>
  <c r="AV83" i="10"/>
  <c r="AU83" i="10"/>
  <c r="AT83" i="10"/>
  <c r="AS83" i="10"/>
  <c r="AP83" i="10"/>
  <c r="AO83" i="10"/>
  <c r="AN83" i="10"/>
  <c r="AM83" i="10"/>
  <c r="AJ83" i="10"/>
  <c r="AI83" i="10"/>
  <c r="AH83" i="10"/>
  <c r="AG83" i="10"/>
  <c r="AD83" i="10"/>
  <c r="AC83" i="10"/>
  <c r="AA83" i="10"/>
  <c r="X83" i="10"/>
  <c r="W83" i="10"/>
  <c r="V83" i="10"/>
  <c r="U83" i="10"/>
  <c r="R83" i="10"/>
  <c r="Q83" i="10"/>
  <c r="P83" i="10"/>
  <c r="O83" i="10"/>
  <c r="BT68" i="10"/>
  <c r="BS68" i="10"/>
  <c r="BR68" i="10"/>
  <c r="BQ68" i="10"/>
  <c r="BU68" i="10" s="1"/>
  <c r="BN68" i="10"/>
  <c r="BM68" i="10"/>
  <c r="BO68" i="10" s="1"/>
  <c r="BL68" i="10"/>
  <c r="BH68" i="10"/>
  <c r="BF68" i="10"/>
  <c r="BE68" i="10"/>
  <c r="AV68" i="10"/>
  <c r="AV69" i="10" s="1"/>
  <c r="AU68" i="10"/>
  <c r="AT68" i="10"/>
  <c r="AS68" i="10"/>
  <c r="AP68" i="10"/>
  <c r="AO68" i="10"/>
  <c r="AO69" i="10" s="1"/>
  <c r="AN68" i="10"/>
  <c r="AM68" i="10"/>
  <c r="AQ68" i="10" s="1"/>
  <c r="AJ68" i="10"/>
  <c r="AI68" i="10"/>
  <c r="AI69" i="10" s="1"/>
  <c r="AH68" i="10"/>
  <c r="AG68" i="10"/>
  <c r="AG69" i="10" s="1"/>
  <c r="AD68" i="10"/>
  <c r="AC68" i="10"/>
  <c r="AB68" i="10"/>
  <c r="AA68" i="10"/>
  <c r="X68" i="10"/>
  <c r="X70" i="10"/>
  <c r="X71" i="10"/>
  <c r="W68" i="10"/>
  <c r="W71" i="10" s="1"/>
  <c r="V68" i="10"/>
  <c r="U68" i="10"/>
  <c r="R68" i="10"/>
  <c r="R71" i="10" s="1"/>
  <c r="Q68" i="10"/>
  <c r="Q69" i="10" s="1"/>
  <c r="P68" i="10"/>
  <c r="P70" i="10" s="1"/>
  <c r="O68" i="10"/>
  <c r="O70" i="10" s="1"/>
  <c r="L68" i="10"/>
  <c r="L70" i="10" s="1"/>
  <c r="K68" i="10"/>
  <c r="J68" i="10"/>
  <c r="I68" i="10"/>
  <c r="BB68" i="10"/>
  <c r="BB69" i="10" s="1"/>
  <c r="BA68" i="10"/>
  <c r="BA69" i="10" s="1"/>
  <c r="AZ68" i="10"/>
  <c r="AY68" i="10"/>
  <c r="O46" i="10"/>
  <c r="O41" i="10"/>
  <c r="O176" i="10" s="1"/>
  <c r="G46" i="10"/>
  <c r="G10" i="10"/>
  <c r="I84" i="40" s="1"/>
  <c r="BF46" i="10"/>
  <c r="BE46" i="10"/>
  <c r="BB46" i="10"/>
  <c r="BA46" i="10"/>
  <c r="AZ46" i="10"/>
  <c r="AY46" i="10"/>
  <c r="AS46" i="10"/>
  <c r="AS10" i="10"/>
  <c r="AV46" i="10"/>
  <c r="AU46" i="10"/>
  <c r="AU41" i="10"/>
  <c r="AU176" i="10" s="1"/>
  <c r="AT46" i="10"/>
  <c r="AP46" i="10"/>
  <c r="AO46" i="10"/>
  <c r="AN46" i="10"/>
  <c r="AM46" i="10"/>
  <c r="AJ46" i="10"/>
  <c r="AJ10" i="10"/>
  <c r="AK10" i="10" s="1"/>
  <c r="AI46" i="10"/>
  <c r="AI47" i="10" s="1"/>
  <c r="AH46" i="10"/>
  <c r="AG46" i="10"/>
  <c r="AA46" i="10"/>
  <c r="AD46" i="10"/>
  <c r="AC46" i="10"/>
  <c r="AC41" i="10"/>
  <c r="AC176" i="10" s="1"/>
  <c r="AB46" i="10"/>
  <c r="AB41" i="10"/>
  <c r="AB176" i="10" s="1"/>
  <c r="AA41" i="10"/>
  <c r="AA176" i="10" s="1"/>
  <c r="X46" i="10"/>
  <c r="W46" i="10"/>
  <c r="V46" i="10"/>
  <c r="U46" i="10"/>
  <c r="U10" i="10"/>
  <c r="R46" i="10"/>
  <c r="Q46" i="10"/>
  <c r="Q41" i="10"/>
  <c r="Q176" i="10" s="1"/>
  <c r="P46" i="10"/>
  <c r="O10" i="10"/>
  <c r="L46" i="10"/>
  <c r="L41" i="10"/>
  <c r="L176" i="10" s="1"/>
  <c r="K46" i="10"/>
  <c r="J46" i="10"/>
  <c r="M40" i="10"/>
  <c r="M39" i="10"/>
  <c r="M38" i="10"/>
  <c r="M90" i="10" s="1"/>
  <c r="M37" i="10"/>
  <c r="M36" i="10"/>
  <c r="M35" i="10"/>
  <c r="M175" i="10" s="1"/>
  <c r="G41" i="10"/>
  <c r="G176" i="10" s="1"/>
  <c r="BF41" i="10"/>
  <c r="BF176" i="10" s="1"/>
  <c r="BE41" i="10"/>
  <c r="BE176" i="10" s="1"/>
  <c r="BB41" i="10"/>
  <c r="BB176" i="10" s="1"/>
  <c r="BA41" i="10"/>
  <c r="BA176" i="10" s="1"/>
  <c r="AZ41" i="10"/>
  <c r="AZ176" i="10" s="1"/>
  <c r="AY41" i="10"/>
  <c r="AY176" i="10" s="1"/>
  <c r="AV41" i="10"/>
  <c r="AV176" i="10" s="1"/>
  <c r="AT41" i="10"/>
  <c r="AT176" i="10" s="1"/>
  <c r="AS41" i="10"/>
  <c r="AS176" i="10" s="1"/>
  <c r="AP41" i="10"/>
  <c r="AP176" i="10" s="1"/>
  <c r="AN41" i="10"/>
  <c r="AN176" i="10" s="1"/>
  <c r="AM41" i="10"/>
  <c r="AM176" i="10" s="1"/>
  <c r="AJ41" i="10"/>
  <c r="AJ176" i="10" s="1"/>
  <c r="AG41" i="10"/>
  <c r="AG176" i="10" s="1"/>
  <c r="AD41" i="10"/>
  <c r="AD176" i="10" s="1"/>
  <c r="X41" i="10"/>
  <c r="X176" i="10" s="1"/>
  <c r="W41" i="10"/>
  <c r="W176" i="10" s="1"/>
  <c r="U41" i="10"/>
  <c r="U176" i="10" s="1"/>
  <c r="R41" i="10"/>
  <c r="R176" i="10" s="1"/>
  <c r="P41" i="10"/>
  <c r="P176" i="10" s="1"/>
  <c r="K41" i="10"/>
  <c r="K176" i="10" s="1"/>
  <c r="I41" i="10"/>
  <c r="I176" i="10" s="1"/>
  <c r="BC40" i="10"/>
  <c r="BC39" i="10"/>
  <c r="BC36" i="10"/>
  <c r="BC37" i="10"/>
  <c r="AY90" i="10"/>
  <c r="AQ40" i="10"/>
  <c r="AQ39" i="10"/>
  <c r="AQ38" i="10"/>
  <c r="AW90" i="10" s="1"/>
  <c r="AQ37" i="10"/>
  <c r="AQ36" i="10"/>
  <c r="AQ35" i="10"/>
  <c r="AQ175" i="10" s="1"/>
  <c r="AK40" i="10"/>
  <c r="AK39" i="10"/>
  <c r="AK38" i="10"/>
  <c r="AM90" i="10" s="1"/>
  <c r="AK37" i="10"/>
  <c r="AK36" i="10"/>
  <c r="AK35" i="10"/>
  <c r="AK175" i="10" s="1"/>
  <c r="AE40" i="10"/>
  <c r="AE39" i="10"/>
  <c r="AE38" i="10"/>
  <c r="AG90" i="10" s="1"/>
  <c r="AE37" i="10"/>
  <c r="AE36" i="10"/>
  <c r="AE35" i="10"/>
  <c r="AE175" i="10" s="1"/>
  <c r="Y40" i="10"/>
  <c r="Y39" i="10"/>
  <c r="Y38" i="10"/>
  <c r="AA90" i="10" s="1"/>
  <c r="Y37" i="10"/>
  <c r="Y36" i="10"/>
  <c r="Y35" i="10"/>
  <c r="Y175" i="10" s="1"/>
  <c r="S40" i="10"/>
  <c r="S39" i="10"/>
  <c r="S38" i="10"/>
  <c r="S37" i="10"/>
  <c r="S36" i="10"/>
  <c r="S35" i="10"/>
  <c r="S175" i="10" s="1"/>
  <c r="AI38" i="10"/>
  <c r="AI37" i="10"/>
  <c r="BB35" i="10"/>
  <c r="AH35" i="10"/>
  <c r="AH175" i="10" s="1"/>
  <c r="BC32" i="10"/>
  <c r="BC31" i="10"/>
  <c r="BC170" i="10" s="1"/>
  <c r="BC30" i="10"/>
  <c r="BC171" i="10" s="1"/>
  <c r="BC29" i="10"/>
  <c r="BC27" i="10"/>
  <c r="BC26" i="10"/>
  <c r="BC24" i="10"/>
  <c r="BC23" i="10"/>
  <c r="BC169" i="10" s="1"/>
  <c r="AQ32" i="10"/>
  <c r="AQ31" i="10"/>
  <c r="AQ170" i="10" s="1"/>
  <c r="AQ30" i="10"/>
  <c r="AQ29" i="10"/>
  <c r="AQ27" i="10"/>
  <c r="AQ26" i="10"/>
  <c r="AQ24" i="10"/>
  <c r="AQ23" i="10"/>
  <c r="AQ169" i="10" s="1"/>
  <c r="AK32" i="10"/>
  <c r="AK31" i="10"/>
  <c r="AK170" i="10" s="1"/>
  <c r="AK30" i="10"/>
  <c r="AK29" i="10"/>
  <c r="AK27" i="10"/>
  <c r="AK26" i="10"/>
  <c r="AK24" i="10"/>
  <c r="AK23" i="10"/>
  <c r="AK169" i="10" s="1"/>
  <c r="AE32" i="10"/>
  <c r="AE31" i="10"/>
  <c r="AE170" i="10" s="1"/>
  <c r="AE30" i="10"/>
  <c r="AE29" i="10"/>
  <c r="AE27" i="10"/>
  <c r="AE26" i="10"/>
  <c r="AE24" i="10"/>
  <c r="AE150" i="10" s="1"/>
  <c r="AE23" i="10"/>
  <c r="AE169" i="10" s="1"/>
  <c r="Y32" i="10"/>
  <c r="Y31" i="10"/>
  <c r="Y170" i="10" s="1"/>
  <c r="Y30" i="10"/>
  <c r="Y29" i="10"/>
  <c r="Y27" i="10"/>
  <c r="Y26" i="10"/>
  <c r="Y25" i="10"/>
  <c r="Y24" i="10"/>
  <c r="Y150" i="10" s="1"/>
  <c r="S32" i="10"/>
  <c r="S31" i="10"/>
  <c r="S170" i="10" s="1"/>
  <c r="S30" i="10"/>
  <c r="S29" i="10"/>
  <c r="S27" i="10"/>
  <c r="S26" i="10"/>
  <c r="S25" i="10"/>
  <c r="S24" i="10"/>
  <c r="S23" i="10"/>
  <c r="M32" i="10"/>
  <c r="M31" i="10"/>
  <c r="M170" i="10" s="1"/>
  <c r="M30" i="10"/>
  <c r="M29" i="10"/>
  <c r="M27" i="10"/>
  <c r="M26" i="10"/>
  <c r="M25" i="10"/>
  <c r="M24" i="10"/>
  <c r="M23" i="10"/>
  <c r="G32" i="10"/>
  <c r="G152" i="10" s="1"/>
  <c r="R28" i="10"/>
  <c r="L28" i="10"/>
  <c r="BF25" i="10"/>
  <c r="BF151" i="10" s="1"/>
  <c r="BE25" i="10"/>
  <c r="BB25" i="10"/>
  <c r="BC25" i="10" s="1"/>
  <c r="BA25" i="10"/>
  <c r="AZ25" i="10"/>
  <c r="AY25" i="10"/>
  <c r="AY151" i="10"/>
  <c r="AV25" i="10"/>
  <c r="AU25" i="10"/>
  <c r="AT25" i="10"/>
  <c r="AS25" i="10"/>
  <c r="AS151" i="10" s="1"/>
  <c r="AP25" i="10"/>
  <c r="AO25" i="10"/>
  <c r="AN25" i="10"/>
  <c r="AM25" i="10"/>
  <c r="AJ25" i="10"/>
  <c r="AJ28" i="10" s="1"/>
  <c r="AI25" i="10"/>
  <c r="AI28" i="10" s="1"/>
  <c r="AH25" i="10"/>
  <c r="AG25" i="10"/>
  <c r="AG151" i="10" s="1"/>
  <c r="AD25" i="10"/>
  <c r="AC25" i="10"/>
  <c r="AB25" i="10"/>
  <c r="AA25" i="10"/>
  <c r="W25" i="10"/>
  <c r="W28" i="10" s="1"/>
  <c r="W151" i="10"/>
  <c r="V25" i="10"/>
  <c r="U25" i="10"/>
  <c r="Q25" i="10"/>
  <c r="P25" i="10"/>
  <c r="O25" i="10"/>
  <c r="K25" i="10"/>
  <c r="K28" i="10"/>
  <c r="K151" i="10"/>
  <c r="J25" i="10"/>
  <c r="I25" i="10"/>
  <c r="I151" i="10" s="1"/>
  <c r="G25" i="10"/>
  <c r="G151" i="10" s="1"/>
  <c r="AD16" i="10"/>
  <c r="L16" i="10"/>
  <c r="L21" i="10" s="1"/>
  <c r="BC20" i="10"/>
  <c r="BC19" i="10"/>
  <c r="BC18" i="10"/>
  <c r="BC181" i="10" s="1"/>
  <c r="BC17" i="10"/>
  <c r="BC145" i="10" s="1"/>
  <c r="BC15" i="10"/>
  <c r="BC14" i="10"/>
  <c r="BC143" i="10" s="1"/>
  <c r="BC13" i="10"/>
  <c r="BC142" i="10" s="1"/>
  <c r="BC12" i="10"/>
  <c r="BC11" i="10"/>
  <c r="BC179" i="10" s="1"/>
  <c r="AQ20" i="10"/>
  <c r="AQ19" i="10"/>
  <c r="AQ18" i="10"/>
  <c r="AQ181" i="10" s="1"/>
  <c r="AQ17" i="10"/>
  <c r="AQ15" i="10"/>
  <c r="AQ144" i="10" s="1"/>
  <c r="AQ14" i="10"/>
  <c r="AQ13" i="10"/>
  <c r="AQ142" i="10" s="1"/>
  <c r="AQ12" i="10"/>
  <c r="AQ11" i="10"/>
  <c r="AQ179" i="10" s="1"/>
  <c r="AK20" i="10"/>
  <c r="AK19" i="10"/>
  <c r="AK18" i="10"/>
  <c r="AK181" i="10" s="1"/>
  <c r="AK17" i="10"/>
  <c r="AK15" i="10"/>
  <c r="AK144" i="10" s="1"/>
  <c r="AK13" i="10"/>
  <c r="AK12" i="10"/>
  <c r="AK11" i="10"/>
  <c r="AK179" i="10" s="1"/>
  <c r="AE20" i="10"/>
  <c r="AE19" i="10"/>
  <c r="AE18" i="10"/>
  <c r="AE181" i="10" s="1"/>
  <c r="AE15" i="10"/>
  <c r="AE144" i="10" s="1"/>
  <c r="AE14" i="10"/>
  <c r="AE143" i="10" s="1"/>
  <c r="AE13" i="10"/>
  <c r="AE12" i="10"/>
  <c r="AE11" i="10"/>
  <c r="AE179" i="10" s="1"/>
  <c r="Y20" i="10"/>
  <c r="Y19" i="10"/>
  <c r="Y18" i="10"/>
  <c r="Y181" i="10" s="1"/>
  <c r="Y17" i="10"/>
  <c r="Y109" i="10" s="1"/>
  <c r="Y15" i="10"/>
  <c r="Y14" i="10"/>
  <c r="Y143" i="10" s="1"/>
  <c r="Y13" i="10"/>
  <c r="Y12" i="10"/>
  <c r="Y11" i="10"/>
  <c r="Y179" i="10" s="1"/>
  <c r="S20" i="10"/>
  <c r="S19" i="10"/>
  <c r="S18" i="10"/>
  <c r="S181" i="10" s="1"/>
  <c r="S17" i="10"/>
  <c r="S15" i="10"/>
  <c r="S144" i="10" s="1"/>
  <c r="S14" i="10"/>
  <c r="S12" i="10"/>
  <c r="S11" i="10"/>
  <c r="S179" i="10" s="1"/>
  <c r="M20" i="10"/>
  <c r="M19" i="10"/>
  <c r="M18" i="10"/>
  <c r="M181" i="10" s="1"/>
  <c r="M17" i="10"/>
  <c r="M145" i="10" s="1"/>
  <c r="M15" i="10"/>
  <c r="M144" i="10" s="1"/>
  <c r="M14" i="10"/>
  <c r="M143" i="10" s="1"/>
  <c r="M13" i="10"/>
  <c r="M142" i="10" s="1"/>
  <c r="M12" i="10"/>
  <c r="M11" i="10"/>
  <c r="M179" i="10" s="1"/>
  <c r="BF16" i="10"/>
  <c r="BE16" i="10"/>
  <c r="BB16" i="10"/>
  <c r="BA16" i="10"/>
  <c r="BA21" i="10" s="1"/>
  <c r="AY16" i="10"/>
  <c r="AY21" i="10" s="1"/>
  <c r="AV16" i="10"/>
  <c r="AU16" i="10"/>
  <c r="AT16" i="10"/>
  <c r="AT21" i="10" s="1"/>
  <c r="AS16" i="10"/>
  <c r="AS21" i="10" s="1"/>
  <c r="AP16" i="10"/>
  <c r="AO16" i="10"/>
  <c r="AO21" i="10" s="1"/>
  <c r="AN16" i="10"/>
  <c r="AM16" i="10"/>
  <c r="AM21" i="10" s="1"/>
  <c r="AJ16" i="10"/>
  <c r="AI21" i="10"/>
  <c r="AH16" i="10"/>
  <c r="AH21" i="10" s="1"/>
  <c r="AC16" i="10"/>
  <c r="AA16" i="10"/>
  <c r="X16" i="10"/>
  <c r="W16" i="10"/>
  <c r="V16" i="10"/>
  <c r="V21" i="10" s="1"/>
  <c r="U16" i="10"/>
  <c r="Q16" i="10"/>
  <c r="P16" i="10"/>
  <c r="P21" i="10" s="1"/>
  <c r="O16" i="10"/>
  <c r="O21" i="10" s="1"/>
  <c r="J16" i="10"/>
  <c r="I16" i="10"/>
  <c r="G16" i="10"/>
  <c r="G21" i="10" s="1"/>
  <c r="BF10" i="10"/>
  <c r="BE10" i="10"/>
  <c r="BA10" i="10"/>
  <c r="AZ10" i="10"/>
  <c r="AY10" i="10"/>
  <c r="AV10" i="10"/>
  <c r="AU10" i="10"/>
  <c r="AT10" i="10"/>
  <c r="AP10" i="10"/>
  <c r="AN10" i="10"/>
  <c r="AH10" i="10"/>
  <c r="AC10" i="10"/>
  <c r="AB10" i="10"/>
  <c r="W10" i="10"/>
  <c r="V10" i="10"/>
  <c r="R10" i="10"/>
  <c r="Q10" i="10"/>
  <c r="P10" i="10"/>
  <c r="L10" i="10"/>
  <c r="K10" i="10"/>
  <c r="J10" i="10"/>
  <c r="I10" i="10"/>
  <c r="O8" i="10"/>
  <c r="U8" i="10" s="1"/>
  <c r="J8" i="10"/>
  <c r="K8" i="10" s="1"/>
  <c r="L8" i="10" s="1"/>
  <c r="M7" i="10"/>
  <c r="S7" i="10" s="1"/>
  <c r="Y7" i="10" s="1"/>
  <c r="AE7" i="10" s="1"/>
  <c r="AK7" i="10" s="1"/>
  <c r="AQ7" i="10" s="1"/>
  <c r="I7" i="10"/>
  <c r="O7" i="10" s="1"/>
  <c r="U7" i="10" s="1"/>
  <c r="AA7" i="10" s="1"/>
  <c r="AG7" i="10" s="1"/>
  <c r="AM7" i="10" s="1"/>
  <c r="AS7" i="10" s="1"/>
  <c r="AY7" i="10" s="1"/>
  <c r="BE7" i="10" s="1"/>
  <c r="BK7" i="10" s="1"/>
  <c r="BQ7" i="10" s="1"/>
  <c r="BW7" i="10" s="1"/>
  <c r="CC7" i="10" s="1"/>
  <c r="CI7" i="10" s="1"/>
  <c r="A125" i="11"/>
  <c r="BG125" i="11"/>
  <c r="BF125" i="11"/>
  <c r="BG124" i="11"/>
  <c r="BF124" i="11"/>
  <c r="BG123" i="11"/>
  <c r="BF123" i="11"/>
  <c r="BA125" i="11"/>
  <c r="AZ125" i="11"/>
  <c r="BA124" i="11"/>
  <c r="AZ124" i="11"/>
  <c r="BA123" i="11"/>
  <c r="AZ123" i="11"/>
  <c r="AV125" i="11"/>
  <c r="AU125" i="11"/>
  <c r="AT125" i="11"/>
  <c r="AS125" i="11"/>
  <c r="AV124" i="11"/>
  <c r="AU124" i="11"/>
  <c r="AT124" i="11"/>
  <c r="AS124" i="11"/>
  <c r="AV123" i="11"/>
  <c r="AU123" i="11"/>
  <c r="AT123" i="11"/>
  <c r="AS123" i="11"/>
  <c r="AI125" i="11"/>
  <c r="AH125" i="11"/>
  <c r="AG125" i="11"/>
  <c r="AI124" i="11"/>
  <c r="AH124" i="11"/>
  <c r="AG124" i="11"/>
  <c r="AC125" i="11"/>
  <c r="AE118" i="11" s="1"/>
  <c r="AB125" i="11"/>
  <c r="AA125" i="11"/>
  <c r="AC124" i="11"/>
  <c r="AD117" i="11" s="1"/>
  <c r="AE117" i="11" s="1"/>
  <c r="AB124" i="11"/>
  <c r="AA124" i="11"/>
  <c r="AC123" i="11"/>
  <c r="AB123" i="11"/>
  <c r="AA123" i="11"/>
  <c r="A123" i="11"/>
  <c r="AY118" i="11"/>
  <c r="BE125" i="11" s="1"/>
  <c r="DB41" i="11"/>
  <c r="AY117" i="11"/>
  <c r="AY116" i="11"/>
  <c r="DB39" i="11" s="1"/>
  <c r="AW118" i="11"/>
  <c r="AW117" i="11"/>
  <c r="AW116" i="11"/>
  <c r="AQ118" i="11"/>
  <c r="AQ117" i="11"/>
  <c r="AQ116" i="11"/>
  <c r="Y118" i="11"/>
  <c r="Y117" i="11"/>
  <c r="Y116" i="11"/>
  <c r="L118" i="11"/>
  <c r="L117" i="11"/>
  <c r="L116" i="11"/>
  <c r="BB118" i="11"/>
  <c r="DE41" i="11" s="1"/>
  <c r="BB117" i="11"/>
  <c r="BH124" i="11" s="1"/>
  <c r="BB116" i="11"/>
  <c r="BB100" i="13" s="1"/>
  <c r="BG105" i="11"/>
  <c r="BM112" i="11" s="1"/>
  <c r="BF105" i="11"/>
  <c r="BL112" i="11" s="1"/>
  <c r="BE105" i="11"/>
  <c r="BK112" i="11" s="1"/>
  <c r="BG104" i="11"/>
  <c r="BM111" i="11" s="1"/>
  <c r="BF104" i="11"/>
  <c r="BL111" i="11" s="1"/>
  <c r="BE104" i="11"/>
  <c r="BG103" i="11"/>
  <c r="BM110" i="11" s="1"/>
  <c r="BF103" i="11"/>
  <c r="BL110" i="11" s="1"/>
  <c r="BE103" i="11"/>
  <c r="BK110" i="11" s="1"/>
  <c r="BG102" i="11"/>
  <c r="BM109" i="11" s="1"/>
  <c r="BF102" i="11"/>
  <c r="BL109" i="11" s="1"/>
  <c r="BE102" i="11"/>
  <c r="BK109" i="11" s="1"/>
  <c r="BG101" i="11"/>
  <c r="BM108" i="11" s="1"/>
  <c r="BF101" i="11"/>
  <c r="BL108" i="11" s="1"/>
  <c r="BG100" i="11"/>
  <c r="BM107" i="11" s="1"/>
  <c r="BF100" i="11"/>
  <c r="BL107" i="11" s="1"/>
  <c r="BB105" i="11"/>
  <c r="BA105" i="11"/>
  <c r="AZ105" i="11"/>
  <c r="AY105" i="11"/>
  <c r="BA104" i="11"/>
  <c r="DD37" i="11" s="1"/>
  <c r="AZ104" i="11"/>
  <c r="BA102" i="11"/>
  <c r="AZ102" i="11"/>
  <c r="BA101" i="11"/>
  <c r="DD34" i="11" s="1"/>
  <c r="AZ101" i="11"/>
  <c r="BA100" i="11"/>
  <c r="AZ100" i="11"/>
  <c r="AV105" i="11"/>
  <c r="AU105" i="11"/>
  <c r="AT105" i="11"/>
  <c r="AS105" i="11"/>
  <c r="AR105" i="11"/>
  <c r="AQ105" i="11"/>
  <c r="AP105" i="11"/>
  <c r="AO105" i="11"/>
  <c r="AN105" i="11"/>
  <c r="AM105" i="11"/>
  <c r="AL105" i="11"/>
  <c r="AK105" i="11"/>
  <c r="AJ105" i="11"/>
  <c r="AI105" i="11"/>
  <c r="AH105" i="11"/>
  <c r="AG105" i="11"/>
  <c r="AF105" i="11"/>
  <c r="AD105" i="11"/>
  <c r="AC105" i="11"/>
  <c r="AB105" i="11"/>
  <c r="AA105" i="11"/>
  <c r="Z105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E105" i="11"/>
  <c r="D105" i="11"/>
  <c r="C105" i="11"/>
  <c r="AV104" i="11"/>
  <c r="AU104" i="11"/>
  <c r="AT104" i="11"/>
  <c r="AS104" i="11"/>
  <c r="CX37" i="11" s="1"/>
  <c r="AR104" i="11"/>
  <c r="AQ104" i="11"/>
  <c r="AP104" i="11"/>
  <c r="CW37" i="11" s="1"/>
  <c r="AO104" i="11"/>
  <c r="CV37" i="11" s="1"/>
  <c r="AN104" i="11"/>
  <c r="CU37" i="11" s="1"/>
  <c r="AM104" i="11"/>
  <c r="AL104" i="11"/>
  <c r="AK104" i="11"/>
  <c r="AJ104" i="11"/>
  <c r="AI104" i="11"/>
  <c r="AH104" i="11"/>
  <c r="AG104" i="11"/>
  <c r="AF104" i="11"/>
  <c r="AE104" i="11"/>
  <c r="AD104" i="11"/>
  <c r="AC104" i="11"/>
  <c r="AB104" i="11"/>
  <c r="AA104" i="11"/>
  <c r="Z104" i="11"/>
  <c r="X104" i="11"/>
  <c r="W104" i="11"/>
  <c r="V104" i="11"/>
  <c r="U104" i="11"/>
  <c r="T104" i="11"/>
  <c r="R104" i="11"/>
  <c r="Q104" i="11"/>
  <c r="P104" i="11"/>
  <c r="O104" i="11"/>
  <c r="N104" i="11"/>
  <c r="L104" i="11"/>
  <c r="K104" i="11"/>
  <c r="J104" i="11"/>
  <c r="I104" i="11"/>
  <c r="H104" i="11"/>
  <c r="G104" i="11"/>
  <c r="F104" i="11"/>
  <c r="E104" i="11"/>
  <c r="D104" i="11"/>
  <c r="C104" i="11"/>
  <c r="AR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AA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E103" i="11"/>
  <c r="D103" i="11"/>
  <c r="C103" i="11"/>
  <c r="AV102" i="11"/>
  <c r="AU102" i="11"/>
  <c r="CZ35" i="11" s="1"/>
  <c r="AT102" i="11"/>
  <c r="CY35" i="11" s="1"/>
  <c r="AS102" i="11"/>
  <c r="AR102" i="11"/>
  <c r="AQ102" i="11"/>
  <c r="AP102" i="11"/>
  <c r="CW35" i="11" s="1"/>
  <c r="AO102" i="11"/>
  <c r="CV35" i="11" s="1"/>
  <c r="AN102" i="11"/>
  <c r="AM102" i="11"/>
  <c r="CT35" i="11" s="1"/>
  <c r="AL102" i="11"/>
  <c r="AK102" i="11"/>
  <c r="AJ102" i="11"/>
  <c r="AI102" i="11"/>
  <c r="AH102" i="11"/>
  <c r="AG102" i="11"/>
  <c r="AF102" i="11"/>
  <c r="AE102" i="11"/>
  <c r="AD102" i="11"/>
  <c r="AC102" i="11"/>
  <c r="AB102" i="11"/>
  <c r="AA102" i="11"/>
  <c r="Z102" i="11"/>
  <c r="X102" i="11"/>
  <c r="W102" i="11"/>
  <c r="V102" i="11"/>
  <c r="U102" i="11"/>
  <c r="T102" i="11"/>
  <c r="R102" i="11"/>
  <c r="Q102" i="11"/>
  <c r="P102" i="11"/>
  <c r="O102" i="11"/>
  <c r="N102" i="11"/>
  <c r="L102" i="11"/>
  <c r="K102" i="11"/>
  <c r="J102" i="11"/>
  <c r="I102" i="11"/>
  <c r="H102" i="11"/>
  <c r="G102" i="11"/>
  <c r="F102" i="11"/>
  <c r="E102" i="11"/>
  <c r="D102" i="11"/>
  <c r="C102" i="11"/>
  <c r="AV101" i="11"/>
  <c r="DA34" i="11" s="1"/>
  <c r="AU101" i="11"/>
  <c r="AT101" i="11"/>
  <c r="AS101" i="11"/>
  <c r="CX34" i="11" s="1"/>
  <c r="AR101" i="11"/>
  <c r="AQ101" i="11"/>
  <c r="AP101" i="11"/>
  <c r="CW34" i="11" s="1"/>
  <c r="AO101" i="11"/>
  <c r="CV34" i="11" s="1"/>
  <c r="AN101" i="11"/>
  <c r="CU34" i="11" s="1"/>
  <c r="AM101" i="11"/>
  <c r="AL101" i="11"/>
  <c r="AK101" i="11"/>
  <c r="AJ101" i="11"/>
  <c r="AI101" i="11"/>
  <c r="AH101" i="11"/>
  <c r="AG101" i="11"/>
  <c r="AF101" i="11"/>
  <c r="AD101" i="11"/>
  <c r="AC101" i="11"/>
  <c r="AB101" i="11"/>
  <c r="AA101" i="11"/>
  <c r="Z101" i="11"/>
  <c r="X101" i="11"/>
  <c r="W101" i="11"/>
  <c r="V101" i="11"/>
  <c r="U101" i="11"/>
  <c r="T101" i="11"/>
  <c r="R101" i="11"/>
  <c r="Q101" i="11"/>
  <c r="P101" i="11"/>
  <c r="O101" i="11"/>
  <c r="N101" i="11"/>
  <c r="L101" i="11"/>
  <c r="K101" i="11"/>
  <c r="J101" i="11"/>
  <c r="I101" i="11"/>
  <c r="H101" i="11"/>
  <c r="G101" i="11"/>
  <c r="F101" i="11"/>
  <c r="E101" i="11"/>
  <c r="D101" i="11"/>
  <c r="C101" i="11"/>
  <c r="AV100" i="11"/>
  <c r="AU100" i="11"/>
  <c r="CZ33" i="11" s="1"/>
  <c r="AT100" i="11"/>
  <c r="AS100" i="11"/>
  <c r="CX33" i="11" s="1"/>
  <c r="AR100" i="11"/>
  <c r="AQ100" i="11"/>
  <c r="AP100" i="11"/>
  <c r="CW33" i="11" s="1"/>
  <c r="AO100" i="11"/>
  <c r="CV33" i="11" s="1"/>
  <c r="AN100" i="11"/>
  <c r="CU33" i="11" s="1"/>
  <c r="AM100" i="11"/>
  <c r="CT33" i="11" s="1"/>
  <c r="AL100" i="11"/>
  <c r="AK100" i="11"/>
  <c r="AJ100" i="11"/>
  <c r="AI100" i="11"/>
  <c r="AH100" i="11"/>
  <c r="AG100" i="11"/>
  <c r="AF100" i="11"/>
  <c r="AD100" i="11"/>
  <c r="AC100" i="11"/>
  <c r="AB100" i="11"/>
  <c r="AA100" i="11"/>
  <c r="Z100" i="11"/>
  <c r="X100" i="11"/>
  <c r="W100" i="11"/>
  <c r="V100" i="11"/>
  <c r="U100" i="11"/>
  <c r="T100" i="11"/>
  <c r="R100" i="11"/>
  <c r="Q100" i="11"/>
  <c r="P100" i="11"/>
  <c r="O100" i="11"/>
  <c r="N100" i="11"/>
  <c r="L100" i="11"/>
  <c r="K100" i="11"/>
  <c r="J100" i="11"/>
  <c r="I100" i="11"/>
  <c r="H100" i="11"/>
  <c r="G100" i="11"/>
  <c r="F100" i="11"/>
  <c r="E100" i="11"/>
  <c r="D100" i="11"/>
  <c r="C100" i="11"/>
  <c r="BG90" i="11"/>
  <c r="BF90" i="11"/>
  <c r="BE90" i="11"/>
  <c r="BG89" i="11"/>
  <c r="BF89" i="11"/>
  <c r="BA90" i="11"/>
  <c r="AZ90" i="11"/>
  <c r="AY90" i="11"/>
  <c r="AU90" i="11"/>
  <c r="AT90" i="11"/>
  <c r="AS90" i="11"/>
  <c r="AP90" i="11"/>
  <c r="AO90" i="11"/>
  <c r="AN90" i="11"/>
  <c r="AM90" i="11"/>
  <c r="AJ90" i="11"/>
  <c r="AI90" i="11"/>
  <c r="AH90" i="11"/>
  <c r="AD90" i="11"/>
  <c r="AC90" i="11"/>
  <c r="AB90" i="11"/>
  <c r="X90" i="11"/>
  <c r="W90" i="11"/>
  <c r="V90" i="11"/>
  <c r="U90" i="11"/>
  <c r="R90" i="11"/>
  <c r="P90" i="11"/>
  <c r="O90" i="11"/>
  <c r="L90" i="11"/>
  <c r="L95" i="11" s="1"/>
  <c r="I90" i="11"/>
  <c r="L89" i="11"/>
  <c r="I89" i="11"/>
  <c r="I94" i="11" s="1"/>
  <c r="AJ68" i="11"/>
  <c r="AI68" i="11"/>
  <c r="AH68" i="11"/>
  <c r="AG68" i="11"/>
  <c r="AJ63" i="11"/>
  <c r="AI63" i="11"/>
  <c r="AH63" i="11"/>
  <c r="AG63" i="11"/>
  <c r="AJ62" i="11"/>
  <c r="AI62" i="11"/>
  <c r="AH62" i="11"/>
  <c r="AG62" i="11"/>
  <c r="AD63" i="11"/>
  <c r="AD62" i="11"/>
  <c r="AC62" i="11"/>
  <c r="AB62" i="11"/>
  <c r="AA62" i="11"/>
  <c r="M68" i="11"/>
  <c r="L68" i="11"/>
  <c r="L83" i="11" s="1"/>
  <c r="K68" i="11"/>
  <c r="J68" i="11"/>
  <c r="I68" i="11"/>
  <c r="M65" i="11"/>
  <c r="M80" i="11" s="1"/>
  <c r="L65" i="11"/>
  <c r="L80" i="11" s="1"/>
  <c r="K65" i="11"/>
  <c r="J65" i="11"/>
  <c r="I65" i="11"/>
  <c r="I80" i="11" s="1"/>
  <c r="L64" i="11"/>
  <c r="L79" i="11" s="1"/>
  <c r="K64" i="11"/>
  <c r="J64" i="11"/>
  <c r="I64" i="11"/>
  <c r="M63" i="11"/>
  <c r="L63" i="11"/>
  <c r="L78" i="11" s="1"/>
  <c r="K63" i="11"/>
  <c r="J63" i="11"/>
  <c r="J78" i="11" s="1"/>
  <c r="I63" i="11"/>
  <c r="M62" i="11"/>
  <c r="L62" i="11"/>
  <c r="L77" i="11" s="1"/>
  <c r="K62" i="11"/>
  <c r="J62" i="11"/>
  <c r="I62" i="11"/>
  <c r="I77" i="11" s="1"/>
  <c r="L61" i="11"/>
  <c r="K61" i="11"/>
  <c r="J61" i="11"/>
  <c r="J76" i="11" s="1"/>
  <c r="I61" i="11"/>
  <c r="L59" i="11"/>
  <c r="K59" i="11"/>
  <c r="K74" i="11" s="1"/>
  <c r="J59" i="11"/>
  <c r="J74" i="11" s="1"/>
  <c r="I59" i="11"/>
  <c r="I74" i="11" s="1"/>
  <c r="DH41" i="11"/>
  <c r="DL54" i="11" s="1"/>
  <c r="DG41" i="11"/>
  <c r="DK54" i="11" s="1"/>
  <c r="DD41" i="11"/>
  <c r="DC41" i="11"/>
  <c r="DA41" i="11"/>
  <c r="CZ41" i="11"/>
  <c r="CY41" i="11"/>
  <c r="CX41" i="11"/>
  <c r="CW41" i="11"/>
  <c r="CV41" i="11"/>
  <c r="CZ54" i="11" s="1"/>
  <c r="CU41" i="11"/>
  <c r="CT41" i="11"/>
  <c r="CX54" i="11" s="1"/>
  <c r="DH40" i="11"/>
  <c r="DG40" i="11"/>
  <c r="DK53" i="11" s="1"/>
  <c r="DF40" i="11"/>
  <c r="DD40" i="11"/>
  <c r="DC40" i="11"/>
  <c r="DA40" i="11"/>
  <c r="CZ40" i="11"/>
  <c r="CY40" i="11"/>
  <c r="CX40" i="11"/>
  <c r="CW40" i="11"/>
  <c r="CV40" i="11"/>
  <c r="CU40" i="11"/>
  <c r="CT40" i="11"/>
  <c r="DH39" i="11"/>
  <c r="DL52" i="11" s="1"/>
  <c r="DG39" i="11"/>
  <c r="DK52" i="11" s="1"/>
  <c r="DD39" i="11"/>
  <c r="DC39" i="11"/>
  <c r="DA39" i="11"/>
  <c r="CZ39" i="11"/>
  <c r="CY39" i="11"/>
  <c r="CX39" i="11"/>
  <c r="CW39" i="11"/>
  <c r="CV39" i="11"/>
  <c r="CU39" i="11"/>
  <c r="CT39" i="11"/>
  <c r="L38" i="11"/>
  <c r="K38" i="11"/>
  <c r="J38" i="11"/>
  <c r="I38" i="11"/>
  <c r="F38" i="11"/>
  <c r="E38" i="11"/>
  <c r="D38" i="11"/>
  <c r="C38" i="11"/>
  <c r="DH37" i="11"/>
  <c r="DL50" i="11" s="1"/>
  <c r="DG37" i="11"/>
  <c r="DK50" i="11" s="1"/>
  <c r="DH36" i="11"/>
  <c r="DL49" i="11" s="1"/>
  <c r="DG36" i="11"/>
  <c r="DK49" i="11" s="1"/>
  <c r="DH35" i="11"/>
  <c r="DL48" i="11" s="1"/>
  <c r="DG35" i="11"/>
  <c r="DK48" i="11" s="1"/>
  <c r="DH34" i="11"/>
  <c r="DL47" i="11" s="1"/>
  <c r="DG34" i="11"/>
  <c r="DK47" i="11" s="1"/>
  <c r="DH33" i="11"/>
  <c r="DL46" i="11" s="1"/>
  <c r="DG33" i="11"/>
  <c r="DK46" i="11" s="1"/>
  <c r="BT40" i="11"/>
  <c r="BS40" i="11"/>
  <c r="BR40" i="11"/>
  <c r="BQ40" i="11"/>
  <c r="BT39" i="11"/>
  <c r="BS39" i="11"/>
  <c r="BR39" i="11"/>
  <c r="BQ39" i="11"/>
  <c r="BQ38" i="11"/>
  <c r="BQ35" i="11"/>
  <c r="BQ34" i="11"/>
  <c r="BQ32" i="11"/>
  <c r="BN40" i="11"/>
  <c r="BM40" i="11"/>
  <c r="BL40" i="11"/>
  <c r="BR53" i="11" s="1"/>
  <c r="BK40" i="11"/>
  <c r="BN39" i="11"/>
  <c r="BM39" i="11"/>
  <c r="BL39" i="11"/>
  <c r="BK39" i="11"/>
  <c r="BN38" i="11"/>
  <c r="BM38" i="11"/>
  <c r="BK38" i="11"/>
  <c r="BK35" i="11"/>
  <c r="BL34" i="11"/>
  <c r="BK34" i="11"/>
  <c r="BK32" i="11"/>
  <c r="BH40" i="11"/>
  <c r="BG40" i="11"/>
  <c r="BF40" i="11"/>
  <c r="BE40" i="11"/>
  <c r="BH39" i="11"/>
  <c r="BG39" i="11"/>
  <c r="BF39" i="11"/>
  <c r="BE39" i="11"/>
  <c r="BH38" i="11"/>
  <c r="BG38" i="11"/>
  <c r="BF38" i="11"/>
  <c r="BE38" i="11"/>
  <c r="BH35" i="11"/>
  <c r="BG35" i="11"/>
  <c r="BF35" i="11"/>
  <c r="BE35" i="11"/>
  <c r="BH34" i="11"/>
  <c r="BG34" i="11"/>
  <c r="BF34" i="11"/>
  <c r="BE34" i="11"/>
  <c r="BH32" i="11"/>
  <c r="BG32" i="11"/>
  <c r="BF32" i="11"/>
  <c r="BE32" i="11"/>
  <c r="BA40" i="11"/>
  <c r="AZ40" i="11"/>
  <c r="BA39" i="11"/>
  <c r="AZ39" i="11"/>
  <c r="BA38" i="11"/>
  <c r="AZ38" i="11"/>
  <c r="BA35" i="11"/>
  <c r="AZ35" i="11"/>
  <c r="BA34" i="11"/>
  <c r="AZ34" i="11"/>
  <c r="BA32" i="11"/>
  <c r="AZ32" i="11"/>
  <c r="AV38" i="11"/>
  <c r="AU38" i="11"/>
  <c r="AT38" i="11"/>
  <c r="AS38" i="11"/>
  <c r="AV35" i="11"/>
  <c r="AU35" i="11"/>
  <c r="AT35" i="11"/>
  <c r="AS35" i="11"/>
  <c r="AV34" i="11"/>
  <c r="AU34" i="11"/>
  <c r="AT34" i="11"/>
  <c r="AS34" i="11"/>
  <c r="AV32" i="11"/>
  <c r="AU32" i="11"/>
  <c r="AT32" i="11"/>
  <c r="AS32" i="11"/>
  <c r="AP38" i="11"/>
  <c r="AO38" i="11"/>
  <c r="AN38" i="11"/>
  <c r="AM38" i="11"/>
  <c r="AP35" i="11"/>
  <c r="AO35" i="11"/>
  <c r="AN35" i="11"/>
  <c r="AM35" i="11"/>
  <c r="AP34" i="11"/>
  <c r="AO34" i="11"/>
  <c r="AN34" i="11"/>
  <c r="AM34" i="11"/>
  <c r="AP32" i="11"/>
  <c r="AO32" i="11"/>
  <c r="AN32" i="11"/>
  <c r="AM32" i="11"/>
  <c r="AJ38" i="11"/>
  <c r="AI38" i="11"/>
  <c r="AH38" i="11"/>
  <c r="AG38" i="11"/>
  <c r="AJ35" i="11"/>
  <c r="AI35" i="11"/>
  <c r="AH35" i="11"/>
  <c r="AG35" i="11"/>
  <c r="AJ34" i="11"/>
  <c r="AI34" i="11"/>
  <c r="AH34" i="11"/>
  <c r="AG34" i="11"/>
  <c r="AJ32" i="11"/>
  <c r="AI32" i="11"/>
  <c r="AH32" i="11"/>
  <c r="AG32" i="11"/>
  <c r="AD35" i="11"/>
  <c r="AD34" i="11"/>
  <c r="AC34" i="11"/>
  <c r="AB34" i="11"/>
  <c r="AA34" i="11"/>
  <c r="AD32" i="11"/>
  <c r="CO28" i="11"/>
  <c r="CO26" i="11"/>
  <c r="CO25" i="11"/>
  <c r="CO24" i="11"/>
  <c r="CO23" i="11"/>
  <c r="CO22" i="11"/>
  <c r="CO21" i="11"/>
  <c r="X26" i="11"/>
  <c r="W26" i="11"/>
  <c r="V26" i="11"/>
  <c r="U26" i="11"/>
  <c r="X25" i="11"/>
  <c r="W25" i="11"/>
  <c r="V25" i="11"/>
  <c r="U25" i="11"/>
  <c r="X23" i="11"/>
  <c r="W23" i="11"/>
  <c r="V23" i="11"/>
  <c r="U23" i="11"/>
  <c r="X22" i="11"/>
  <c r="W22" i="11"/>
  <c r="V22" i="11"/>
  <c r="U22" i="11"/>
  <c r="X21" i="11"/>
  <c r="W21" i="11"/>
  <c r="V21" i="11"/>
  <c r="U21" i="11"/>
  <c r="R26" i="11"/>
  <c r="Q26" i="11"/>
  <c r="P26" i="11"/>
  <c r="O26" i="11"/>
  <c r="R25" i="11"/>
  <c r="Q25" i="11"/>
  <c r="P25" i="11"/>
  <c r="O25" i="11"/>
  <c r="R23" i="11"/>
  <c r="Q23" i="11"/>
  <c r="P23" i="11"/>
  <c r="O23" i="11"/>
  <c r="R22" i="11"/>
  <c r="Q22" i="11"/>
  <c r="P22" i="11"/>
  <c r="O22" i="11"/>
  <c r="R21" i="11"/>
  <c r="Q21" i="11"/>
  <c r="P21" i="11"/>
  <c r="O21" i="11"/>
  <c r="L26" i="11"/>
  <c r="K26" i="11"/>
  <c r="J26" i="11"/>
  <c r="I26" i="11"/>
  <c r="L25" i="11"/>
  <c r="K25" i="11"/>
  <c r="J25" i="11"/>
  <c r="I25" i="11"/>
  <c r="L23" i="11"/>
  <c r="K23" i="11"/>
  <c r="J23" i="11"/>
  <c r="I23" i="11"/>
  <c r="I22" i="11"/>
  <c r="L21" i="11"/>
  <c r="K21" i="11"/>
  <c r="J21" i="11"/>
  <c r="I21" i="11"/>
  <c r="DI20" i="11"/>
  <c r="DH20" i="11"/>
  <c r="DG20" i="11"/>
  <c r="DF20" i="11"/>
  <c r="DE20" i="11"/>
  <c r="DD20" i="11"/>
  <c r="DC20" i="11"/>
  <c r="DB20" i="11"/>
  <c r="DA20" i="11"/>
  <c r="BB25" i="11"/>
  <c r="DE26" i="11" s="1"/>
  <c r="BA25" i="11"/>
  <c r="DD26" i="11" s="1"/>
  <c r="AZ25" i="11"/>
  <c r="DC26" i="11" s="1"/>
  <c r="AY25" i="11"/>
  <c r="DB26" i="11" s="1"/>
  <c r="AV25" i="11"/>
  <c r="DA26" i="11" s="1"/>
  <c r="AU25" i="11"/>
  <c r="CZ26" i="11" s="1"/>
  <c r="AT25" i="11"/>
  <c r="CY26" i="11" s="1"/>
  <c r="AS25" i="11"/>
  <c r="CX26" i="11" s="1"/>
  <c r="AP26" i="11"/>
  <c r="CW27" i="11" s="1"/>
  <c r="AO26" i="11"/>
  <c r="CV27" i="11" s="1"/>
  <c r="AN26" i="11"/>
  <c r="CU27" i="11" s="1"/>
  <c r="AM26" i="11"/>
  <c r="CT27" i="11" s="1"/>
  <c r="AP25" i="11"/>
  <c r="CW26" i="11" s="1"/>
  <c r="AO25" i="11"/>
  <c r="CV26" i="11" s="1"/>
  <c r="AN25" i="11"/>
  <c r="CU26" i="11" s="1"/>
  <c r="AM25" i="11"/>
  <c r="CT26" i="11" s="1"/>
  <c r="AJ26" i="11"/>
  <c r="CS27" i="11" s="1"/>
  <c r="AI26" i="11"/>
  <c r="CR27" i="11" s="1"/>
  <c r="AH26" i="11"/>
  <c r="CQ27" i="11" s="1"/>
  <c r="AG26" i="11"/>
  <c r="CP27" i="11" s="1"/>
  <c r="AJ25" i="11"/>
  <c r="CS26" i="11" s="1"/>
  <c r="AI25" i="11"/>
  <c r="CR26" i="11" s="1"/>
  <c r="AH25" i="11"/>
  <c r="CQ26" i="11" s="1"/>
  <c r="AG25" i="11"/>
  <c r="CP26" i="11" s="1"/>
  <c r="AI23" i="11"/>
  <c r="CR24" i="11" s="1"/>
  <c r="AH23" i="11"/>
  <c r="CQ24" i="11" s="1"/>
  <c r="AG23" i="11"/>
  <c r="CP24" i="11" s="1"/>
  <c r="AJ22" i="11"/>
  <c r="CS23" i="11" s="1"/>
  <c r="AI22" i="11"/>
  <c r="CR23" i="11" s="1"/>
  <c r="AH22" i="11"/>
  <c r="CQ23" i="11" s="1"/>
  <c r="AG22" i="11"/>
  <c r="CP23" i="11" s="1"/>
  <c r="AJ21" i="11"/>
  <c r="CS22" i="11" s="1"/>
  <c r="AI21" i="11"/>
  <c r="CR22" i="11" s="1"/>
  <c r="AH21" i="11"/>
  <c r="CQ22" i="11" s="1"/>
  <c r="AG21" i="11"/>
  <c r="CP22" i="11" s="1"/>
  <c r="AE26" i="11"/>
  <c r="AD26" i="11"/>
  <c r="AC26" i="11"/>
  <c r="AB26" i="11"/>
  <c r="AA26" i="11"/>
  <c r="AD25" i="11"/>
  <c r="AC25" i="11"/>
  <c r="AB25" i="11"/>
  <c r="AA25" i="11"/>
  <c r="AC23" i="11"/>
  <c r="AB23" i="11"/>
  <c r="AA23" i="11"/>
  <c r="AD22" i="11"/>
  <c r="AC22" i="11"/>
  <c r="AB22" i="11"/>
  <c r="AA22" i="11"/>
  <c r="AD21" i="11"/>
  <c r="AC21" i="11"/>
  <c r="AB21" i="11"/>
  <c r="AA21" i="11"/>
  <c r="F17" i="11"/>
  <c r="E17" i="11"/>
  <c r="D17" i="11"/>
  <c r="C17" i="11"/>
  <c r="BO16" i="11"/>
  <c r="BO15" i="11"/>
  <c r="BO14" i="11"/>
  <c r="BI16" i="11"/>
  <c r="BI15" i="11"/>
  <c r="BI14" i="11"/>
  <c r="BC16" i="11"/>
  <c r="BC15" i="11"/>
  <c r="BC12" i="11"/>
  <c r="AW16" i="11"/>
  <c r="AW15" i="11"/>
  <c r="AW14" i="11"/>
  <c r="AW12" i="11"/>
  <c r="BA14" i="11"/>
  <c r="BA13" i="11"/>
  <c r="AZ14" i="11"/>
  <c r="AZ13" i="11"/>
  <c r="AY14" i="11"/>
  <c r="BC14" i="11" s="1"/>
  <c r="BU13" i="11"/>
  <c r="AV13" i="11"/>
  <c r="AU13" i="11"/>
  <c r="AT13" i="11"/>
  <c r="AS13" i="11"/>
  <c r="AQ13" i="11"/>
  <c r="AQ12" i="11"/>
  <c r="AK13" i="11"/>
  <c r="AK12" i="11"/>
  <c r="S13" i="11"/>
  <c r="S12" i="11"/>
  <c r="S10" i="11"/>
  <c r="S9" i="11"/>
  <c r="S8" i="11"/>
  <c r="G13" i="11"/>
  <c r="G12" i="11"/>
  <c r="G11" i="11"/>
  <c r="G10" i="11"/>
  <c r="G8" i="11"/>
  <c r="AE12" i="11"/>
  <c r="AE9" i="11"/>
  <c r="AE8" i="11"/>
  <c r="Y12" i="11"/>
  <c r="Y10" i="11"/>
  <c r="Y9" i="11"/>
  <c r="Y8" i="11"/>
  <c r="M12" i="11"/>
  <c r="M10" i="11"/>
  <c r="M9" i="11"/>
  <c r="M8" i="11"/>
  <c r="F9" i="11"/>
  <c r="L22" i="11"/>
  <c r="E9" i="11"/>
  <c r="K22" i="11" s="1"/>
  <c r="D9" i="11"/>
  <c r="J22" i="11" s="1"/>
  <c r="CW13" i="11"/>
  <c r="CV13" i="11"/>
  <c r="CU13" i="11"/>
  <c r="CT13" i="11"/>
  <c r="CS13" i="11"/>
  <c r="CR13" i="11"/>
  <c r="CQ13" i="11"/>
  <c r="CP13" i="11"/>
  <c r="CO13" i="11"/>
  <c r="CO27" i="11" s="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O11" i="11"/>
  <c r="CS10" i="11"/>
  <c r="CR10" i="11"/>
  <c r="CQ10" i="11"/>
  <c r="CP10" i="11"/>
  <c r="CO10" i="11"/>
  <c r="CS9" i="11"/>
  <c r="CR9" i="11"/>
  <c r="CQ9" i="11"/>
  <c r="CP9" i="11"/>
  <c r="CO9" i="11"/>
  <c r="CS8" i="11"/>
  <c r="CR8" i="11"/>
  <c r="CQ8" i="11"/>
  <c r="CP8" i="11"/>
  <c r="CO8" i="11"/>
  <c r="CO7" i="11"/>
  <c r="DJ12" i="11"/>
  <c r="BG13" i="11"/>
  <c r="BF13" i="11"/>
  <c r="BE13" i="11"/>
  <c r="DI12" i="11"/>
  <c r="BG12" i="11"/>
  <c r="BG18" i="12" s="1"/>
  <c r="BG30" i="12" s="1"/>
  <c r="DH12" i="11"/>
  <c r="BF12" i="11"/>
  <c r="BF25" i="11"/>
  <c r="DG26" i="11" s="1"/>
  <c r="AY10" i="11"/>
  <c r="BA9" i="11"/>
  <c r="DD9" i="11" s="1"/>
  <c r="AZ9" i="11"/>
  <c r="DC9" i="11" s="1"/>
  <c r="AY9" i="11"/>
  <c r="DB9" i="11" s="1"/>
  <c r="BA8" i="11"/>
  <c r="DD8" i="11" s="1"/>
  <c r="AZ8" i="11"/>
  <c r="DC8" i="11" s="1"/>
  <c r="AY8" i="11"/>
  <c r="DB8" i="11" s="1"/>
  <c r="AO10" i="11"/>
  <c r="AO23" i="11" s="1"/>
  <c r="CV24" i="11" s="1"/>
  <c r="AN10" i="11"/>
  <c r="AN23" i="11" s="1"/>
  <c r="CU24" i="11" s="1"/>
  <c r="AM10" i="11"/>
  <c r="AO9" i="11"/>
  <c r="AN9" i="11"/>
  <c r="AM9" i="11"/>
  <c r="AM22" i="11" s="1"/>
  <c r="CT23" i="11" s="1"/>
  <c r="AO8" i="11"/>
  <c r="AN8" i="11"/>
  <c r="AM8" i="11"/>
  <c r="AM21" i="11" s="1"/>
  <c r="CT22" i="11" s="1"/>
  <c r="AO7" i="11"/>
  <c r="CV7" i="11" s="1"/>
  <c r="AN7" i="11"/>
  <c r="AM7" i="11"/>
  <c r="AI7" i="11"/>
  <c r="AH7" i="11"/>
  <c r="CQ7" i="11" s="1"/>
  <c r="AG7" i="11"/>
  <c r="CP7" i="11" s="1"/>
  <c r="AC7" i="11"/>
  <c r="AB7" i="11"/>
  <c r="W7" i="11"/>
  <c r="V7" i="11"/>
  <c r="Q7" i="11"/>
  <c r="P7" i="11"/>
  <c r="K7" i="11"/>
  <c r="J7" i="11"/>
  <c r="I6" i="11"/>
  <c r="J6" i="11" s="1"/>
  <c r="K6" i="11" s="1"/>
  <c r="L6" i="11" s="1"/>
  <c r="D6" i="11"/>
  <c r="E6" i="11" s="1"/>
  <c r="F6" i="11" s="1"/>
  <c r="M5" i="11"/>
  <c r="S5" i="11" s="1"/>
  <c r="Y5" i="11" s="1"/>
  <c r="AE5" i="11" s="1"/>
  <c r="AK5" i="11" s="1"/>
  <c r="AQ5" i="11" s="1"/>
  <c r="AW5" i="11" s="1"/>
  <c r="BC5" i="11" s="1"/>
  <c r="BI5" i="11" s="1"/>
  <c r="BO5" i="11" s="1"/>
  <c r="BU5" i="11" s="1"/>
  <c r="CA5" i="11" s="1"/>
  <c r="CG5" i="11" s="1"/>
  <c r="CM5" i="11" s="1"/>
  <c r="I5" i="11"/>
  <c r="O5" i="11" s="1"/>
  <c r="U5" i="11" s="1"/>
  <c r="AA5" i="11" s="1"/>
  <c r="AG5" i="11" s="1"/>
  <c r="AM5" i="11" s="1"/>
  <c r="AS5" i="11" s="1"/>
  <c r="AY5" i="11" s="1"/>
  <c r="BE5" i="11" s="1"/>
  <c r="BK5" i="11" s="1"/>
  <c r="BQ5" i="11" s="1"/>
  <c r="BW5" i="11" s="1"/>
  <c r="CC5" i="11" s="1"/>
  <c r="CI5" i="11" s="1"/>
  <c r="BB163" i="12"/>
  <c r="BB101" i="12" s="1"/>
  <c r="BB103" i="11" s="1"/>
  <c r="DE36" i="11" s="1"/>
  <c r="AY163" i="12"/>
  <c r="AY162" i="12"/>
  <c r="BF162" i="12"/>
  <c r="BE162" i="12"/>
  <c r="BA162" i="12"/>
  <c r="AZ162" i="12"/>
  <c r="AU162" i="12"/>
  <c r="AT162" i="12"/>
  <c r="AS162" i="12"/>
  <c r="AO162" i="12"/>
  <c r="AO101" i="12" s="1"/>
  <c r="AN162" i="12"/>
  <c r="AN101" i="12" s="1"/>
  <c r="AM162" i="12"/>
  <c r="AM101" i="12" s="1"/>
  <c r="A157" i="12"/>
  <c r="A156" i="12"/>
  <c r="A155" i="12"/>
  <c r="A154" i="12"/>
  <c r="A153" i="12"/>
  <c r="A152" i="12"/>
  <c r="A151" i="12"/>
  <c r="A150" i="12"/>
  <c r="AK147" i="12"/>
  <c r="BF147" i="12"/>
  <c r="BE147" i="12"/>
  <c r="BA147" i="12"/>
  <c r="AZ147" i="12"/>
  <c r="AY147" i="12"/>
  <c r="AY148" i="12" s="1"/>
  <c r="AW147" i="12"/>
  <c r="AU147" i="12"/>
  <c r="AT147" i="12"/>
  <c r="AS147" i="12"/>
  <c r="AQ147" i="12"/>
  <c r="AO147" i="12"/>
  <c r="AN147" i="12"/>
  <c r="AM147" i="12"/>
  <c r="AM148" i="12" s="1"/>
  <c r="AI147" i="12"/>
  <c r="AH147" i="12"/>
  <c r="AG147" i="12"/>
  <c r="AV146" i="12"/>
  <c r="AV145" i="12"/>
  <c r="AV144" i="12"/>
  <c r="AV143" i="12"/>
  <c r="AV141" i="12"/>
  <c r="AV140" i="12"/>
  <c r="AP146" i="12"/>
  <c r="AP145" i="12"/>
  <c r="AP144" i="12"/>
  <c r="AP143" i="12"/>
  <c r="AP141" i="12"/>
  <c r="AP140" i="12"/>
  <c r="AJ146" i="12"/>
  <c r="AJ145" i="12"/>
  <c r="AJ144" i="12"/>
  <c r="AJ143" i="12"/>
  <c r="AJ141" i="12"/>
  <c r="AJ140" i="12"/>
  <c r="BF142" i="12"/>
  <c r="BE142" i="12"/>
  <c r="BA142" i="12"/>
  <c r="AZ142" i="12"/>
  <c r="AY142" i="12"/>
  <c r="AW142" i="12"/>
  <c r="AU142" i="12"/>
  <c r="AT142" i="12"/>
  <c r="AS142" i="12"/>
  <c r="AQ142" i="12"/>
  <c r="AO142" i="12"/>
  <c r="AN142" i="12"/>
  <c r="AM142" i="12"/>
  <c r="AK142" i="12"/>
  <c r="AI142" i="12"/>
  <c r="AH142" i="12"/>
  <c r="AG142" i="12"/>
  <c r="AE142" i="12"/>
  <c r="Y142" i="12"/>
  <c r="BU147" i="12"/>
  <c r="BT147" i="12"/>
  <c r="BS147" i="12"/>
  <c r="BR147" i="12"/>
  <c r="BQ147" i="12"/>
  <c r="I138" i="12"/>
  <c r="J138" i="12" s="1"/>
  <c r="K138" i="12" s="1"/>
  <c r="L138" i="12" s="1"/>
  <c r="D138" i="12"/>
  <c r="E138" i="12" s="1"/>
  <c r="F138" i="12" s="1"/>
  <c r="M137" i="12"/>
  <c r="S137" i="12" s="1"/>
  <c r="Y137" i="12" s="1"/>
  <c r="AE137" i="12" s="1"/>
  <c r="AK137" i="12" s="1"/>
  <c r="AQ137" i="12" s="1"/>
  <c r="AW137" i="12" s="1"/>
  <c r="BC137" i="12" s="1"/>
  <c r="BI137" i="12" s="1"/>
  <c r="BO137" i="12" s="1"/>
  <c r="BU137" i="12" s="1"/>
  <c r="CA137" i="12" s="1"/>
  <c r="CG137" i="12" s="1"/>
  <c r="CM137" i="12" s="1"/>
  <c r="I137" i="12"/>
  <c r="O137" i="12" s="1"/>
  <c r="U137" i="12" s="1"/>
  <c r="AA137" i="12" s="1"/>
  <c r="AG137" i="12" s="1"/>
  <c r="AM137" i="12" s="1"/>
  <c r="AS137" i="12" s="1"/>
  <c r="AY137" i="12" s="1"/>
  <c r="BE137" i="12" s="1"/>
  <c r="BK137" i="12" s="1"/>
  <c r="BQ137" i="12" s="1"/>
  <c r="BW137" i="12" s="1"/>
  <c r="CC137" i="12" s="1"/>
  <c r="CI137" i="12" s="1"/>
  <c r="BA134" i="12"/>
  <c r="AZ134" i="12"/>
  <c r="AY134" i="12"/>
  <c r="BA133" i="12"/>
  <c r="AZ133" i="12"/>
  <c r="AY133" i="12"/>
  <c r="AU134" i="12"/>
  <c r="AT134" i="12"/>
  <c r="AT133" i="12"/>
  <c r="AS134" i="12"/>
  <c r="AU133" i="12"/>
  <c r="AU135" i="12" s="1"/>
  <c r="AS133" i="12"/>
  <c r="AO134" i="12"/>
  <c r="AN134" i="12"/>
  <c r="AM134" i="12"/>
  <c r="AO133" i="12"/>
  <c r="AN133" i="12"/>
  <c r="AM133" i="12"/>
  <c r="AI134" i="12"/>
  <c r="AH134" i="12"/>
  <c r="AG134" i="12"/>
  <c r="AI133" i="12"/>
  <c r="AH133" i="12"/>
  <c r="AG133" i="12"/>
  <c r="AC134" i="12"/>
  <c r="AB134" i="12"/>
  <c r="AA134" i="12"/>
  <c r="AG67" i="11" s="1"/>
  <c r="AC133" i="12"/>
  <c r="AB133" i="12"/>
  <c r="AA133" i="12"/>
  <c r="W134" i="12"/>
  <c r="AC67" i="11" s="1"/>
  <c r="V134" i="12"/>
  <c r="W133" i="12"/>
  <c r="V133" i="12"/>
  <c r="Q134" i="12"/>
  <c r="P134" i="12"/>
  <c r="Q133" i="12"/>
  <c r="P133" i="12"/>
  <c r="M134" i="12"/>
  <c r="K134" i="12"/>
  <c r="J134" i="12"/>
  <c r="M133" i="12"/>
  <c r="K133" i="12"/>
  <c r="J133" i="12"/>
  <c r="G134" i="12"/>
  <c r="E134" i="12"/>
  <c r="D134" i="12"/>
  <c r="J67" i="11" s="1"/>
  <c r="G133" i="12"/>
  <c r="E133" i="12"/>
  <c r="D133" i="12"/>
  <c r="M130" i="12"/>
  <c r="K130" i="12"/>
  <c r="J130" i="12"/>
  <c r="M128" i="12"/>
  <c r="K128" i="12"/>
  <c r="J128" i="12"/>
  <c r="M127" i="12"/>
  <c r="K127" i="12"/>
  <c r="J127" i="12"/>
  <c r="M122" i="12"/>
  <c r="M121" i="12"/>
  <c r="G119" i="12"/>
  <c r="BE128" i="12"/>
  <c r="BG127" i="12"/>
  <c r="BF127" i="12"/>
  <c r="BE127" i="12"/>
  <c r="BA128" i="12"/>
  <c r="AZ128" i="12"/>
  <c r="AY128" i="12"/>
  <c r="BA127" i="12"/>
  <c r="AZ127" i="12"/>
  <c r="AY127" i="12"/>
  <c r="BA121" i="12"/>
  <c r="AZ121" i="12"/>
  <c r="AY121" i="12"/>
  <c r="AU128" i="12"/>
  <c r="AT128" i="12"/>
  <c r="AS128" i="12"/>
  <c r="AU127" i="12"/>
  <c r="AT127" i="12"/>
  <c r="AS127" i="12"/>
  <c r="AU121" i="12"/>
  <c r="AT121" i="12"/>
  <c r="AS121" i="12"/>
  <c r="AO128" i="12"/>
  <c r="AN128" i="12"/>
  <c r="AM128" i="12"/>
  <c r="AO127" i="12"/>
  <c r="AN127" i="12"/>
  <c r="AM127" i="12"/>
  <c r="AO121" i="12"/>
  <c r="AN121" i="12"/>
  <c r="AM121" i="12"/>
  <c r="AI128" i="12"/>
  <c r="AH128" i="12"/>
  <c r="AG128" i="12"/>
  <c r="AI127" i="12"/>
  <c r="AH127" i="12"/>
  <c r="AG127" i="12"/>
  <c r="AI121" i="12"/>
  <c r="AH121" i="12"/>
  <c r="AG121" i="12"/>
  <c r="AC128" i="12"/>
  <c r="AB128" i="12"/>
  <c r="AC127" i="12"/>
  <c r="AB127" i="12"/>
  <c r="AD125" i="12"/>
  <c r="AC125" i="12"/>
  <c r="AB125" i="12"/>
  <c r="AA125" i="12"/>
  <c r="AD124" i="12"/>
  <c r="AC124" i="12"/>
  <c r="AB124" i="12"/>
  <c r="AA124" i="12"/>
  <c r="AC121" i="12"/>
  <c r="AB121" i="12"/>
  <c r="W128" i="12"/>
  <c r="V128" i="12"/>
  <c r="W127" i="12"/>
  <c r="V127" i="12"/>
  <c r="X125" i="12"/>
  <c r="W125" i="12"/>
  <c r="V125" i="12"/>
  <c r="U125" i="12"/>
  <c r="X124" i="12"/>
  <c r="W124" i="12"/>
  <c r="V124" i="12"/>
  <c r="U124" i="12"/>
  <c r="W121" i="12"/>
  <c r="V121" i="12"/>
  <c r="Q128" i="12"/>
  <c r="P128" i="12"/>
  <c r="Q127" i="12"/>
  <c r="P127" i="12"/>
  <c r="R125" i="12"/>
  <c r="Q125" i="12"/>
  <c r="P125" i="12"/>
  <c r="O125" i="12"/>
  <c r="R124" i="12"/>
  <c r="Q124" i="12"/>
  <c r="P124" i="12"/>
  <c r="O124" i="12"/>
  <c r="R122" i="12"/>
  <c r="Q122" i="12"/>
  <c r="P122" i="12"/>
  <c r="O122" i="12"/>
  <c r="Q121" i="12"/>
  <c r="P121" i="12"/>
  <c r="L122" i="12"/>
  <c r="K122" i="12"/>
  <c r="J122" i="12"/>
  <c r="I122" i="12"/>
  <c r="K121" i="12"/>
  <c r="J121" i="12"/>
  <c r="BP116" i="12"/>
  <c r="BJ116" i="12"/>
  <c r="BD116" i="12"/>
  <c r="BG111" i="12"/>
  <c r="BF111" i="12"/>
  <c r="BG109" i="12"/>
  <c r="BF109" i="12"/>
  <c r="BG108" i="12"/>
  <c r="BF108" i="12"/>
  <c r="BG107" i="12"/>
  <c r="BF107" i="12"/>
  <c r="BA111" i="12"/>
  <c r="AZ111" i="12"/>
  <c r="BA109" i="12"/>
  <c r="AZ109" i="12"/>
  <c r="BA108" i="12"/>
  <c r="AZ108" i="12"/>
  <c r="BA107" i="12"/>
  <c r="AZ107" i="12"/>
  <c r="AE104" i="12"/>
  <c r="AE103" i="12"/>
  <c r="BE103" i="12"/>
  <c r="BI103" i="12" s="1"/>
  <c r="BB102" i="12"/>
  <c r="BH111" i="12" s="1"/>
  <c r="BB100" i="12"/>
  <c r="BH109" i="12" s="1"/>
  <c r="BB99" i="12"/>
  <c r="BH108" i="12" s="1"/>
  <c r="BB98" i="12"/>
  <c r="BH107" i="12" s="1"/>
  <c r="AY102" i="12"/>
  <c r="AY101" i="12"/>
  <c r="AY100" i="12"/>
  <c r="AY109" i="12" s="1"/>
  <c r="AY99" i="12"/>
  <c r="AY98" i="12"/>
  <c r="Y102" i="12"/>
  <c r="S102" i="12"/>
  <c r="M102" i="12"/>
  <c r="BA101" i="12"/>
  <c r="BA103" i="11" s="1"/>
  <c r="AZ101" i="12"/>
  <c r="AV101" i="12"/>
  <c r="AU101" i="12"/>
  <c r="AT101" i="12"/>
  <c r="AS101" i="12"/>
  <c r="AS103" i="11" s="1"/>
  <c r="CX36" i="11" s="1"/>
  <c r="Y100" i="12"/>
  <c r="Y99" i="12"/>
  <c r="Y98" i="12"/>
  <c r="Y100" i="11" s="1"/>
  <c r="S100" i="12"/>
  <c r="S99" i="12"/>
  <c r="S98" i="12"/>
  <c r="M100" i="12"/>
  <c r="M99" i="12"/>
  <c r="M98" i="12"/>
  <c r="BE99" i="12"/>
  <c r="BI99" i="12" s="1"/>
  <c r="BE98" i="12"/>
  <c r="BE100" i="11" s="1"/>
  <c r="AE99" i="12"/>
  <c r="AE98" i="12"/>
  <c r="G78" i="12"/>
  <c r="Q78" i="12"/>
  <c r="P78" i="12"/>
  <c r="M78" i="12"/>
  <c r="K78" i="12"/>
  <c r="J78" i="12"/>
  <c r="BU69" i="12"/>
  <c r="BU40" i="11" s="1"/>
  <c r="BU66" i="12"/>
  <c r="BO69" i="12"/>
  <c r="BO66" i="12"/>
  <c r="BI69" i="12"/>
  <c r="BI66" i="12"/>
  <c r="BC69" i="12"/>
  <c r="BC40" i="11" s="1"/>
  <c r="BC66" i="12"/>
  <c r="G67" i="12"/>
  <c r="E67" i="12"/>
  <c r="D67" i="12"/>
  <c r="AO67" i="12"/>
  <c r="AN67" i="12"/>
  <c r="AM67" i="12"/>
  <c r="AO64" i="12"/>
  <c r="AN64" i="12"/>
  <c r="AM64" i="12"/>
  <c r="AI67" i="12"/>
  <c r="AH67" i="12"/>
  <c r="AG67" i="12"/>
  <c r="AI64" i="12"/>
  <c r="AH64" i="12"/>
  <c r="AG64" i="12"/>
  <c r="AC67" i="12"/>
  <c r="AB67" i="12"/>
  <c r="AA67" i="12"/>
  <c r="AC64" i="12"/>
  <c r="AB64" i="12"/>
  <c r="V64" i="12"/>
  <c r="AA64" i="12"/>
  <c r="AA70" i="12" s="1"/>
  <c r="AA73" i="12" s="1"/>
  <c r="W67" i="12"/>
  <c r="V67" i="12"/>
  <c r="W64" i="12"/>
  <c r="Q67" i="12"/>
  <c r="P67" i="12"/>
  <c r="Q64" i="12"/>
  <c r="P64" i="12"/>
  <c r="M67" i="12"/>
  <c r="K67" i="12"/>
  <c r="J67" i="12"/>
  <c r="M64" i="12"/>
  <c r="K64" i="12"/>
  <c r="J64" i="12"/>
  <c r="G64" i="12"/>
  <c r="E64" i="12"/>
  <c r="D64" i="12"/>
  <c r="M61" i="12"/>
  <c r="K61" i="12"/>
  <c r="J61" i="12"/>
  <c r="AK60" i="12"/>
  <c r="AC61" i="12"/>
  <c r="AB61" i="12"/>
  <c r="AA61" i="12"/>
  <c r="AD59" i="12"/>
  <c r="AD60" i="12" s="1"/>
  <c r="AD38" i="11" s="1"/>
  <c r="AC59" i="12"/>
  <c r="AC60" i="12" s="1"/>
  <c r="AC68" i="11" s="1"/>
  <c r="AB59" i="12"/>
  <c r="AB60" i="12" s="1"/>
  <c r="AA59" i="12"/>
  <c r="AA60" i="12" s="1"/>
  <c r="W61" i="12"/>
  <c r="V61" i="12"/>
  <c r="X59" i="12"/>
  <c r="X60" i="12" s="1"/>
  <c r="X38" i="11" s="1"/>
  <c r="W59" i="12"/>
  <c r="W60" i="12" s="1"/>
  <c r="W68" i="11" s="1"/>
  <c r="V59" i="12"/>
  <c r="V60" i="12" s="1"/>
  <c r="U59" i="12"/>
  <c r="U60" i="12" s="1"/>
  <c r="Q61" i="12"/>
  <c r="P61" i="12"/>
  <c r="S59" i="12"/>
  <c r="R59" i="12"/>
  <c r="R60" i="12" s="1"/>
  <c r="Q59" i="12"/>
  <c r="Q60" i="12" s="1"/>
  <c r="Q38" i="11" s="1"/>
  <c r="P59" i="12"/>
  <c r="P60" i="12" s="1"/>
  <c r="O59" i="12"/>
  <c r="O60" i="12" s="1"/>
  <c r="AU58" i="12"/>
  <c r="AT58" i="12"/>
  <c r="AZ68" i="11" s="1"/>
  <c r="AS58" i="12"/>
  <c r="AO58" i="12"/>
  <c r="AO61" i="12" s="1"/>
  <c r="AN58" i="12"/>
  <c r="AT68" i="11" s="1"/>
  <c r="AM58" i="12"/>
  <c r="AI58" i="12"/>
  <c r="AO68" i="11" s="1"/>
  <c r="AH58" i="12"/>
  <c r="AH61" i="12" s="1"/>
  <c r="AG58" i="12"/>
  <c r="AM68" i="11" s="1"/>
  <c r="AE58" i="12"/>
  <c r="Y58" i="12"/>
  <c r="Y59" i="12" s="1"/>
  <c r="G55" i="12"/>
  <c r="M52" i="12"/>
  <c r="M47" i="12"/>
  <c r="M48" i="12" s="1"/>
  <c r="K52" i="12"/>
  <c r="K55" i="12" s="1"/>
  <c r="J52" i="12"/>
  <c r="H52" i="12"/>
  <c r="AE47" i="12"/>
  <c r="Y51" i="12"/>
  <c r="Y47" i="12"/>
  <c r="L51" i="12"/>
  <c r="K51" i="12"/>
  <c r="J51" i="12"/>
  <c r="I51" i="12"/>
  <c r="AH47" i="12"/>
  <c r="AG47" i="12"/>
  <c r="AD47" i="12"/>
  <c r="AD48" i="12" s="1"/>
  <c r="AC47" i="12"/>
  <c r="AC48" i="12" s="1"/>
  <c r="AB47" i="12"/>
  <c r="AB48" i="12" s="1"/>
  <c r="AA47" i="12"/>
  <c r="AA48" i="12" s="1"/>
  <c r="X47" i="12"/>
  <c r="X48" i="12" s="1"/>
  <c r="W47" i="12"/>
  <c r="W48" i="12" s="1"/>
  <c r="V47" i="12"/>
  <c r="V48" i="12" s="1"/>
  <c r="U47" i="12"/>
  <c r="U48" i="12" s="1"/>
  <c r="S47" i="12"/>
  <c r="R47" i="12"/>
  <c r="R48" i="12" s="1"/>
  <c r="Q47" i="12"/>
  <c r="Q48" i="12" s="1"/>
  <c r="P47" i="12"/>
  <c r="P48" i="12" s="1"/>
  <c r="O47" i="12"/>
  <c r="O48" i="12" s="1"/>
  <c r="Z37" i="12"/>
  <c r="T37" i="12"/>
  <c r="N37" i="12"/>
  <c r="I35" i="12"/>
  <c r="AD34" i="12"/>
  <c r="AC34" i="12"/>
  <c r="AB34" i="12"/>
  <c r="AA34" i="12"/>
  <c r="X34" i="12"/>
  <c r="W34" i="12"/>
  <c r="V34" i="12"/>
  <c r="U34" i="12"/>
  <c r="R34" i="12"/>
  <c r="R36" i="11" s="1"/>
  <c r="Q34" i="12"/>
  <c r="P34" i="12"/>
  <c r="O34" i="12"/>
  <c r="O36" i="11" s="1"/>
  <c r="BI33" i="12"/>
  <c r="BI31" i="12"/>
  <c r="BI28" i="12"/>
  <c r="BC31" i="12"/>
  <c r="BC35" i="11" s="1"/>
  <c r="BC28" i="12"/>
  <c r="BC34" i="11" s="1"/>
  <c r="AW31" i="12"/>
  <c r="AW28" i="12"/>
  <c r="AW34" i="11" s="1"/>
  <c r="AQ31" i="12"/>
  <c r="AQ28" i="12"/>
  <c r="AK31" i="12"/>
  <c r="AK28" i="12"/>
  <c r="Y29" i="12"/>
  <c r="AE30" i="12" s="1"/>
  <c r="Y26" i="12"/>
  <c r="S29" i="12"/>
  <c r="S26" i="12"/>
  <c r="G32" i="12"/>
  <c r="AC31" i="12"/>
  <c r="AB31" i="12"/>
  <c r="AA31" i="12"/>
  <c r="AA63" i="11" s="1"/>
  <c r="AD30" i="12"/>
  <c r="X30" i="12"/>
  <c r="X31" i="12" s="1"/>
  <c r="W30" i="12"/>
  <c r="W31" i="12" s="1"/>
  <c r="V30" i="12"/>
  <c r="V31" i="12" s="1"/>
  <c r="U30" i="12"/>
  <c r="U31" i="12" s="1"/>
  <c r="R30" i="12"/>
  <c r="R31" i="12" s="1"/>
  <c r="R63" i="11" s="1"/>
  <c r="Q30" i="12"/>
  <c r="Q31" i="12" s="1"/>
  <c r="P30" i="12"/>
  <c r="P31" i="12" s="1"/>
  <c r="O30" i="12"/>
  <c r="O31" i="12" s="1"/>
  <c r="M29" i="12"/>
  <c r="M30" i="12" s="1"/>
  <c r="AE28" i="12"/>
  <c r="AD27" i="12"/>
  <c r="AC27" i="12"/>
  <c r="AB27" i="12"/>
  <c r="AA27" i="12"/>
  <c r="X27" i="12"/>
  <c r="X28" i="12" s="1"/>
  <c r="W27" i="12"/>
  <c r="W28" i="12" s="1"/>
  <c r="W62" i="11" s="1"/>
  <c r="V27" i="12"/>
  <c r="V28" i="12" s="1"/>
  <c r="U27" i="12"/>
  <c r="U28" i="12" s="1"/>
  <c r="R27" i="12"/>
  <c r="R28" i="12" s="1"/>
  <c r="Q27" i="12"/>
  <c r="Q28" i="12" s="1"/>
  <c r="P27" i="12"/>
  <c r="P28" i="12" s="1"/>
  <c r="O27" i="12"/>
  <c r="O28" i="12" s="1"/>
  <c r="O62" i="11" s="1"/>
  <c r="M26" i="12"/>
  <c r="M124" i="12" s="1"/>
  <c r="AC23" i="12"/>
  <c r="AB23" i="12"/>
  <c r="AA23" i="12"/>
  <c r="AA32" i="11" s="1"/>
  <c r="X23" i="12"/>
  <c r="W23" i="12"/>
  <c r="V23" i="12"/>
  <c r="U23" i="12"/>
  <c r="U60" i="11" s="1"/>
  <c r="R22" i="12"/>
  <c r="R23" i="12" s="1"/>
  <c r="Q22" i="12"/>
  <c r="Q23" i="12" s="1"/>
  <c r="P22" i="12"/>
  <c r="P23" i="12" s="1"/>
  <c r="P60" i="11" s="1"/>
  <c r="O22" i="12"/>
  <c r="O23" i="12" s="1"/>
  <c r="M22" i="12"/>
  <c r="M23" i="12" s="1"/>
  <c r="M60" i="11" s="1"/>
  <c r="M75" i="11" s="1"/>
  <c r="L22" i="12"/>
  <c r="L23" i="12" s="1"/>
  <c r="K22" i="12"/>
  <c r="K23" i="12" s="1"/>
  <c r="J22" i="12"/>
  <c r="J23" i="12" s="1"/>
  <c r="J60" i="11" s="1"/>
  <c r="I22" i="12"/>
  <c r="I23" i="12" s="1"/>
  <c r="I32" i="11" s="1"/>
  <c r="S21" i="12"/>
  <c r="AE18" i="12"/>
  <c r="Y18" i="12"/>
  <c r="S18" i="12"/>
  <c r="BB18" i="12"/>
  <c r="BB34" i="12" s="1"/>
  <c r="BA18" i="12"/>
  <c r="BA48" i="12" s="1"/>
  <c r="AZ18" i="12"/>
  <c r="AZ65" i="12" s="1"/>
  <c r="AY18" i="12"/>
  <c r="AY48" i="12" s="1"/>
  <c r="AV18" i="12"/>
  <c r="AU18" i="12"/>
  <c r="AU50" i="12" s="1"/>
  <c r="AT18" i="12"/>
  <c r="AT27" i="12" s="1"/>
  <c r="AS18" i="12"/>
  <c r="AS48" i="12" s="1"/>
  <c r="AP18" i="12"/>
  <c r="AP34" i="12" s="1"/>
  <c r="AO18" i="12"/>
  <c r="AO48" i="12" s="1"/>
  <c r="AN18" i="12"/>
  <c r="AN50" i="12" s="1"/>
  <c r="AM18" i="12"/>
  <c r="AM27" i="12" s="1"/>
  <c r="AJ18" i="12"/>
  <c r="AJ30" i="12" s="1"/>
  <c r="AJ29" i="12" s="1"/>
  <c r="AJ125" i="12" s="1"/>
  <c r="AI18" i="12"/>
  <c r="AI34" i="12" s="1"/>
  <c r="AH18" i="12"/>
  <c r="AH22" i="12" s="1"/>
  <c r="AG18" i="12"/>
  <c r="AG22" i="12" s="1"/>
  <c r="AD15" i="12"/>
  <c r="AD14" i="12"/>
  <c r="AD12" i="12"/>
  <c r="AD11" i="12"/>
  <c r="AD10" i="12"/>
  <c r="U15" i="12"/>
  <c r="X15" i="12" s="1"/>
  <c r="U14" i="12"/>
  <c r="U12" i="12"/>
  <c r="U11" i="12"/>
  <c r="U10" i="12"/>
  <c r="O15" i="12"/>
  <c r="O14" i="12"/>
  <c r="O12" i="12"/>
  <c r="O10" i="12"/>
  <c r="I15" i="12"/>
  <c r="I14" i="12"/>
  <c r="I64" i="12" s="1"/>
  <c r="I12" i="12"/>
  <c r="L12" i="12" s="1"/>
  <c r="I11" i="12"/>
  <c r="L11" i="12" s="1"/>
  <c r="I10" i="12"/>
  <c r="I8" i="12"/>
  <c r="I7" i="12"/>
  <c r="O7" i="12" s="1"/>
  <c r="U7" i="12" s="1"/>
  <c r="AA7" i="12" s="1"/>
  <c r="AG7" i="12" s="1"/>
  <c r="AM7" i="12" s="1"/>
  <c r="AS7" i="12" s="1"/>
  <c r="AY7" i="12" s="1"/>
  <c r="BE7" i="12" s="1"/>
  <c r="BK7" i="12" s="1"/>
  <c r="BQ7" i="12" s="1"/>
  <c r="BW7" i="12" s="1"/>
  <c r="CC7" i="12" s="1"/>
  <c r="CI7" i="12" s="1"/>
  <c r="C15" i="12"/>
  <c r="C14" i="12"/>
  <c r="C12" i="12"/>
  <c r="C11" i="12"/>
  <c r="F11" i="12" s="1"/>
  <c r="C10" i="12"/>
  <c r="BA13" i="12"/>
  <c r="AZ13" i="12"/>
  <c r="AZ85" i="12" s="1"/>
  <c r="AY13" i="12"/>
  <c r="AY11" i="13" s="1"/>
  <c r="AU13" i="12"/>
  <c r="AT13" i="12"/>
  <c r="AS13" i="12"/>
  <c r="AO13" i="12"/>
  <c r="AN13" i="12"/>
  <c r="AM13" i="12"/>
  <c r="AM86" i="12" s="1"/>
  <c r="AI13" i="12"/>
  <c r="AH13" i="12"/>
  <c r="AG13" i="12"/>
  <c r="AC13" i="12"/>
  <c r="AC86" i="12" s="1"/>
  <c r="AB13" i="12"/>
  <c r="AA13" i="12"/>
  <c r="AA86" i="12" s="1"/>
  <c r="W13" i="12"/>
  <c r="V13" i="12"/>
  <c r="V85" i="12" s="1"/>
  <c r="Q13" i="12"/>
  <c r="P13" i="12"/>
  <c r="P11" i="13" s="1"/>
  <c r="M13" i="12"/>
  <c r="M85" i="12" s="1"/>
  <c r="K13" i="12"/>
  <c r="J13" i="12"/>
  <c r="G13" i="12"/>
  <c r="G85" i="12" s="1"/>
  <c r="E13" i="12"/>
  <c r="D13" i="12"/>
  <c r="D11" i="13" s="1"/>
  <c r="D46" i="13" s="1"/>
  <c r="BA9" i="12"/>
  <c r="AZ9" i="12"/>
  <c r="AZ83" i="12" s="1"/>
  <c r="AY9" i="12"/>
  <c r="AY82" i="12" s="1"/>
  <c r="AU9" i="12"/>
  <c r="AT9" i="12"/>
  <c r="AT82" i="12" s="1"/>
  <c r="AS9" i="12"/>
  <c r="AS82" i="12" s="1"/>
  <c r="AP15" i="12"/>
  <c r="AQ15" i="12" s="1"/>
  <c r="AQ67" i="12" s="1"/>
  <c r="AP14" i="12"/>
  <c r="AP12" i="12"/>
  <c r="AP11" i="12"/>
  <c r="AP10" i="12"/>
  <c r="AO9" i="12"/>
  <c r="AN9" i="12"/>
  <c r="AM9" i="12"/>
  <c r="AM10" i="13" s="1"/>
  <c r="AM45" i="13" s="1"/>
  <c r="AJ15" i="12"/>
  <c r="AJ14" i="12"/>
  <c r="AJ12" i="12"/>
  <c r="AJ11" i="12"/>
  <c r="AJ10" i="12"/>
  <c r="AI9" i="12"/>
  <c r="AH9" i="12"/>
  <c r="AG9" i="12"/>
  <c r="AG10" i="13" s="1"/>
  <c r="M9" i="12"/>
  <c r="M77" i="12" s="1"/>
  <c r="G9" i="12"/>
  <c r="AC9" i="12"/>
  <c r="AC77" i="12" s="1"/>
  <c r="AB9" i="12"/>
  <c r="AB82" i="12" s="1"/>
  <c r="AA9" i="12"/>
  <c r="W9" i="12"/>
  <c r="V9" i="12"/>
  <c r="Q9" i="12"/>
  <c r="Q83" i="12" s="1"/>
  <c r="P9" i="12"/>
  <c r="P77" i="12" s="1"/>
  <c r="K9" i="12"/>
  <c r="J9" i="12"/>
  <c r="E9" i="12"/>
  <c r="E10" i="13" s="1"/>
  <c r="D9" i="12"/>
  <c r="D10" i="13" s="1"/>
  <c r="D8" i="12"/>
  <c r="E8" i="12" s="1"/>
  <c r="F8" i="12" s="1"/>
  <c r="M7" i="12"/>
  <c r="S7" i="12" s="1"/>
  <c r="Y7" i="12" s="1"/>
  <c r="AE7" i="12" s="1"/>
  <c r="AK7" i="12" s="1"/>
  <c r="AQ7" i="12" s="1"/>
  <c r="AW7" i="12" s="1"/>
  <c r="AV97" i="13"/>
  <c r="AU97" i="13"/>
  <c r="BG98" i="13"/>
  <c r="BF98" i="13"/>
  <c r="BF97" i="13"/>
  <c r="H81" i="13"/>
  <c r="BQ77" i="13"/>
  <c r="Y80" i="13"/>
  <c r="AB80" i="13" s="1"/>
  <c r="AA80" i="13"/>
  <c r="Y79" i="13"/>
  <c r="AB79" i="13"/>
  <c r="U79" i="13"/>
  <c r="Y78" i="13"/>
  <c r="V78" i="13"/>
  <c r="S80" i="13"/>
  <c r="O80" i="13"/>
  <c r="P80" i="13"/>
  <c r="S79" i="13"/>
  <c r="S78" i="13"/>
  <c r="M80" i="13"/>
  <c r="M79" i="13"/>
  <c r="L79" i="13"/>
  <c r="I79" i="13"/>
  <c r="M78" i="13"/>
  <c r="G80" i="13"/>
  <c r="C80" i="13" s="1"/>
  <c r="G79" i="13"/>
  <c r="G78" i="13"/>
  <c r="F78" i="13" s="1"/>
  <c r="E72" i="13"/>
  <c r="D72" i="13"/>
  <c r="BT72" i="13"/>
  <c r="BR72" i="13"/>
  <c r="BQ72" i="13"/>
  <c r="BQ71" i="13"/>
  <c r="BG73" i="13"/>
  <c r="BF73" i="13"/>
  <c r="BE73" i="13"/>
  <c r="BI73" i="13" s="1"/>
  <c r="BB73" i="13"/>
  <c r="BA73" i="13"/>
  <c r="AZ73" i="13"/>
  <c r="AY73" i="13"/>
  <c r="BC73" i="13" s="1"/>
  <c r="AD72" i="13"/>
  <c r="AC72" i="13"/>
  <c r="AB72" i="13"/>
  <c r="AA72" i="13"/>
  <c r="AD71" i="13"/>
  <c r="AD73" i="13" s="1"/>
  <c r="AD32" i="13" s="1"/>
  <c r="AC71" i="13"/>
  <c r="AB71" i="13"/>
  <c r="AB73" i="13" s="1"/>
  <c r="AB30" i="13" s="1"/>
  <c r="AA71" i="13"/>
  <c r="AY69" i="13"/>
  <c r="AY25" i="13" s="1"/>
  <c r="AV73" i="13"/>
  <c r="AU73" i="13"/>
  <c r="AT73" i="13"/>
  <c r="AS73" i="13"/>
  <c r="AS69" i="13"/>
  <c r="AS25" i="13" s="1"/>
  <c r="AP73" i="13"/>
  <c r="AO73" i="13"/>
  <c r="AN73" i="13"/>
  <c r="AM73" i="13"/>
  <c r="AQ73" i="13" s="1"/>
  <c r="AM69" i="13"/>
  <c r="AM25" i="13" s="1"/>
  <c r="AJ73" i="13"/>
  <c r="AI73" i="13"/>
  <c r="AH73" i="13"/>
  <c r="AK73" i="13" s="1"/>
  <c r="AG73" i="13"/>
  <c r="AI72" i="13"/>
  <c r="AG72" i="13"/>
  <c r="AJ71" i="13"/>
  <c r="AI71" i="13"/>
  <c r="AG71" i="13"/>
  <c r="AG69" i="13"/>
  <c r="AA69" i="13"/>
  <c r="AA25" i="13" s="1"/>
  <c r="X72" i="13"/>
  <c r="V72" i="13"/>
  <c r="U72" i="13"/>
  <c r="X71" i="13"/>
  <c r="W71" i="13"/>
  <c r="V71" i="13"/>
  <c r="V73" i="13" s="1"/>
  <c r="U71" i="13"/>
  <c r="U69" i="13"/>
  <c r="U25" i="13" s="1"/>
  <c r="R72" i="13"/>
  <c r="Q72" i="13"/>
  <c r="R71" i="13"/>
  <c r="Q71" i="13"/>
  <c r="P71" i="13"/>
  <c r="O71" i="13"/>
  <c r="O73" i="13" s="1"/>
  <c r="O30" i="13" s="1"/>
  <c r="O69" i="13"/>
  <c r="O25" i="13" s="1"/>
  <c r="L73" i="13"/>
  <c r="L30" i="13" s="1"/>
  <c r="L72" i="13"/>
  <c r="L71" i="13"/>
  <c r="K73" i="13"/>
  <c r="K72" i="13"/>
  <c r="J72" i="13"/>
  <c r="I72" i="13"/>
  <c r="K71" i="13"/>
  <c r="I71" i="13"/>
  <c r="I73" i="13" s="1"/>
  <c r="I69" i="13"/>
  <c r="I25" i="13" s="1"/>
  <c r="F71" i="13"/>
  <c r="E71" i="13"/>
  <c r="D71" i="13"/>
  <c r="D73" i="13" s="1"/>
  <c r="C71" i="13"/>
  <c r="C73" i="13" s="1"/>
  <c r="C74" i="13" s="1"/>
  <c r="E69" i="13"/>
  <c r="E25" i="13" s="1"/>
  <c r="E26" i="13" s="1"/>
  <c r="D69" i="13"/>
  <c r="C69" i="13"/>
  <c r="F69" i="13" s="1"/>
  <c r="F25" i="13" s="1"/>
  <c r="F26" i="13" s="1"/>
  <c r="BG62" i="13"/>
  <c r="BF62" i="13"/>
  <c r="BG61" i="13"/>
  <c r="BF61" i="13"/>
  <c r="BE61" i="13"/>
  <c r="BG57" i="13"/>
  <c r="BG11" i="11" s="1"/>
  <c r="BF57" i="13"/>
  <c r="BF11" i="11" s="1"/>
  <c r="BE57" i="13"/>
  <c r="BE11" i="11" s="1"/>
  <c r="AZ61" i="13"/>
  <c r="BA57" i="13"/>
  <c r="BA11" i="11" s="1"/>
  <c r="AZ57" i="13"/>
  <c r="AZ11" i="11" s="1"/>
  <c r="AY57" i="13"/>
  <c r="AY11" i="11" s="1"/>
  <c r="AU61" i="13"/>
  <c r="AT61" i="13"/>
  <c r="AS61" i="13"/>
  <c r="AS97" i="13" s="1"/>
  <c r="AV57" i="13"/>
  <c r="AV11" i="11" s="1"/>
  <c r="AU57" i="13"/>
  <c r="AU11" i="11" s="1"/>
  <c r="AT57" i="13"/>
  <c r="AT11" i="11" s="1"/>
  <c r="AS57" i="13"/>
  <c r="AP61" i="13"/>
  <c r="AP97" i="13" s="1"/>
  <c r="AO61" i="13"/>
  <c r="AO97" i="13" s="1"/>
  <c r="AN61" i="13"/>
  <c r="AN97" i="13" s="1"/>
  <c r="AM61" i="13"/>
  <c r="AM97" i="13" s="1"/>
  <c r="AP57" i="13"/>
  <c r="AP11" i="11" s="1"/>
  <c r="AO57" i="13"/>
  <c r="AO11" i="11" s="1"/>
  <c r="AN57" i="13"/>
  <c r="AN11" i="11" s="1"/>
  <c r="AM57" i="13"/>
  <c r="AJ61" i="13"/>
  <c r="AI61" i="13"/>
  <c r="AH61" i="13"/>
  <c r="AJ57" i="13"/>
  <c r="AJ11" i="11" s="1"/>
  <c r="AI57" i="13"/>
  <c r="AI11" i="11" s="1"/>
  <c r="AG57" i="13"/>
  <c r="AG11" i="11" s="1"/>
  <c r="AD61" i="13"/>
  <c r="AC61" i="13"/>
  <c r="AB61" i="13"/>
  <c r="AD60" i="13"/>
  <c r="AD57" i="13"/>
  <c r="AD11" i="11" s="1"/>
  <c r="AC57" i="13"/>
  <c r="AC11" i="11" s="1"/>
  <c r="AA57" i="13"/>
  <c r="AA11" i="11" s="1"/>
  <c r="X61" i="13"/>
  <c r="W61" i="13"/>
  <c r="V61" i="13"/>
  <c r="U61" i="13"/>
  <c r="X60" i="13"/>
  <c r="W60" i="13"/>
  <c r="U60" i="13"/>
  <c r="X57" i="13"/>
  <c r="X11" i="11" s="1"/>
  <c r="W57" i="13"/>
  <c r="W11" i="11" s="1"/>
  <c r="V57" i="13"/>
  <c r="V11" i="11" s="1"/>
  <c r="U57" i="13"/>
  <c r="U11" i="11" s="1"/>
  <c r="R61" i="13"/>
  <c r="P61" i="13"/>
  <c r="O61" i="13"/>
  <c r="L62" i="13"/>
  <c r="I62" i="13"/>
  <c r="L61" i="13"/>
  <c r="I61" i="13"/>
  <c r="BF48" i="13"/>
  <c r="BE48" i="13"/>
  <c r="BF47" i="13"/>
  <c r="BE47" i="13"/>
  <c r="AJ47" i="13"/>
  <c r="AI47" i="13"/>
  <c r="AH47" i="13"/>
  <c r="AG47" i="13"/>
  <c r="BR77" i="13"/>
  <c r="BA48" i="13"/>
  <c r="AZ48" i="13"/>
  <c r="BB47" i="13"/>
  <c r="BA47" i="13"/>
  <c r="AZ47" i="13"/>
  <c r="AY47" i="13"/>
  <c r="AU47" i="13"/>
  <c r="AT47" i="13"/>
  <c r="AS47" i="13"/>
  <c r="AP47" i="13"/>
  <c r="AO47" i="13"/>
  <c r="AN47" i="13"/>
  <c r="AM47" i="13"/>
  <c r="AA48" i="13"/>
  <c r="AD47" i="13"/>
  <c r="AC47" i="13"/>
  <c r="AC45" i="13"/>
  <c r="AD44" i="13"/>
  <c r="X47" i="13"/>
  <c r="W47" i="13"/>
  <c r="V47" i="13"/>
  <c r="U47" i="13"/>
  <c r="X44" i="13"/>
  <c r="W44" i="13"/>
  <c r="U44" i="13"/>
  <c r="Q48" i="13"/>
  <c r="R47" i="13"/>
  <c r="Q47" i="13"/>
  <c r="P47" i="13"/>
  <c r="O47" i="13"/>
  <c r="R44" i="13"/>
  <c r="Q44" i="13"/>
  <c r="P44" i="13"/>
  <c r="O44" i="13"/>
  <c r="BF41" i="13"/>
  <c r="BE41" i="13"/>
  <c r="BB41" i="13"/>
  <c r="BA41" i="13"/>
  <c r="AZ41" i="13"/>
  <c r="AY41" i="13"/>
  <c r="AV41" i="13"/>
  <c r="AW41" i="13" s="1"/>
  <c r="AU41" i="13"/>
  <c r="AT41" i="13"/>
  <c r="AS41" i="13"/>
  <c r="AP41" i="13"/>
  <c r="AO41" i="13"/>
  <c r="AN41" i="13"/>
  <c r="AM41" i="13"/>
  <c r="AK41" i="13"/>
  <c r="AJ41" i="13"/>
  <c r="AI41" i="13"/>
  <c r="AH41" i="13"/>
  <c r="AG41" i="13"/>
  <c r="AD41" i="13"/>
  <c r="AC41" i="13"/>
  <c r="AB41" i="13"/>
  <c r="AA41" i="13"/>
  <c r="X41" i="13"/>
  <c r="W41" i="13"/>
  <c r="V41" i="13"/>
  <c r="U41" i="13"/>
  <c r="R41" i="13"/>
  <c r="Q41" i="13"/>
  <c r="P41" i="13"/>
  <c r="O41" i="13"/>
  <c r="L41" i="13"/>
  <c r="K41" i="13"/>
  <c r="J41" i="13"/>
  <c r="I41" i="13"/>
  <c r="BC40" i="13"/>
  <c r="AQ40" i="13"/>
  <c r="AQ39" i="13"/>
  <c r="BG39" i="13"/>
  <c r="BF39" i="13"/>
  <c r="BE39" i="13"/>
  <c r="BB39" i="13"/>
  <c r="BA39" i="13"/>
  <c r="AZ39" i="13"/>
  <c r="AY39" i="13"/>
  <c r="AW39" i="13"/>
  <c r="AV39" i="13"/>
  <c r="AU39" i="13"/>
  <c r="AT39" i="13"/>
  <c r="AS39" i="13"/>
  <c r="AP39" i="13"/>
  <c r="AO39" i="13"/>
  <c r="AN39" i="13"/>
  <c r="AM39" i="13"/>
  <c r="AK39" i="13"/>
  <c r="AJ39" i="13"/>
  <c r="AI39" i="13"/>
  <c r="AH39" i="13"/>
  <c r="AG39" i="13"/>
  <c r="AE39" i="13"/>
  <c r="AD39" i="13"/>
  <c r="AC39" i="13"/>
  <c r="AB39" i="13"/>
  <c r="AA39" i="13"/>
  <c r="Y39" i="13"/>
  <c r="X39" i="13"/>
  <c r="W39" i="13"/>
  <c r="V39" i="13"/>
  <c r="U39" i="13"/>
  <c r="S39" i="13"/>
  <c r="R39" i="13"/>
  <c r="Q39" i="13"/>
  <c r="P39" i="13"/>
  <c r="O39" i="13"/>
  <c r="M39" i="13"/>
  <c r="L39" i="13"/>
  <c r="K39" i="13"/>
  <c r="J39" i="13"/>
  <c r="I39" i="13"/>
  <c r="G39" i="13"/>
  <c r="AJ38" i="13"/>
  <c r="AD38" i="13"/>
  <c r="X38" i="13"/>
  <c r="R38" i="13"/>
  <c r="L38" i="13"/>
  <c r="F38" i="13"/>
  <c r="BC37" i="13"/>
  <c r="BC28" i="13"/>
  <c r="BC19" i="13"/>
  <c r="BC16" i="13"/>
  <c r="BC9" i="13"/>
  <c r="AQ37" i="13"/>
  <c r="AQ19" i="13"/>
  <c r="AQ16" i="13"/>
  <c r="AQ9" i="13"/>
  <c r="AJ36" i="13"/>
  <c r="AI36" i="13"/>
  <c r="AH36" i="13"/>
  <c r="AG36" i="13"/>
  <c r="Y36" i="13"/>
  <c r="Y19" i="13"/>
  <c r="Y16" i="13"/>
  <c r="S36" i="13"/>
  <c r="S28" i="13"/>
  <c r="S19" i="13"/>
  <c r="S16" i="13"/>
  <c r="M36" i="13"/>
  <c r="G36" i="13"/>
  <c r="G24" i="13"/>
  <c r="G23" i="13"/>
  <c r="G20" i="13"/>
  <c r="G19" i="13"/>
  <c r="AD36" i="13"/>
  <c r="AE36" i="13" s="1"/>
  <c r="AE20" i="13"/>
  <c r="AE19" i="13"/>
  <c r="B32" i="13"/>
  <c r="BB36" i="13"/>
  <c r="BC36" i="13" s="1"/>
  <c r="BA36" i="13"/>
  <c r="AZ36" i="13"/>
  <c r="AY36" i="13"/>
  <c r="BE30" i="13"/>
  <c r="AY30" i="13"/>
  <c r="BC30" i="13" s="1"/>
  <c r="AV36" i="13"/>
  <c r="AW36" i="13" s="1"/>
  <c r="AU36" i="13"/>
  <c r="AT36" i="13"/>
  <c r="AS36" i="13"/>
  <c r="AV30" i="13"/>
  <c r="AU30" i="13"/>
  <c r="AT30" i="13"/>
  <c r="AW30" i="13" s="1"/>
  <c r="AS30" i="13"/>
  <c r="AP36" i="13"/>
  <c r="AQ36" i="13" s="1"/>
  <c r="AO36" i="13"/>
  <c r="AN36" i="13"/>
  <c r="AM36" i="13"/>
  <c r="AP30" i="13"/>
  <c r="AO30" i="13"/>
  <c r="AN30" i="13"/>
  <c r="AM30" i="13"/>
  <c r="AJ30" i="13"/>
  <c r="AI30" i="13"/>
  <c r="AH30" i="13"/>
  <c r="AG30" i="13"/>
  <c r="AD30" i="13"/>
  <c r="K30" i="13"/>
  <c r="AW9" i="13"/>
  <c r="AT28" i="13"/>
  <c r="AW28" i="13"/>
  <c r="AN28" i="13"/>
  <c r="AQ28" i="13" s="1"/>
  <c r="AN20" i="13"/>
  <c r="AN72" i="13" s="1"/>
  <c r="AK28" i="13"/>
  <c r="AK19" i="13"/>
  <c r="AK16" i="13"/>
  <c r="AC28" i="13"/>
  <c r="AB28" i="13"/>
  <c r="AA28" i="13"/>
  <c r="W28" i="13"/>
  <c r="W20" i="13"/>
  <c r="J28" i="13"/>
  <c r="I28" i="13"/>
  <c r="E28" i="13"/>
  <c r="D28" i="13"/>
  <c r="C28" i="13"/>
  <c r="AS24" i="13"/>
  <c r="AS23" i="13"/>
  <c r="AM24" i="13"/>
  <c r="AM23" i="13"/>
  <c r="D23" i="13"/>
  <c r="C21" i="13"/>
  <c r="BE24" i="13"/>
  <c r="BE23" i="13"/>
  <c r="AY24" i="13"/>
  <c r="AY23" i="13"/>
  <c r="AG24" i="13"/>
  <c r="AG23" i="13"/>
  <c r="AA24" i="13"/>
  <c r="AA23" i="13"/>
  <c r="AB21" i="13"/>
  <c r="AB82" i="10" s="1"/>
  <c r="U24" i="13"/>
  <c r="U23" i="13"/>
  <c r="O24" i="13"/>
  <c r="O23" i="13"/>
  <c r="Q21" i="13"/>
  <c r="I24" i="13"/>
  <c r="I23" i="13"/>
  <c r="L21" i="13"/>
  <c r="I21" i="13"/>
  <c r="F21" i="13"/>
  <c r="BS20" i="13"/>
  <c r="BE20" i="13"/>
  <c r="BE72" i="13" s="1"/>
  <c r="BB20" i="13"/>
  <c r="AV20" i="13"/>
  <c r="AJ20" i="13"/>
  <c r="AH20" i="13"/>
  <c r="AH72" i="13" s="1"/>
  <c r="P20" i="13"/>
  <c r="O20" i="13"/>
  <c r="O72" i="13" s="1"/>
  <c r="BR19" i="13"/>
  <c r="AT19" i="13"/>
  <c r="AT17" i="13"/>
  <c r="AZ89" i="11"/>
  <c r="J19" i="13"/>
  <c r="J17" i="13"/>
  <c r="M17" i="13" s="1"/>
  <c r="BQ18" i="13"/>
  <c r="BK18" i="13"/>
  <c r="BG18" i="13"/>
  <c r="BF18" i="13"/>
  <c r="BE18" i="13"/>
  <c r="BA18" i="13"/>
  <c r="AZ18" i="13"/>
  <c r="AY18" i="13"/>
  <c r="AS18" i="13"/>
  <c r="AS17" i="13"/>
  <c r="AD18" i="13"/>
  <c r="AC18" i="13"/>
  <c r="AB18" i="13"/>
  <c r="AA18" i="13"/>
  <c r="R18" i="13"/>
  <c r="Q18" i="13"/>
  <c r="L18" i="13"/>
  <c r="K18" i="13"/>
  <c r="I18" i="13"/>
  <c r="F18" i="13"/>
  <c r="E18" i="13"/>
  <c r="D18" i="13"/>
  <c r="C18" i="13"/>
  <c r="AY17" i="13"/>
  <c r="AY21" i="13" s="1"/>
  <c r="AU18" i="13"/>
  <c r="AV17" i="13"/>
  <c r="BB89" i="11"/>
  <c r="AU17" i="13"/>
  <c r="AU21" i="13" s="1"/>
  <c r="AP18" i="13"/>
  <c r="AO18" i="13"/>
  <c r="AM18" i="13"/>
  <c r="AP17" i="13"/>
  <c r="AO17" i="13"/>
  <c r="AU98" i="13"/>
  <c r="AN17" i="13"/>
  <c r="AM17" i="13"/>
  <c r="AM21" i="13"/>
  <c r="AI18" i="13"/>
  <c r="AG18" i="13"/>
  <c r="AJ17" i="13"/>
  <c r="AI17" i="13"/>
  <c r="AI62" i="13"/>
  <c r="AI48" i="13"/>
  <c r="AH17" i="13"/>
  <c r="AH21" i="13"/>
  <c r="AG17" i="13"/>
  <c r="AG89" i="11"/>
  <c r="AD17" i="13"/>
  <c r="AC17" i="13"/>
  <c r="AC48" i="13"/>
  <c r="X18" i="13"/>
  <c r="W18" i="13"/>
  <c r="V18" i="13"/>
  <c r="U18" i="13"/>
  <c r="X17" i="13"/>
  <c r="W17" i="13"/>
  <c r="V17" i="13"/>
  <c r="AB89" i="11" s="1"/>
  <c r="U17" i="13"/>
  <c r="R17" i="13"/>
  <c r="R62" i="13" s="1"/>
  <c r="P17" i="13"/>
  <c r="O17" i="13"/>
  <c r="O21" i="13" s="1"/>
  <c r="K17" i="13"/>
  <c r="K16" i="13"/>
  <c r="Q90" i="11"/>
  <c r="AV16" i="13"/>
  <c r="AV21" i="13"/>
  <c r="AA16" i="13"/>
  <c r="AA90" i="11" s="1"/>
  <c r="E17" i="13"/>
  <c r="D17" i="13"/>
  <c r="E16" i="13"/>
  <c r="D16" i="13"/>
  <c r="AD15" i="13"/>
  <c r="X15" i="13"/>
  <c r="W15" i="13"/>
  <c r="U15" i="13"/>
  <c r="R15" i="13"/>
  <c r="Q15" i="13"/>
  <c r="P15" i="13"/>
  <c r="O15" i="13"/>
  <c r="L12" i="13"/>
  <c r="AJ14" i="13"/>
  <c r="AK14" i="13" s="1"/>
  <c r="AD14" i="13"/>
  <c r="AE14" i="13" s="1"/>
  <c r="AD13" i="13"/>
  <c r="AE13" i="13" s="1"/>
  <c r="X14" i="13"/>
  <c r="X13" i="13"/>
  <c r="R14" i="13"/>
  <c r="R13" i="13"/>
  <c r="J14" i="13"/>
  <c r="J13" i="13"/>
  <c r="F14" i="13"/>
  <c r="F13" i="13"/>
  <c r="G13" i="13" s="1"/>
  <c r="AH13" i="13"/>
  <c r="AH12" i="13" s="1"/>
  <c r="AH70" i="10" s="1"/>
  <c r="M13" i="13"/>
  <c r="L13" i="13" s="1"/>
  <c r="K13" i="13"/>
  <c r="AI12" i="13"/>
  <c r="AG12" i="13"/>
  <c r="AC12" i="13"/>
  <c r="AB12" i="13"/>
  <c r="AA12" i="13"/>
  <c r="AA44" i="13" s="1"/>
  <c r="Y9" i="13"/>
  <c r="V12" i="13"/>
  <c r="S12" i="13"/>
  <c r="S9" i="13"/>
  <c r="I12" i="13"/>
  <c r="I7" i="13"/>
  <c r="O7" i="13" s="1"/>
  <c r="H11" i="13"/>
  <c r="H10" i="13"/>
  <c r="B11" i="13"/>
  <c r="B10" i="13"/>
  <c r="N11" i="13"/>
  <c r="N10" i="13"/>
  <c r="E12" i="13"/>
  <c r="D12" i="13"/>
  <c r="C12" i="13"/>
  <c r="D8" i="13"/>
  <c r="E8" i="13" s="1"/>
  <c r="F8" i="13" s="1"/>
  <c r="M7" i="13"/>
  <c r="S7" i="13" s="1"/>
  <c r="Y7" i="13" s="1"/>
  <c r="BH25" i="11"/>
  <c r="DI26" i="11" s="1"/>
  <c r="AA25" i="40"/>
  <c r="BF23" i="40"/>
  <c r="BF25" i="40" s="1"/>
  <c r="AK22" i="40"/>
  <c r="AS31" i="40"/>
  <c r="AD81" i="9"/>
  <c r="BE28" i="10"/>
  <c r="BE34" i="10" s="1"/>
  <c r="AC28" i="10"/>
  <c r="AJ90" i="10"/>
  <c r="AI90" i="10"/>
  <c r="AS90" i="10"/>
  <c r="O69" i="10"/>
  <c r="O71" i="10"/>
  <c r="AP69" i="10"/>
  <c r="AN151" i="10"/>
  <c r="BE69" i="10"/>
  <c r="O151" i="10"/>
  <c r="AC151" i="10"/>
  <c r="AO28" i="10"/>
  <c r="BA28" i="10"/>
  <c r="S145" i="10"/>
  <c r="AD151" i="10"/>
  <c r="AD28" i="10"/>
  <c r="AP151" i="10"/>
  <c r="Y144" i="10"/>
  <c r="AS28" i="10"/>
  <c r="AS34" i="10" s="1"/>
  <c r="BE151" i="10"/>
  <c r="AE25" i="10"/>
  <c r="G28" i="10"/>
  <c r="AY69" i="10"/>
  <c r="Q70" i="10"/>
  <c r="Q71" i="10"/>
  <c r="AT69" i="10"/>
  <c r="I28" i="10"/>
  <c r="AZ69" i="10"/>
  <c r="AU69" i="10"/>
  <c r="BC144" i="10"/>
  <c r="J151" i="10"/>
  <c r="J28" i="10"/>
  <c r="J34" i="10" s="1"/>
  <c r="AI87" i="10"/>
  <c r="L71" i="10"/>
  <c r="X69" i="10"/>
  <c r="AC69" i="10"/>
  <c r="AH69" i="10"/>
  <c r="AM69" i="10"/>
  <c r="BM24" i="13"/>
  <c r="BQ25" i="11"/>
  <c r="DN26" i="11" s="1"/>
  <c r="BF18" i="12"/>
  <c r="BF50" i="12" s="1"/>
  <c r="BA10" i="11"/>
  <c r="BH18" i="12"/>
  <c r="BH34" i="12" s="1"/>
  <c r="DG12" i="11"/>
  <c r="BE98" i="13"/>
  <c r="BC17" i="13"/>
  <c r="BE62" i="13"/>
  <c r="AY48" i="13"/>
  <c r="AJ72" i="13"/>
  <c r="AJ18" i="13"/>
  <c r="X62" i="13"/>
  <c r="X21" i="13"/>
  <c r="X48" i="13"/>
  <c r="R60" i="13"/>
  <c r="J61" i="13"/>
  <c r="AT62" i="13"/>
  <c r="AZ62" i="13"/>
  <c r="AT48" i="13"/>
  <c r="AU62" i="13"/>
  <c r="AU48" i="13"/>
  <c r="BA62" i="13"/>
  <c r="W48" i="13"/>
  <c r="W21" i="13"/>
  <c r="AG62" i="13"/>
  <c r="AK17" i="13"/>
  <c r="AG21" i="13"/>
  <c r="AG48" i="13"/>
  <c r="AN48" i="13"/>
  <c r="BB62" i="13"/>
  <c r="AV48" i="13"/>
  <c r="P48" i="13"/>
  <c r="K12" i="13"/>
  <c r="O62" i="13"/>
  <c r="S17" i="13"/>
  <c r="O48" i="13"/>
  <c r="AP62" i="13"/>
  <c r="AP98" i="13" s="1"/>
  <c r="BB61" i="13"/>
  <c r="P18" i="13"/>
  <c r="V62" i="13"/>
  <c r="V21" i="13"/>
  <c r="AB62" i="13"/>
  <c r="AD62" i="13"/>
  <c r="AD48" i="13"/>
  <c r="AD21" i="13"/>
  <c r="AJ13" i="13"/>
  <c r="AG61" i="13"/>
  <c r="AA61" i="13"/>
  <c r="AA47" i="13"/>
  <c r="U21" i="13"/>
  <c r="AC21" i="13"/>
  <c r="AE17" i="13"/>
  <c r="AO62" i="13"/>
  <c r="AO98" i="13" s="1"/>
  <c r="AA62" i="13"/>
  <c r="I80" i="13"/>
  <c r="O79" i="13"/>
  <c r="AH80" i="13"/>
  <c r="AD80" i="13"/>
  <c r="W80" i="13"/>
  <c r="AC80" i="13"/>
  <c r="AG79" i="13"/>
  <c r="AD79" i="13"/>
  <c r="X79" i="13"/>
  <c r="AC79" i="13"/>
  <c r="W79" i="13"/>
  <c r="AA79" i="13"/>
  <c r="AH79" i="13"/>
  <c r="DK12" i="11"/>
  <c r="BR25" i="11"/>
  <c r="DO26" i="11" s="1"/>
  <c r="DL12" i="11"/>
  <c r="BN34" i="11"/>
  <c r="BR32" i="11"/>
  <c r="BM34" i="11"/>
  <c r="AY13" i="11"/>
  <c r="DB40" i="11"/>
  <c r="DF39" i="11"/>
  <c r="DJ52" i="11" s="1"/>
  <c r="BL32" i="11"/>
  <c r="BU12" i="11"/>
  <c r="BS25" i="11"/>
  <c r="DP26" i="11" s="1"/>
  <c r="BO28" i="12"/>
  <c r="DM12" i="11"/>
  <c r="BN25" i="11"/>
  <c r="DM26" i="11" s="1"/>
  <c r="BT25" i="11"/>
  <c r="DQ26" i="11" s="1"/>
  <c r="BO33" i="12"/>
  <c r="BL35" i="11"/>
  <c r="BM32" i="11"/>
  <c r="BM35" i="11"/>
  <c r="BO31" i="12"/>
  <c r="BO35" i="11" s="1"/>
  <c r="BN32" i="11"/>
  <c r="BN35" i="11"/>
  <c r="BS32" i="11"/>
  <c r="BT32" i="11"/>
  <c r="AY125" i="11"/>
  <c r="AZ10" i="11"/>
  <c r="DF41" i="11"/>
  <c r="DJ54" i="11" s="1"/>
  <c r="BC118" i="11"/>
  <c r="BL25" i="11"/>
  <c r="DK26" i="11" s="1"/>
  <c r="AY124" i="11"/>
  <c r="DE39" i="11"/>
  <c r="BB123" i="11"/>
  <c r="BM25" i="11"/>
  <c r="DL26" i="11" s="1"/>
  <c r="BG25" i="11"/>
  <c r="DH26" i="11" s="1"/>
  <c r="BE124" i="11"/>
  <c r="BC116" i="11"/>
  <c r="DE40" i="11"/>
  <c r="BC117" i="11"/>
  <c r="BB125" i="11"/>
  <c r="BB124" i="11"/>
  <c r="G33" i="9"/>
  <c r="BI24" i="40"/>
  <c r="BK45" i="40" s="1"/>
  <c r="BI146" i="10"/>
  <c r="BH146" i="10"/>
  <c r="AG59" i="12"/>
  <c r="BI19" i="13"/>
  <c r="BI40" i="13"/>
  <c r="BI36" i="13"/>
  <c r="Y145" i="10"/>
  <c r="AD69" i="10"/>
  <c r="AD71" i="10"/>
  <c r="AD70" i="10"/>
  <c r="AJ123" i="10"/>
  <c r="G17" i="13"/>
  <c r="Q89" i="11"/>
  <c r="K89" i="11"/>
  <c r="K94" i="11" s="1"/>
  <c r="J18" i="13"/>
  <c r="J71" i="13"/>
  <c r="J73" i="13" s="1"/>
  <c r="AE28" i="13"/>
  <c r="AC54" i="40"/>
  <c r="AN69" i="10"/>
  <c r="AN25" i="40"/>
  <c r="AJ21" i="13"/>
  <c r="AJ48" i="13"/>
  <c r="AQ17" i="13"/>
  <c r="AM89" i="11"/>
  <c r="AM62" i="13"/>
  <c r="AM98" i="13" s="1"/>
  <c r="AM48" i="13"/>
  <c r="AP48" i="13"/>
  <c r="AP89" i="11"/>
  <c r="Y28" i="13"/>
  <c r="BB151" i="10"/>
  <c r="BB28" i="10"/>
  <c r="BB34" i="10" s="1"/>
  <c r="P69" i="10"/>
  <c r="P71" i="10"/>
  <c r="AA69" i="10"/>
  <c r="AE68" i="10"/>
  <c r="AJ69" i="10"/>
  <c r="AK68" i="10"/>
  <c r="L124" i="10"/>
  <c r="BI22" i="40"/>
  <c r="BK43" i="40" s="1"/>
  <c r="AV61" i="13"/>
  <c r="BB90" i="11"/>
  <c r="AV90" i="11"/>
  <c r="AV47" i="13"/>
  <c r="AW16" i="13"/>
  <c r="AH89" i="11"/>
  <c r="AH48" i="13"/>
  <c r="AH62" i="13"/>
  <c r="AN62" i="13"/>
  <c r="AN98" i="13" s="1"/>
  <c r="G28" i="13"/>
  <c r="D25" i="13"/>
  <c r="D79" i="13"/>
  <c r="G77" i="13"/>
  <c r="R79" i="13"/>
  <c r="P79" i="13"/>
  <c r="Q79" i="13"/>
  <c r="AJ151" i="10"/>
  <c r="AQ25" i="10"/>
  <c r="AP28" i="10"/>
  <c r="S150" i="10"/>
  <c r="BF69" i="10"/>
  <c r="AH75" i="9"/>
  <c r="BC32" i="40"/>
  <c r="P72" i="13"/>
  <c r="I78" i="13"/>
  <c r="K78" i="13"/>
  <c r="L78" i="13"/>
  <c r="J78" i="13"/>
  <c r="AK145" i="10"/>
  <c r="AG28" i="10"/>
  <c r="AG34" i="10" s="1"/>
  <c r="V69" i="10"/>
  <c r="BI10" i="40"/>
  <c r="BK31" i="40" s="1"/>
  <c r="AJ43" i="40"/>
  <c r="AG33" i="40"/>
  <c r="BT71" i="40"/>
  <c r="BU71" i="40" s="1"/>
  <c r="Q61" i="13"/>
  <c r="M16" i="13"/>
  <c r="AT98" i="13"/>
  <c r="AE16" i="13"/>
  <c r="R48" i="13"/>
  <c r="J62" i="13"/>
  <c r="X78" i="13"/>
  <c r="V79" i="13"/>
  <c r="X80" i="13"/>
  <c r="AC78" i="13"/>
  <c r="AG80" i="13"/>
  <c r="W89" i="11"/>
  <c r="AG90" i="11"/>
  <c r="AV89" i="11"/>
  <c r="U28" i="10"/>
  <c r="AU28" i="10"/>
  <c r="BF28" i="10"/>
  <c r="BF34" i="10" s="1"/>
  <c r="U48" i="13"/>
  <c r="K61" i="13"/>
  <c r="P62" i="13"/>
  <c r="D78" i="13"/>
  <c r="D80" i="13"/>
  <c r="AH78" i="13"/>
  <c r="AI80" i="13"/>
  <c r="O89" i="11"/>
  <c r="R89" i="11"/>
  <c r="X89" i="11"/>
  <c r="V28" i="10"/>
  <c r="V34" i="10" s="1"/>
  <c r="AB28" i="10"/>
  <c r="AM28" i="10"/>
  <c r="AY28" i="10"/>
  <c r="W69" i="10"/>
  <c r="U71" i="10"/>
  <c r="AA54" i="40"/>
  <c r="K21" i="13"/>
  <c r="AA21" i="13"/>
  <c r="AI21" i="13"/>
  <c r="G16" i="13"/>
  <c r="U80" i="13"/>
  <c r="K90" i="11"/>
  <c r="U89" i="11"/>
  <c r="AA89" i="11"/>
  <c r="AD89" i="11"/>
  <c r="AI89" i="11"/>
  <c r="AN89" i="11"/>
  <c r="AT89" i="11"/>
  <c r="AY89" i="11"/>
  <c r="BE89" i="11"/>
  <c r="O28" i="10"/>
  <c r="AA28" i="10"/>
  <c r="AW21" i="40"/>
  <c r="AB54" i="40"/>
  <c r="AN54" i="40"/>
  <c r="AT54" i="40"/>
  <c r="BH152" i="10"/>
  <c r="BI152" i="10"/>
  <c r="BH23" i="40"/>
  <c r="BH25" i="40" s="1"/>
  <c r="BI27" i="40"/>
  <c r="BK152" i="10"/>
  <c r="BG21" i="10"/>
  <c r="BH46" i="10"/>
  <c r="BH59" i="10" s="1"/>
  <c r="BI46" i="10"/>
  <c r="BI59" i="10" s="1"/>
  <c r="BI11" i="12"/>
  <c r="BI28" i="13"/>
  <c r="R21" i="13"/>
  <c r="E78" i="13"/>
  <c r="E80" i="13"/>
  <c r="R78" i="13"/>
  <c r="AI78" i="13"/>
  <c r="AI79" i="13"/>
  <c r="V89" i="11"/>
  <c r="AZ98" i="13"/>
  <c r="AT21" i="13"/>
  <c r="AO21" i="13"/>
  <c r="AN21" i="13"/>
  <c r="AO48" i="13"/>
  <c r="BA89" i="11"/>
  <c r="V48" i="13"/>
  <c r="F80" i="13"/>
  <c r="P78" i="13"/>
  <c r="V80" i="13"/>
  <c r="BC20" i="13"/>
  <c r="AB78" i="13"/>
  <c r="AU89" i="11"/>
  <c r="BB97" i="13"/>
  <c r="BH21" i="13"/>
  <c r="BH62" i="13"/>
  <c r="BI17" i="13"/>
  <c r="BH89" i="11"/>
  <c r="BH12" i="12"/>
  <c r="BH90" i="11"/>
  <c r="BH61" i="13"/>
  <c r="BI16" i="13"/>
  <c r="BH151" i="10"/>
  <c r="BI14" i="13"/>
  <c r="BI13" i="13"/>
  <c r="BH136" i="10"/>
  <c r="BH57" i="13"/>
  <c r="BH11" i="11" s="1"/>
  <c r="BI9" i="13"/>
  <c r="BH15" i="13"/>
  <c r="BH44" i="13"/>
  <c r="BH95" i="13" s="1"/>
  <c r="BH144" i="10"/>
  <c r="BH142" i="10"/>
  <c r="BI144" i="10"/>
  <c r="BI142" i="10"/>
  <c r="BI30" i="13"/>
  <c r="AD45" i="9" l="1"/>
  <c r="AE45" i="9" s="1"/>
  <c r="S81" i="9"/>
  <c r="P24" i="13"/>
  <c r="S171" i="10"/>
  <c r="Y171" i="10"/>
  <c r="AE171" i="10"/>
  <c r="AK171" i="10"/>
  <c r="AQ171" i="10"/>
  <c r="BF134" i="12"/>
  <c r="BK52" i="40"/>
  <c r="BO50" i="40"/>
  <c r="BO52" i="40" s="1"/>
  <c r="BF21" i="10"/>
  <c r="AQ150" i="10"/>
  <c r="AP153" i="10"/>
  <c r="AB63" i="10"/>
  <c r="AO69" i="40"/>
  <c r="AP69" i="40" s="1"/>
  <c r="BO108" i="12"/>
  <c r="I60" i="11"/>
  <c r="BO112" i="12"/>
  <c r="U52" i="13"/>
  <c r="AD125" i="11"/>
  <c r="X81" i="9"/>
  <c r="S10" i="9"/>
  <c r="V75" i="9"/>
  <c r="AV24" i="9"/>
  <c r="AW24" i="9" s="1"/>
  <c r="AT69" i="13"/>
  <c r="AT25" i="13" s="1"/>
  <c r="BC41" i="13"/>
  <c r="BC150" i="10"/>
  <c r="AK90" i="10"/>
  <c r="M171" i="10"/>
  <c r="BE148" i="10"/>
  <c r="BO124" i="11"/>
  <c r="BO123" i="11"/>
  <c r="BH69" i="13"/>
  <c r="BH25" i="13" s="1"/>
  <c r="BZ48" i="13"/>
  <c r="CF48" i="13" s="1"/>
  <c r="CL48" i="13" s="1"/>
  <c r="BY48" i="13"/>
  <c r="CE48" i="13" s="1"/>
  <c r="CK48" i="13" s="1"/>
  <c r="BX48" i="13"/>
  <c r="CD48" i="13" s="1"/>
  <c r="CJ48" i="13" s="1"/>
  <c r="BH87" i="13"/>
  <c r="Y90" i="10"/>
  <c r="BQ52" i="11"/>
  <c r="AV11" i="9"/>
  <c r="AW11" i="9" s="1"/>
  <c r="AZ24" i="13"/>
  <c r="Q14" i="9"/>
  <c r="Q24" i="13" s="1"/>
  <c r="AI13" i="9"/>
  <c r="AI23" i="13" s="1"/>
  <c r="AS21" i="13"/>
  <c r="AS63" i="13" s="1"/>
  <c r="AY62" i="13"/>
  <c r="AW17" i="13"/>
  <c r="AW89" i="11" s="1"/>
  <c r="AS48" i="13"/>
  <c r="AS62" i="13"/>
  <c r="AS98" i="13" s="1"/>
  <c r="AS89" i="11"/>
  <c r="AS94" i="11" s="1"/>
  <c r="AT71" i="13"/>
  <c r="AW71" i="13" s="1"/>
  <c r="AT18" i="13"/>
  <c r="AV72" i="13"/>
  <c r="AW72" i="13" s="1"/>
  <c r="AV18" i="13"/>
  <c r="M28" i="13"/>
  <c r="AQ30" i="13"/>
  <c r="E79" i="13"/>
  <c r="E77" i="13" s="1"/>
  <c r="F79" i="13"/>
  <c r="L80" i="13"/>
  <c r="L77" i="13" s="1"/>
  <c r="J80" i="13"/>
  <c r="BH72" i="13"/>
  <c r="BI72" i="13" s="1"/>
  <c r="BH18" i="13"/>
  <c r="J21" i="13"/>
  <c r="P89" i="11"/>
  <c r="S20" i="13"/>
  <c r="C79" i="13"/>
  <c r="AK30" i="13"/>
  <c r="BI20" i="13"/>
  <c r="K80" i="13"/>
  <c r="AY98" i="13"/>
  <c r="AQ20" i="13"/>
  <c r="O18" i="13"/>
  <c r="AW19" i="13"/>
  <c r="AW20" i="13"/>
  <c r="AK20" i="13"/>
  <c r="J12" i="13"/>
  <c r="L14" i="13"/>
  <c r="D21" i="13"/>
  <c r="J90" i="11"/>
  <c r="J95" i="11" s="1"/>
  <c r="E21" i="13"/>
  <c r="Q62" i="13"/>
  <c r="K62" i="13"/>
  <c r="P21" i="13"/>
  <c r="Y17" i="13"/>
  <c r="U62" i="13"/>
  <c r="AC62" i="13"/>
  <c r="W62" i="13"/>
  <c r="AC89" i="11"/>
  <c r="AI94" i="11" s="1"/>
  <c r="AJ62" i="13"/>
  <c r="AJ89" i="11"/>
  <c r="AJ94" i="11" s="1"/>
  <c r="AH18" i="13"/>
  <c r="AP21" i="13"/>
  <c r="AV62" i="13"/>
  <c r="AV98" i="13"/>
  <c r="AN18" i="13"/>
  <c r="BB72" i="13"/>
  <c r="BB32" i="13" s="1"/>
  <c r="BB18" i="13"/>
  <c r="C70" i="13"/>
  <c r="C25" i="13"/>
  <c r="C26" i="13" s="1"/>
  <c r="W72" i="13"/>
  <c r="W73" i="13" s="1"/>
  <c r="W30" i="13" s="1"/>
  <c r="Y20" i="13"/>
  <c r="K79" i="13"/>
  <c r="J79" i="13"/>
  <c r="M77" i="13"/>
  <c r="M138" i="10" s="1"/>
  <c r="O78" i="13"/>
  <c r="O77" i="13" s="1"/>
  <c r="S77" i="13"/>
  <c r="S163" i="10" s="1"/>
  <c r="Q78" i="13"/>
  <c r="R80" i="13"/>
  <c r="R77" i="13" s="1"/>
  <c r="Q80" i="13"/>
  <c r="Q77" i="13" s="1"/>
  <c r="W78" i="13"/>
  <c r="W77" i="13" s="1"/>
  <c r="U78" i="13"/>
  <c r="U77" i="13" s="1"/>
  <c r="Y77" i="13"/>
  <c r="Y163" i="10" s="1"/>
  <c r="AA78" i="13"/>
  <c r="AA77" i="13" s="1"/>
  <c r="AG78" i="13"/>
  <c r="AD78" i="13"/>
  <c r="E73" i="13"/>
  <c r="E32" i="13" s="1"/>
  <c r="AW73" i="13"/>
  <c r="G72" i="13"/>
  <c r="S169" i="10"/>
  <c r="S183" i="10" s="1"/>
  <c r="S41" i="10"/>
  <c r="S176" i="10" s="1"/>
  <c r="AT59" i="10"/>
  <c r="BC40" i="40"/>
  <c r="J21" i="10"/>
  <c r="AU50" i="40"/>
  <c r="AU51" i="40" s="1"/>
  <c r="J42" i="10"/>
  <c r="J43" i="10" s="1"/>
  <c r="G64" i="10"/>
  <c r="AQ32" i="9"/>
  <c r="J75" i="9"/>
  <c r="AS98" i="10"/>
  <c r="DG13" i="11"/>
  <c r="Y26" i="11"/>
  <c r="AK26" i="11"/>
  <c r="CY13" i="11"/>
  <c r="DA13" i="11"/>
  <c r="CG26" i="11"/>
  <c r="DI13" i="11"/>
  <c r="BT26" i="11"/>
  <c r="DQ27" i="11" s="1"/>
  <c r="BR26" i="11"/>
  <c r="DO27" i="11" s="1"/>
  <c r="BQ26" i="11"/>
  <c r="DN27" i="11" s="1"/>
  <c r="AY35" i="11"/>
  <c r="AY48" i="11" s="1"/>
  <c r="DF13" i="11"/>
  <c r="Y25" i="11"/>
  <c r="M26" i="11"/>
  <c r="DC13" i="11"/>
  <c r="DD13" i="11"/>
  <c r="CG25" i="11"/>
  <c r="K34" i="10"/>
  <c r="AZ47" i="10"/>
  <c r="K64" i="10"/>
  <c r="L34" i="10"/>
  <c r="AD34" i="10"/>
  <c r="AD42" i="10" s="1"/>
  <c r="AQ145" i="10"/>
  <c r="BM170" i="10"/>
  <c r="AD63" i="10"/>
  <c r="G138" i="10"/>
  <c r="G163" i="10"/>
  <c r="AW83" i="10"/>
  <c r="AW136" i="10"/>
  <c r="AW69" i="10"/>
  <c r="BQ138" i="10"/>
  <c r="BQ163" i="10"/>
  <c r="BW138" i="10"/>
  <c r="BW163" i="10"/>
  <c r="Y138" i="10"/>
  <c r="BR138" i="10"/>
  <c r="BR163" i="10"/>
  <c r="AM84" i="40"/>
  <c r="U64" i="10"/>
  <c r="AD64" i="10"/>
  <c r="K62" i="10"/>
  <c r="K65" i="10"/>
  <c r="L65" i="10"/>
  <c r="AJ125" i="10"/>
  <c r="L62" i="10"/>
  <c r="BE21" i="10"/>
  <c r="AE142" i="10"/>
  <c r="W47" i="10"/>
  <c r="AW7" i="10"/>
  <c r="BC7" i="10" s="1"/>
  <c r="BI7" i="10" s="1"/>
  <c r="BO7" i="10" s="1"/>
  <c r="BU7" i="10" s="1"/>
  <c r="CA7" i="10" s="1"/>
  <c r="CG7" i="10" s="1"/>
  <c r="CM7" i="10" s="1"/>
  <c r="AH182" i="10"/>
  <c r="AH183" i="10"/>
  <c r="K183" i="10"/>
  <c r="K182" i="10"/>
  <c r="R183" i="10"/>
  <c r="R182" i="10"/>
  <c r="W183" i="10"/>
  <c r="W182" i="10"/>
  <c r="AD182" i="10"/>
  <c r="AD183" i="10"/>
  <c r="AJ182" i="10"/>
  <c r="AJ183" i="10"/>
  <c r="AN182" i="10"/>
  <c r="AN183" i="10"/>
  <c r="AS182" i="10"/>
  <c r="AS183" i="10"/>
  <c r="AV182" i="10"/>
  <c r="AV183" i="10"/>
  <c r="AZ183" i="10"/>
  <c r="AZ182" i="10"/>
  <c r="BF182" i="10"/>
  <c r="BF183" i="10"/>
  <c r="L183" i="10"/>
  <c r="L182" i="10"/>
  <c r="Q182" i="10"/>
  <c r="Q183" i="10"/>
  <c r="AA183" i="10"/>
  <c r="AA182" i="10"/>
  <c r="O183" i="10"/>
  <c r="O182" i="10"/>
  <c r="V183" i="10"/>
  <c r="V182" i="10"/>
  <c r="AO183" i="10"/>
  <c r="AO182" i="10"/>
  <c r="BG183" i="10"/>
  <c r="BG182" i="10"/>
  <c r="BN175" i="10"/>
  <c r="BM175" i="10"/>
  <c r="M169" i="10"/>
  <c r="BC35" i="10"/>
  <c r="BC175" i="10" s="1"/>
  <c r="BB175" i="10"/>
  <c r="AW87" i="10"/>
  <c r="I183" i="10"/>
  <c r="I182" i="10"/>
  <c r="P183" i="10"/>
  <c r="P182" i="10"/>
  <c r="U183" i="10"/>
  <c r="U182" i="10"/>
  <c r="X182" i="10"/>
  <c r="X183" i="10"/>
  <c r="AG182" i="10"/>
  <c r="AG183" i="10"/>
  <c r="AM182" i="10"/>
  <c r="AM183" i="10"/>
  <c r="AP183" i="10"/>
  <c r="AP182" i="10"/>
  <c r="AT182" i="10"/>
  <c r="AT183" i="10"/>
  <c r="AY183" i="10"/>
  <c r="AY182" i="10"/>
  <c r="BA183" i="10"/>
  <c r="BA182" i="10"/>
  <c r="BE182" i="10"/>
  <c r="BE183" i="10"/>
  <c r="AB183" i="10"/>
  <c r="AB182" i="10"/>
  <c r="AC183" i="10"/>
  <c r="AC182" i="10"/>
  <c r="AU183" i="10"/>
  <c r="AU182" i="10"/>
  <c r="J182" i="10"/>
  <c r="J183" i="10"/>
  <c r="Y169" i="10"/>
  <c r="BF62" i="10"/>
  <c r="P8" i="10"/>
  <c r="Q8" i="10" s="1"/>
  <c r="R8" i="10" s="1"/>
  <c r="AI50" i="40"/>
  <c r="AI51" i="40" s="1"/>
  <c r="U21" i="10"/>
  <c r="AP21" i="10"/>
  <c r="AV47" i="10"/>
  <c r="AZ59" i="10"/>
  <c r="AO47" i="10"/>
  <c r="AP59" i="10"/>
  <c r="AY59" i="10"/>
  <c r="G182" i="10"/>
  <c r="G183" i="10"/>
  <c r="AM50" i="40"/>
  <c r="AM51" i="40" s="1"/>
  <c r="BF50" i="40"/>
  <c r="BF52" i="40" s="1"/>
  <c r="AE46" i="10"/>
  <c r="AO50" i="40"/>
  <c r="AO51" i="40" s="1"/>
  <c r="AM65" i="10"/>
  <c r="AK46" i="10"/>
  <c r="AK47" i="10" s="1"/>
  <c r="BR14" i="9"/>
  <c r="BR24" i="13" s="1"/>
  <c r="J59" i="10"/>
  <c r="AE28" i="10"/>
  <c r="K63" i="10"/>
  <c r="BA34" i="10"/>
  <c r="AU125" i="10"/>
  <c r="L125" i="10"/>
  <c r="BB153" i="10"/>
  <c r="BB155" i="10" s="1"/>
  <c r="X21" i="10"/>
  <c r="G65" i="10"/>
  <c r="AO65" i="10"/>
  <c r="BB21" i="10"/>
  <c r="I63" i="10"/>
  <c r="BE59" i="10"/>
  <c r="V17" i="11"/>
  <c r="X17" i="11"/>
  <c r="AD17" i="11"/>
  <c r="CW11" i="11"/>
  <c r="DA11" i="11"/>
  <c r="AP99" i="13"/>
  <c r="U17" i="11"/>
  <c r="W17" i="11"/>
  <c r="M68" i="10"/>
  <c r="AE147" i="10"/>
  <c r="AC47" i="10"/>
  <c r="AC48" i="10" s="1"/>
  <c r="AN71" i="10"/>
  <c r="BE47" i="10"/>
  <c r="S109" i="10"/>
  <c r="Y146" i="10"/>
  <c r="Q151" i="10"/>
  <c r="Q153" i="10" s="1"/>
  <c r="V151" i="10"/>
  <c r="V153" i="10" s="1"/>
  <c r="V155" i="10" s="1"/>
  <c r="W156" i="10" s="1"/>
  <c r="AA151" i="10"/>
  <c r="AA153" i="10" s="1"/>
  <c r="AH151" i="10"/>
  <c r="AH153" i="10" s="1"/>
  <c r="AH155" i="10" s="1"/>
  <c r="AI156" i="10" s="1"/>
  <c r="AN28" i="10"/>
  <c r="AT28" i="10"/>
  <c r="AT34" i="10" s="1"/>
  <c r="AV151" i="10"/>
  <c r="AV153" i="10" s="1"/>
  <c r="AV155" i="10" s="1"/>
  <c r="AS69" i="10"/>
  <c r="G125" i="10"/>
  <c r="I123" i="10"/>
  <c r="I125" i="10" s="1"/>
  <c r="AH50" i="40"/>
  <c r="AH51" i="40" s="1"/>
  <c r="AN50" i="40"/>
  <c r="AN51" i="40" s="1"/>
  <c r="AD47" i="10"/>
  <c r="AD48" i="10" s="1"/>
  <c r="R21" i="10"/>
  <c r="AG21" i="10"/>
  <c r="AY62" i="10"/>
  <c r="AP34" i="10"/>
  <c r="AH28" i="10"/>
  <c r="AH64" i="10" s="1"/>
  <c r="K21" i="10"/>
  <c r="AB62" i="10"/>
  <c r="AU21" i="10"/>
  <c r="R69" i="10"/>
  <c r="BC68" i="10"/>
  <c r="AK25" i="10"/>
  <c r="AK151" i="10" s="1"/>
  <c r="K125" i="10"/>
  <c r="S68" i="10"/>
  <c r="S71" i="10" s="1"/>
  <c r="G62" i="10"/>
  <c r="BA50" i="40"/>
  <c r="BA52" i="40" s="1"/>
  <c r="V125" i="10"/>
  <c r="G34" i="10"/>
  <c r="AT151" i="10"/>
  <c r="AT153" i="10" s="1"/>
  <c r="AT155" i="10" s="1"/>
  <c r="AU156" i="10" s="1"/>
  <c r="Q28" i="10"/>
  <c r="L63" i="10"/>
  <c r="AK146" i="10"/>
  <c r="P151" i="10"/>
  <c r="P153" i="10" s="1"/>
  <c r="U151" i="10"/>
  <c r="U153" i="10" s="1"/>
  <c r="U155" i="10" s="1"/>
  <c r="V156" i="10" s="1"/>
  <c r="AB151" i="10"/>
  <c r="AB153" i="10" s="1"/>
  <c r="AG153" i="10"/>
  <c r="AM151" i="10"/>
  <c r="AM153" i="10" s="1"/>
  <c r="AO151" i="10"/>
  <c r="AO153" i="10" s="1"/>
  <c r="AU151" i="10"/>
  <c r="AU153" i="10" s="1"/>
  <c r="AU155" i="10" s="1"/>
  <c r="AV156" i="10" s="1"/>
  <c r="BA151" i="10"/>
  <c r="BA153" i="10" s="1"/>
  <c r="BA155" i="10" s="1"/>
  <c r="BB156" i="10" s="1"/>
  <c r="AV28" i="10"/>
  <c r="AV63" i="10" s="1"/>
  <c r="AQ46" i="10"/>
  <c r="AI41" i="10"/>
  <c r="AI176" i="10" s="1"/>
  <c r="AJ87" i="10"/>
  <c r="O90" i="10"/>
  <c r="S90" i="10"/>
  <c r="U59" i="10"/>
  <c r="W59" i="10"/>
  <c r="AH47" i="10"/>
  <c r="AM47" i="10"/>
  <c r="AT47" i="10"/>
  <c r="AT48" i="10" s="1"/>
  <c r="AT50" i="40"/>
  <c r="AT51" i="40" s="1"/>
  <c r="BA59" i="10"/>
  <c r="U69" i="10"/>
  <c r="Y68" i="10"/>
  <c r="Y69" i="10" s="1"/>
  <c r="W70" i="10"/>
  <c r="W72" i="10" s="1"/>
  <c r="AC153" i="10"/>
  <c r="R47" i="10"/>
  <c r="AP63" i="10"/>
  <c r="AU47" i="10"/>
  <c r="AU48" i="10" s="1"/>
  <c r="AY47" i="10"/>
  <c r="BE62" i="10"/>
  <c r="M147" i="10"/>
  <c r="M146" i="10"/>
  <c r="S10" i="10"/>
  <c r="U84" i="40" s="1"/>
  <c r="S146" i="10"/>
  <c r="Y16" i="10"/>
  <c r="AE146" i="10"/>
  <c r="AE148" i="10" s="1"/>
  <c r="AQ146" i="10"/>
  <c r="BC146" i="10"/>
  <c r="AE151" i="10"/>
  <c r="AE87" i="10"/>
  <c r="AQ90" i="10"/>
  <c r="BE87" i="10"/>
  <c r="V59" i="10"/>
  <c r="BL69" i="10"/>
  <c r="BR69" i="10" s="1"/>
  <c r="BX69" i="10" s="1"/>
  <c r="BL70" i="10"/>
  <c r="BR70" i="10" s="1"/>
  <c r="BX70" i="10" s="1"/>
  <c r="BL71" i="10"/>
  <c r="BR71" i="10" s="1"/>
  <c r="BX71" i="10" s="1"/>
  <c r="AV125" i="10"/>
  <c r="O148" i="10"/>
  <c r="AB50" i="40"/>
  <c r="AB51" i="40" s="1"/>
  <c r="AJ50" i="40"/>
  <c r="AJ51" i="40" s="1"/>
  <c r="BH50" i="40"/>
  <c r="BH52" i="40" s="1"/>
  <c r="BR52" i="11"/>
  <c r="AT82" i="10"/>
  <c r="AZ99" i="13"/>
  <c r="AN99" i="13"/>
  <c r="AV99" i="13"/>
  <c r="AT99" i="13"/>
  <c r="AO99" i="13"/>
  <c r="AY82" i="10"/>
  <c r="BE99" i="13"/>
  <c r="BK99" i="13"/>
  <c r="AU99" i="13"/>
  <c r="AM99" i="13"/>
  <c r="AM82" i="10"/>
  <c r="BM99" i="13"/>
  <c r="BG99" i="13"/>
  <c r="BF99" i="13"/>
  <c r="AJ125" i="11"/>
  <c r="S26" i="11"/>
  <c r="CY52" i="11"/>
  <c r="BZ50" i="12"/>
  <c r="BZ34" i="12"/>
  <c r="BW48" i="12"/>
  <c r="BW50" i="12"/>
  <c r="BW34" i="12"/>
  <c r="BX22" i="12"/>
  <c r="BX50" i="12"/>
  <c r="BX34" i="12"/>
  <c r="BY59" i="12"/>
  <c r="BY50" i="12"/>
  <c r="BY34" i="12"/>
  <c r="BY36" i="11" s="1"/>
  <c r="CE49" i="11" s="1"/>
  <c r="BM60" i="13"/>
  <c r="DL13" i="11"/>
  <c r="DH13" i="11"/>
  <c r="BF63" i="10"/>
  <c r="AQ41" i="10"/>
  <c r="AJ62" i="10"/>
  <c r="AD50" i="40"/>
  <c r="AD51" i="40" s="1"/>
  <c r="BA125" i="10"/>
  <c r="G63" i="10"/>
  <c r="U90" i="10"/>
  <c r="AS63" i="10"/>
  <c r="AA21" i="10"/>
  <c r="AV21" i="10"/>
  <c r="M28" i="10"/>
  <c r="Y87" i="10"/>
  <c r="AK87" i="10"/>
  <c r="AS87" i="10"/>
  <c r="X153" i="10"/>
  <c r="X155" i="10" s="1"/>
  <c r="O62" i="10"/>
  <c r="AY64" i="10"/>
  <c r="AP64" i="10"/>
  <c r="AP62" i="10"/>
  <c r="AZ50" i="40"/>
  <c r="AZ52" i="40" s="1"/>
  <c r="BG50" i="40"/>
  <c r="BG52" i="40" s="1"/>
  <c r="U65" i="10"/>
  <c r="Y10" i="10"/>
  <c r="AA50" i="40" s="1"/>
  <c r="J62" i="10"/>
  <c r="J65" i="10"/>
  <c r="AJ21" i="10"/>
  <c r="AE16" i="10"/>
  <c r="BB47" i="10"/>
  <c r="AY63" i="10"/>
  <c r="AP65" i="10"/>
  <c r="AE90" i="10"/>
  <c r="BF47" i="10"/>
  <c r="BF48" i="10" s="1"/>
  <c r="S46" i="10"/>
  <c r="S59" i="10" s="1"/>
  <c r="AJ153" i="10"/>
  <c r="R34" i="10"/>
  <c r="BF125" i="10"/>
  <c r="L64" i="10"/>
  <c r="BC16" i="10"/>
  <c r="J153" i="10"/>
  <c r="AJ59" i="10"/>
  <c r="AD153" i="10"/>
  <c r="BA47" i="10"/>
  <c r="BA48" i="10" s="1"/>
  <c r="P79" i="9"/>
  <c r="AW45" i="40"/>
  <c r="K15" i="9"/>
  <c r="AN75" i="9"/>
  <c r="BF75" i="9"/>
  <c r="AZ48" i="10"/>
  <c r="U62" i="10"/>
  <c r="U34" i="10"/>
  <c r="U63" i="10"/>
  <c r="AY65" i="10"/>
  <c r="AY34" i="10"/>
  <c r="BF65" i="10"/>
  <c r="AG62" i="10"/>
  <c r="BF64" i="10"/>
  <c r="J63" i="10"/>
  <c r="W48" i="10"/>
  <c r="BC147" i="10"/>
  <c r="AD62" i="10"/>
  <c r="K153" i="10"/>
  <c r="W153" i="10"/>
  <c r="W155" i="10" s="1"/>
  <c r="X156" i="10" s="1"/>
  <c r="AY153" i="10"/>
  <c r="M87" i="10"/>
  <c r="AD59" i="10"/>
  <c r="AI48" i="10"/>
  <c r="AS59" i="10"/>
  <c r="AB125" i="10"/>
  <c r="AN125" i="10"/>
  <c r="AZ125" i="10"/>
  <c r="P119" i="10"/>
  <c r="AC64" i="10"/>
  <c r="BE48" i="10"/>
  <c r="S143" i="10"/>
  <c r="Y28" i="10"/>
  <c r="Y41" i="10"/>
  <c r="Y176" i="10" s="1"/>
  <c r="AK41" i="10"/>
  <c r="AK176" i="10" s="1"/>
  <c r="AK182" i="10" s="1"/>
  <c r="AN82" i="10"/>
  <c r="AG16" i="12"/>
  <c r="AG152" i="12" s="1"/>
  <c r="DH53" i="11"/>
  <c r="DL53" i="11"/>
  <c r="S122" i="12"/>
  <c r="AB32" i="13"/>
  <c r="S7" i="40"/>
  <c r="D26" i="13"/>
  <c r="AK28" i="10"/>
  <c r="AB65" i="10"/>
  <c r="AJ34" i="10"/>
  <c r="AG65" i="10"/>
  <c r="I21" i="10"/>
  <c r="AG87" i="10"/>
  <c r="U87" i="10"/>
  <c r="G42" i="10"/>
  <c r="G43" i="10" s="1"/>
  <c r="AE10" i="10"/>
  <c r="X62" i="10"/>
  <c r="J64" i="10"/>
  <c r="S87" i="10"/>
  <c r="AN21" i="10"/>
  <c r="AC62" i="10"/>
  <c r="AS64" i="10"/>
  <c r="AC34" i="10"/>
  <c r="AH59" i="10"/>
  <c r="X34" i="10"/>
  <c r="BG47" i="10"/>
  <c r="BF42" i="10"/>
  <c r="BF43" i="10" s="1"/>
  <c r="AB34" i="10"/>
  <c r="AJ65" i="10"/>
  <c r="AV50" i="40"/>
  <c r="AV51" i="40" s="1"/>
  <c r="W21" i="10"/>
  <c r="Y142" i="10"/>
  <c r="AS62" i="10"/>
  <c r="R65" i="10"/>
  <c r="AQ87" i="10"/>
  <c r="AE41" i="10"/>
  <c r="AE176" i="10" s="1"/>
  <c r="AE182" i="10" s="1"/>
  <c r="J47" i="10"/>
  <c r="R64" i="10"/>
  <c r="BB59" i="10"/>
  <c r="Q21" i="10"/>
  <c r="AS65" i="10"/>
  <c r="BE153" i="10"/>
  <c r="X63" i="10"/>
  <c r="AK143" i="10"/>
  <c r="AO148" i="10"/>
  <c r="AO155" i="10" s="1"/>
  <c r="AP156" i="10" s="1"/>
  <c r="AB64" i="10"/>
  <c r="BB50" i="40"/>
  <c r="BB52" i="40" s="1"/>
  <c r="J125" i="10"/>
  <c r="X65" i="10"/>
  <c r="X64" i="10"/>
  <c r="AE22" i="9"/>
  <c r="X37" i="9"/>
  <c r="Y37" i="9" s="1"/>
  <c r="AD36" i="9"/>
  <c r="AE36" i="9" s="1"/>
  <c r="R22" i="9"/>
  <c r="S22" i="9" s="1"/>
  <c r="AH73" i="9"/>
  <c r="BF23" i="13"/>
  <c r="BF104" i="10"/>
  <c r="BF86" i="40"/>
  <c r="AP36" i="9"/>
  <c r="AQ36" i="9" s="1"/>
  <c r="AU15" i="9"/>
  <c r="AP38" i="9"/>
  <c r="AQ38" i="9" s="1"/>
  <c r="AH23" i="13"/>
  <c r="AH86" i="40"/>
  <c r="BA14" i="9"/>
  <c r="BA117" i="10" s="1"/>
  <c r="BA119" i="10" s="1"/>
  <c r="P75" i="9"/>
  <c r="R19" i="9"/>
  <c r="S19" i="9" s="1"/>
  <c r="K40" i="9"/>
  <c r="L40" i="9" s="1"/>
  <c r="BG64" i="9"/>
  <c r="BC76" i="40"/>
  <c r="DK13" i="11"/>
  <c r="DI54" i="11"/>
  <c r="BH26" i="11"/>
  <c r="DI27" i="11" s="1"/>
  <c r="BG110" i="12"/>
  <c r="X10" i="12"/>
  <c r="X78" i="12" s="1"/>
  <c r="AG86" i="12"/>
  <c r="O6" i="11"/>
  <c r="P6" i="11" s="1"/>
  <c r="Q6" i="11" s="1"/>
  <c r="R6" i="11" s="1"/>
  <c r="CY53" i="11"/>
  <c r="V34" i="11"/>
  <c r="AB47" i="11" s="1"/>
  <c r="CI46" i="12"/>
  <c r="AO89" i="11"/>
  <c r="AU94" i="11" s="1"/>
  <c r="J89" i="11"/>
  <c r="C78" i="13"/>
  <c r="BB98" i="13"/>
  <c r="BB99" i="13" s="1"/>
  <c r="AI64" i="10"/>
  <c r="AI34" i="10"/>
  <c r="AI63" i="10"/>
  <c r="AI65" i="10"/>
  <c r="W34" i="10"/>
  <c r="W64" i="10"/>
  <c r="W63" i="10"/>
  <c r="W65" i="10"/>
  <c r="W62" i="10"/>
  <c r="BC28" i="10"/>
  <c r="BC151" i="10"/>
  <c r="V42" i="10"/>
  <c r="V43" i="10" s="1"/>
  <c r="AT63" i="10"/>
  <c r="BH69" i="10"/>
  <c r="BH70" i="10"/>
  <c r="BH71" i="10"/>
  <c r="AZ151" i="10"/>
  <c r="AZ153" i="10" s="1"/>
  <c r="AZ155" i="10" s="1"/>
  <c r="BA156" i="10" s="1"/>
  <c r="BG87" i="10"/>
  <c r="AS42" i="10"/>
  <c r="AS43" i="10" s="1"/>
  <c r="Q34" i="10"/>
  <c r="M10" i="10"/>
  <c r="AZ28" i="10"/>
  <c r="AZ62" i="10" s="1"/>
  <c r="BC152" i="10"/>
  <c r="BG28" i="10"/>
  <c r="BG64" i="10" s="1"/>
  <c r="BA82" i="10"/>
  <c r="P28" i="10"/>
  <c r="P34" i="10" s="1"/>
  <c r="S151" i="10"/>
  <c r="R70" i="10"/>
  <c r="BI68" i="10"/>
  <c r="AN148" i="10"/>
  <c r="AP148" i="10"/>
  <c r="AP155" i="10" s="1"/>
  <c r="BG70" i="10"/>
  <c r="CE70" i="10" s="1"/>
  <c r="CK70" i="10" s="1"/>
  <c r="BG71" i="10"/>
  <c r="AE152" i="10"/>
  <c r="AE153" i="10" s="1"/>
  <c r="U70" i="10"/>
  <c r="AI151" i="10"/>
  <c r="AI153" i="10" s="1"/>
  <c r="AI155" i="10" s="1"/>
  <c r="AJ156" i="10" s="1"/>
  <c r="BB82" i="10"/>
  <c r="BN64" i="40"/>
  <c r="BN88" i="40" s="1"/>
  <c r="AU69" i="40"/>
  <c r="BS69" i="40"/>
  <c r="BT69" i="40" s="1"/>
  <c r="BU69" i="40" s="1"/>
  <c r="BG74" i="40"/>
  <c r="BH74" i="40" s="1"/>
  <c r="BI74" i="40" s="1"/>
  <c r="G9" i="11"/>
  <c r="M22" i="11" s="1"/>
  <c r="BE123" i="11"/>
  <c r="AY100" i="13"/>
  <c r="BH125" i="11"/>
  <c r="AT26" i="11"/>
  <c r="CY27" i="11" s="1"/>
  <c r="AY123" i="11"/>
  <c r="BS14" i="9"/>
  <c r="BS24" i="13" s="1"/>
  <c r="AV45" i="11"/>
  <c r="AP17" i="11"/>
  <c r="AP45" i="11"/>
  <c r="AV51" i="11"/>
  <c r="BN59" i="12"/>
  <c r="K77" i="11"/>
  <c r="BN65" i="12"/>
  <c r="BT14" i="9"/>
  <c r="BT24" i="13" s="1"/>
  <c r="AN67" i="10"/>
  <c r="DE11" i="11"/>
  <c r="AO22" i="12"/>
  <c r="AW25" i="11"/>
  <c r="DB54" i="11"/>
  <c r="AT22" i="12"/>
  <c r="AT50" i="12"/>
  <c r="BK68" i="12"/>
  <c r="DB52" i="11"/>
  <c r="DE53" i="11"/>
  <c r="BF59" i="12"/>
  <c r="BF58" i="12" s="1"/>
  <c r="BL68" i="11" s="1"/>
  <c r="AJ50" i="12"/>
  <c r="DI52" i="11"/>
  <c r="AW31" i="9"/>
  <c r="AE38" i="9"/>
  <c r="AJ31" i="9"/>
  <c r="V24" i="13"/>
  <c r="I47" i="10"/>
  <c r="Q47" i="10"/>
  <c r="AN59" i="10"/>
  <c r="G59" i="10"/>
  <c r="S147" i="10"/>
  <c r="S148" i="10" s="1"/>
  <c r="AA87" i="10"/>
  <c r="AM87" i="10"/>
  <c r="I119" i="10"/>
  <c r="AP47" i="10"/>
  <c r="BE94" i="11"/>
  <c r="BT77" i="13"/>
  <c r="S21" i="13"/>
  <c r="G86" i="12"/>
  <c r="AU51" i="11"/>
  <c r="BL48" i="11"/>
  <c r="AE90" i="11"/>
  <c r="BA69" i="11"/>
  <c r="BB17" i="11"/>
  <c r="AK136" i="10"/>
  <c r="AK48" i="13"/>
  <c r="S61" i="40"/>
  <c r="U61" i="40" s="1"/>
  <c r="BO12" i="40"/>
  <c r="BK33" i="40"/>
  <c r="BO14" i="40"/>
  <c r="BQ14" i="40" s="1"/>
  <c r="BR14" i="40" s="1"/>
  <c r="BS14" i="40" s="1"/>
  <c r="BT14" i="40" s="1"/>
  <c r="BU14" i="40" s="1"/>
  <c r="BK35" i="40"/>
  <c r="BO16" i="40"/>
  <c r="BK37" i="40"/>
  <c r="BO18" i="40"/>
  <c r="BK39" i="40"/>
  <c r="BO20" i="40"/>
  <c r="BK41" i="40"/>
  <c r="BL88" i="40"/>
  <c r="AA63" i="10"/>
  <c r="AA62" i="10"/>
  <c r="AA64" i="10"/>
  <c r="AA65" i="10"/>
  <c r="O63" i="10"/>
  <c r="O64" i="10"/>
  <c r="O34" i="10"/>
  <c r="AU62" i="10"/>
  <c r="AU65" i="10"/>
  <c r="AU63" i="10"/>
  <c r="AU34" i="10"/>
  <c r="V8" i="10"/>
  <c r="W8" i="10" s="1"/>
  <c r="X8" i="10" s="1"/>
  <c r="AA8" i="10"/>
  <c r="BB63" i="10"/>
  <c r="BB64" i="10"/>
  <c r="BB62" i="10"/>
  <c r="BB65" i="10"/>
  <c r="BE42" i="10"/>
  <c r="BA62" i="10"/>
  <c r="BA65" i="10"/>
  <c r="BA64" i="10"/>
  <c r="BA63" i="10"/>
  <c r="AO34" i="10"/>
  <c r="AO62" i="10"/>
  <c r="AO63" i="10"/>
  <c r="AO64" i="10"/>
  <c r="BE65" i="10"/>
  <c r="BE63" i="10"/>
  <c r="AG42" i="10"/>
  <c r="AG43" i="10" s="1"/>
  <c r="BB42" i="10"/>
  <c r="O65" i="10"/>
  <c r="AU64" i="10"/>
  <c r="AA34" i="10"/>
  <c r="AM62" i="10"/>
  <c r="AM64" i="10"/>
  <c r="AM63" i="10"/>
  <c r="AM34" i="10"/>
  <c r="V62" i="10"/>
  <c r="V64" i="10"/>
  <c r="V65" i="10"/>
  <c r="V63" i="10"/>
  <c r="BA42" i="10"/>
  <c r="BA43" i="10" s="1"/>
  <c r="AG64" i="10"/>
  <c r="AG63" i="10"/>
  <c r="AQ28" i="10"/>
  <c r="AQ151" i="10"/>
  <c r="AJ64" i="10"/>
  <c r="AJ63" i="10"/>
  <c r="AZ118" i="10"/>
  <c r="AK142" i="10"/>
  <c r="AK16" i="10"/>
  <c r="AK147" i="10"/>
  <c r="AQ147" i="10"/>
  <c r="AD21" i="10"/>
  <c r="AD65" i="10"/>
  <c r="M150" i="10"/>
  <c r="M46" i="10"/>
  <c r="S28" i="10"/>
  <c r="R59" i="10"/>
  <c r="AM59" i="10"/>
  <c r="AV59" i="10"/>
  <c r="O87" i="10"/>
  <c r="M41" i="10"/>
  <c r="M176" i="10" s="1"/>
  <c r="K59" i="10"/>
  <c r="K47" i="10"/>
  <c r="P47" i="10"/>
  <c r="P59" i="10"/>
  <c r="X47" i="10"/>
  <c r="X59" i="10"/>
  <c r="AG47" i="10"/>
  <c r="AG59" i="10"/>
  <c r="BF59" i="10"/>
  <c r="BI90" i="10"/>
  <c r="BC90" i="10"/>
  <c r="AZ21" i="10"/>
  <c r="BY14" i="9"/>
  <c r="BY24" i="13" s="1"/>
  <c r="BZ117" i="10"/>
  <c r="V47" i="10"/>
  <c r="AC21" i="10"/>
  <c r="AC65" i="10"/>
  <c r="R63" i="10"/>
  <c r="R62" i="10"/>
  <c r="Y46" i="10"/>
  <c r="BC46" i="10"/>
  <c r="AY87" i="10"/>
  <c r="BC87" i="10"/>
  <c r="I59" i="10"/>
  <c r="X123" i="10"/>
  <c r="X125" i="10" s="1"/>
  <c r="W125" i="10"/>
  <c r="G153" i="10"/>
  <c r="AE145" i="10"/>
  <c r="AI62" i="10"/>
  <c r="AO59" i="10"/>
  <c r="O153" i="10"/>
  <c r="AN153" i="10"/>
  <c r="AC63" i="10"/>
  <c r="S83" i="10"/>
  <c r="BC10" i="10"/>
  <c r="S152" i="10"/>
  <c r="O47" i="10"/>
  <c r="Q59" i="10"/>
  <c r="AA47" i="10"/>
  <c r="AJ47" i="10"/>
  <c r="G47" i="10"/>
  <c r="G48" i="10" s="1"/>
  <c r="O59" i="10"/>
  <c r="I153" i="10"/>
  <c r="AG148" i="10"/>
  <c r="AY148" i="10"/>
  <c r="R153" i="10"/>
  <c r="DF37" i="11"/>
  <c r="DJ50" i="11" s="1"/>
  <c r="BK111" i="11"/>
  <c r="DF33" i="11"/>
  <c r="DJ46" i="11" s="1"/>
  <c r="BK107" i="11"/>
  <c r="AV17" i="11"/>
  <c r="BI13" i="11"/>
  <c r="AV26" i="11"/>
  <c r="DA27" i="11" s="1"/>
  <c r="BK26" i="11"/>
  <c r="DJ27" i="11" s="1"/>
  <c r="BA30" i="12"/>
  <c r="AY68" i="12"/>
  <c r="AY67" i="12" s="1"/>
  <c r="BE69" i="11" s="1"/>
  <c r="BG59" i="12"/>
  <c r="BG58" i="12" s="1"/>
  <c r="C41" i="11"/>
  <c r="AW13" i="11"/>
  <c r="AJ30" i="9"/>
  <c r="AK30" i="9" s="1"/>
  <c r="BN24" i="13"/>
  <c r="AP41" i="9"/>
  <c r="AQ41" i="9" s="1"/>
  <c r="AP31" i="9"/>
  <c r="P118" i="10"/>
  <c r="BA31" i="9"/>
  <c r="BA15" i="9"/>
  <c r="BB15" i="9" s="1"/>
  <c r="AZ69" i="13"/>
  <c r="AZ25" i="13" s="1"/>
  <c r="AT43" i="9"/>
  <c r="O81" i="9"/>
  <c r="AA8" i="9"/>
  <c r="AB8" i="9" s="1"/>
  <c r="AC8" i="9" s="1"/>
  <c r="AD8" i="9" s="1"/>
  <c r="L45" i="9"/>
  <c r="M45" i="9" s="1"/>
  <c r="AQ45" i="9"/>
  <c r="S20" i="9"/>
  <c r="BF43" i="9"/>
  <c r="O76" i="10"/>
  <c r="AY81" i="9"/>
  <c r="BB45" i="9"/>
  <c r="BC45" i="9" s="1"/>
  <c r="X18" i="9"/>
  <c r="Y18" i="9" s="1"/>
  <c r="AD30" i="9"/>
  <c r="AE30" i="9" s="1"/>
  <c r="M89" i="11"/>
  <c r="M94" i="11" s="1"/>
  <c r="AO60" i="13"/>
  <c r="AA71" i="10"/>
  <c r="G69" i="13"/>
  <c r="G25" i="13" s="1"/>
  <c r="G26" i="13" s="1"/>
  <c r="W94" i="11"/>
  <c r="AA70" i="10"/>
  <c r="Q73" i="13"/>
  <c r="Q30" i="13" s="1"/>
  <c r="AG60" i="13"/>
  <c r="BF70" i="10"/>
  <c r="AI15" i="13"/>
  <c r="AI22" i="13" s="1"/>
  <c r="AI29" i="13" s="1"/>
  <c r="BH63" i="13"/>
  <c r="DA52" i="11"/>
  <c r="DC52" i="11"/>
  <c r="DC54" i="11"/>
  <c r="BM50" i="12"/>
  <c r="AS50" i="12"/>
  <c r="BX48" i="12"/>
  <c r="S22" i="11"/>
  <c r="Y22" i="11"/>
  <c r="AY32" i="11"/>
  <c r="BE45" i="11" s="1"/>
  <c r="BG50" i="12"/>
  <c r="BG65" i="12"/>
  <c r="BG48" i="12"/>
  <c r="DG53" i="11"/>
  <c r="BC124" i="11"/>
  <c r="CR11" i="11"/>
  <c r="AI17" i="11"/>
  <c r="AJ82" i="10"/>
  <c r="K70" i="10"/>
  <c r="AQ89" i="11"/>
  <c r="W82" i="10"/>
  <c r="BI62" i="13"/>
  <c r="O7" i="40"/>
  <c r="U7" i="13"/>
  <c r="V71" i="10"/>
  <c r="AC60" i="13"/>
  <c r="AC44" i="13"/>
  <c r="AV82" i="10"/>
  <c r="AQ69" i="10"/>
  <c r="AQ57" i="13"/>
  <c r="AQ11" i="11" s="1"/>
  <c r="BC148" i="12"/>
  <c r="BC83" i="10"/>
  <c r="BY54" i="13"/>
  <c r="BZ54" i="13" s="1"/>
  <c r="BZ77" i="13" s="1"/>
  <c r="BX77" i="13"/>
  <c r="AO15" i="13"/>
  <c r="AO22" i="13" s="1"/>
  <c r="AO44" i="13"/>
  <c r="AO95" i="13" s="1"/>
  <c r="AO70" i="10"/>
  <c r="AN44" i="13"/>
  <c r="AN95" i="13" s="1"/>
  <c r="AN70" i="10"/>
  <c r="AA15" i="13"/>
  <c r="AD24" i="11"/>
  <c r="O8" i="13"/>
  <c r="P8" i="13" s="1"/>
  <c r="AI70" i="10"/>
  <c r="BC69" i="10"/>
  <c r="S90" i="11"/>
  <c r="C32" i="13"/>
  <c r="AO71" i="10"/>
  <c r="BC136" i="10"/>
  <c r="V60" i="13"/>
  <c r="AD69" i="13"/>
  <c r="AD25" i="13" s="1"/>
  <c r="V77" i="13"/>
  <c r="X94" i="11"/>
  <c r="AC77" i="13"/>
  <c r="Q94" i="11"/>
  <c r="AO67" i="10"/>
  <c r="AP67" i="10"/>
  <c r="AE12" i="13"/>
  <c r="AZ24" i="11"/>
  <c r="DC25" i="11" s="1"/>
  <c r="AI32" i="13"/>
  <c r="AE7" i="13"/>
  <c r="AK7" i="13" s="1"/>
  <c r="AK7" i="40" s="1"/>
  <c r="Y7" i="40"/>
  <c r="BI98" i="13"/>
  <c r="BI89" i="11"/>
  <c r="P77" i="13"/>
  <c r="BG94" i="11"/>
  <c r="AK69" i="10"/>
  <c r="AK83" i="10"/>
  <c r="AH71" i="10"/>
  <c r="AH72" i="10" s="1"/>
  <c r="AQ62" i="13"/>
  <c r="AK62" i="13"/>
  <c r="AW90" i="11"/>
  <c r="BC57" i="13"/>
  <c r="BC11" i="11" s="1"/>
  <c r="AD63" i="13"/>
  <c r="BL18" i="13"/>
  <c r="X82" i="10"/>
  <c r="AD82" i="10"/>
  <c r="O63" i="13"/>
  <c r="AD94" i="11"/>
  <c r="U94" i="11"/>
  <c r="AZ94" i="11"/>
  <c r="U95" i="11"/>
  <c r="AZ95" i="11"/>
  <c r="AO32" i="13"/>
  <c r="J88" i="40"/>
  <c r="J75" i="40" s="1"/>
  <c r="BS64" i="40"/>
  <c r="BT64" i="40" s="1"/>
  <c r="BT88" i="40" s="1"/>
  <c r="BO27" i="10"/>
  <c r="G21" i="13"/>
  <c r="O60" i="13"/>
  <c r="S15" i="13"/>
  <c r="S70" i="10"/>
  <c r="Y83" i="10"/>
  <c r="Y136" i="10"/>
  <c r="Y57" i="13"/>
  <c r="Y11" i="11" s="1"/>
  <c r="AG15" i="13"/>
  <c r="AG22" i="13" s="1"/>
  <c r="AG137" i="10" s="1"/>
  <c r="O22" i="13"/>
  <c r="O49" i="13" s="1"/>
  <c r="BS72" i="13"/>
  <c r="BU72" i="13" s="1"/>
  <c r="BU20" i="13"/>
  <c r="O94" i="11"/>
  <c r="AE71" i="13"/>
  <c r="V95" i="11"/>
  <c r="BI100" i="13"/>
  <c r="L36" i="9"/>
  <c r="G111" i="10"/>
  <c r="G106" i="10"/>
  <c r="J86" i="40"/>
  <c r="J104" i="10"/>
  <c r="V23" i="13"/>
  <c r="W13" i="9"/>
  <c r="X13" i="9" s="1"/>
  <c r="V104" i="10"/>
  <c r="AH117" i="10"/>
  <c r="AH118" i="10" s="1"/>
  <c r="AN23" i="13"/>
  <c r="AG25" i="9"/>
  <c r="AG54" i="9" s="1"/>
  <c r="AG59" i="9" s="1"/>
  <c r="AO30" i="9"/>
  <c r="AP30" i="9" s="1"/>
  <c r="AQ30" i="9" s="1"/>
  <c r="AO40" i="9"/>
  <c r="AP40" i="9" s="1"/>
  <c r="AN79" i="9"/>
  <c r="AN78" i="9" s="1"/>
  <c r="BG28" i="9"/>
  <c r="BG87" i="40" s="1"/>
  <c r="BF97" i="10"/>
  <c r="BF98" i="10" s="1"/>
  <c r="BA23" i="13"/>
  <c r="AK23" i="9"/>
  <c r="AI14" i="9"/>
  <c r="R31" i="9"/>
  <c r="J33" i="9"/>
  <c r="BF87" i="40"/>
  <c r="I54" i="9"/>
  <c r="I55" i="9" s="1"/>
  <c r="V86" i="40"/>
  <c r="K13" i="9"/>
  <c r="J23" i="13"/>
  <c r="AA81" i="9"/>
  <c r="BG31" i="9"/>
  <c r="BH31" i="9" s="1"/>
  <c r="BG40" i="9"/>
  <c r="BF79" i="9"/>
  <c r="BF78" i="9" s="1"/>
  <c r="P97" i="10"/>
  <c r="P98" i="10" s="1"/>
  <c r="P87" i="40"/>
  <c r="J97" i="10"/>
  <c r="BG117" i="10"/>
  <c r="BG119" i="10" s="1"/>
  <c r="BG24" i="13"/>
  <c r="BB13" i="9"/>
  <c r="BA86" i="40"/>
  <c r="BF33" i="9"/>
  <c r="AN86" i="40"/>
  <c r="P69" i="13"/>
  <c r="P25" i="13" s="1"/>
  <c r="AO13" i="9"/>
  <c r="AP13" i="9" s="1"/>
  <c r="AI104" i="10"/>
  <c r="J87" i="40"/>
  <c r="AJ13" i="9"/>
  <c r="X45" i="9"/>
  <c r="Y45" i="9" s="1"/>
  <c r="I76" i="10"/>
  <c r="L22" i="9"/>
  <c r="M22" i="9" s="1"/>
  <c r="BF117" i="10"/>
  <c r="BF118" i="10" s="1"/>
  <c r="S69" i="9"/>
  <c r="P8" i="9"/>
  <c r="Q8" i="9" s="1"/>
  <c r="R8" i="9" s="1"/>
  <c r="AO20" i="9"/>
  <c r="AP20" i="9" s="1"/>
  <c r="AQ20" i="9" s="1"/>
  <c r="BA32" i="9"/>
  <c r="BB32" i="9" s="1"/>
  <c r="BC32" i="9" s="1"/>
  <c r="P81" i="9"/>
  <c r="V97" i="10"/>
  <c r="V98" i="10" s="1"/>
  <c r="V87" i="40"/>
  <c r="X38" i="9"/>
  <c r="X75" i="9" s="1"/>
  <c r="BC22" i="9"/>
  <c r="BA40" i="9"/>
  <c r="BA79" i="9" s="1"/>
  <c r="BA78" i="9" s="1"/>
  <c r="AV39" i="9"/>
  <c r="AW39" i="9" s="1"/>
  <c r="G47" i="9"/>
  <c r="G75" i="10" s="1"/>
  <c r="AN104" i="10"/>
  <c r="AJ12" i="9"/>
  <c r="AK12" i="9" s="1"/>
  <c r="V33" i="9"/>
  <c r="AI86" i="40"/>
  <c r="AJ39" i="9"/>
  <c r="AK39" i="9" s="1"/>
  <c r="L38" i="9"/>
  <c r="M38" i="9" s="1"/>
  <c r="M75" i="9" s="1"/>
  <c r="BF24" i="13"/>
  <c r="AV12" i="9"/>
  <c r="AW12" i="9" s="1"/>
  <c r="BC39" i="13"/>
  <c r="Q23" i="9"/>
  <c r="R23" i="9" s="1"/>
  <c r="S23" i="9" s="1"/>
  <c r="AB117" i="10"/>
  <c r="AB24" i="13"/>
  <c r="AI18" i="9"/>
  <c r="AJ18" i="9" s="1"/>
  <c r="AK18" i="9" s="1"/>
  <c r="AO21" i="9"/>
  <c r="AP21" i="9" s="1"/>
  <c r="AQ21" i="9" s="1"/>
  <c r="AU20" i="9"/>
  <c r="AV20" i="9" s="1"/>
  <c r="AW20" i="9" s="1"/>
  <c r="AA25" i="9"/>
  <c r="M31" i="9"/>
  <c r="AT78" i="9"/>
  <c r="BR64" i="9"/>
  <c r="BX64" i="9" s="1"/>
  <c r="CD64" i="9" s="1"/>
  <c r="AE81" i="9"/>
  <c r="AC81" i="9"/>
  <c r="P78" i="9"/>
  <c r="AN17" i="9"/>
  <c r="AM70" i="13"/>
  <c r="AZ119" i="10"/>
  <c r="AB70" i="13"/>
  <c r="AS70" i="13"/>
  <c r="G119" i="10"/>
  <c r="AK25" i="11"/>
  <c r="DI53" i="11"/>
  <c r="DF53" i="11"/>
  <c r="DJ53" i="11"/>
  <c r="U34" i="11"/>
  <c r="AA47" i="11" s="1"/>
  <c r="BG13" i="12"/>
  <c r="BG129" i="12" s="1"/>
  <c r="Q63" i="11"/>
  <c r="V120" i="12"/>
  <c r="Q35" i="11"/>
  <c r="AD61" i="12"/>
  <c r="AZ26" i="11"/>
  <c r="DC27" i="11" s="1"/>
  <c r="BE90" i="10"/>
  <c r="BG125" i="10"/>
  <c r="BG153" i="10"/>
  <c r="AI125" i="10"/>
  <c r="I148" i="10"/>
  <c r="AA68" i="11"/>
  <c r="V63" i="11"/>
  <c r="S67" i="11"/>
  <c r="W38" i="11"/>
  <c r="W51" i="11" s="1"/>
  <c r="BG10" i="11"/>
  <c r="BG134" i="12"/>
  <c r="BG10" i="12"/>
  <c r="P68" i="11"/>
  <c r="CT9" i="11"/>
  <c r="AJ48" i="11"/>
  <c r="AP47" i="11"/>
  <c r="AP48" i="11"/>
  <c r="AP51" i="11"/>
  <c r="AV47" i="11"/>
  <c r="AV48" i="11"/>
  <c r="O78" i="9"/>
  <c r="CA79" i="9"/>
  <c r="Y151" i="10"/>
  <c r="G148" i="10"/>
  <c r="AE19" i="9"/>
  <c r="R21" i="9"/>
  <c r="S21" i="9" s="1"/>
  <c r="V117" i="10"/>
  <c r="AU18" i="9"/>
  <c r="AV18" i="9" s="1"/>
  <c r="AW18" i="9" s="1"/>
  <c r="AG81" i="9"/>
  <c r="AU13" i="9"/>
  <c r="AU86" i="40" s="1"/>
  <c r="Y12" i="9"/>
  <c r="AI15" i="9"/>
  <c r="AZ17" i="9"/>
  <c r="BF81" i="9"/>
  <c r="AA59" i="10"/>
  <c r="AN119" i="10"/>
  <c r="BG148" i="10"/>
  <c r="AC148" i="10"/>
  <c r="M151" i="10"/>
  <c r="S16" i="10"/>
  <c r="AC59" i="10"/>
  <c r="Q148" i="10"/>
  <c r="BA81" i="9"/>
  <c r="AH43" i="9"/>
  <c r="Q75" i="9"/>
  <c r="R38" i="9"/>
  <c r="AV66" i="9"/>
  <c r="AW66" i="9" s="1"/>
  <c r="AH81" i="9"/>
  <c r="BU116" i="10"/>
  <c r="AJ24" i="9"/>
  <c r="AK24" i="9" s="1"/>
  <c r="BB12" i="9"/>
  <c r="BC12" i="9" s="1"/>
  <c r="BE81" i="9"/>
  <c r="M81" i="9"/>
  <c r="AZ43" i="9"/>
  <c r="BG17" i="9"/>
  <c r="AC15" i="9"/>
  <c r="AN33" i="9"/>
  <c r="AP81" i="9"/>
  <c r="AV81" i="9"/>
  <c r="V81" i="9"/>
  <c r="AJ81" i="9"/>
  <c r="BG81" i="9"/>
  <c r="U81" i="9"/>
  <c r="AK81" i="9"/>
  <c r="V70" i="13"/>
  <c r="V25" i="13"/>
  <c r="AH25" i="13"/>
  <c r="AH70" i="13"/>
  <c r="I101" i="10"/>
  <c r="I111" i="10" s="1"/>
  <c r="K69" i="13"/>
  <c r="K25" i="13" s="1"/>
  <c r="AV30" i="9"/>
  <c r="AW30" i="9" s="1"/>
  <c r="BC64" i="9"/>
  <c r="BA17" i="9"/>
  <c r="BB21" i="9"/>
  <c r="BC21" i="9" s="1"/>
  <c r="AJ20" i="9"/>
  <c r="AK20" i="9" s="1"/>
  <c r="BA36" i="9"/>
  <c r="AP23" i="9"/>
  <c r="AQ23" i="9" s="1"/>
  <c r="AU36" i="9"/>
  <c r="J43" i="9"/>
  <c r="X24" i="9"/>
  <c r="Y24" i="9" s="1"/>
  <c r="W20" i="9"/>
  <c r="X20" i="9" s="1"/>
  <c r="AZ73" i="9"/>
  <c r="U26" i="13"/>
  <c r="AB73" i="9"/>
  <c r="Y21" i="9"/>
  <c r="AB81" i="9"/>
  <c r="AO19" i="9"/>
  <c r="AP19" i="9" s="1"/>
  <c r="AB23" i="13"/>
  <c r="AB104" i="10"/>
  <c r="AT104" i="10"/>
  <c r="AI29" i="9"/>
  <c r="AJ29" i="9" s="1"/>
  <c r="AK29" i="9" s="1"/>
  <c r="R81" i="9"/>
  <c r="AS81" i="9"/>
  <c r="AS78" i="9"/>
  <c r="X30" i="9"/>
  <c r="Y30" i="9" s="1"/>
  <c r="BF73" i="9"/>
  <c r="J69" i="13"/>
  <c r="J25" i="13" s="1"/>
  <c r="AZ79" i="9"/>
  <c r="AW32" i="9"/>
  <c r="P43" i="9"/>
  <c r="AV29" i="9"/>
  <c r="AW29" i="9" s="1"/>
  <c r="Q40" i="9"/>
  <c r="Y81" i="9"/>
  <c r="AU40" i="9"/>
  <c r="O54" i="9"/>
  <c r="O59" i="9" s="1"/>
  <c r="AT23" i="13"/>
  <c r="J78" i="9"/>
  <c r="BU79" i="9"/>
  <c r="CA99" i="10"/>
  <c r="Q28" i="9"/>
  <c r="R28" i="9" s="1"/>
  <c r="L15" i="9"/>
  <c r="BA73" i="9"/>
  <c r="AB17" i="9"/>
  <c r="AP39" i="9"/>
  <c r="AQ39" i="9" s="1"/>
  <c r="AO29" i="9"/>
  <c r="R45" i="9"/>
  <c r="S45" i="9" s="1"/>
  <c r="I26" i="13"/>
  <c r="AK22" i="9"/>
  <c r="AC13" i="9"/>
  <c r="AD13" i="9" s="1"/>
  <c r="AO14" i="9"/>
  <c r="AP14" i="9" s="1"/>
  <c r="AN24" i="13"/>
  <c r="BF17" i="9"/>
  <c r="I47" i="9"/>
  <c r="AN81" i="9"/>
  <c r="K28" i="9"/>
  <c r="R73" i="13"/>
  <c r="R30" i="13" s="1"/>
  <c r="AY39" i="11"/>
  <c r="BE52" i="11" s="1"/>
  <c r="AY38" i="11"/>
  <c r="AY51" i="11" s="1"/>
  <c r="BM26" i="11"/>
  <c r="DL27" i="11" s="1"/>
  <c r="BS26" i="11"/>
  <c r="DP27" i="11" s="1"/>
  <c r="AY26" i="11"/>
  <c r="DB27" i="11" s="1"/>
  <c r="R12" i="9"/>
  <c r="S12" i="9" s="1"/>
  <c r="AP22" i="9"/>
  <c r="W117" i="10"/>
  <c r="W119" i="10" s="1"/>
  <c r="X14" i="9"/>
  <c r="Y14" i="9" s="1"/>
  <c r="Y24" i="13" s="1"/>
  <c r="W24" i="13"/>
  <c r="Q117" i="10"/>
  <c r="Q118" i="10" s="1"/>
  <c r="AD14" i="9"/>
  <c r="AE14" i="9" s="1"/>
  <c r="AE24" i="13" s="1"/>
  <c r="AC24" i="13"/>
  <c r="AC117" i="10"/>
  <c r="BG86" i="40"/>
  <c r="BG104" i="10"/>
  <c r="AB78" i="9"/>
  <c r="Q69" i="13"/>
  <c r="Q25" i="13" s="1"/>
  <c r="R15" i="9"/>
  <c r="K10" i="9"/>
  <c r="L10" i="9" s="1"/>
  <c r="M10" i="9" s="1"/>
  <c r="K14" i="9"/>
  <c r="J117" i="10"/>
  <c r="J118" i="10" s="1"/>
  <c r="J24" i="13"/>
  <c r="J17" i="9"/>
  <c r="J25" i="9" s="1"/>
  <c r="L19" i="9"/>
  <c r="M19" i="9" s="1"/>
  <c r="W19" i="9"/>
  <c r="X19" i="9" s="1"/>
  <c r="V17" i="9"/>
  <c r="X23" i="9"/>
  <c r="Y23" i="9" s="1"/>
  <c r="AB43" i="9"/>
  <c r="AC40" i="9"/>
  <c r="AC43" i="9" s="1"/>
  <c r="BA65" i="9"/>
  <c r="AZ75" i="9"/>
  <c r="AU65" i="9"/>
  <c r="AV65" i="9" s="1"/>
  <c r="AT75" i="9"/>
  <c r="AO64" i="9"/>
  <c r="AU73" i="9" s="1"/>
  <c r="AN73" i="9"/>
  <c r="AT73" i="9"/>
  <c r="Q64" i="9"/>
  <c r="P73" i="9"/>
  <c r="V73" i="9"/>
  <c r="M63" i="9"/>
  <c r="M72" i="9" s="1"/>
  <c r="I63" i="9"/>
  <c r="I67" i="9" s="1"/>
  <c r="J63" i="9" s="1"/>
  <c r="AZ97" i="10"/>
  <c r="AZ98" i="10" s="1"/>
  <c r="AZ33" i="9"/>
  <c r="AZ87" i="40"/>
  <c r="AT97" i="10"/>
  <c r="AT98" i="10" s="1"/>
  <c r="AT87" i="40"/>
  <c r="AT33" i="9"/>
  <c r="AN97" i="10"/>
  <c r="AN98" i="10" s="1"/>
  <c r="AN87" i="40"/>
  <c r="AH97" i="10"/>
  <c r="AH98" i="10" s="1"/>
  <c r="AH33" i="9"/>
  <c r="AH87" i="40"/>
  <c r="AB97" i="10"/>
  <c r="AB87" i="40"/>
  <c r="AB33" i="9"/>
  <c r="AI16" i="9"/>
  <c r="AJ16" i="9" s="1"/>
  <c r="AK16" i="9" s="1"/>
  <c r="AI21" i="9"/>
  <c r="AH17" i="9"/>
  <c r="AO15" i="9"/>
  <c r="AT24" i="13"/>
  <c r="AT117" i="10"/>
  <c r="AT118" i="10" s="1"/>
  <c r="AU14" i="9"/>
  <c r="AU117" i="10" s="1"/>
  <c r="AU19" i="9"/>
  <c r="AT17" i="9"/>
  <c r="AZ23" i="13"/>
  <c r="AZ86" i="40"/>
  <c r="AZ104" i="10"/>
  <c r="U25" i="9"/>
  <c r="AD31" i="9"/>
  <c r="AU81" i="9"/>
  <c r="AO81" i="9"/>
  <c r="BG15" i="9"/>
  <c r="BH15" i="9" s="1"/>
  <c r="W22" i="9"/>
  <c r="X22" i="9" s="1"/>
  <c r="Y22" i="9" s="1"/>
  <c r="AP37" i="9"/>
  <c r="AQ37" i="9" s="1"/>
  <c r="AN43" i="9"/>
  <c r="AV42" i="9"/>
  <c r="AW42" i="9" s="1"/>
  <c r="AI36" i="9"/>
  <c r="AI40" i="9"/>
  <c r="AJ40" i="9" s="1"/>
  <c r="AH79" i="9"/>
  <c r="Q81" i="9"/>
  <c r="AQ81" i="9"/>
  <c r="AW81" i="9"/>
  <c r="R16" i="9"/>
  <c r="S16" i="9" s="1"/>
  <c r="K24" i="9"/>
  <c r="L24" i="9" s="1"/>
  <c r="P86" i="40"/>
  <c r="P23" i="13"/>
  <c r="Q13" i="9"/>
  <c r="R13" i="9" s="1"/>
  <c r="P17" i="9"/>
  <c r="Q18" i="9"/>
  <c r="R18" i="9" s="1"/>
  <c r="X11" i="9"/>
  <c r="W15" i="9"/>
  <c r="X15" i="9" s="1"/>
  <c r="BB29" i="9"/>
  <c r="BC29" i="9" s="1"/>
  <c r="Q29" i="9"/>
  <c r="P33" i="9"/>
  <c r="Q36" i="9"/>
  <c r="R36" i="9" s="1"/>
  <c r="W36" i="9"/>
  <c r="V43" i="9"/>
  <c r="V79" i="9"/>
  <c r="V78" i="9" s="1"/>
  <c r="W40" i="9"/>
  <c r="X40" i="9" s="1"/>
  <c r="AC37" i="9"/>
  <c r="AB75" i="9"/>
  <c r="AM26" i="13"/>
  <c r="BE78" i="9"/>
  <c r="I78" i="9"/>
  <c r="U78" i="9"/>
  <c r="G78" i="9"/>
  <c r="Y148" i="12"/>
  <c r="BF9" i="12"/>
  <c r="BF83" i="12" s="1"/>
  <c r="P35" i="11"/>
  <c r="P38" i="11"/>
  <c r="AM50" i="12"/>
  <c r="AS27" i="12"/>
  <c r="BN48" i="11"/>
  <c r="BT50" i="12"/>
  <c r="K68" i="12"/>
  <c r="K69" i="12" s="1"/>
  <c r="K40" i="11" s="1"/>
  <c r="S107" i="12"/>
  <c r="AU110" i="12"/>
  <c r="AN67" i="11"/>
  <c r="AN20" i="11"/>
  <c r="CU21" i="11" s="1"/>
  <c r="AJ47" i="11"/>
  <c r="AO45" i="11"/>
  <c r="AO48" i="11"/>
  <c r="BA47" i="11"/>
  <c r="BG47" i="11"/>
  <c r="BG53" i="11"/>
  <c r="BN51" i="11"/>
  <c r="BN52" i="11"/>
  <c r="BN53" i="11"/>
  <c r="AA35" i="11"/>
  <c r="AG48" i="11" s="1"/>
  <c r="P63" i="11"/>
  <c r="AA38" i="11"/>
  <c r="AG51" i="11" s="1"/>
  <c r="BF128" i="12"/>
  <c r="AJ64" i="12"/>
  <c r="AS22" i="12"/>
  <c r="AY102" i="11"/>
  <c r="DB35" i="11" s="1"/>
  <c r="BB101" i="11"/>
  <c r="BH108" i="11" s="1"/>
  <c r="V36" i="11"/>
  <c r="I79" i="11"/>
  <c r="AG34" i="12"/>
  <c r="AG36" i="11" s="1"/>
  <c r="AG33" i="11" s="1"/>
  <c r="AM34" i="12"/>
  <c r="W67" i="11"/>
  <c r="AC82" i="11" s="1"/>
  <c r="BN47" i="11"/>
  <c r="V35" i="11"/>
  <c r="V48" i="11" s="1"/>
  <c r="BI34" i="11"/>
  <c r="BI47" i="11" s="1"/>
  <c r="AO103" i="11"/>
  <c r="CV36" i="11" s="1"/>
  <c r="AM22" i="12"/>
  <c r="AG30" i="12"/>
  <c r="AG29" i="12" s="1"/>
  <c r="BB108" i="12"/>
  <c r="K49" i="12"/>
  <c r="AW148" i="12"/>
  <c r="AZ61" i="12"/>
  <c r="AK34" i="11"/>
  <c r="CU10" i="11"/>
  <c r="BN45" i="11"/>
  <c r="DI49" i="11"/>
  <c r="AM109" i="11"/>
  <c r="AY108" i="12"/>
  <c r="BC99" i="12"/>
  <c r="AU45" i="11"/>
  <c r="BT53" i="11"/>
  <c r="BH30" i="12"/>
  <c r="BO34" i="11"/>
  <c r="BO47" i="11" s="1"/>
  <c r="V32" i="11"/>
  <c r="AV50" i="12"/>
  <c r="BB30" i="12"/>
  <c r="BW27" i="12"/>
  <c r="AE107" i="12"/>
  <c r="AK107" i="12"/>
  <c r="S108" i="12"/>
  <c r="Y102" i="11"/>
  <c r="Y109" i="12"/>
  <c r="S111" i="12"/>
  <c r="BE109" i="12"/>
  <c r="BC100" i="12"/>
  <c r="BC109" i="12" s="1"/>
  <c r="AN120" i="12"/>
  <c r="Y108" i="12"/>
  <c r="AO130" i="12"/>
  <c r="J65" i="12"/>
  <c r="J66" i="12" s="1"/>
  <c r="V38" i="11"/>
  <c r="V51" i="11" s="1"/>
  <c r="AN103" i="11"/>
  <c r="CU36" i="11" s="1"/>
  <c r="O126" i="12"/>
  <c r="AE101" i="11"/>
  <c r="AE108" i="12"/>
  <c r="AK108" i="12"/>
  <c r="S102" i="11"/>
  <c r="S109" i="12"/>
  <c r="AS110" i="12"/>
  <c r="AW101" i="12"/>
  <c r="AE111" i="12"/>
  <c r="Y111" i="12"/>
  <c r="BC101" i="12"/>
  <c r="AO47" i="11"/>
  <c r="AO51" i="11"/>
  <c r="AU48" i="11"/>
  <c r="M78" i="11"/>
  <c r="BF22" i="12"/>
  <c r="BA77" i="12"/>
  <c r="AU68" i="11"/>
  <c r="AU83" i="11" s="1"/>
  <c r="Y107" i="12"/>
  <c r="AT103" i="11"/>
  <c r="AT110" i="12"/>
  <c r="AY100" i="11"/>
  <c r="BE107" i="11" s="1"/>
  <c r="BC98" i="12"/>
  <c r="BE111" i="12"/>
  <c r="BC102" i="12"/>
  <c r="BC111" i="12" s="1"/>
  <c r="BH36" i="11"/>
  <c r="BH33" i="11" s="1"/>
  <c r="BH50" i="12"/>
  <c r="BH59" i="12"/>
  <c r="BT22" i="12"/>
  <c r="AD10" i="11"/>
  <c r="AY86" i="12"/>
  <c r="BM68" i="12"/>
  <c r="BF65" i="12"/>
  <c r="AP22" i="12"/>
  <c r="BB65" i="12"/>
  <c r="BF30" i="12"/>
  <c r="O38" i="11"/>
  <c r="M64" i="11"/>
  <c r="AN83" i="12"/>
  <c r="K70" i="12"/>
  <c r="K73" i="12" s="1"/>
  <c r="BF34" i="12"/>
  <c r="BM45" i="11"/>
  <c r="BH68" i="12"/>
  <c r="BH65" i="12"/>
  <c r="O63" i="11"/>
  <c r="U63" i="11"/>
  <c r="Q68" i="12"/>
  <c r="Q69" i="12" s="1"/>
  <c r="O35" i="11"/>
  <c r="J70" i="12"/>
  <c r="J73" i="12" s="1"/>
  <c r="V67" i="11"/>
  <c r="AD68" i="11"/>
  <c r="BF68" i="12"/>
  <c r="AP27" i="12"/>
  <c r="O68" i="11"/>
  <c r="BB107" i="12"/>
  <c r="AN68" i="11"/>
  <c r="V68" i="11"/>
  <c r="AH59" i="12"/>
  <c r="P70" i="12"/>
  <c r="AC65" i="12"/>
  <c r="AC66" i="12" s="1"/>
  <c r="BI66" i="11"/>
  <c r="BH22" i="12"/>
  <c r="J77" i="11"/>
  <c r="I78" i="11"/>
  <c r="AP50" i="12"/>
  <c r="AV27" i="12"/>
  <c r="AJ27" i="12"/>
  <c r="AJ26" i="12" s="1"/>
  <c r="AK38" i="11"/>
  <c r="BE101" i="11"/>
  <c r="BI101" i="11" s="1"/>
  <c r="BO108" i="11" s="1"/>
  <c r="G11" i="13"/>
  <c r="G81" i="10" s="1"/>
  <c r="G35" i="12"/>
  <c r="G81" i="12" s="1"/>
  <c r="AU118" i="12"/>
  <c r="AU119" i="12" s="1"/>
  <c r="Y27" i="12"/>
  <c r="AN65" i="12"/>
  <c r="AN66" i="12" s="1"/>
  <c r="AG135" i="12"/>
  <c r="AV142" i="12"/>
  <c r="AT45" i="11"/>
  <c r="AZ47" i="11"/>
  <c r="BG45" i="11"/>
  <c r="BA48" i="11"/>
  <c r="BG52" i="11"/>
  <c r="BS52" i="11"/>
  <c r="BZ52" i="11"/>
  <c r="BZ53" i="11"/>
  <c r="AT65" i="12"/>
  <c r="AT66" i="12" s="1"/>
  <c r="AT39" i="11" s="1"/>
  <c r="AZ52" i="11" s="1"/>
  <c r="BF121" i="12"/>
  <c r="BS30" i="12"/>
  <c r="O32" i="11"/>
  <c r="P62" i="11"/>
  <c r="AD64" i="12"/>
  <c r="BA65" i="12"/>
  <c r="BA64" i="12" s="1"/>
  <c r="BA68" i="12"/>
  <c r="BA67" i="12" s="1"/>
  <c r="BG69" i="11" s="1"/>
  <c r="AO30" i="12"/>
  <c r="Q10" i="13"/>
  <c r="Q45" i="13" s="1"/>
  <c r="U121" i="12"/>
  <c r="M129" i="12"/>
  <c r="AZ77" i="12"/>
  <c r="BB104" i="11"/>
  <c r="DE37" i="11" s="1"/>
  <c r="DI50" i="11" s="1"/>
  <c r="AV127" i="12"/>
  <c r="M102" i="11"/>
  <c r="AQ34" i="11"/>
  <c r="AW47" i="11" s="1"/>
  <c r="CA39" i="11"/>
  <c r="CG52" i="11" s="1"/>
  <c r="AG61" i="12"/>
  <c r="Q70" i="12"/>
  <c r="Q73" i="12" s="1"/>
  <c r="BF8" i="11"/>
  <c r="BF21" i="11" s="1"/>
  <c r="DG22" i="11" s="1"/>
  <c r="DC10" i="11"/>
  <c r="BG48" i="11"/>
  <c r="X36" i="11"/>
  <c r="X49" i="11" s="1"/>
  <c r="AC38" i="11"/>
  <c r="AI51" i="11" s="1"/>
  <c r="O138" i="12"/>
  <c r="P138" i="12" s="1"/>
  <c r="Q138" i="12" s="1"/>
  <c r="R138" i="12" s="1"/>
  <c r="BN22" i="12"/>
  <c r="AO50" i="12"/>
  <c r="BN27" i="12"/>
  <c r="AM120" i="12"/>
  <c r="BG9" i="11"/>
  <c r="DH9" i="11" s="1"/>
  <c r="BB111" i="12"/>
  <c r="AP134" i="12"/>
  <c r="AM130" i="12"/>
  <c r="AZ64" i="12"/>
  <c r="BF66" i="11" s="1"/>
  <c r="AZ83" i="11"/>
  <c r="AB65" i="12"/>
  <c r="AB66" i="12" s="1"/>
  <c r="AO58" i="11"/>
  <c r="AG47" i="11"/>
  <c r="BK48" i="11"/>
  <c r="BW47" i="11"/>
  <c r="AT70" i="12"/>
  <c r="AT73" i="12" s="1"/>
  <c r="BB58" i="12"/>
  <c r="BB61" i="12" s="1"/>
  <c r="AT135" i="12"/>
  <c r="AZ66" i="11"/>
  <c r="J32" i="11"/>
  <c r="BA50" i="12"/>
  <c r="AI27" i="12"/>
  <c r="AI26" i="12" s="1"/>
  <c r="BN30" i="12"/>
  <c r="R10" i="12"/>
  <c r="R78" i="12" s="1"/>
  <c r="K135" i="12"/>
  <c r="AJ45" i="11"/>
  <c r="AP121" i="12"/>
  <c r="BA84" i="12"/>
  <c r="S34" i="12"/>
  <c r="S36" i="11" s="1"/>
  <c r="AC20" i="11"/>
  <c r="AE21" i="11"/>
  <c r="AT51" i="11"/>
  <c r="BF47" i="11"/>
  <c r="BF51" i="11"/>
  <c r="BM52" i="11"/>
  <c r="BB100" i="11"/>
  <c r="BH107" i="11" s="1"/>
  <c r="BY53" i="11"/>
  <c r="BB10" i="11"/>
  <c r="DE10" i="11" s="1"/>
  <c r="W63" i="11"/>
  <c r="M10" i="13"/>
  <c r="M45" i="13" s="1"/>
  <c r="AA83" i="12"/>
  <c r="AZ51" i="11"/>
  <c r="R60" i="11"/>
  <c r="I78" i="12"/>
  <c r="BL68" i="12"/>
  <c r="O34" i="11"/>
  <c r="AS68" i="12"/>
  <c r="AS69" i="12" s="1"/>
  <c r="AS69" i="11" s="1"/>
  <c r="BE108" i="12"/>
  <c r="AU70" i="12"/>
  <c r="AU73" i="12" s="1"/>
  <c r="AY111" i="12"/>
  <c r="AY83" i="12"/>
  <c r="BX30" i="12"/>
  <c r="AT85" i="12"/>
  <c r="AA77" i="12"/>
  <c r="V11" i="13"/>
  <c r="V81" i="10" s="1"/>
  <c r="M83" i="12"/>
  <c r="BA11" i="13"/>
  <c r="BA81" i="10" s="1"/>
  <c r="AA10" i="13"/>
  <c r="AA45" i="13" s="1"/>
  <c r="CZ48" i="11"/>
  <c r="DD10" i="11"/>
  <c r="U62" i="11"/>
  <c r="R32" i="11"/>
  <c r="BL30" i="12"/>
  <c r="AN27" i="12"/>
  <c r="BL47" i="11"/>
  <c r="AY104" i="11"/>
  <c r="DB37" i="11" s="1"/>
  <c r="AY101" i="11"/>
  <c r="AY108" i="11" s="1"/>
  <c r="AC85" i="12"/>
  <c r="K58" i="11"/>
  <c r="AE105" i="11"/>
  <c r="BG51" i="11"/>
  <c r="BT52" i="11"/>
  <c r="BH10" i="11"/>
  <c r="W35" i="11"/>
  <c r="L15" i="12"/>
  <c r="M82" i="12"/>
  <c r="BA85" i="12"/>
  <c r="AA82" i="12"/>
  <c r="AZ69" i="11"/>
  <c r="AE34" i="11"/>
  <c r="M32" i="11"/>
  <c r="I67" i="12"/>
  <c r="BL27" i="12"/>
  <c r="W135" i="12"/>
  <c r="AZ48" i="12"/>
  <c r="AN34" i="12"/>
  <c r="BY45" i="11"/>
  <c r="BL45" i="11"/>
  <c r="L10" i="12"/>
  <c r="L9" i="12" s="1"/>
  <c r="AH50" i="12"/>
  <c r="AZ30" i="12"/>
  <c r="AH30" i="12"/>
  <c r="AH29" i="12" s="1"/>
  <c r="AN63" i="11" s="1"/>
  <c r="X14" i="12"/>
  <c r="X64" i="12" s="1"/>
  <c r="BB102" i="11"/>
  <c r="DE35" i="11" s="1"/>
  <c r="DI48" i="11" s="1"/>
  <c r="BB109" i="12"/>
  <c r="P82" i="12"/>
  <c r="X60" i="11"/>
  <c r="AC11" i="13"/>
  <c r="W68" i="12"/>
  <c r="W69" i="12" s="1"/>
  <c r="W69" i="11" s="1"/>
  <c r="P36" i="11"/>
  <c r="AE62" i="11"/>
  <c r="V130" i="12"/>
  <c r="K85" i="12"/>
  <c r="AY10" i="13"/>
  <c r="AY45" i="13" s="1"/>
  <c r="BL33" i="11"/>
  <c r="AC16" i="12"/>
  <c r="AT86" i="12"/>
  <c r="AT129" i="12"/>
  <c r="AM11" i="13"/>
  <c r="AK62" i="11"/>
  <c r="AH48" i="12"/>
  <c r="AU68" i="12"/>
  <c r="AU69" i="12" s="1"/>
  <c r="AU40" i="11" s="1"/>
  <c r="BA53" i="11" s="1"/>
  <c r="BE107" i="12"/>
  <c r="AY110" i="12"/>
  <c r="AY107" i="12"/>
  <c r="BQ51" i="11"/>
  <c r="AP109" i="11"/>
  <c r="AV112" i="11"/>
  <c r="AZ112" i="11"/>
  <c r="BF7" i="11"/>
  <c r="AP67" i="12"/>
  <c r="AI129" i="12"/>
  <c r="AN30" i="12"/>
  <c r="AE12" i="12"/>
  <c r="P120" i="12"/>
  <c r="BI39" i="11"/>
  <c r="AB63" i="11"/>
  <c r="AH78" i="11" s="1"/>
  <c r="BA86" i="12"/>
  <c r="AC76" i="12"/>
  <c r="AO148" i="12"/>
  <c r="K83" i="11"/>
  <c r="AT11" i="13"/>
  <c r="AM85" i="12"/>
  <c r="AB35" i="11"/>
  <c r="AH48" i="11" s="1"/>
  <c r="AY77" i="12"/>
  <c r="AP13" i="12"/>
  <c r="AP86" i="12" s="1"/>
  <c r="BY52" i="11"/>
  <c r="BI98" i="12"/>
  <c r="P83" i="12"/>
  <c r="BA67" i="11"/>
  <c r="AT30" i="12"/>
  <c r="P10" i="13"/>
  <c r="P45" i="13" s="1"/>
  <c r="X32" i="11"/>
  <c r="AD45" i="11" s="1"/>
  <c r="AM84" i="12"/>
  <c r="K86" i="12"/>
  <c r="AT16" i="12"/>
  <c r="K11" i="13"/>
  <c r="BM47" i="11"/>
  <c r="AJ133" i="12"/>
  <c r="AP127" i="12"/>
  <c r="E16" i="12"/>
  <c r="BA129" i="12"/>
  <c r="I121" i="12"/>
  <c r="C13" i="12"/>
  <c r="C11" i="13" s="1"/>
  <c r="C46" i="13" s="1"/>
  <c r="S31" i="12"/>
  <c r="Y31" i="12"/>
  <c r="Y35" i="11" s="1"/>
  <c r="AE48" i="12"/>
  <c r="E70" i="12"/>
  <c r="E73" i="12" s="1"/>
  <c r="AI70" i="12"/>
  <c r="AI73" i="12" s="1"/>
  <c r="E45" i="13"/>
  <c r="J75" i="11"/>
  <c r="L127" i="12"/>
  <c r="BT45" i="11"/>
  <c r="AE31" i="12"/>
  <c r="AE63" i="11" s="1"/>
  <c r="X35" i="11"/>
  <c r="AD48" i="11" s="1"/>
  <c r="BT35" i="11"/>
  <c r="AT61" i="12"/>
  <c r="V62" i="11"/>
  <c r="E11" i="13"/>
  <c r="O121" i="12"/>
  <c r="AK11" i="12"/>
  <c r="AG76" i="12"/>
  <c r="AB10" i="13"/>
  <c r="AB45" i="13" s="1"/>
  <c r="O78" i="12"/>
  <c r="O127" i="12"/>
  <c r="M11" i="13"/>
  <c r="M81" i="10" s="1"/>
  <c r="AZ82" i="12"/>
  <c r="AS83" i="12"/>
  <c r="U67" i="12"/>
  <c r="AA121" i="12"/>
  <c r="AM82" i="12"/>
  <c r="AT130" i="12"/>
  <c r="AN85" i="12"/>
  <c r="DA47" i="11"/>
  <c r="AP63" i="11"/>
  <c r="AP78" i="11" s="1"/>
  <c r="X63" i="11"/>
  <c r="BS35" i="11"/>
  <c r="BS48" i="11" s="1"/>
  <c r="AC36" i="11"/>
  <c r="Y34" i="12"/>
  <c r="Y30" i="12"/>
  <c r="O60" i="11"/>
  <c r="AN129" i="12"/>
  <c r="P34" i="11"/>
  <c r="AE14" i="12"/>
  <c r="AE64" i="12" s="1"/>
  <c r="O7" i="11"/>
  <c r="AB118" i="12"/>
  <c r="AB119" i="12" s="1"/>
  <c r="AM83" i="12"/>
  <c r="AG83" i="12"/>
  <c r="AB77" i="12"/>
  <c r="M86" i="12"/>
  <c r="AN86" i="12"/>
  <c r="S30" i="12"/>
  <c r="AZ10" i="13"/>
  <c r="AZ45" i="13" s="1"/>
  <c r="AS10" i="13"/>
  <c r="AQ11" i="12"/>
  <c r="M16" i="12"/>
  <c r="BA130" i="12"/>
  <c r="AN130" i="12"/>
  <c r="AS120" i="12"/>
  <c r="Q82" i="12"/>
  <c r="AB83" i="12"/>
  <c r="K120" i="12"/>
  <c r="W84" i="12"/>
  <c r="BR35" i="11"/>
  <c r="BX48" i="11" s="1"/>
  <c r="AP9" i="11"/>
  <c r="CW9" i="11" s="1"/>
  <c r="AG120" i="12"/>
  <c r="M84" i="12"/>
  <c r="AM76" i="12"/>
  <c r="AG77" i="12"/>
  <c r="AG82" i="12"/>
  <c r="Q77" i="12"/>
  <c r="Q84" i="12"/>
  <c r="AN11" i="13"/>
  <c r="AN46" i="13" s="1"/>
  <c r="AY120" i="12"/>
  <c r="AS77" i="12"/>
  <c r="U78" i="12"/>
  <c r="AM16" i="12"/>
  <c r="Y101" i="11"/>
  <c r="BK52" i="11"/>
  <c r="BK53" i="11"/>
  <c r="BK65" i="12"/>
  <c r="BK50" i="12"/>
  <c r="BK59" i="12"/>
  <c r="BK27" i="12"/>
  <c r="BK30" i="12"/>
  <c r="BK48" i="12"/>
  <c r="AM59" i="12"/>
  <c r="AS68" i="11"/>
  <c r="M135" i="12"/>
  <c r="AZ59" i="12"/>
  <c r="BE134" i="12"/>
  <c r="AH67" i="11"/>
  <c r="AW116" i="12"/>
  <c r="BC7" i="12"/>
  <c r="BI7" i="12" s="1"/>
  <c r="J77" i="12"/>
  <c r="J83" i="12"/>
  <c r="J120" i="12"/>
  <c r="J76" i="12"/>
  <c r="J10" i="13"/>
  <c r="J45" i="13" s="1"/>
  <c r="J82" i="12"/>
  <c r="V83" i="12"/>
  <c r="V16" i="12"/>
  <c r="V84" i="12"/>
  <c r="V10" i="13"/>
  <c r="V45" i="13" s="1"/>
  <c r="V76" i="12"/>
  <c r="AB120" i="12"/>
  <c r="V118" i="12"/>
  <c r="V119" i="12" s="1"/>
  <c r="V82" i="12"/>
  <c r="AC82" i="12"/>
  <c r="AC83" i="12"/>
  <c r="AC84" i="12"/>
  <c r="AD9" i="12"/>
  <c r="AH76" i="12"/>
  <c r="AH77" i="12"/>
  <c r="AJ134" i="12"/>
  <c r="AJ9" i="12"/>
  <c r="AJ82" i="12" s="1"/>
  <c r="AJ128" i="12"/>
  <c r="AN82" i="12"/>
  <c r="AN77" i="12"/>
  <c r="AN118" i="12"/>
  <c r="AN119" i="12" s="1"/>
  <c r="AN10" i="13"/>
  <c r="AN45" i="13" s="1"/>
  <c r="AP128" i="12"/>
  <c r="AP10" i="11"/>
  <c r="AP23" i="11" s="1"/>
  <c r="CW24" i="11" s="1"/>
  <c r="AP9" i="12"/>
  <c r="AT84" i="12"/>
  <c r="AT118" i="12"/>
  <c r="AT119" i="12" s="1"/>
  <c r="AT83" i="12"/>
  <c r="AT10" i="13"/>
  <c r="AT76" i="12"/>
  <c r="AT77" i="12"/>
  <c r="AZ120" i="12"/>
  <c r="BA83" i="12"/>
  <c r="BA10" i="13"/>
  <c r="BA45" i="13" s="1"/>
  <c r="BA82" i="12"/>
  <c r="P85" i="12"/>
  <c r="V129" i="12"/>
  <c r="P76" i="12"/>
  <c r="P84" i="12"/>
  <c r="P86" i="12"/>
  <c r="P16" i="12"/>
  <c r="AA76" i="12"/>
  <c r="AA11" i="13"/>
  <c r="AA81" i="10" s="1"/>
  <c r="AG129" i="12"/>
  <c r="AA16" i="12"/>
  <c r="AA84" i="12"/>
  <c r="AG130" i="12"/>
  <c r="AG118" i="12"/>
  <c r="AG119" i="12" s="1"/>
  <c r="AA85" i="12"/>
  <c r="AH84" i="12"/>
  <c r="AH11" i="13"/>
  <c r="AH85" i="12"/>
  <c r="AH129" i="12"/>
  <c r="AH86" i="12"/>
  <c r="AH16" i="12"/>
  <c r="AO11" i="13"/>
  <c r="AO81" i="10" s="1"/>
  <c r="AO129" i="12"/>
  <c r="AU130" i="12"/>
  <c r="AO86" i="12"/>
  <c r="AU129" i="12"/>
  <c r="AO85" i="12"/>
  <c r="AO16" i="12"/>
  <c r="AO84" i="12"/>
  <c r="AY76" i="12"/>
  <c r="AY84" i="12"/>
  <c r="AY85" i="12"/>
  <c r="AY16" i="12"/>
  <c r="C133" i="12"/>
  <c r="I130" i="12"/>
  <c r="I127" i="12"/>
  <c r="I61" i="12"/>
  <c r="I134" i="12"/>
  <c r="I9" i="12"/>
  <c r="I10" i="13" s="1"/>
  <c r="I45" i="13" s="1"/>
  <c r="AD134" i="12"/>
  <c r="AE15" i="12"/>
  <c r="AD67" i="12"/>
  <c r="AP36" i="11"/>
  <c r="AP33" i="11" s="1"/>
  <c r="K32" i="11"/>
  <c r="P32" i="11"/>
  <c r="V60" i="11"/>
  <c r="V75" i="11" s="1"/>
  <c r="AB60" i="11"/>
  <c r="AB32" i="11"/>
  <c r="BR34" i="12"/>
  <c r="BR36" i="11" s="1"/>
  <c r="BR49" i="11" s="1"/>
  <c r="Q62" i="11"/>
  <c r="W77" i="11" s="1"/>
  <c r="Q34" i="11"/>
  <c r="W34" i="11"/>
  <c r="AC47" i="11" s="1"/>
  <c r="AE124" i="12"/>
  <c r="AE27" i="12"/>
  <c r="Y124" i="12"/>
  <c r="AD36" i="11"/>
  <c r="AD33" i="11" s="1"/>
  <c r="M49" i="12"/>
  <c r="M50" i="12" s="1"/>
  <c r="M55" i="12"/>
  <c r="M53" i="12"/>
  <c r="X68" i="11"/>
  <c r="M70" i="12"/>
  <c r="M73" i="12" s="1"/>
  <c r="AI65" i="12"/>
  <c r="AI66" i="12" s="1"/>
  <c r="AI66" i="11" s="1"/>
  <c r="AA135" i="12"/>
  <c r="AG58" i="11"/>
  <c r="AM135" i="12"/>
  <c r="AS135" i="12"/>
  <c r="AP142" i="12"/>
  <c r="AK148" i="12"/>
  <c r="K78" i="11"/>
  <c r="AT59" i="12"/>
  <c r="P135" i="12"/>
  <c r="AD51" i="11"/>
  <c r="AM61" i="12"/>
  <c r="Q68" i="11"/>
  <c r="AB38" i="11"/>
  <c r="AH51" i="11" s="1"/>
  <c r="AB68" i="11"/>
  <c r="AE60" i="12"/>
  <c r="AE68" i="11" s="1"/>
  <c r="K65" i="12"/>
  <c r="K66" i="12" s="1"/>
  <c r="AB68" i="12"/>
  <c r="AB69" i="12" s="1"/>
  <c r="AB40" i="11" s="1"/>
  <c r="AM65" i="12"/>
  <c r="AM66" i="12" s="1"/>
  <c r="AM70" i="12"/>
  <c r="AM73" i="12" s="1"/>
  <c r="AN70" i="12"/>
  <c r="AN73" i="12" s="1"/>
  <c r="AT68" i="12"/>
  <c r="AT69" i="12" s="1"/>
  <c r="AT69" i="11" s="1"/>
  <c r="M68" i="12"/>
  <c r="AU103" i="11"/>
  <c r="BA110" i="12"/>
  <c r="K67" i="11"/>
  <c r="E135" i="12"/>
  <c r="AN135" i="12"/>
  <c r="AS148" i="12"/>
  <c r="BE148" i="12"/>
  <c r="AY135" i="12"/>
  <c r="AN68" i="12"/>
  <c r="AN69" i="12" s="1"/>
  <c r="V77" i="12"/>
  <c r="BX45" i="11"/>
  <c r="BR45" i="11"/>
  <c r="M118" i="12"/>
  <c r="M119" i="12" s="1"/>
  <c r="C9" i="12"/>
  <c r="I38" i="12"/>
  <c r="M51" i="12"/>
  <c r="M65" i="12"/>
  <c r="AZ135" i="12"/>
  <c r="AT48" i="11"/>
  <c r="BQ48" i="11"/>
  <c r="AI77" i="12"/>
  <c r="AI10" i="13"/>
  <c r="AI58" i="13" s="1"/>
  <c r="AO118" i="12"/>
  <c r="AO119" i="12" s="1"/>
  <c r="AU84" i="12"/>
  <c r="AU16" i="12"/>
  <c r="J129" i="12"/>
  <c r="J85" i="12"/>
  <c r="J84" i="12"/>
  <c r="J11" i="13"/>
  <c r="J81" i="10" s="1"/>
  <c r="J86" i="12"/>
  <c r="Q118" i="12"/>
  <c r="Q119" i="12" s="1"/>
  <c r="W129" i="12"/>
  <c r="Q76" i="12"/>
  <c r="Q86" i="12"/>
  <c r="Q16" i="12"/>
  <c r="W130" i="12"/>
  <c r="Q11" i="13"/>
  <c r="Q81" i="10" s="1"/>
  <c r="Q85" i="12"/>
  <c r="AB11" i="13"/>
  <c r="AB81" i="10" s="1"/>
  <c r="AB84" i="12"/>
  <c r="AD13" i="12"/>
  <c r="AD86" i="12" s="1"/>
  <c r="AB85" i="12"/>
  <c r="AB16" i="12"/>
  <c r="AB130" i="12"/>
  <c r="AB76" i="12"/>
  <c r="AB129" i="12"/>
  <c r="AI16" i="12"/>
  <c r="AI86" i="12"/>
  <c r="AI84" i="12"/>
  <c r="AI85" i="12"/>
  <c r="AI11" i="13"/>
  <c r="AS76" i="12"/>
  <c r="AS118" i="12"/>
  <c r="AS119" i="12" s="1"/>
  <c r="AY129" i="12"/>
  <c r="AY130" i="12"/>
  <c r="I7" i="11"/>
  <c r="I133" i="12"/>
  <c r="O13" i="12"/>
  <c r="O86" i="12" s="1"/>
  <c r="U7" i="11"/>
  <c r="R14" i="12"/>
  <c r="O64" i="12"/>
  <c r="O133" i="12"/>
  <c r="X12" i="12"/>
  <c r="U61" i="12"/>
  <c r="U134" i="12"/>
  <c r="AA128" i="12"/>
  <c r="AJ127" i="12"/>
  <c r="L32" i="11"/>
  <c r="L60" i="11"/>
  <c r="R62" i="11"/>
  <c r="S28" i="12"/>
  <c r="Y28" i="12"/>
  <c r="Y62" i="11" s="1"/>
  <c r="AQ35" i="11"/>
  <c r="O64" i="11"/>
  <c r="U36" i="11"/>
  <c r="U49" i="11" s="1"/>
  <c r="AE34" i="12"/>
  <c r="AE36" i="11" s="1"/>
  <c r="R38" i="11"/>
  <c r="X51" i="11" s="1"/>
  <c r="S60" i="12"/>
  <c r="R68" i="11"/>
  <c r="V68" i="12"/>
  <c r="V69" i="12" s="1"/>
  <c r="V70" i="12"/>
  <c r="AI68" i="12"/>
  <c r="AI69" i="12" s="1"/>
  <c r="AC70" i="12"/>
  <c r="AM68" i="12"/>
  <c r="AM69" i="12" s="1"/>
  <c r="AG70" i="12"/>
  <c r="BC39" i="11"/>
  <c r="BO39" i="11"/>
  <c r="M100" i="11"/>
  <c r="S101" i="11"/>
  <c r="AV103" i="11"/>
  <c r="DA36" i="11" s="1"/>
  <c r="DE49" i="11" s="1"/>
  <c r="S104" i="11"/>
  <c r="M67" i="11"/>
  <c r="M82" i="11" s="1"/>
  <c r="G135" i="12"/>
  <c r="W58" i="11"/>
  <c r="Q135" i="12"/>
  <c r="AH58" i="11"/>
  <c r="AI67" i="11"/>
  <c r="AM67" i="11"/>
  <c r="AP162" i="12"/>
  <c r="AP101" i="12" s="1"/>
  <c r="AV110" i="12" s="1"/>
  <c r="AV147" i="12"/>
  <c r="AV162" i="12"/>
  <c r="AN148" i="12"/>
  <c r="AT148" i="12"/>
  <c r="AZ148" i="12"/>
  <c r="BF148" i="12"/>
  <c r="AM103" i="11"/>
  <c r="BH110" i="12"/>
  <c r="BB110" i="12"/>
  <c r="CU8" i="11"/>
  <c r="AN21" i="11"/>
  <c r="CU22" i="11" s="1"/>
  <c r="CV9" i="11"/>
  <c r="AO22" i="11"/>
  <c r="CV23" i="11" s="1"/>
  <c r="AN45" i="11"/>
  <c r="AN47" i="11"/>
  <c r="AN48" i="11"/>
  <c r="AN51" i="11"/>
  <c r="AT47" i="11"/>
  <c r="BS53" i="11"/>
  <c r="BM53" i="11"/>
  <c r="K79" i="11"/>
  <c r="K80" i="11"/>
  <c r="J83" i="11"/>
  <c r="AG77" i="11"/>
  <c r="BG148" i="12"/>
  <c r="AW12" i="12"/>
  <c r="AV58" i="12"/>
  <c r="AW58" i="12" s="1"/>
  <c r="BB128" i="12"/>
  <c r="BF10" i="11"/>
  <c r="W122" i="12"/>
  <c r="P49" i="12"/>
  <c r="V49" i="12" s="1"/>
  <c r="P55" i="12"/>
  <c r="AJ51" i="11"/>
  <c r="AO10" i="13"/>
  <c r="AO45" i="13" s="1"/>
  <c r="AI118" i="12"/>
  <c r="AI119" i="12" s="1"/>
  <c r="AE125" i="12"/>
  <c r="AB86" i="12"/>
  <c r="AO120" i="12"/>
  <c r="P67" i="11"/>
  <c r="K118" i="12"/>
  <c r="K119" i="12" s="1"/>
  <c r="AO77" i="12"/>
  <c r="AI76" i="12"/>
  <c r="I13" i="12"/>
  <c r="I86" i="12" s="1"/>
  <c r="X62" i="11"/>
  <c r="Q129" i="12"/>
  <c r="AC68" i="12"/>
  <c r="AC69" i="12" s="1"/>
  <c r="AC40" i="11" s="1"/>
  <c r="AB135" i="12"/>
  <c r="AH47" i="11"/>
  <c r="AZ45" i="11"/>
  <c r="BK47" i="11"/>
  <c r="BK45" i="11"/>
  <c r="BX52" i="11"/>
  <c r="BX53" i="11"/>
  <c r="CZ46" i="11"/>
  <c r="AZ107" i="11"/>
  <c r="DH50" i="11"/>
  <c r="BB112" i="11"/>
  <c r="BG108" i="11"/>
  <c r="BW45" i="11"/>
  <c r="BW48" i="11"/>
  <c r="BW52" i="11"/>
  <c r="BB8" i="11"/>
  <c r="BC8" i="11" s="1"/>
  <c r="BF133" i="12"/>
  <c r="AY59" i="12"/>
  <c r="BT46" i="12"/>
  <c r="BZ46" i="12" s="1"/>
  <c r="CF46" i="12" s="1"/>
  <c r="CL46" i="12" s="1"/>
  <c r="BF53" i="11"/>
  <c r="BW51" i="11"/>
  <c r="BH86" i="12"/>
  <c r="BH11" i="13"/>
  <c r="BH81" i="10" s="1"/>
  <c r="AM47" i="11"/>
  <c r="AS47" i="11"/>
  <c r="AZ48" i="11"/>
  <c r="BF48" i="11"/>
  <c r="L76" i="11"/>
  <c r="CZ34" i="11"/>
  <c r="DD47" i="11" s="1"/>
  <c r="AU108" i="11"/>
  <c r="BZ32" i="11"/>
  <c r="BA59" i="12"/>
  <c r="BG68" i="11"/>
  <c r="Q49" i="12"/>
  <c r="Q53" i="12"/>
  <c r="Q54" i="12" s="1"/>
  <c r="BH85" i="12"/>
  <c r="BE14" i="12"/>
  <c r="BE133" i="12" s="1"/>
  <c r="I83" i="11"/>
  <c r="AO67" i="11"/>
  <c r="Q55" i="12"/>
  <c r="K77" i="12"/>
  <c r="K10" i="13"/>
  <c r="Q120" i="12"/>
  <c r="K16" i="12"/>
  <c r="K76" i="12"/>
  <c r="W82" i="12"/>
  <c r="W120" i="12"/>
  <c r="AC120" i="12"/>
  <c r="W16" i="12"/>
  <c r="W83" i="12"/>
  <c r="AC118" i="12"/>
  <c r="AC119" i="12" s="1"/>
  <c r="W10" i="13"/>
  <c r="AC58" i="13" s="1"/>
  <c r="W76" i="12"/>
  <c r="G83" i="12"/>
  <c r="G77" i="12"/>
  <c r="M120" i="12"/>
  <c r="G84" i="12"/>
  <c r="G82" i="12"/>
  <c r="G16" i="12"/>
  <c r="G10" i="13"/>
  <c r="G45" i="13" s="1"/>
  <c r="AI83" i="12"/>
  <c r="AI82" i="12"/>
  <c r="AI120" i="12"/>
  <c r="AJ13" i="12"/>
  <c r="AK13" i="12" s="1"/>
  <c r="AK14" i="12"/>
  <c r="AO82" i="12"/>
  <c r="AO76" i="12"/>
  <c r="AO83" i="12"/>
  <c r="AP64" i="12"/>
  <c r="AP133" i="12"/>
  <c r="AQ14" i="12"/>
  <c r="AP7" i="11"/>
  <c r="AU10" i="13"/>
  <c r="AU45" i="13" s="1"/>
  <c r="AU83" i="12"/>
  <c r="AU76" i="12"/>
  <c r="BA120" i="12"/>
  <c r="AU82" i="12"/>
  <c r="AU120" i="12"/>
  <c r="AU77" i="12"/>
  <c r="BA118" i="12"/>
  <c r="BA119" i="12" s="1"/>
  <c r="J16" i="12"/>
  <c r="P129" i="12"/>
  <c r="P118" i="12"/>
  <c r="P119" i="12" s="1"/>
  <c r="P130" i="12"/>
  <c r="J118" i="12"/>
  <c r="J119" i="12" s="1"/>
  <c r="Q130" i="12"/>
  <c r="AH130" i="12"/>
  <c r="AH118" i="12"/>
  <c r="AH119" i="12" s="1"/>
  <c r="AI130" i="12"/>
  <c r="AZ86" i="12"/>
  <c r="AZ129" i="12"/>
  <c r="F12" i="12"/>
  <c r="I128" i="12"/>
  <c r="C134" i="12"/>
  <c r="L14" i="12"/>
  <c r="S48" i="12"/>
  <c r="Q60" i="11"/>
  <c r="AC32" i="11"/>
  <c r="AI45" i="11" s="1"/>
  <c r="I41" i="12"/>
  <c r="BA68" i="11"/>
  <c r="AU61" i="12"/>
  <c r="AU59" i="12"/>
  <c r="Y60" i="12"/>
  <c r="Y38" i="11" s="1"/>
  <c r="AM51" i="11"/>
  <c r="L74" i="11"/>
  <c r="AV109" i="11"/>
  <c r="DA35" i="11"/>
  <c r="AT112" i="11"/>
  <c r="AW105" i="11"/>
  <c r="AW112" i="11" s="1"/>
  <c r="AV9" i="12"/>
  <c r="AV77" i="12" s="1"/>
  <c r="BF13" i="12"/>
  <c r="BF9" i="11"/>
  <c r="BL38" i="11"/>
  <c r="BL51" i="11" s="1"/>
  <c r="AI83" i="11"/>
  <c r="P65" i="12"/>
  <c r="P66" i="12" s="1"/>
  <c r="P66" i="11" s="1"/>
  <c r="BA111" i="11"/>
  <c r="AW10" i="12"/>
  <c r="J79" i="11"/>
  <c r="BA61" i="12"/>
  <c r="AU107" i="11"/>
  <c r="AH68" i="12"/>
  <c r="AH69" i="12" s="1"/>
  <c r="AH70" i="12"/>
  <c r="AE100" i="11"/>
  <c r="AO135" i="12"/>
  <c r="BA135" i="12"/>
  <c r="AP147" i="12"/>
  <c r="AU148" i="12"/>
  <c r="BA148" i="12"/>
  <c r="AS51" i="11"/>
  <c r="M83" i="11"/>
  <c r="CT34" i="11"/>
  <c r="CX47" i="11" s="1"/>
  <c r="AS108" i="11"/>
  <c r="CU35" i="11"/>
  <c r="CY48" i="11" s="1"/>
  <c r="AN109" i="11"/>
  <c r="AT109" i="11"/>
  <c r="CT37" i="11"/>
  <c r="CX50" i="11" s="1"/>
  <c r="AS111" i="11"/>
  <c r="BR34" i="11"/>
  <c r="BR47" i="11" s="1"/>
  <c r="BS34" i="11"/>
  <c r="BS47" i="11" s="1"/>
  <c r="BI15" i="12"/>
  <c r="BI67" i="12" s="1"/>
  <c r="AI77" i="11"/>
  <c r="BB121" i="12"/>
  <c r="BL59" i="12"/>
  <c r="AV121" i="12"/>
  <c r="AS107" i="11"/>
  <c r="BR27" i="12"/>
  <c r="AG68" i="12"/>
  <c r="AG69" i="12" s="1"/>
  <c r="BG111" i="11"/>
  <c r="AZ118" i="12"/>
  <c r="AZ119" i="12" s="1"/>
  <c r="V58" i="11"/>
  <c r="BW53" i="11"/>
  <c r="X77" i="13"/>
  <c r="AH77" i="13"/>
  <c r="AB63" i="13"/>
  <c r="AK21" i="13"/>
  <c r="AP12" i="13"/>
  <c r="AP15" i="13" s="1"/>
  <c r="BN71" i="13"/>
  <c r="BN32" i="13" s="1"/>
  <c r="BO20" i="13"/>
  <c r="G18" i="13"/>
  <c r="BC71" i="13"/>
  <c r="AH15" i="13"/>
  <c r="AH44" i="13"/>
  <c r="AW13" i="13"/>
  <c r="AG70" i="10"/>
  <c r="I71" i="10"/>
  <c r="I70" i="10"/>
  <c r="AH60" i="13"/>
  <c r="AS95" i="13"/>
  <c r="AG71" i="10"/>
  <c r="AG44" i="13"/>
  <c r="AN60" i="13"/>
  <c r="K60" i="13"/>
  <c r="BE48" i="11"/>
  <c r="AU30" i="12"/>
  <c r="AU34" i="12"/>
  <c r="AU48" i="12"/>
  <c r="CU7" i="11"/>
  <c r="CU9" i="11"/>
  <c r="AN22" i="11"/>
  <c r="CU23" i="11" s="1"/>
  <c r="AQ25" i="11"/>
  <c r="AU26" i="11"/>
  <c r="CZ27" i="11" s="1"/>
  <c r="CZ13" i="11"/>
  <c r="CX52" i="11"/>
  <c r="CZ53" i="11"/>
  <c r="AD124" i="11"/>
  <c r="AJ124" i="11"/>
  <c r="BQ22" i="12"/>
  <c r="BQ65" i="12"/>
  <c r="BQ59" i="12"/>
  <c r="BQ48" i="12"/>
  <c r="BQ30" i="12"/>
  <c r="BS22" i="12"/>
  <c r="BS65" i="12"/>
  <c r="BS27" i="12"/>
  <c r="BM27" i="12"/>
  <c r="BM34" i="12"/>
  <c r="BM59" i="12"/>
  <c r="BM30" i="12"/>
  <c r="BL22" i="12"/>
  <c r="BL48" i="12"/>
  <c r="BW65" i="12"/>
  <c r="BW59" i="12"/>
  <c r="BW22" i="12"/>
  <c r="BY22" i="12"/>
  <c r="BY48" i="12"/>
  <c r="BY68" i="12"/>
  <c r="BB40" i="11"/>
  <c r="BH53" i="11" s="1"/>
  <c r="BB34" i="11"/>
  <c r="BB47" i="11" s="1"/>
  <c r="BB32" i="11"/>
  <c r="BH45" i="11" s="1"/>
  <c r="BC13" i="11"/>
  <c r="AY40" i="11"/>
  <c r="BE53" i="11" s="1"/>
  <c r="AY17" i="11"/>
  <c r="DB13" i="11"/>
  <c r="AY34" i="11"/>
  <c r="BO13" i="11"/>
  <c r="BF26" i="11"/>
  <c r="DG27" i="11" s="1"/>
  <c r="BB26" i="11"/>
  <c r="DE27" i="11" s="1"/>
  <c r="BE26" i="11"/>
  <c r="DF27" i="11" s="1"/>
  <c r="BA26" i="11"/>
  <c r="DD27" i="11" s="1"/>
  <c r="AM23" i="11"/>
  <c r="CT24" i="11" s="1"/>
  <c r="CT10" i="11"/>
  <c r="AY50" i="12"/>
  <c r="BM65" i="12"/>
  <c r="AU27" i="12"/>
  <c r="AY30" i="12"/>
  <c r="AY65" i="12"/>
  <c r="AY64" i="12" s="1"/>
  <c r="BL50" i="12"/>
  <c r="BL65" i="12"/>
  <c r="BA27" i="12"/>
  <c r="BG26" i="11"/>
  <c r="DH27" i="11" s="1"/>
  <c r="AY22" i="12"/>
  <c r="AU22" i="12"/>
  <c r="BB35" i="11"/>
  <c r="AW124" i="11"/>
  <c r="BY65" i="12"/>
  <c r="BQ27" i="12"/>
  <c r="BQ50" i="12"/>
  <c r="BQ68" i="12"/>
  <c r="AM20" i="11"/>
  <c r="CT21" i="11" s="1"/>
  <c r="AI20" i="11"/>
  <c r="CR21" i="11" s="1"/>
  <c r="BM48" i="12"/>
  <c r="CT8" i="11"/>
  <c r="AE25" i="11"/>
  <c r="BG22" i="12"/>
  <c r="BG34" i="12"/>
  <c r="BG68" i="12"/>
  <c r="BG27" i="12"/>
  <c r="BW30" i="12"/>
  <c r="BW68" i="12"/>
  <c r="DB53" i="11"/>
  <c r="AT34" i="12"/>
  <c r="AT48" i="12"/>
  <c r="BN50" i="12"/>
  <c r="BN48" i="12"/>
  <c r="BN68" i="12"/>
  <c r="BK22" i="12"/>
  <c r="BO18" i="12"/>
  <c r="BX65" i="12"/>
  <c r="BX68" i="12"/>
  <c r="BX59" i="12"/>
  <c r="DF54" i="11"/>
  <c r="CA25" i="11"/>
  <c r="BU25" i="11"/>
  <c r="CA26" i="11"/>
  <c r="BM74" i="13"/>
  <c r="BN74" i="13" s="1"/>
  <c r="BL32" i="13"/>
  <c r="AO63" i="13"/>
  <c r="AE21" i="13"/>
  <c r="U82" i="10"/>
  <c r="U63" i="13"/>
  <c r="AK13" i="13"/>
  <c r="AJ12" i="13"/>
  <c r="AJ15" i="13" s="1"/>
  <c r="O32" i="13"/>
  <c r="S72" i="13"/>
  <c r="CA20" i="13"/>
  <c r="BY72" i="13"/>
  <c r="CA72" i="13" s="1"/>
  <c r="BG15" i="13"/>
  <c r="BG44" i="13"/>
  <c r="BG95" i="13" s="1"/>
  <c r="BG60" i="13"/>
  <c r="BF15" i="13"/>
  <c r="BF60" i="13"/>
  <c r="BF71" i="10"/>
  <c r="CD71" i="10" s="1"/>
  <c r="CJ71" i="10" s="1"/>
  <c r="BE82" i="10"/>
  <c r="BA15" i="13"/>
  <c r="BA44" i="13"/>
  <c r="BA95" i="13" s="1"/>
  <c r="BA71" i="10"/>
  <c r="AZ15" i="13"/>
  <c r="AZ22" i="13" s="1"/>
  <c r="AZ71" i="10"/>
  <c r="AZ70" i="10"/>
  <c r="AS15" i="13"/>
  <c r="AS71" i="10"/>
  <c r="AS70" i="10"/>
  <c r="BB22" i="13"/>
  <c r="BB29" i="13" s="1"/>
  <c r="BB69" i="13"/>
  <c r="BB25" i="13" s="1"/>
  <c r="BB71" i="10"/>
  <c r="BB44" i="13"/>
  <c r="BB95" i="13" s="1"/>
  <c r="BH60" i="13"/>
  <c r="BH95" i="11"/>
  <c r="AU63" i="13"/>
  <c r="J82" i="10"/>
  <c r="AK89" i="11"/>
  <c r="AI82" i="10"/>
  <c r="C30" i="13"/>
  <c r="K82" i="10"/>
  <c r="BF44" i="13"/>
  <c r="BF95" i="13" s="1"/>
  <c r="AJ63" i="13"/>
  <c r="AJ66" i="13" s="1"/>
  <c r="BE69" i="13"/>
  <c r="BE25" i="13" s="1"/>
  <c r="BE26" i="13" s="1"/>
  <c r="S62" i="13"/>
  <c r="S89" i="11"/>
  <c r="M62" i="13"/>
  <c r="BA70" i="10"/>
  <c r="BB63" i="13"/>
  <c r="BB70" i="10"/>
  <c r="AZ60" i="13"/>
  <c r="U70" i="13"/>
  <c r="AT70" i="13"/>
  <c r="S136" i="10"/>
  <c r="S44" i="13"/>
  <c r="S48" i="13"/>
  <c r="Y12" i="13"/>
  <c r="Y60" i="13" s="1"/>
  <c r="V70" i="10"/>
  <c r="AC71" i="10"/>
  <c r="AI60" i="13"/>
  <c r="AI71" i="10"/>
  <c r="G14" i="13"/>
  <c r="F12" i="13"/>
  <c r="AQ13" i="13"/>
  <c r="U22" i="13"/>
  <c r="U49" i="13" s="1"/>
  <c r="U87" i="13"/>
  <c r="X22" i="13"/>
  <c r="X49" i="13" s="1"/>
  <c r="AG94" i="11"/>
  <c r="AH63" i="13"/>
  <c r="AH82" i="10"/>
  <c r="AM63" i="13"/>
  <c r="AE18" i="13"/>
  <c r="AT32" i="13"/>
  <c r="BS19" i="13"/>
  <c r="BR18" i="13"/>
  <c r="BR71" i="13"/>
  <c r="I82" i="10"/>
  <c r="I70" i="13"/>
  <c r="S61" i="13"/>
  <c r="Y90" i="11"/>
  <c r="Y47" i="13"/>
  <c r="AQ47" i="13"/>
  <c r="AW61" i="13"/>
  <c r="W95" i="11"/>
  <c r="AO95" i="11"/>
  <c r="AS95" i="11"/>
  <c r="AN94" i="11"/>
  <c r="AM94" i="11"/>
  <c r="AD72" i="10"/>
  <c r="O95" i="11"/>
  <c r="I95" i="11"/>
  <c r="AY95" i="11"/>
  <c r="AN15" i="13"/>
  <c r="AB60" i="13"/>
  <c r="AA95" i="11"/>
  <c r="AH32" i="13"/>
  <c r="AB95" i="11"/>
  <c r="AJ95" i="11"/>
  <c r="AT95" i="11"/>
  <c r="AU95" i="11"/>
  <c r="BF95" i="11"/>
  <c r="BE95" i="11"/>
  <c r="BG95" i="11"/>
  <c r="BG32" i="13"/>
  <c r="BF32" i="13"/>
  <c r="BA32" i="13"/>
  <c r="AZ32" i="13"/>
  <c r="AU32" i="13"/>
  <c r="AS32" i="13"/>
  <c r="AP32" i="13"/>
  <c r="AQ71" i="13"/>
  <c r="AC83" i="11"/>
  <c r="BF83" i="11"/>
  <c r="O79" i="12"/>
  <c r="O36" i="12"/>
  <c r="O37" i="12" s="1"/>
  <c r="O123" i="12"/>
  <c r="D9" i="13"/>
  <c r="D48" i="13" s="1"/>
  <c r="D45" i="13"/>
  <c r="P75" i="11"/>
  <c r="L61" i="12"/>
  <c r="BN36" i="11"/>
  <c r="BN33" i="11" s="1"/>
  <c r="AG45" i="11"/>
  <c r="L52" i="12"/>
  <c r="AH77" i="11"/>
  <c r="AJ77" i="11"/>
  <c r="AJ78" i="11"/>
  <c r="CY33" i="11"/>
  <c r="CY46" i="11" s="1"/>
  <c r="AT107" i="11"/>
  <c r="AW100" i="11"/>
  <c r="AW107" i="11" s="1"/>
  <c r="AV107" i="11"/>
  <c r="DA33" i="11"/>
  <c r="DA46" i="11" s="1"/>
  <c r="CY34" i="11"/>
  <c r="CY47" i="11" s="1"/>
  <c r="AT108" i="11"/>
  <c r="CX35" i="11"/>
  <c r="CX48" i="11" s="1"/>
  <c r="AW102" i="11"/>
  <c r="AW109" i="11" s="1"/>
  <c r="AS109" i="11"/>
  <c r="BA109" i="11"/>
  <c r="AU109" i="11"/>
  <c r="AT111" i="11"/>
  <c r="CY37" i="11"/>
  <c r="CY50" i="11" s="1"/>
  <c r="DA37" i="11"/>
  <c r="DA50" i="11" s="1"/>
  <c r="AV111" i="11"/>
  <c r="AS112" i="11"/>
  <c r="AU112" i="11"/>
  <c r="DD33" i="11"/>
  <c r="DH46" i="11" s="1"/>
  <c r="BG107" i="11"/>
  <c r="BA107" i="11"/>
  <c r="DC34" i="11"/>
  <c r="AZ108" i="11"/>
  <c r="DC35" i="11"/>
  <c r="AZ109" i="11"/>
  <c r="BF109" i="11"/>
  <c r="AY112" i="11"/>
  <c r="BA112" i="11"/>
  <c r="BF108" i="11"/>
  <c r="BE9" i="12"/>
  <c r="BE77" i="12" s="1"/>
  <c r="BE121" i="12"/>
  <c r="AY66" i="11"/>
  <c r="AS65" i="12"/>
  <c r="AS66" i="12" s="1"/>
  <c r="AS66" i="11" s="1"/>
  <c r="U32" i="12"/>
  <c r="U64" i="11"/>
  <c r="BC15" i="12"/>
  <c r="BB134" i="12"/>
  <c r="BC11" i="12"/>
  <c r="BB127" i="12"/>
  <c r="BB133" i="12"/>
  <c r="BB9" i="11"/>
  <c r="BH127" i="12"/>
  <c r="AV64" i="12"/>
  <c r="AV13" i="12"/>
  <c r="AW14" i="12"/>
  <c r="AV133" i="12"/>
  <c r="K32" i="12"/>
  <c r="P32" i="12"/>
  <c r="J35" i="12"/>
  <c r="P64" i="11"/>
  <c r="AD60" i="11"/>
  <c r="X122" i="12"/>
  <c r="BH9" i="11"/>
  <c r="DI9" i="11" s="1"/>
  <c r="O38" i="12"/>
  <c r="AG78" i="11"/>
  <c r="BC105" i="11"/>
  <c r="BI112" i="11" s="1"/>
  <c r="O77" i="11"/>
  <c r="AD21" i="12"/>
  <c r="AJ60" i="11" s="1"/>
  <c r="BB9" i="12"/>
  <c r="BB83" i="12" s="1"/>
  <c r="BB13" i="12"/>
  <c r="AS70" i="12"/>
  <c r="J82" i="11"/>
  <c r="Y10" i="12"/>
  <c r="AW104" i="11"/>
  <c r="AW111" i="11" s="1"/>
  <c r="AV108" i="11"/>
  <c r="AW101" i="11"/>
  <c r="AW108" i="11" s="1"/>
  <c r="AZ111" i="11"/>
  <c r="AO109" i="11"/>
  <c r="AZ67" i="11"/>
  <c r="BK36" i="11"/>
  <c r="BK33" i="11" s="1"/>
  <c r="Q32" i="11"/>
  <c r="U32" i="11"/>
  <c r="AA60" i="11"/>
  <c r="M27" i="12"/>
  <c r="S124" i="12"/>
  <c r="X34" i="11"/>
  <c r="Y125" i="12"/>
  <c r="AW35" i="11"/>
  <c r="BC48" i="11" s="1"/>
  <c r="Q36" i="11"/>
  <c r="I79" i="12"/>
  <c r="I80" i="12"/>
  <c r="I81" i="12"/>
  <c r="AE59" i="12"/>
  <c r="AK68" i="11"/>
  <c r="AI61" i="12"/>
  <c r="AO59" i="12"/>
  <c r="AI59" i="12"/>
  <c r="AN61" i="12"/>
  <c r="AN59" i="12"/>
  <c r="AS61" i="12"/>
  <c r="AY68" i="11"/>
  <c r="AS59" i="12"/>
  <c r="U38" i="11"/>
  <c r="U68" i="11"/>
  <c r="BR59" i="12"/>
  <c r="BR38" i="11"/>
  <c r="G70" i="12"/>
  <c r="W65" i="12"/>
  <c r="W66" i="12" s="1"/>
  <c r="W70" i="12"/>
  <c r="W73" i="12" s="1"/>
  <c r="AB70" i="12"/>
  <c r="AH65" i="12"/>
  <c r="AH66" i="12" s="1"/>
  <c r="AH39" i="11" s="1"/>
  <c r="AG65" i="12"/>
  <c r="AG66" i="12" s="1"/>
  <c r="AU65" i="12"/>
  <c r="AU66" i="12" s="1"/>
  <c r="AU66" i="11" s="1"/>
  <c r="AO70" i="12"/>
  <c r="AO65" i="12"/>
  <c r="AO66" i="12" s="1"/>
  <c r="BI40" i="11"/>
  <c r="BI53" i="11" s="1"/>
  <c r="M101" i="11"/>
  <c r="S100" i="11"/>
  <c r="AZ103" i="11"/>
  <c r="BF110" i="12"/>
  <c r="AZ110" i="12"/>
  <c r="M104" i="11"/>
  <c r="Y104" i="11"/>
  <c r="BE110" i="12"/>
  <c r="AY103" i="11"/>
  <c r="J58" i="11"/>
  <c r="D135" i="12"/>
  <c r="AB58" i="11"/>
  <c r="V135" i="12"/>
  <c r="AB67" i="11"/>
  <c r="AI135" i="12"/>
  <c r="AH135" i="12"/>
  <c r="BK51" i="11"/>
  <c r="BM48" i="11"/>
  <c r="W77" i="12"/>
  <c r="W118" i="12"/>
  <c r="W119" i="12" s="1"/>
  <c r="AM77" i="12"/>
  <c r="AM118" i="12"/>
  <c r="AM119" i="12" s="1"/>
  <c r="W85" i="12"/>
  <c r="AC129" i="12"/>
  <c r="AC130" i="12"/>
  <c r="AG84" i="12"/>
  <c r="AU11" i="13"/>
  <c r="AU81" i="10" s="1"/>
  <c r="AU86" i="12"/>
  <c r="AZ11" i="13"/>
  <c r="F10" i="12"/>
  <c r="F15" i="12"/>
  <c r="F67" i="12" s="1"/>
  <c r="C67" i="12"/>
  <c r="I52" i="12"/>
  <c r="AE11" i="12"/>
  <c r="Y48" i="12"/>
  <c r="BX27" i="12"/>
  <c r="AO46" i="12"/>
  <c r="AU46" i="12" s="1"/>
  <c r="AK46" i="12"/>
  <c r="AK47" i="12" s="1"/>
  <c r="AC21" i="12"/>
  <c r="AC60" i="11"/>
  <c r="AC58" i="11"/>
  <c r="AI47" i="11"/>
  <c r="BA45" i="11"/>
  <c r="BA51" i="11"/>
  <c r="BL53" i="11"/>
  <c r="BQ47" i="11"/>
  <c r="BX38" i="11"/>
  <c r="CD51" i="11" s="1"/>
  <c r="CA40" i="11"/>
  <c r="AE125" i="11"/>
  <c r="BC123" i="11"/>
  <c r="BC125" i="11"/>
  <c r="AI22" i="12"/>
  <c r="AI48" i="12"/>
  <c r="AV22" i="12"/>
  <c r="AV48" i="12"/>
  <c r="AZ27" i="12"/>
  <c r="AZ34" i="12"/>
  <c r="E41" i="11"/>
  <c r="DG52" i="11"/>
  <c r="CX53" i="11"/>
  <c r="DH54" i="11"/>
  <c r="DD54" i="11"/>
  <c r="AW123" i="11"/>
  <c r="BR22" i="12"/>
  <c r="BR48" i="12"/>
  <c r="BR65" i="12"/>
  <c r="BZ65" i="12"/>
  <c r="BZ22" i="12"/>
  <c r="DM13" i="11"/>
  <c r="BN26" i="11"/>
  <c r="DM27" i="11" s="1"/>
  <c r="BL26" i="11"/>
  <c r="DK27" i="11" s="1"/>
  <c r="BR30" i="12"/>
  <c r="AZ50" i="12"/>
  <c r="AZ68" i="12"/>
  <c r="AZ67" i="12" s="1"/>
  <c r="AV30" i="12"/>
  <c r="BB68" i="12"/>
  <c r="AG27" i="12"/>
  <c r="AG26" i="12" s="1"/>
  <c r="AG124" i="12" s="1"/>
  <c r="AG50" i="12"/>
  <c r="AI30" i="12"/>
  <c r="AI29" i="12" s="1"/>
  <c r="AI50" i="12"/>
  <c r="BB27" i="12"/>
  <c r="BB50" i="12"/>
  <c r="AZ22" i="12"/>
  <c r="DE52" i="11"/>
  <c r="DJ13" i="11"/>
  <c r="BB36" i="11"/>
  <c r="AQ100" i="13"/>
  <c r="BC100" i="13"/>
  <c r="AG48" i="12"/>
  <c r="BU18" i="12"/>
  <c r="BR50" i="12"/>
  <c r="AE116" i="11"/>
  <c r="DD53" i="11"/>
  <c r="BZ68" i="12"/>
  <c r="AV34" i="12"/>
  <c r="BH27" i="12"/>
  <c r="BH48" i="12"/>
  <c r="BF27" i="12"/>
  <c r="BF48" i="12"/>
  <c r="AH27" i="12"/>
  <c r="AH26" i="12" s="1"/>
  <c r="AH34" i="12"/>
  <c r="AY27" i="12"/>
  <c r="AY34" i="12"/>
  <c r="BA22" i="12"/>
  <c r="BA34" i="12"/>
  <c r="P58" i="11"/>
  <c r="AB20" i="11"/>
  <c r="CR7" i="11"/>
  <c r="AI58" i="11"/>
  <c r="AN58" i="11"/>
  <c r="AO21" i="11"/>
  <c r="CV22" i="11" s="1"/>
  <c r="CV8" i="11"/>
  <c r="CV10" i="11"/>
  <c r="CX13" i="11"/>
  <c r="AS26" i="11"/>
  <c r="CX27" i="11" s="1"/>
  <c r="CX46" i="11"/>
  <c r="M124" i="10"/>
  <c r="AT67" i="10"/>
  <c r="M16" i="10"/>
  <c r="Y147" i="10"/>
  <c r="Y148" i="10" s="1"/>
  <c r="AQ16" i="10"/>
  <c r="AQ143" i="10"/>
  <c r="AN118" i="10"/>
  <c r="AJ155" i="10"/>
  <c r="M152" i="10"/>
  <c r="Y152" i="10"/>
  <c r="AK150" i="10"/>
  <c r="AK152" i="10"/>
  <c r="BC41" i="10"/>
  <c r="BC176" i="10" s="1"/>
  <c r="L59" i="10"/>
  <c r="U47" i="10"/>
  <c r="AB59" i="10"/>
  <c r="AU59" i="10"/>
  <c r="AH125" i="10"/>
  <c r="K148" i="10"/>
  <c r="K155" i="10" s="1"/>
  <c r="R148" i="10"/>
  <c r="R155" i="10" s="1"/>
  <c r="P148" i="10"/>
  <c r="AD148" i="10"/>
  <c r="AB148" i="10"/>
  <c r="L153" i="10"/>
  <c r="BC20" i="9"/>
  <c r="AD16" i="9"/>
  <c r="AE16" i="9" s="1"/>
  <c r="AJ11" i="9"/>
  <c r="AK11" i="9" s="1"/>
  <c r="AP16" i="9"/>
  <c r="AQ16" i="9" s="1"/>
  <c r="AV22" i="9"/>
  <c r="AW22" i="9" s="1"/>
  <c r="AV64" i="9"/>
  <c r="AP65" i="9"/>
  <c r="AO75" i="9"/>
  <c r="AJ64" i="9"/>
  <c r="AI73" i="9"/>
  <c r="AD65" i="9"/>
  <c r="AC75" i="9"/>
  <c r="S24" i="9"/>
  <c r="AD24" i="9"/>
  <c r="AE24" i="9" s="1"/>
  <c r="AC17" i="9"/>
  <c r="AP11" i="9"/>
  <c r="AQ11" i="9" s="1"/>
  <c r="AV21" i="9"/>
  <c r="AW21" i="9" s="1"/>
  <c r="BB18" i="9"/>
  <c r="AD42" i="9"/>
  <c r="AJ65" i="9"/>
  <c r="AI75" i="9"/>
  <c r="AD64" i="9"/>
  <c r="AC73" i="9"/>
  <c r="AY26" i="13"/>
  <c r="AI81" i="9"/>
  <c r="BO79" i="9"/>
  <c r="I118" i="10"/>
  <c r="BC81" i="9"/>
  <c r="AA78" i="9"/>
  <c r="AG78" i="9"/>
  <c r="BB81" i="9"/>
  <c r="AZ81" i="9"/>
  <c r="W28" i="9"/>
  <c r="X28" i="9" s="1"/>
  <c r="BW65" i="40"/>
  <c r="BX65" i="40" s="1"/>
  <c r="BY65" i="40" s="1"/>
  <c r="AQ51" i="40"/>
  <c r="AU64" i="40"/>
  <c r="BF26" i="40"/>
  <c r="AG66" i="40"/>
  <c r="AH66" i="40" s="1"/>
  <c r="AI66" i="40" s="1"/>
  <c r="AJ66" i="40" s="1"/>
  <c r="AM66" i="40" s="1"/>
  <c r="AN66" i="40" s="1"/>
  <c r="AO66" i="40" s="1"/>
  <c r="AP66" i="40" s="1"/>
  <c r="Y64" i="40"/>
  <c r="AG40" i="40"/>
  <c r="DF52" i="11"/>
  <c r="CZ52" i="11"/>
  <c r="DC53" i="11"/>
  <c r="DG54" i="11"/>
  <c r="CY54" i="11"/>
  <c r="O26" i="13"/>
  <c r="AG25" i="13"/>
  <c r="AG26" i="13" s="1"/>
  <c r="BU99" i="10"/>
  <c r="I105" i="10"/>
  <c r="G112" i="10"/>
  <c r="BU124" i="10"/>
  <c r="CA116" i="10"/>
  <c r="G105" i="10"/>
  <c r="AG70" i="13"/>
  <c r="AS26" i="13"/>
  <c r="CA124" i="10"/>
  <c r="AJ22" i="12"/>
  <c r="AJ34" i="12"/>
  <c r="AJ36" i="11" s="1"/>
  <c r="AK18" i="12"/>
  <c r="AN22" i="12"/>
  <c r="AN48" i="12"/>
  <c r="AP30" i="12"/>
  <c r="AP29" i="12" s="1"/>
  <c r="AP48" i="12"/>
  <c r="M7" i="11"/>
  <c r="M25" i="11"/>
  <c r="S25" i="11"/>
  <c r="AE22" i="11"/>
  <c r="S21" i="11"/>
  <c r="Y21" i="11"/>
  <c r="S23" i="11"/>
  <c r="BC25" i="11"/>
  <c r="D41" i="11"/>
  <c r="G17" i="11"/>
  <c r="F41" i="11"/>
  <c r="DD52" i="11"/>
  <c r="DH52" i="11"/>
  <c r="DA53" i="11"/>
  <c r="AW125" i="11"/>
  <c r="BT68" i="12"/>
  <c r="CA18" i="12"/>
  <c r="BZ59" i="12"/>
  <c r="BZ48" i="12"/>
  <c r="BI123" i="11"/>
  <c r="BI125" i="11"/>
  <c r="AE124" i="11"/>
  <c r="AJ48" i="12"/>
  <c r="AM30" i="12"/>
  <c r="AQ18" i="12"/>
  <c r="AM48" i="12"/>
  <c r="AO27" i="12"/>
  <c r="AO34" i="12"/>
  <c r="AS30" i="12"/>
  <c r="AW18" i="12"/>
  <c r="AS34" i="12"/>
  <c r="BB22" i="12"/>
  <c r="BC18" i="12"/>
  <c r="CT7" i="11"/>
  <c r="AM58" i="11"/>
  <c r="AO20" i="11"/>
  <c r="CV21" i="11" s="1"/>
  <c r="AY67" i="11"/>
  <c r="DB10" i="11"/>
  <c r="M21" i="11"/>
  <c r="M23" i="11"/>
  <c r="Y23" i="11"/>
  <c r="AQ26" i="11"/>
  <c r="DE54" i="11"/>
  <c r="DA54" i="11"/>
  <c r="AD123" i="11"/>
  <c r="BS68" i="12"/>
  <c r="BS50" i="12"/>
  <c r="BS48" i="12"/>
  <c r="BB39" i="11"/>
  <c r="BH52" i="11" s="1"/>
  <c r="BB38" i="11"/>
  <c r="DE13" i="11"/>
  <c r="BT48" i="12"/>
  <c r="BI124" i="11"/>
  <c r="BQ53" i="11"/>
  <c r="BU39" i="11"/>
  <c r="AI74" i="40"/>
  <c r="AJ74" i="40" s="1"/>
  <c r="AK74" i="40" s="1"/>
  <c r="BU76" i="40"/>
  <c r="BA69" i="40"/>
  <c r="BA72" i="40" s="1"/>
  <c r="BM74" i="40"/>
  <c r="BN74" i="40" s="1"/>
  <c r="AU43" i="40"/>
  <c r="AU44" i="40" s="1"/>
  <c r="AW31" i="40"/>
  <c r="AW41" i="40"/>
  <c r="AW47" i="13"/>
  <c r="AC82" i="10"/>
  <c r="AC63" i="13"/>
  <c r="AI63" i="13"/>
  <c r="AI66" i="13" s="1"/>
  <c r="K71" i="10"/>
  <c r="Q60" i="13"/>
  <c r="M21" i="13"/>
  <c r="AG82" i="10"/>
  <c r="AG63" i="13"/>
  <c r="AG66" i="13" s="1"/>
  <c r="AB70" i="10"/>
  <c r="AB71" i="10"/>
  <c r="O70" i="13"/>
  <c r="O82" i="10"/>
  <c r="S47" i="13"/>
  <c r="Y61" i="13"/>
  <c r="Y21" i="13"/>
  <c r="AQ21" i="13"/>
  <c r="AQ54" i="40"/>
  <c r="F70" i="13"/>
  <c r="AH94" i="11"/>
  <c r="AZ26" i="40"/>
  <c r="AZ25" i="40"/>
  <c r="AG25" i="40"/>
  <c r="AG26" i="40"/>
  <c r="AI25" i="40"/>
  <c r="AJ46" i="40" s="1"/>
  <c r="AI26" i="40"/>
  <c r="J66" i="40"/>
  <c r="J70" i="40" s="1"/>
  <c r="AV23" i="40"/>
  <c r="AK31" i="40"/>
  <c r="I66" i="40"/>
  <c r="I70" i="40" s="1"/>
  <c r="AP23" i="40"/>
  <c r="AP25" i="40" s="1"/>
  <c r="AT23" i="40"/>
  <c r="BC34" i="40"/>
  <c r="AU77" i="40"/>
  <c r="AG31" i="40"/>
  <c r="AI43" i="40"/>
  <c r="BB43" i="40"/>
  <c r="AQ37" i="40"/>
  <c r="AW40" i="40"/>
  <c r="AM65" i="40"/>
  <c r="AN65" i="40" s="1"/>
  <c r="AO65" i="40" s="1"/>
  <c r="AS65" i="40"/>
  <c r="AT65" i="40" s="1"/>
  <c r="AU65" i="40" s="1"/>
  <c r="BF72" i="40"/>
  <c r="V77" i="40"/>
  <c r="AV69" i="40"/>
  <c r="AW69" i="40" s="1"/>
  <c r="AM92" i="40"/>
  <c r="BI31" i="40"/>
  <c r="AK42" i="40"/>
  <c r="AQ39" i="40"/>
  <c r="BF77" i="40"/>
  <c r="AI64" i="40"/>
  <c r="AI88" i="40" s="1"/>
  <c r="BL77" i="40"/>
  <c r="AZ77" i="40"/>
  <c r="BF88" i="40"/>
  <c r="AG34" i="40"/>
  <c r="AQ31" i="40"/>
  <c r="AG32" i="40"/>
  <c r="BM77" i="40"/>
  <c r="BX72" i="40"/>
  <c r="AK40" i="40"/>
  <c r="AQ36" i="40"/>
  <c r="BK43" i="9"/>
  <c r="AI44" i="40"/>
  <c r="AW32" i="40"/>
  <c r="AQ42" i="40"/>
  <c r="AG42" i="40"/>
  <c r="AE38" i="40"/>
  <c r="AQ33" i="40"/>
  <c r="BO37" i="9"/>
  <c r="BU36" i="9"/>
  <c r="BU37" i="9"/>
  <c r="BI32" i="40"/>
  <c r="BI36" i="40"/>
  <c r="BI40" i="40"/>
  <c r="BB44" i="40"/>
  <c r="BC33" i="40"/>
  <c r="BC37" i="40"/>
  <c r="BC41" i="40"/>
  <c r="AK35" i="40"/>
  <c r="AK34" i="40"/>
  <c r="AK54" i="40"/>
  <c r="BC54" i="40"/>
  <c r="CA37" i="9"/>
  <c r="Q66" i="40"/>
  <c r="Q67" i="40" s="1"/>
  <c r="Q60" i="40"/>
  <c r="AK23" i="40"/>
  <c r="AK26" i="40" s="1"/>
  <c r="L66" i="40"/>
  <c r="L70" i="40" s="1"/>
  <c r="BC70" i="40"/>
  <c r="BC38" i="40"/>
  <c r="AY65" i="40"/>
  <c r="AZ65" i="40" s="1"/>
  <c r="BA65" i="40" s="1"/>
  <c r="AB72" i="40"/>
  <c r="AN72" i="40"/>
  <c r="AT72" i="40"/>
  <c r="BL72" i="40"/>
  <c r="U62" i="40"/>
  <c r="U58" i="40" s="1"/>
  <c r="U67" i="40"/>
  <c r="U79" i="40" s="1"/>
  <c r="AB43" i="40"/>
  <c r="AC43" i="40"/>
  <c r="AO23" i="40"/>
  <c r="AO25" i="40" s="1"/>
  <c r="AO46" i="40" s="1"/>
  <c r="AP43" i="40"/>
  <c r="AP44" i="40" s="1"/>
  <c r="AY43" i="40"/>
  <c r="AZ43" i="40"/>
  <c r="AZ44" i="40" s="1"/>
  <c r="BE25" i="40"/>
  <c r="BF46" i="40" s="1"/>
  <c r="BE26" i="40"/>
  <c r="Y23" i="40"/>
  <c r="BE35" i="40"/>
  <c r="BC35" i="40"/>
  <c r="BE45" i="40"/>
  <c r="BC45" i="40"/>
  <c r="AM36" i="40"/>
  <c r="AK36" i="40"/>
  <c r="AO72" i="40"/>
  <c r="U57" i="40"/>
  <c r="U60" i="40" s="1"/>
  <c r="AW23" i="40"/>
  <c r="AW26" i="40" s="1"/>
  <c r="AY42" i="40"/>
  <c r="AE54" i="40"/>
  <c r="AQ34" i="40"/>
  <c r="AY23" i="40"/>
  <c r="BO15" i="40"/>
  <c r="BO19" i="40"/>
  <c r="BQ19" i="40" s="1"/>
  <c r="BR19" i="40" s="1"/>
  <c r="BS19" i="40" s="1"/>
  <c r="BT19" i="40" s="1"/>
  <c r="BU19" i="40" s="1"/>
  <c r="AJ26" i="40"/>
  <c r="AK38" i="40"/>
  <c r="AE35" i="40"/>
  <c r="AO43" i="40"/>
  <c r="AO44" i="40" s="1"/>
  <c r="AM40" i="40"/>
  <c r="AW38" i="40"/>
  <c r="AQ38" i="40"/>
  <c r="AS40" i="40"/>
  <c r="AQ40" i="40"/>
  <c r="AY37" i="40"/>
  <c r="AW37" i="40"/>
  <c r="AJ44" i="40"/>
  <c r="O60" i="40"/>
  <c r="O66" i="40"/>
  <c r="O67" i="40" s="1"/>
  <c r="P66" i="40"/>
  <c r="P67" i="40" s="1"/>
  <c r="P60" i="40"/>
  <c r="P88" i="40"/>
  <c r="Q64" i="40"/>
  <c r="AC64" i="40"/>
  <c r="AB88" i="40"/>
  <c r="BA88" i="40"/>
  <c r="BB64" i="40"/>
  <c r="BB88" i="40" s="1"/>
  <c r="BQ65" i="40"/>
  <c r="BR65" i="40" s="1"/>
  <c r="BS65" i="40" s="1"/>
  <c r="BK65" i="40"/>
  <c r="BL65" i="40" s="1"/>
  <c r="BM65" i="40" s="1"/>
  <c r="BZ64" i="40"/>
  <c r="BZ88" i="40" s="1"/>
  <c r="AN77" i="40"/>
  <c r="AH72" i="40"/>
  <c r="J60" i="40"/>
  <c r="AZ72" i="40"/>
  <c r="AQ75" i="40"/>
  <c r="BR72" i="40"/>
  <c r="BI45" i="40"/>
  <c r="AC71" i="40"/>
  <c r="AD71" i="40" s="1"/>
  <c r="BY69" i="40"/>
  <c r="AW75" i="40"/>
  <c r="AT43" i="40"/>
  <c r="AT44" i="40" s="1"/>
  <c r="AQ41" i="40"/>
  <c r="AW34" i="40"/>
  <c r="AB77" i="40"/>
  <c r="AO74" i="40"/>
  <c r="AP74" i="40" s="1"/>
  <c r="AT77" i="40"/>
  <c r="AQ69" i="40"/>
  <c r="AP72" i="40"/>
  <c r="AK43" i="40"/>
  <c r="AG43" i="40"/>
  <c r="AE43" i="40"/>
  <c r="AE23" i="40"/>
  <c r="R60" i="40"/>
  <c r="R66" i="40"/>
  <c r="R67" i="40" s="1"/>
  <c r="S57" i="40"/>
  <c r="S66" i="40" s="1"/>
  <c r="AI72" i="40"/>
  <c r="AJ70" i="40"/>
  <c r="AK70" i="40" s="1"/>
  <c r="BS72" i="40"/>
  <c r="BI42" i="40"/>
  <c r="BO21" i="40"/>
  <c r="BQ21" i="40" s="1"/>
  <c r="AC42" i="40"/>
  <c r="AB42" i="40"/>
  <c r="AH23" i="40"/>
  <c r="AH25" i="40" s="1"/>
  <c r="AH43" i="40"/>
  <c r="AH44" i="40" s="1"/>
  <c r="AM23" i="40"/>
  <c r="AM25" i="40" s="1"/>
  <c r="AM43" i="40"/>
  <c r="AU26" i="40"/>
  <c r="AU25" i="40"/>
  <c r="BE39" i="40"/>
  <c r="BC39" i="40"/>
  <c r="AG45" i="40"/>
  <c r="AK45" i="40"/>
  <c r="AK32" i="40"/>
  <c r="AQ32" i="40"/>
  <c r="AY35" i="40"/>
  <c r="AW35" i="40"/>
  <c r="AY39" i="40"/>
  <c r="AW39" i="40"/>
  <c r="AU70" i="40"/>
  <c r="BZ71" i="40"/>
  <c r="CA71" i="40" s="1"/>
  <c r="BY75" i="40"/>
  <c r="BY77" i="40" s="1"/>
  <c r="BX77" i="40"/>
  <c r="BL43" i="9"/>
  <c r="BO76" i="40"/>
  <c r="BI23" i="40"/>
  <c r="BI25" i="40" s="1"/>
  <c r="BO22" i="40"/>
  <c r="AW42" i="40"/>
  <c r="BC42" i="40"/>
  <c r="V61" i="40"/>
  <c r="Y71" i="40"/>
  <c r="X69" i="40"/>
  <c r="AW54" i="40"/>
  <c r="BE33" i="40"/>
  <c r="AK41" i="40"/>
  <c r="BE65" i="40"/>
  <c r="BF65" i="40" s="1"/>
  <c r="BG65" i="40" s="1"/>
  <c r="AK33" i="40"/>
  <c r="AV74" i="40"/>
  <c r="AA43" i="40"/>
  <c r="AA44" i="40" s="1"/>
  <c r="BI75" i="40"/>
  <c r="BI70" i="40"/>
  <c r="AK39" i="40"/>
  <c r="BF43" i="40"/>
  <c r="BF44" i="40" s="1"/>
  <c r="BO11" i="40"/>
  <c r="BQ11" i="40" s="1"/>
  <c r="BE37" i="40"/>
  <c r="BC31" i="40"/>
  <c r="AD23" i="40"/>
  <c r="AD43" i="40"/>
  <c r="AD44" i="40" s="1"/>
  <c r="AB23" i="40"/>
  <c r="BX88" i="40"/>
  <c r="AG65" i="40"/>
  <c r="AH65" i="40" s="1"/>
  <c r="AI65" i="40" s="1"/>
  <c r="AG37" i="40"/>
  <c r="BE41" i="40"/>
  <c r="BM70" i="40"/>
  <c r="BN70" i="40" s="1"/>
  <c r="AC69" i="40"/>
  <c r="AZ88" i="40"/>
  <c r="AM32" i="40"/>
  <c r="AV43" i="40"/>
  <c r="AV44" i="40" s="1"/>
  <c r="AE41" i="40"/>
  <c r="BA43" i="40"/>
  <c r="BA44" i="40" s="1"/>
  <c r="BC71" i="40"/>
  <c r="AE39" i="40"/>
  <c r="BO36" i="9"/>
  <c r="BB23" i="40"/>
  <c r="BC22" i="40"/>
  <c r="BC23" i="40" s="1"/>
  <c r="AM37" i="40"/>
  <c r="AK37" i="40"/>
  <c r="AS33" i="40"/>
  <c r="AW33" i="40"/>
  <c r="AS35" i="40"/>
  <c r="AQ35" i="40"/>
  <c r="AS45" i="40"/>
  <c r="AQ45" i="40"/>
  <c r="AY36" i="40"/>
  <c r="BC36" i="40"/>
  <c r="BG88" i="40"/>
  <c r="BH64" i="40"/>
  <c r="BH88" i="40" s="1"/>
  <c r="W70" i="40"/>
  <c r="V72" i="40"/>
  <c r="AI75" i="40"/>
  <c r="AH77" i="40"/>
  <c r="AP76" i="40"/>
  <c r="AQ76" i="40" s="1"/>
  <c r="W76" i="40"/>
  <c r="X76" i="40" s="1"/>
  <c r="BI33" i="40"/>
  <c r="BI35" i="40"/>
  <c r="BI37" i="40"/>
  <c r="BI39" i="40"/>
  <c r="BI41" i="40"/>
  <c r="AW36" i="40"/>
  <c r="W74" i="40"/>
  <c r="W77" i="40" s="1"/>
  <c r="CA36" i="9"/>
  <c r="BO10" i="40"/>
  <c r="BQ10" i="40" s="1"/>
  <c r="BR10" i="40" s="1"/>
  <c r="BS10" i="40" s="1"/>
  <c r="BT10" i="40" s="1"/>
  <c r="BU10" i="40" s="1"/>
  <c r="AH26" i="40"/>
  <c r="AW43" i="40"/>
  <c r="AQ23" i="40"/>
  <c r="AS43" i="40"/>
  <c r="AQ43" i="40"/>
  <c r="AA63" i="40"/>
  <c r="AB63" i="40" s="1"/>
  <c r="AC63" i="40" s="1"/>
  <c r="AD63" i="40" s="1"/>
  <c r="AE63" i="40"/>
  <c r="AK63" i="40" s="1"/>
  <c r="AQ63" i="40" s="1"/>
  <c r="BO31" i="10"/>
  <c r="AC26" i="40"/>
  <c r="AC25" i="40"/>
  <c r="AS26" i="40"/>
  <c r="AS25" i="40"/>
  <c r="K88" i="40"/>
  <c r="K75" i="40" s="1"/>
  <c r="K61" i="40"/>
  <c r="AC77" i="40"/>
  <c r="AD75" i="40"/>
  <c r="BB74" i="40"/>
  <c r="BA77" i="40"/>
  <c r="BZ76" i="40"/>
  <c r="CA76" i="40" s="1"/>
  <c r="BZ74" i="40"/>
  <c r="CA74" i="40" s="1"/>
  <c r="BI51" i="40"/>
  <c r="AD74" i="40"/>
  <c r="AE74" i="40" s="1"/>
  <c r="BI34" i="40"/>
  <c r="BI38" i="40"/>
  <c r="AN43" i="40"/>
  <c r="AN44" i="40" s="1"/>
  <c r="BA23" i="40"/>
  <c r="AG36" i="40"/>
  <c r="BI54" i="40"/>
  <c r="BG69" i="40"/>
  <c r="BM69" i="40"/>
  <c r="BN69" i="40" s="1"/>
  <c r="BS74" i="40"/>
  <c r="BG23" i="40"/>
  <c r="BG43" i="40"/>
  <c r="BG44" i="40" s="1"/>
  <c r="BO27" i="40"/>
  <c r="BQ27" i="40" s="1"/>
  <c r="BR27" i="40" s="1"/>
  <c r="BS27" i="40" s="1"/>
  <c r="BT27" i="40" s="1"/>
  <c r="BU27" i="40" s="1"/>
  <c r="BW27" i="40" s="1"/>
  <c r="BX27" i="40" s="1"/>
  <c r="BY27" i="40" s="1"/>
  <c r="BZ27" i="40" s="1"/>
  <c r="CA27" i="40" s="1"/>
  <c r="CC27" i="40" s="1"/>
  <c r="CD27" i="40" s="1"/>
  <c r="CE27" i="40" s="1"/>
  <c r="CF27" i="40" s="1"/>
  <c r="CG27" i="40" s="1"/>
  <c r="CI27" i="40" s="1"/>
  <c r="CJ27" i="40" s="1"/>
  <c r="CK27" i="40" s="1"/>
  <c r="CL27" i="40" s="1"/>
  <c r="CM27" i="40" s="1"/>
  <c r="P72" i="10"/>
  <c r="AJ32" i="13"/>
  <c r="AE72" i="13"/>
  <c r="Q72" i="10"/>
  <c r="X72" i="10"/>
  <c r="AN32" i="13"/>
  <c r="BI48" i="13"/>
  <c r="AO82" i="10"/>
  <c r="AN70" i="13"/>
  <c r="AN63" i="13"/>
  <c r="AT63" i="13"/>
  <c r="AI77" i="13"/>
  <c r="BI97" i="13"/>
  <c r="V94" i="11"/>
  <c r="AB94" i="11"/>
  <c r="R82" i="10"/>
  <c r="X63" i="13"/>
  <c r="R63" i="13"/>
  <c r="J71" i="10"/>
  <c r="X52" i="13"/>
  <c r="W22" i="13"/>
  <c r="W87" i="13"/>
  <c r="W52" i="13"/>
  <c r="AD22" i="13"/>
  <c r="AD52" i="13"/>
  <c r="AD87" i="13"/>
  <c r="Y18" i="13"/>
  <c r="AK18" i="13"/>
  <c r="AU82" i="10"/>
  <c r="BE63" i="13"/>
  <c r="M18" i="13"/>
  <c r="BC18" i="13"/>
  <c r="L82" i="10"/>
  <c r="L63" i="13"/>
  <c r="Q82" i="10"/>
  <c r="W63" i="13"/>
  <c r="Q63" i="13"/>
  <c r="Q22" i="13"/>
  <c r="AQ90" i="11"/>
  <c r="AQ61" i="13"/>
  <c r="AK61" i="13"/>
  <c r="AK47" i="13"/>
  <c r="AQ41" i="13"/>
  <c r="BC61" i="13"/>
  <c r="BC21" i="13"/>
  <c r="BC47" i="13"/>
  <c r="BC90" i="11"/>
  <c r="BI61" i="13"/>
  <c r="BI90" i="11"/>
  <c r="AI24" i="11"/>
  <c r="CR25" i="11" s="1"/>
  <c r="AC24" i="11"/>
  <c r="AC17" i="11"/>
  <c r="AJ17" i="11"/>
  <c r="AJ24" i="11"/>
  <c r="CS25" i="11" s="1"/>
  <c r="CS11" i="11"/>
  <c r="AM11" i="11"/>
  <c r="CV11" i="11"/>
  <c r="AO17" i="11"/>
  <c r="AS11" i="11"/>
  <c r="AW97" i="13"/>
  <c r="DC11" i="11"/>
  <c r="AZ17" i="11"/>
  <c r="BE24" i="11"/>
  <c r="DF25" i="11" s="1"/>
  <c r="DF11" i="11"/>
  <c r="D30" i="13"/>
  <c r="D32" i="13"/>
  <c r="D74" i="13"/>
  <c r="F73" i="13"/>
  <c r="F32" i="13" s="1"/>
  <c r="G71" i="13"/>
  <c r="I74" i="13"/>
  <c r="I32" i="13"/>
  <c r="I30" i="13"/>
  <c r="M73" i="13"/>
  <c r="M71" i="13"/>
  <c r="K32" i="13"/>
  <c r="L32" i="13"/>
  <c r="M72" i="13"/>
  <c r="S71" i="13"/>
  <c r="P73" i="13"/>
  <c r="Y71" i="13"/>
  <c r="U73" i="13"/>
  <c r="U32" i="13" s="1"/>
  <c r="Y72" i="13"/>
  <c r="X73" i="13"/>
  <c r="X30" i="13" s="1"/>
  <c r="AK71" i="13"/>
  <c r="AG32" i="13"/>
  <c r="AA73" i="13"/>
  <c r="AC73" i="13"/>
  <c r="AC30" i="13" s="1"/>
  <c r="L94" i="11"/>
  <c r="R94" i="11"/>
  <c r="X95" i="11"/>
  <c r="AD95" i="11"/>
  <c r="AC95" i="11"/>
  <c r="AI95" i="11"/>
  <c r="AN95" i="11"/>
  <c r="AP95" i="11"/>
  <c r="AM67" i="10"/>
  <c r="AV67" i="10"/>
  <c r="BY19" i="13"/>
  <c r="BX71" i="13"/>
  <c r="BG82" i="10"/>
  <c r="BG69" i="13"/>
  <c r="BG25" i="13" s="1"/>
  <c r="BG63" i="13"/>
  <c r="BF69" i="13"/>
  <c r="BF82" i="10"/>
  <c r="BE32" i="13"/>
  <c r="BI71" i="13"/>
  <c r="BE15" i="13"/>
  <c r="BE70" i="10"/>
  <c r="BE44" i="13"/>
  <c r="BE95" i="13" s="1"/>
  <c r="BE60" i="13"/>
  <c r="BE71" i="10"/>
  <c r="BA69" i="13"/>
  <c r="BA63" i="13"/>
  <c r="AZ82" i="10"/>
  <c r="AZ63" i="13"/>
  <c r="AY32" i="13"/>
  <c r="BC72" i="13"/>
  <c r="AY15" i="13"/>
  <c r="AY70" i="10"/>
  <c r="AY44" i="13"/>
  <c r="BC12" i="13"/>
  <c r="AY71" i="10"/>
  <c r="AY60" i="13"/>
  <c r="AU15" i="13"/>
  <c r="AU44" i="13"/>
  <c r="AU95" i="13" s="1"/>
  <c r="AU71" i="10"/>
  <c r="AU70" i="10"/>
  <c r="AT15" i="13"/>
  <c r="AT22" i="13" s="1"/>
  <c r="AT70" i="10"/>
  <c r="AT44" i="13"/>
  <c r="AT95" i="13" s="1"/>
  <c r="AT60" i="13"/>
  <c r="AT71" i="10"/>
  <c r="AQ72" i="13"/>
  <c r="AM32" i="13"/>
  <c r="AM44" i="13"/>
  <c r="AM60" i="13"/>
  <c r="AM71" i="10"/>
  <c r="AS60" i="13"/>
  <c r="AM70" i="10"/>
  <c r="AV12" i="13"/>
  <c r="BI12" i="13"/>
  <c r="BI15" i="13" s="1"/>
  <c r="BH94" i="11"/>
  <c r="BH82" i="10"/>
  <c r="R22" i="13"/>
  <c r="BA94" i="11"/>
  <c r="BC97" i="13"/>
  <c r="AB77" i="13"/>
  <c r="AM22" i="13"/>
  <c r="I63" i="13"/>
  <c r="BA95" i="11"/>
  <c r="AO24" i="11"/>
  <c r="CV25" i="11" s="1"/>
  <c r="AK72" i="13"/>
  <c r="AP24" i="11"/>
  <c r="CW25" i="11" s="1"/>
  <c r="J74" i="13"/>
  <c r="L74" i="13" s="1"/>
  <c r="O74" i="13" s="1"/>
  <c r="P74" i="13" s="1"/>
  <c r="Q74" i="13" s="1"/>
  <c r="R74" i="13" s="1"/>
  <c r="J30" i="13"/>
  <c r="J32" i="13"/>
  <c r="AM95" i="11"/>
  <c r="AG95" i="11"/>
  <c r="AK90" i="11"/>
  <c r="AE61" i="13"/>
  <c r="BF63" i="13"/>
  <c r="AU60" i="13"/>
  <c r="X87" i="13"/>
  <c r="BA60" i="13"/>
  <c r="BI21" i="13"/>
  <c r="BI82" i="10" s="1"/>
  <c r="AQ98" i="13"/>
  <c r="AW21" i="13"/>
  <c r="AW82" i="10" s="1"/>
  <c r="AV95" i="11"/>
  <c r="BB95" i="11"/>
  <c r="F77" i="13"/>
  <c r="K95" i="11"/>
  <c r="Q95" i="11"/>
  <c r="D77" i="13"/>
  <c r="I77" i="13"/>
  <c r="AQ48" i="13"/>
  <c r="BC48" i="13"/>
  <c r="AT94" i="11"/>
  <c r="BB94" i="11"/>
  <c r="V82" i="10"/>
  <c r="V15" i="13"/>
  <c r="V52" i="13" s="1"/>
  <c r="V44" i="13"/>
  <c r="AA60" i="13"/>
  <c r="AC15" i="13"/>
  <c r="AC70" i="10"/>
  <c r="AI44" i="13"/>
  <c r="AW100" i="13"/>
  <c r="AQ83" i="10"/>
  <c r="AQ148" i="12"/>
  <c r="AQ136" i="10"/>
  <c r="AS67" i="10"/>
  <c r="BF94" i="11"/>
  <c r="AW57" i="13"/>
  <c r="AW11" i="11" s="1"/>
  <c r="BH22" i="13"/>
  <c r="BI57" i="13"/>
  <c r="BI11" i="11" s="1"/>
  <c r="BI136" i="10"/>
  <c r="DI11" i="11"/>
  <c r="BH17" i="11"/>
  <c r="BI47" i="13"/>
  <c r="BH52" i="13"/>
  <c r="BH24" i="11"/>
  <c r="DI25" i="11" s="1"/>
  <c r="M61" i="13"/>
  <c r="M90" i="11"/>
  <c r="M95" i="11" s="1"/>
  <c r="AA82" i="10"/>
  <c r="AA70" i="13"/>
  <c r="AA63" i="13"/>
  <c r="AU24" i="11"/>
  <c r="CZ25" i="11" s="1"/>
  <c r="CZ11" i="11"/>
  <c r="AU17" i="11"/>
  <c r="AA94" i="11"/>
  <c r="BB24" i="11"/>
  <c r="DE25" i="11" s="1"/>
  <c r="AV24" i="11"/>
  <c r="DA25" i="11" s="1"/>
  <c r="BO72" i="13"/>
  <c r="AV94" i="11"/>
  <c r="AH95" i="11"/>
  <c r="I60" i="13"/>
  <c r="AQ97" i="13"/>
  <c r="BI83" i="10"/>
  <c r="BI148" i="12"/>
  <c r="AN17" i="11"/>
  <c r="CU11" i="11"/>
  <c r="BG17" i="11"/>
  <c r="BG24" i="11"/>
  <c r="DH25" i="11" s="1"/>
  <c r="DH11" i="11"/>
  <c r="DB11" i="11"/>
  <c r="BA98" i="13"/>
  <c r="BA17" i="11"/>
  <c r="DD11" i="11"/>
  <c r="BA24" i="11"/>
  <c r="DD25" i="11" s="1"/>
  <c r="DG11" i="11"/>
  <c r="BF24" i="11"/>
  <c r="DG25" i="11" s="1"/>
  <c r="BF17" i="11"/>
  <c r="O72" i="10"/>
  <c r="BS45" i="11"/>
  <c r="M76" i="12"/>
  <c r="AN16" i="12"/>
  <c r="AC77" i="11"/>
  <c r="AQ10" i="12"/>
  <c r="AV128" i="12"/>
  <c r="BA76" i="12"/>
  <c r="BA16" i="12"/>
  <c r="C64" i="12"/>
  <c r="F14" i="12"/>
  <c r="U35" i="11"/>
  <c r="K82" i="12"/>
  <c r="K83" i="12"/>
  <c r="AS86" i="12"/>
  <c r="AS11" i="13"/>
  <c r="AU85" i="12"/>
  <c r="AZ76" i="12"/>
  <c r="AZ16" i="12"/>
  <c r="W60" i="11"/>
  <c r="W32" i="11"/>
  <c r="AC35" i="11"/>
  <c r="AC63" i="11"/>
  <c r="AA36" i="11"/>
  <c r="J49" i="12"/>
  <c r="J55" i="12"/>
  <c r="D70" i="12"/>
  <c r="Q65" i="12"/>
  <c r="Q66" i="12" s="1"/>
  <c r="J68" i="12"/>
  <c r="J69" i="12" s="1"/>
  <c r="V65" i="12"/>
  <c r="V66" i="12" s="1"/>
  <c r="BO40" i="11"/>
  <c r="AN76" i="12"/>
  <c r="AZ84" i="12"/>
  <c r="AZ130" i="12"/>
  <c r="S125" i="12"/>
  <c r="J135" i="12"/>
  <c r="AH20" i="11"/>
  <c r="CQ21" i="11" s="1"/>
  <c r="AM45" i="11"/>
  <c r="BQ45" i="11"/>
  <c r="BA108" i="11"/>
  <c r="BF112" i="11"/>
  <c r="R78" i="11"/>
  <c r="BH110" i="11"/>
  <c r="BQ36" i="11"/>
  <c r="BQ33" i="11" s="1"/>
  <c r="DH47" i="11"/>
  <c r="AW68" i="12"/>
  <c r="AM83" i="11"/>
  <c r="P81" i="10"/>
  <c r="P46" i="13"/>
  <c r="AI36" i="11"/>
  <c r="BG110" i="11"/>
  <c r="DD36" i="11"/>
  <c r="AY46" i="13"/>
  <c r="AY81" i="10"/>
  <c r="AM58" i="13"/>
  <c r="AG45" i="13"/>
  <c r="Y15" i="12"/>
  <c r="X67" i="12"/>
  <c r="AS85" i="12"/>
  <c r="AS16" i="12"/>
  <c r="AS129" i="12"/>
  <c r="AS130" i="12"/>
  <c r="AS84" i="12"/>
  <c r="AY118" i="12"/>
  <c r="AY119" i="12" s="1"/>
  <c r="O61" i="12"/>
  <c r="O134" i="12"/>
  <c r="U128" i="12"/>
  <c r="O67" i="12"/>
  <c r="R15" i="12"/>
  <c r="AA127" i="12"/>
  <c r="X11" i="12"/>
  <c r="Y11" i="12" s="1"/>
  <c r="U127" i="12"/>
  <c r="AA7" i="11"/>
  <c r="U9" i="12"/>
  <c r="U13" i="12"/>
  <c r="U64" i="12"/>
  <c r="AE10" i="12"/>
  <c r="AD133" i="12"/>
  <c r="AJ7" i="11"/>
  <c r="S22" i="12"/>
  <c r="S23" i="12" s="1"/>
  <c r="BI100" i="11"/>
  <c r="BO107" i="11" s="1"/>
  <c r="K60" i="11"/>
  <c r="R34" i="11"/>
  <c r="R35" i="11"/>
  <c r="S27" i="12"/>
  <c r="W36" i="11"/>
  <c r="AB36" i="11"/>
  <c r="AO68" i="12"/>
  <c r="AO69" i="12" s="1"/>
  <c r="Q67" i="11"/>
  <c r="AC135" i="12"/>
  <c r="BI142" i="12"/>
  <c r="AJ147" i="12"/>
  <c r="AJ142" i="12"/>
  <c r="Q58" i="11"/>
  <c r="AM48" i="11"/>
  <c r="AS45" i="11"/>
  <c r="AU47" i="11"/>
  <c r="AS48" i="11"/>
  <c r="BF45" i="11"/>
  <c r="BF52" i="11"/>
  <c r="BL52" i="11"/>
  <c r="BM51" i="11"/>
  <c r="I76" i="11"/>
  <c r="K76" i="11"/>
  <c r="M77" i="11"/>
  <c r="J80" i="11"/>
  <c r="CZ37" i="11"/>
  <c r="AU111" i="11"/>
  <c r="DC33" i="11"/>
  <c r="BF107" i="11"/>
  <c r="BG109" i="11"/>
  <c r="DD35" i="11"/>
  <c r="AB21" i="12"/>
  <c r="V122" i="12"/>
  <c r="V78" i="12"/>
  <c r="BE68" i="11"/>
  <c r="AY61" i="12"/>
  <c r="O49" i="12"/>
  <c r="O55" i="12"/>
  <c r="AA21" i="12"/>
  <c r="Y21" i="12"/>
  <c r="BC10" i="12"/>
  <c r="AV67" i="12"/>
  <c r="AV134" i="12"/>
  <c r="R11" i="12"/>
  <c r="O9" i="12"/>
  <c r="D16" i="12"/>
  <c r="P68" i="12"/>
  <c r="P69" i="12" s="1"/>
  <c r="BF111" i="11"/>
  <c r="DC37" i="11"/>
  <c r="DF35" i="11"/>
  <c r="BI102" i="11"/>
  <c r="BO109" i="11" s="1"/>
  <c r="BI104" i="11"/>
  <c r="BO111" i="11" s="1"/>
  <c r="BC142" i="12"/>
  <c r="DF36" i="11"/>
  <c r="DJ49" i="11" s="1"/>
  <c r="BI103" i="11"/>
  <c r="BO110" i="11" s="1"/>
  <c r="BE112" i="11"/>
  <c r="BG112" i="11"/>
  <c r="BH112" i="11"/>
  <c r="BC51" i="40"/>
  <c r="AU67" i="10"/>
  <c r="I65" i="10"/>
  <c r="I64" i="10"/>
  <c r="I34" i="10"/>
  <c r="I62" i="10"/>
  <c r="AC50" i="40"/>
  <c r="AC51" i="40" s="1"/>
  <c r="AB47" i="10"/>
  <c r="Q62" i="10"/>
  <c r="L47" i="10"/>
  <c r="Q63" i="10"/>
  <c r="Q64" i="10"/>
  <c r="AN47" i="10"/>
  <c r="AQ152" i="10"/>
  <c r="AS47" i="10"/>
  <c r="AP125" i="10"/>
  <c r="AT125" i="10"/>
  <c r="BB125" i="10"/>
  <c r="J148" i="10"/>
  <c r="AA148" i="10"/>
  <c r="AM148" i="10"/>
  <c r="AS153" i="10"/>
  <c r="AS155" i="10" s="1"/>
  <c r="AT156" i="10" s="1"/>
  <c r="BX14" i="9"/>
  <c r="BX24" i="13" s="1"/>
  <c r="BF153" i="10"/>
  <c r="BE64" i="10"/>
  <c r="AC125" i="10"/>
  <c r="L148" i="10"/>
  <c r="BF148" i="10"/>
  <c r="AQ10" i="10"/>
  <c r="Q125" i="10"/>
  <c r="BI87" i="10"/>
  <c r="BI69" i="10"/>
  <c r="R124" i="10"/>
  <c r="R125" i="10" s="1"/>
  <c r="AD123" i="10"/>
  <c r="P125" i="10"/>
  <c r="AO125" i="10"/>
  <c r="BG59" i="10"/>
  <c r="S37" i="9"/>
  <c r="AD12" i="9"/>
  <c r="AE12" i="9" s="1"/>
  <c r="G76" i="10"/>
  <c r="G54" i="9"/>
  <c r="O47" i="9"/>
  <c r="W81" i="9"/>
  <c r="AM81" i="9"/>
  <c r="AM78" i="9"/>
  <c r="AT81" i="9"/>
  <c r="AY78" i="9"/>
  <c r="BH20" i="9"/>
  <c r="BI20" i="9" s="1"/>
  <c r="BB66" i="9"/>
  <c r="BC66" i="9" s="1"/>
  <c r="BA28" i="9"/>
  <c r="AU28" i="9"/>
  <c r="AO28" i="9"/>
  <c r="AI28" i="9"/>
  <c r="AC28" i="9"/>
  <c r="M20" i="9"/>
  <c r="M36" i="9"/>
  <c r="AW37" i="9"/>
  <c r="M29" i="9"/>
  <c r="AE18" i="9"/>
  <c r="AW23" i="9"/>
  <c r="AA26" i="13"/>
  <c r="L65" i="9"/>
  <c r="BH11" i="9"/>
  <c r="BI11" i="9" s="1"/>
  <c r="BH12" i="9"/>
  <c r="BI12" i="9" s="1"/>
  <c r="BH16" i="9"/>
  <c r="BI16" i="9" s="1"/>
  <c r="BH18" i="9"/>
  <c r="BI18" i="9" s="1"/>
  <c r="BH19" i="9"/>
  <c r="BH21" i="9"/>
  <c r="BI21" i="9" s="1"/>
  <c r="BH22" i="9"/>
  <c r="BH23" i="9"/>
  <c r="BI23" i="9" s="1"/>
  <c r="BH24" i="9"/>
  <c r="BI24" i="9" s="1"/>
  <c r="BH29" i="9"/>
  <c r="BI29" i="9" s="1"/>
  <c r="BH30" i="9"/>
  <c r="BI30" i="9" s="1"/>
  <c r="BH32" i="9"/>
  <c r="BI32" i="9" s="1"/>
  <c r="BH36" i="9"/>
  <c r="BH37" i="9"/>
  <c r="BI37" i="9" s="1"/>
  <c r="BH38" i="9"/>
  <c r="BI38" i="9" s="1"/>
  <c r="BH42" i="9"/>
  <c r="BI42" i="9" s="1"/>
  <c r="BH39" i="9"/>
  <c r="BI39" i="9" s="1"/>
  <c r="BH41" i="9"/>
  <c r="BI41" i="9" s="1"/>
  <c r="BH45" i="9"/>
  <c r="BI45" i="9" s="1"/>
  <c r="L64" i="9"/>
  <c r="BH65" i="9"/>
  <c r="BH66" i="9"/>
  <c r="BH14" i="9"/>
  <c r="BH13" i="9"/>
  <c r="AK66" i="40"/>
  <c r="AJ71" i="40"/>
  <c r="AK71" i="40" s="1"/>
  <c r="AJ69" i="40"/>
  <c r="BZ70" i="40"/>
  <c r="CA70" i="40" s="1"/>
  <c r="BE43" i="40"/>
  <c r="BR77" i="40"/>
  <c r="BH26" i="40"/>
  <c r="BL152" i="10"/>
  <c r="BQ31" i="10"/>
  <c r="BK146" i="10"/>
  <c r="BQ35" i="10"/>
  <c r="BQ36" i="10"/>
  <c r="BR36" i="10" s="1"/>
  <c r="BS36" i="10" s="1"/>
  <c r="BT36" i="10" s="1"/>
  <c r="BO36" i="10"/>
  <c r="BH147" i="10"/>
  <c r="BL90" i="10"/>
  <c r="BQ40" i="10"/>
  <c r="BR40" i="10" s="1"/>
  <c r="BS40" i="10" s="1"/>
  <c r="BT40" i="10" s="1"/>
  <c r="BO40" i="10"/>
  <c r="BI151" i="10"/>
  <c r="BH134" i="12"/>
  <c r="BH128" i="12"/>
  <c r="BI12" i="12"/>
  <c r="BH10" i="12"/>
  <c r="BC47" i="11"/>
  <c r="O41" i="12"/>
  <c r="O81" i="12"/>
  <c r="BC69" i="11"/>
  <c r="AH83" i="12"/>
  <c r="AH82" i="12"/>
  <c r="AK10" i="12"/>
  <c r="AJ58" i="12"/>
  <c r="AK12" i="12"/>
  <c r="AJ67" i="12"/>
  <c r="M125" i="12"/>
  <c r="AO83" i="11"/>
  <c r="K129" i="12"/>
  <c r="AK15" i="12"/>
  <c r="AJ121" i="12"/>
  <c r="AN84" i="12"/>
  <c r="V86" i="12"/>
  <c r="K84" i="12"/>
  <c r="AK35" i="11"/>
  <c r="AP8" i="11"/>
  <c r="AK63" i="11"/>
  <c r="AH120" i="12"/>
  <c r="AH10" i="13"/>
  <c r="G76" i="12"/>
  <c r="AQ12" i="12"/>
  <c r="AP58" i="12"/>
  <c r="AT120" i="12"/>
  <c r="W11" i="13"/>
  <c r="W86" i="12"/>
  <c r="AG85" i="12"/>
  <c r="AG11" i="13"/>
  <c r="AM129" i="12"/>
  <c r="O8" i="12"/>
  <c r="J8" i="12"/>
  <c r="K8" i="12" s="1"/>
  <c r="L8" i="12" s="1"/>
  <c r="O128" i="12"/>
  <c r="R12" i="12"/>
  <c r="U133" i="12"/>
  <c r="BI35" i="11"/>
  <c r="P53" i="12"/>
  <c r="P54" i="12" s="1"/>
  <c r="BH96" i="13"/>
  <c r="BH102" i="13"/>
  <c r="AA17" i="11"/>
  <c r="AA24" i="11"/>
  <c r="AT24" i="11"/>
  <c r="CY25" i="11" s="1"/>
  <c r="CY11" i="11"/>
  <c r="AT17" i="11"/>
  <c r="V30" i="13"/>
  <c r="V32" i="13"/>
  <c r="AG24" i="11"/>
  <c r="CP25" i="11" s="1"/>
  <c r="CP11" i="11"/>
  <c r="AG17" i="11"/>
  <c r="R95" i="11"/>
  <c r="BT105" i="10"/>
  <c r="BH80" i="9"/>
  <c r="BH81" i="9" s="1"/>
  <c r="BL39" i="13"/>
  <c r="BI60" i="9"/>
  <c r="BH39" i="13"/>
  <c r="K79" i="9" l="1"/>
  <c r="K78" i="9" s="1"/>
  <c r="R14" i="9"/>
  <c r="R24" i="13" s="1"/>
  <c r="BH64" i="9"/>
  <c r="BM73" i="9"/>
  <c r="BG63" i="10"/>
  <c r="R48" i="10"/>
  <c r="S182" i="10"/>
  <c r="BG62" i="10"/>
  <c r="BG65" i="10"/>
  <c r="K42" i="10"/>
  <c r="BE43" i="10"/>
  <c r="AY94" i="11"/>
  <c r="BO170" i="10"/>
  <c r="AD155" i="10"/>
  <c r="BE155" i="10"/>
  <c r="BF156" i="10" s="1"/>
  <c r="BB48" i="10"/>
  <c r="AZ65" i="10"/>
  <c r="AQ50" i="40"/>
  <c r="AQ52" i="40" s="1"/>
  <c r="AD121" i="12"/>
  <c r="J60" i="13"/>
  <c r="P60" i="13"/>
  <c r="BH32" i="13"/>
  <c r="P82" i="10"/>
  <c r="J70" i="10"/>
  <c r="S18" i="13"/>
  <c r="P22" i="13"/>
  <c r="M12" i="13"/>
  <c r="M71" i="10" s="1"/>
  <c r="Y48" i="13"/>
  <c r="P94" i="11"/>
  <c r="BC62" i="13"/>
  <c r="P95" i="11"/>
  <c r="E70" i="13"/>
  <c r="AE89" i="11"/>
  <c r="AQ31" i="9"/>
  <c r="I75" i="11"/>
  <c r="BO107" i="12"/>
  <c r="S10" i="12"/>
  <c r="S78" i="12" s="1"/>
  <c r="AV32" i="13"/>
  <c r="D70" i="13"/>
  <c r="K63" i="13"/>
  <c r="J77" i="13"/>
  <c r="AQ18" i="13"/>
  <c r="BG97" i="10"/>
  <c r="BG98" i="10" s="1"/>
  <c r="V63" i="13"/>
  <c r="C77" i="13"/>
  <c r="CD69" i="10"/>
  <c r="CJ69" i="10" s="1"/>
  <c r="CF71" i="10"/>
  <c r="CL71" i="10" s="1"/>
  <c r="CF70" i="10"/>
  <c r="CL70" i="10" s="1"/>
  <c r="BB17" i="9"/>
  <c r="AV63" i="13"/>
  <c r="E30" i="13"/>
  <c r="AW18" i="13"/>
  <c r="AS99" i="13"/>
  <c r="K77" i="13"/>
  <c r="K138" i="10" s="1"/>
  <c r="E74" i="13"/>
  <c r="AY63" i="13"/>
  <c r="AW98" i="13"/>
  <c r="AP63" i="13"/>
  <c r="AW62" i="13"/>
  <c r="AP94" i="11"/>
  <c r="S138" i="10"/>
  <c r="AC94" i="11"/>
  <c r="AW48" i="13"/>
  <c r="M163" i="10"/>
  <c r="AO48" i="10"/>
  <c r="P63" i="13"/>
  <c r="AY99" i="13"/>
  <c r="BA94" i="13"/>
  <c r="AO153" i="12"/>
  <c r="M151" i="12"/>
  <c r="AT151" i="12"/>
  <c r="AG155" i="12"/>
  <c r="D156" i="12"/>
  <c r="AN87" i="12"/>
  <c r="AN88" i="12" s="1"/>
  <c r="G155" i="12"/>
  <c r="AI156" i="12"/>
  <c r="AU156" i="12"/>
  <c r="AY154" i="12"/>
  <c r="AH151" i="12"/>
  <c r="AT65" i="10"/>
  <c r="AT64" i="10"/>
  <c r="M34" i="10"/>
  <c r="DI10" i="11"/>
  <c r="BS64" i="9"/>
  <c r="BY64" i="9" s="1"/>
  <c r="CE64" i="9" s="1"/>
  <c r="CK64" i="9" s="1"/>
  <c r="U41" i="11"/>
  <c r="BC89" i="11"/>
  <c r="BI94" i="11" s="1"/>
  <c r="AP82" i="10"/>
  <c r="W41" i="11"/>
  <c r="BI18" i="13"/>
  <c r="J63" i="13"/>
  <c r="Y89" i="11"/>
  <c r="Y94" i="11" s="1"/>
  <c r="AE62" i="13"/>
  <c r="Y62" i="13"/>
  <c r="AS82" i="10"/>
  <c r="W70" i="11"/>
  <c r="BC21" i="10"/>
  <c r="AE62" i="10"/>
  <c r="Y63" i="10"/>
  <c r="AY48" i="10"/>
  <c r="M148" i="10"/>
  <c r="AB155" i="10"/>
  <c r="AC156" i="10" s="1"/>
  <c r="BQ16" i="40"/>
  <c r="BR16" i="40" s="1"/>
  <c r="BS16" i="40" s="1"/>
  <c r="BT16" i="40" s="1"/>
  <c r="BU16" i="40" s="1"/>
  <c r="BW16" i="40" s="1"/>
  <c r="BX16" i="40" s="1"/>
  <c r="BY16" i="40" s="1"/>
  <c r="BZ16" i="40" s="1"/>
  <c r="CA16" i="40" s="1"/>
  <c r="BS88" i="40"/>
  <c r="BO35" i="10"/>
  <c r="BO175" i="10" s="1"/>
  <c r="AK34" i="10"/>
  <c r="AC155" i="10"/>
  <c r="AD156" i="10" s="1"/>
  <c r="BB43" i="10"/>
  <c r="AE34" i="10"/>
  <c r="AE65" i="10"/>
  <c r="AM48" i="10"/>
  <c r="L42" i="10"/>
  <c r="AV48" i="10"/>
  <c r="BB31" i="9"/>
  <c r="AW26" i="11"/>
  <c r="Y17" i="11"/>
  <c r="V41" i="11"/>
  <c r="X41" i="11"/>
  <c r="AD41" i="11"/>
  <c r="CD70" i="10"/>
  <c r="CJ70" i="10" s="1"/>
  <c r="R72" i="10"/>
  <c r="BR31" i="10"/>
  <c r="BQ170" i="10"/>
  <c r="BM171" i="10"/>
  <c r="BN170" i="10"/>
  <c r="I138" i="10"/>
  <c r="I163" i="10"/>
  <c r="AB138" i="10"/>
  <c r="AB163" i="10"/>
  <c r="O138" i="10"/>
  <c r="O163" i="10"/>
  <c r="X138" i="10"/>
  <c r="X163" i="10"/>
  <c r="U138" i="10"/>
  <c r="U163" i="10"/>
  <c r="W138" i="10"/>
  <c r="W163" i="10"/>
  <c r="BX138" i="10"/>
  <c r="BX163" i="10"/>
  <c r="BT138" i="10"/>
  <c r="BT163" i="10"/>
  <c r="Q138" i="10"/>
  <c r="Q163" i="10"/>
  <c r="AI138" i="10"/>
  <c r="AI163" i="10"/>
  <c r="AA138" i="10"/>
  <c r="AA163" i="10"/>
  <c r="L138" i="10"/>
  <c r="L163" i="10"/>
  <c r="R138" i="10"/>
  <c r="R163" i="10"/>
  <c r="AH138" i="10"/>
  <c r="AH163" i="10"/>
  <c r="J138" i="10"/>
  <c r="J163" i="10"/>
  <c r="P138" i="10"/>
  <c r="P163" i="10"/>
  <c r="AC138" i="10"/>
  <c r="AC163" i="10"/>
  <c r="V138" i="10"/>
  <c r="V163" i="10"/>
  <c r="BZ138" i="10"/>
  <c r="BZ163" i="10"/>
  <c r="O155" i="10"/>
  <c r="P156" i="10" s="1"/>
  <c r="AE47" i="10"/>
  <c r="AE48" i="10" s="1"/>
  <c r="BC183" i="10"/>
  <c r="AI183" i="10"/>
  <c r="AI182" i="10"/>
  <c r="AK183" i="10"/>
  <c r="AE183" i="10"/>
  <c r="BC182" i="10"/>
  <c r="BR35" i="10"/>
  <c r="BQ175" i="10"/>
  <c r="I155" i="10"/>
  <c r="AN65" i="10"/>
  <c r="AN62" i="10"/>
  <c r="Y50" i="40"/>
  <c r="Y51" i="40" s="1"/>
  <c r="AE59" i="10"/>
  <c r="BC62" i="10"/>
  <c r="AE21" i="10"/>
  <c r="AH48" i="10"/>
  <c r="AQ176" i="10"/>
  <c r="Y183" i="10"/>
  <c r="Y182" i="10"/>
  <c r="BB182" i="10"/>
  <c r="BB183" i="10"/>
  <c r="M183" i="10"/>
  <c r="M182" i="10"/>
  <c r="AT42" i="10"/>
  <c r="AT43" i="10" s="1"/>
  <c r="AE155" i="10"/>
  <c r="AK156" i="10" s="1"/>
  <c r="AM155" i="10"/>
  <c r="AN156" i="10" s="1"/>
  <c r="S69" i="10"/>
  <c r="S72" i="10" s="1"/>
  <c r="AY155" i="10"/>
  <c r="AZ156" i="10" s="1"/>
  <c r="P62" i="10"/>
  <c r="K43" i="10"/>
  <c r="P64" i="10"/>
  <c r="Y34" i="10"/>
  <c r="U72" i="10"/>
  <c r="AT62" i="10"/>
  <c r="Y21" i="10"/>
  <c r="AV62" i="10"/>
  <c r="AA51" i="40"/>
  <c r="AE51" i="40" s="1"/>
  <c r="AE50" i="40"/>
  <c r="BQ32" i="10"/>
  <c r="AY24" i="11"/>
  <c r="DB25" i="11" s="1"/>
  <c r="AI41" i="11"/>
  <c r="AV41" i="11"/>
  <c r="BI99" i="13"/>
  <c r="AD27" i="11"/>
  <c r="AN72" i="10"/>
  <c r="AQ17" i="11"/>
  <c r="CW17" i="11"/>
  <c r="BC148" i="10"/>
  <c r="M125" i="10"/>
  <c r="M126" i="10" s="1"/>
  <c r="AG155" i="10"/>
  <c r="AH156" i="10" s="1"/>
  <c r="AN155" i="10"/>
  <c r="AO156" i="10" s="1"/>
  <c r="P65" i="10"/>
  <c r="Y65" i="10"/>
  <c r="S47" i="10"/>
  <c r="S48" i="10" s="1"/>
  <c r="AN64" i="10"/>
  <c r="AI42" i="10"/>
  <c r="AI43" i="10" s="1"/>
  <c r="AH34" i="10"/>
  <c r="AH42" i="10" s="1"/>
  <c r="AH43" i="10" s="1"/>
  <c r="M64" i="10"/>
  <c r="AH63" i="10"/>
  <c r="BC153" i="10"/>
  <c r="AH65" i="10"/>
  <c r="Q65" i="10"/>
  <c r="AI59" i="10"/>
  <c r="AH62" i="10"/>
  <c r="AK59" i="10"/>
  <c r="Y62" i="10"/>
  <c r="AY50" i="40"/>
  <c r="AN63" i="10"/>
  <c r="AN34" i="10"/>
  <c r="AP42" i="10"/>
  <c r="AP43" i="10" s="1"/>
  <c r="BL72" i="10"/>
  <c r="AV65" i="10"/>
  <c r="AV34" i="10"/>
  <c r="AV64" i="10"/>
  <c r="BG85" i="12"/>
  <c r="AC66" i="11"/>
  <c r="AB83" i="11"/>
  <c r="AC39" i="11"/>
  <c r="AJ10" i="13"/>
  <c r="AK10" i="13" s="1"/>
  <c r="AG150" i="12"/>
  <c r="BI109" i="12"/>
  <c r="AQ99" i="13"/>
  <c r="CE69" i="10"/>
  <c r="CA34" i="12"/>
  <c r="AU24" i="13"/>
  <c r="BA99" i="13"/>
  <c r="AQ59" i="10"/>
  <c r="Y64" i="10"/>
  <c r="R42" i="10"/>
  <c r="R43" i="10" s="1"/>
  <c r="AA84" i="40"/>
  <c r="AA92" i="40" s="1"/>
  <c r="J155" i="10"/>
  <c r="AG47" i="9"/>
  <c r="AG75" i="10" s="1"/>
  <c r="AV13" i="9"/>
  <c r="AV104" i="10" s="1"/>
  <c r="K43" i="9"/>
  <c r="AK31" i="9"/>
  <c r="AG156" i="12"/>
  <c r="AG153" i="12"/>
  <c r="BC107" i="12"/>
  <c r="BC108" i="12"/>
  <c r="AG154" i="12"/>
  <c r="AG157" i="12"/>
  <c r="AG151" i="12"/>
  <c r="AP22" i="13"/>
  <c r="AP49" i="13" s="1"/>
  <c r="BQ12" i="40"/>
  <c r="BR12" i="40" s="1"/>
  <c r="BS12" i="40" s="1"/>
  <c r="BT12" i="40" s="1"/>
  <c r="BU12" i="40" s="1"/>
  <c r="BU33" i="40" s="1"/>
  <c r="BQ20" i="40"/>
  <c r="BR20" i="40" s="1"/>
  <c r="BS20" i="40" s="1"/>
  <c r="BT20" i="40" s="1"/>
  <c r="BU20" i="40" s="1"/>
  <c r="BW20" i="40" s="1"/>
  <c r="BX20" i="40" s="1"/>
  <c r="BY20" i="40" s="1"/>
  <c r="BZ20" i="40" s="1"/>
  <c r="CA20" i="40" s="1"/>
  <c r="BQ18" i="40"/>
  <c r="BR18" i="40" s="1"/>
  <c r="BS18" i="40" s="1"/>
  <c r="BT18" i="40" s="1"/>
  <c r="BU18" i="40" s="1"/>
  <c r="BW18" i="40" s="1"/>
  <c r="BX18" i="40" s="1"/>
  <c r="BY18" i="40" s="1"/>
  <c r="BZ18" i="40" s="1"/>
  <c r="CA18" i="40" s="1"/>
  <c r="AW25" i="40"/>
  <c r="I77" i="10"/>
  <c r="AU79" i="9"/>
  <c r="AU78" i="9" s="1"/>
  <c r="AS48" i="10"/>
  <c r="BG155" i="10"/>
  <c r="BH156" i="10" s="1"/>
  <c r="AJ48" i="10"/>
  <c r="P155" i="10"/>
  <c r="Q156" i="10" s="1"/>
  <c r="G155" i="10"/>
  <c r="K48" i="10"/>
  <c r="S62" i="10"/>
  <c r="AP48" i="10"/>
  <c r="AK48" i="10"/>
  <c r="Q48" i="10"/>
  <c r="J48" i="10"/>
  <c r="BG48" i="10"/>
  <c r="AY42" i="10"/>
  <c r="AY43" i="10" s="1"/>
  <c r="AN48" i="10"/>
  <c r="L48" i="10"/>
  <c r="U48" i="10"/>
  <c r="AA48" i="10"/>
  <c r="O48" i="10"/>
  <c r="V48" i="10"/>
  <c r="AG48" i="10"/>
  <c r="X48" i="10"/>
  <c r="P48" i="10"/>
  <c r="I48" i="10"/>
  <c r="U42" i="10"/>
  <c r="U43" i="10" s="1"/>
  <c r="BG86" i="12"/>
  <c r="S22" i="13"/>
  <c r="AP44" i="13"/>
  <c r="AP95" i="13" s="1"/>
  <c r="BY77" i="13"/>
  <c r="AO94" i="11"/>
  <c r="R32" i="13"/>
  <c r="M63" i="13"/>
  <c r="AA87" i="13"/>
  <c r="AO157" i="12"/>
  <c r="BI14" i="12"/>
  <c r="BI64" i="12" s="1"/>
  <c r="BO66" i="11" s="1"/>
  <c r="AQ101" i="12"/>
  <c r="S63" i="11"/>
  <c r="BI110" i="12"/>
  <c r="M157" i="12"/>
  <c r="S35" i="11"/>
  <c r="Y48" i="11" s="1"/>
  <c r="BF77" i="12"/>
  <c r="X121" i="12"/>
  <c r="AM17" i="12"/>
  <c r="S62" i="11"/>
  <c r="V47" i="11"/>
  <c r="P71" i="12"/>
  <c r="P72" i="12" s="1"/>
  <c r="BG8" i="11"/>
  <c r="DH8" i="11" s="1"/>
  <c r="S82" i="10"/>
  <c r="J94" i="11"/>
  <c r="Y63" i="13"/>
  <c r="AE7" i="40"/>
  <c r="AS96" i="13"/>
  <c r="AO96" i="13"/>
  <c r="BF102" i="13"/>
  <c r="BG102" i="13"/>
  <c r="BG103" i="13" s="1"/>
  <c r="AN96" i="13"/>
  <c r="BG72" i="10"/>
  <c r="CE71" i="10"/>
  <c r="CK71" i="10" s="1"/>
  <c r="DH10" i="11"/>
  <c r="BS77" i="13"/>
  <c r="S65" i="10"/>
  <c r="AJ42" i="10"/>
  <c r="AJ43" i="10" s="1"/>
  <c r="AK63" i="10"/>
  <c r="AK64" i="10"/>
  <c r="AQ153" i="10"/>
  <c r="Y153" i="10"/>
  <c r="Y155" i="10" s="1"/>
  <c r="AA156" i="10" s="1"/>
  <c r="S153" i="10"/>
  <c r="S155" i="10" s="1"/>
  <c r="AC42" i="10"/>
  <c r="AC43" i="10" s="1"/>
  <c r="X42" i="10"/>
  <c r="X43" i="10" s="1"/>
  <c r="AB42" i="10"/>
  <c r="AB43" i="10" s="1"/>
  <c r="AE64" i="10"/>
  <c r="AG84" i="40"/>
  <c r="AG92" i="40" s="1"/>
  <c r="AE63" i="10"/>
  <c r="AG50" i="40"/>
  <c r="AD17" i="9"/>
  <c r="AI69" i="13"/>
  <c r="AI25" i="13" s="1"/>
  <c r="Y38" i="9"/>
  <c r="Y75" i="9" s="1"/>
  <c r="AH26" i="13"/>
  <c r="AU69" i="13"/>
  <c r="AU25" i="13" s="1"/>
  <c r="BG73" i="9"/>
  <c r="BA118" i="10"/>
  <c r="AV15" i="9"/>
  <c r="AV69" i="13" s="1"/>
  <c r="BB14" i="9"/>
  <c r="BB24" i="13" s="1"/>
  <c r="BA24" i="13"/>
  <c r="BK44" i="40"/>
  <c r="AW17" i="11"/>
  <c r="U6" i="11"/>
  <c r="V6" i="11" s="1"/>
  <c r="W6" i="11" s="1"/>
  <c r="X6" i="11" s="1"/>
  <c r="CJ64" i="9"/>
  <c r="P156" i="12"/>
  <c r="BG130" i="12"/>
  <c r="AE35" i="11"/>
  <c r="AE48" i="11" s="1"/>
  <c r="BG11" i="13"/>
  <c r="BG46" i="13" s="1"/>
  <c r="Q32" i="13"/>
  <c r="BF87" i="13"/>
  <c r="BG34" i="10"/>
  <c r="Q42" i="10"/>
  <c r="Q43" i="10" s="1"/>
  <c r="BC34" i="10"/>
  <c r="BC42" i="10" s="1"/>
  <c r="BC65" i="10"/>
  <c r="W42" i="10"/>
  <c r="W43" i="10" s="1"/>
  <c r="P63" i="10"/>
  <c r="AZ64" i="10"/>
  <c r="AZ63" i="10"/>
  <c r="AZ34" i="10"/>
  <c r="AK148" i="10"/>
  <c r="M63" i="10"/>
  <c r="O84" i="40"/>
  <c r="BH72" i="10"/>
  <c r="BG77" i="40"/>
  <c r="BB69" i="40"/>
  <c r="BC69" i="40" s="1"/>
  <c r="BH77" i="40"/>
  <c r="BZ45" i="11"/>
  <c r="CF45" i="11"/>
  <c r="CA53" i="11"/>
  <c r="CG53" i="11"/>
  <c r="G46" i="13"/>
  <c r="AW94" i="11"/>
  <c r="AP41" i="11"/>
  <c r="X78" i="11"/>
  <c r="AY107" i="11"/>
  <c r="CA52" i="11"/>
  <c r="AS83" i="11"/>
  <c r="AC51" i="11"/>
  <c r="U51" i="11"/>
  <c r="V33" i="11"/>
  <c r="AK94" i="11"/>
  <c r="BG67" i="11"/>
  <c r="BI24" i="11"/>
  <c r="AY45" i="11"/>
  <c r="CZ47" i="11"/>
  <c r="P83" i="11"/>
  <c r="AB45" i="11"/>
  <c r="BE51" i="11"/>
  <c r="V45" i="11"/>
  <c r="V77" i="11"/>
  <c r="U47" i="11"/>
  <c r="BE84" i="11"/>
  <c r="BE109" i="11"/>
  <c r="W48" i="11"/>
  <c r="BU14" i="9"/>
  <c r="BU24" i="13" s="1"/>
  <c r="AN26" i="13"/>
  <c r="AH119" i="10"/>
  <c r="BF119" i="10"/>
  <c r="AO72" i="10"/>
  <c r="BG118" i="10"/>
  <c r="V72" i="10"/>
  <c r="AK95" i="11"/>
  <c r="BB27" i="11"/>
  <c r="DE28" i="11" s="1"/>
  <c r="AY72" i="10"/>
  <c r="AE94" i="11"/>
  <c r="DE8" i="11"/>
  <c r="CW10" i="11"/>
  <c r="AO26" i="12"/>
  <c r="CU17" i="11"/>
  <c r="DF50" i="11"/>
  <c r="M153" i="10"/>
  <c r="AU23" i="13"/>
  <c r="AM27" i="13"/>
  <c r="AM51" i="13" s="1"/>
  <c r="AI125" i="12"/>
  <c r="Q78" i="11"/>
  <c r="BG121" i="12"/>
  <c r="BR48" i="11"/>
  <c r="J39" i="11"/>
  <c r="BG133" i="12"/>
  <c r="BG7" i="11"/>
  <c r="BG9" i="12"/>
  <c r="BG82" i="12" s="1"/>
  <c r="BN18" i="13"/>
  <c r="AQ63" i="13"/>
  <c r="AE95" i="11"/>
  <c r="Y71" i="10"/>
  <c r="AK82" i="10"/>
  <c r="DE17" i="11"/>
  <c r="BB41" i="11"/>
  <c r="AO87" i="13"/>
  <c r="BB72" i="10"/>
  <c r="AK63" i="13"/>
  <c r="W71" i="12"/>
  <c r="W72" i="12" s="1"/>
  <c r="M152" i="12"/>
  <c r="M154" i="12"/>
  <c r="K153" i="12"/>
  <c r="P78" i="11"/>
  <c r="BF64" i="12"/>
  <c r="BL66" i="11" s="1"/>
  <c r="L64" i="12"/>
  <c r="S14" i="12"/>
  <c r="S64" i="12" s="1"/>
  <c r="AO156" i="12"/>
  <c r="AG83" i="11"/>
  <c r="AD78" i="11"/>
  <c r="AN41" i="11"/>
  <c r="BI63" i="13"/>
  <c r="BF96" i="13"/>
  <c r="AW32" i="13"/>
  <c r="AN102" i="13"/>
  <c r="BM71" i="13"/>
  <c r="AG29" i="13"/>
  <c r="BI95" i="13"/>
  <c r="AM52" i="13"/>
  <c r="AG87" i="13"/>
  <c r="AA22" i="13"/>
  <c r="AG53" i="13" s="1"/>
  <c r="AG27" i="13"/>
  <c r="AG58" i="10" s="1"/>
  <c r="AV27" i="11"/>
  <c r="DA28" i="11" s="1"/>
  <c r="U27" i="13"/>
  <c r="AO52" i="13"/>
  <c r="DA17" i="11"/>
  <c r="CR17" i="11"/>
  <c r="AI70" i="11"/>
  <c r="AA52" i="13"/>
  <c r="AQ94" i="11"/>
  <c r="AA72" i="10"/>
  <c r="AU17" i="9"/>
  <c r="AU104" i="10"/>
  <c r="AW104" i="10" s="1"/>
  <c r="AJ15" i="9"/>
  <c r="BE50" i="40"/>
  <c r="BC64" i="10"/>
  <c r="S34" i="10"/>
  <c r="P42" i="10"/>
  <c r="P43" i="10" s="1"/>
  <c r="AK21" i="10"/>
  <c r="AK65" i="10"/>
  <c r="AK62" i="10"/>
  <c r="AQ34" i="10"/>
  <c r="BC63" i="10"/>
  <c r="AM42" i="10"/>
  <c r="AM43" i="10" s="1"/>
  <c r="AA42" i="10"/>
  <c r="AA43" i="10" s="1"/>
  <c r="S64" i="10"/>
  <c r="AO42" i="10"/>
  <c r="AO43" i="10" s="1"/>
  <c r="AB8" i="10"/>
  <c r="AC8" i="10" s="1"/>
  <c r="AD8" i="10" s="1"/>
  <c r="AG8" i="10"/>
  <c r="AU42" i="10"/>
  <c r="AU43" i="10" s="1"/>
  <c r="O42" i="10"/>
  <c r="O43" i="10" s="1"/>
  <c r="AA155" i="10"/>
  <c r="AQ148" i="10"/>
  <c r="S21" i="10"/>
  <c r="BC47" i="10"/>
  <c r="Y47" i="10"/>
  <c r="Y59" i="10"/>
  <c r="BZ14" i="9"/>
  <c r="BZ24" i="13" s="1"/>
  <c r="CA117" i="10"/>
  <c r="AD43" i="10"/>
  <c r="M47" i="10"/>
  <c r="M59" i="10"/>
  <c r="S63" i="10"/>
  <c r="AH153" i="12"/>
  <c r="BF81" i="11"/>
  <c r="DF34" i="11"/>
  <c r="DJ47" i="11" s="1"/>
  <c r="BK108" i="11"/>
  <c r="BM18" i="13"/>
  <c r="AG49" i="13"/>
  <c r="BO19" i="13"/>
  <c r="BC95" i="11"/>
  <c r="AM87" i="13"/>
  <c r="AO102" i="13"/>
  <c r="O27" i="13"/>
  <c r="AI72" i="10"/>
  <c r="S94" i="11"/>
  <c r="O137" i="10"/>
  <c r="AE70" i="10"/>
  <c r="AE71" i="10"/>
  <c r="AG52" i="13"/>
  <c r="BF58" i="11"/>
  <c r="BH40" i="9"/>
  <c r="AU75" i="9"/>
  <c r="BG26" i="13"/>
  <c r="BG79" i="9"/>
  <c r="BG78" i="9" s="1"/>
  <c r="BH28" i="9"/>
  <c r="BH97" i="10" s="1"/>
  <c r="K70" i="13"/>
  <c r="BG43" i="9"/>
  <c r="BO14" i="9"/>
  <c r="BO24" i="13" s="1"/>
  <c r="AV19" i="9"/>
  <c r="AV17" i="9" s="1"/>
  <c r="P70" i="13"/>
  <c r="AG76" i="10"/>
  <c r="AE17" i="9"/>
  <c r="Q119" i="10"/>
  <c r="W23" i="13"/>
  <c r="G49" i="9"/>
  <c r="M48" i="9" s="1"/>
  <c r="P26" i="13"/>
  <c r="P27" i="13" s="1"/>
  <c r="AT26" i="13"/>
  <c r="AT27" i="13" s="1"/>
  <c r="AO43" i="9"/>
  <c r="AG8" i="9"/>
  <c r="AH8" i="9" s="1"/>
  <c r="AI8" i="9" s="1"/>
  <c r="AJ8" i="9" s="1"/>
  <c r="V26" i="13"/>
  <c r="L17" i="9"/>
  <c r="L75" i="9"/>
  <c r="AZ26" i="13"/>
  <c r="AZ27" i="13" s="1"/>
  <c r="BC15" i="9"/>
  <c r="R17" i="9"/>
  <c r="R25" i="9" s="1"/>
  <c r="BF22" i="13"/>
  <c r="U8" i="13"/>
  <c r="O8" i="40"/>
  <c r="U7" i="40"/>
  <c r="AA7" i="13"/>
  <c r="DB17" i="11"/>
  <c r="AO53" i="13"/>
  <c r="BZ75" i="40"/>
  <c r="CA75" i="40" s="1"/>
  <c r="AM26" i="40"/>
  <c r="BQ27" i="10"/>
  <c r="AM72" i="10"/>
  <c r="AS72" i="10"/>
  <c r="O57" i="10"/>
  <c r="O29" i="13"/>
  <c r="G82" i="10"/>
  <c r="G70" i="13"/>
  <c r="AP104" i="10"/>
  <c r="AP23" i="13"/>
  <c r="AP86" i="40"/>
  <c r="AA76" i="10"/>
  <c r="AA54" i="9"/>
  <c r="AA47" i="9"/>
  <c r="AM8" i="9"/>
  <c r="L43" i="9"/>
  <c r="Q70" i="13"/>
  <c r="K97" i="10"/>
  <c r="W86" i="40"/>
  <c r="K23" i="13"/>
  <c r="K86" i="40"/>
  <c r="K104" i="10"/>
  <c r="AO23" i="13"/>
  <c r="AO86" i="40"/>
  <c r="AO104" i="10"/>
  <c r="AB26" i="13"/>
  <c r="L28" i="9"/>
  <c r="L33" i="9" s="1"/>
  <c r="K33" i="9"/>
  <c r="W104" i="10"/>
  <c r="AQ13" i="9"/>
  <c r="BG33" i="9"/>
  <c r="AB118" i="10"/>
  <c r="AB119" i="10"/>
  <c r="BB40" i="9"/>
  <c r="AJ23" i="13"/>
  <c r="AJ86" i="40"/>
  <c r="AJ104" i="10"/>
  <c r="AK104" i="10" s="1"/>
  <c r="AK13" i="9"/>
  <c r="AK23" i="13" s="1"/>
  <c r="BB104" i="10"/>
  <c r="BC104" i="10" s="1"/>
  <c r="BB86" i="40"/>
  <c r="BB23" i="13"/>
  <c r="BC13" i="9"/>
  <c r="S31" i="9"/>
  <c r="AI117" i="10"/>
  <c r="AI24" i="13"/>
  <c r="AJ14" i="9"/>
  <c r="AP79" i="9"/>
  <c r="AP78" i="9" s="1"/>
  <c r="W118" i="10"/>
  <c r="AQ40" i="9"/>
  <c r="AO79" i="9"/>
  <c r="AO78" i="9" s="1"/>
  <c r="L13" i="9"/>
  <c r="AH125" i="12"/>
  <c r="BG23" i="11"/>
  <c r="DH24" i="11" s="1"/>
  <c r="BG67" i="12"/>
  <c r="BM67" i="12" s="1"/>
  <c r="BG22" i="11"/>
  <c r="DH23" i="11" s="1"/>
  <c r="AM63" i="11"/>
  <c r="BF120" i="12"/>
  <c r="AJ65" i="12"/>
  <c r="AJ66" i="12" s="1"/>
  <c r="AB73" i="11"/>
  <c r="L75" i="11"/>
  <c r="P73" i="12"/>
  <c r="AN110" i="11"/>
  <c r="AY109" i="11"/>
  <c r="AT110" i="11"/>
  <c r="AJ70" i="12"/>
  <c r="AJ73" i="12" s="1"/>
  <c r="AN83" i="11"/>
  <c r="BF82" i="12"/>
  <c r="AA33" i="11"/>
  <c r="AG46" i="11" s="1"/>
  <c r="AG125" i="12"/>
  <c r="AM36" i="11"/>
  <c r="AM33" i="11" s="1"/>
  <c r="AM46" i="11" s="1"/>
  <c r="BF67" i="12"/>
  <c r="BL69" i="11" s="1"/>
  <c r="AK83" i="11"/>
  <c r="AT83" i="11"/>
  <c r="P77" i="11"/>
  <c r="BN46" i="11"/>
  <c r="AE38" i="11"/>
  <c r="AE51" i="11" s="1"/>
  <c r="V49" i="11"/>
  <c r="AB69" i="11"/>
  <c r="BF10" i="13"/>
  <c r="BF58" i="13" s="1"/>
  <c r="AM29" i="12"/>
  <c r="K82" i="11"/>
  <c r="AN81" i="10"/>
  <c r="L155" i="10"/>
  <c r="AK153" i="10"/>
  <c r="AC72" i="10"/>
  <c r="BF155" i="10"/>
  <c r="BG156" i="10" s="1"/>
  <c r="I107" i="10"/>
  <c r="I106" i="10" s="1"/>
  <c r="AU72" i="10"/>
  <c r="J96" i="10"/>
  <c r="J101" i="10" s="1"/>
  <c r="Q155" i="10"/>
  <c r="R156" i="10" s="1"/>
  <c r="K73" i="11"/>
  <c r="V78" i="11"/>
  <c r="L13" i="12"/>
  <c r="L76" i="12" s="1"/>
  <c r="AN82" i="11"/>
  <c r="K69" i="11"/>
  <c r="L134" i="12"/>
  <c r="R67" i="11" s="1"/>
  <c r="X48" i="11"/>
  <c r="F13" i="12"/>
  <c r="L67" i="12"/>
  <c r="J66" i="11"/>
  <c r="J81" i="11" s="1"/>
  <c r="K155" i="12"/>
  <c r="AO110" i="11"/>
  <c r="Q50" i="12"/>
  <c r="Q51" i="12" s="1"/>
  <c r="AQ47" i="11"/>
  <c r="BA83" i="11"/>
  <c r="AH73" i="11"/>
  <c r="DB33" i="11"/>
  <c r="DB46" i="11" s="1"/>
  <c r="M59" i="13"/>
  <c r="V83" i="11"/>
  <c r="BB109" i="11"/>
  <c r="BC100" i="11"/>
  <c r="BI107" i="11" s="1"/>
  <c r="DE34" i="11"/>
  <c r="DE47" i="11" s="1"/>
  <c r="BC102" i="11"/>
  <c r="BC109" i="11" s="1"/>
  <c r="Q33" i="11"/>
  <c r="AD75" i="11"/>
  <c r="O78" i="11"/>
  <c r="BH109" i="11"/>
  <c r="BC101" i="11"/>
  <c r="BI108" i="11" s="1"/>
  <c r="J58" i="13"/>
  <c r="DE48" i="11"/>
  <c r="AG58" i="13"/>
  <c r="Y95" i="11"/>
  <c r="BI71" i="10"/>
  <c r="BF52" i="13"/>
  <c r="BI44" i="13"/>
  <c r="U137" i="10"/>
  <c r="AQ12" i="13"/>
  <c r="AQ70" i="10" s="1"/>
  <c r="AO49" i="13"/>
  <c r="AO93" i="13" s="1"/>
  <c r="AQ32" i="13"/>
  <c r="AQ7" i="13"/>
  <c r="AQ7" i="40" s="1"/>
  <c r="U57" i="10"/>
  <c r="M82" i="10"/>
  <c r="BF72" i="10"/>
  <c r="U88" i="13"/>
  <c r="BI95" i="11"/>
  <c r="AV36" i="9"/>
  <c r="I75" i="10"/>
  <c r="AT119" i="10"/>
  <c r="BC18" i="9"/>
  <c r="BC17" i="9" s="1"/>
  <c r="V118" i="10"/>
  <c r="V119" i="10"/>
  <c r="AV40" i="9"/>
  <c r="AW40" i="9" s="1"/>
  <c r="AO17" i="9"/>
  <c r="K87" i="40"/>
  <c r="AU43" i="9"/>
  <c r="M15" i="9"/>
  <c r="L69" i="13"/>
  <c r="L70" i="13" s="1"/>
  <c r="K17" i="9"/>
  <c r="K25" i="9" s="1"/>
  <c r="AC69" i="13"/>
  <c r="AD15" i="9"/>
  <c r="AE15" i="9" s="1"/>
  <c r="J26" i="13"/>
  <c r="Y20" i="9"/>
  <c r="S38" i="9"/>
  <c r="S75" i="9" s="1"/>
  <c r="R75" i="9"/>
  <c r="AO117" i="10"/>
  <c r="AO24" i="13"/>
  <c r="Q97" i="10"/>
  <c r="Q98" i="10" s="1"/>
  <c r="Q87" i="40"/>
  <c r="AZ78" i="9"/>
  <c r="AQ19" i="9"/>
  <c r="AQ14" i="9"/>
  <c r="AQ24" i="13" s="1"/>
  <c r="AP24" i="13"/>
  <c r="AP117" i="10"/>
  <c r="O77" i="10"/>
  <c r="O55" i="9"/>
  <c r="Q79" i="9"/>
  <c r="Q78" i="9" s="1"/>
  <c r="AP29" i="9"/>
  <c r="AQ29" i="9" s="1"/>
  <c r="AE13" i="9"/>
  <c r="AE23" i="13" s="1"/>
  <c r="AD86" i="40"/>
  <c r="AD23" i="13"/>
  <c r="AD104" i="10"/>
  <c r="M24" i="9"/>
  <c r="M17" i="9" s="1"/>
  <c r="AC23" i="13"/>
  <c r="AC104" i="10"/>
  <c r="AC86" i="40"/>
  <c r="R40" i="9"/>
  <c r="J70" i="13"/>
  <c r="X17" i="9"/>
  <c r="AB25" i="9"/>
  <c r="AB47" i="9" s="1"/>
  <c r="BA43" i="9"/>
  <c r="BB36" i="9"/>
  <c r="BC36" i="9" s="1"/>
  <c r="AT72" i="10"/>
  <c r="W91" i="11"/>
  <c r="BB45" i="11"/>
  <c r="DG8" i="11"/>
  <c r="R23" i="13"/>
  <c r="R104" i="10"/>
  <c r="R86" i="40"/>
  <c r="S13" i="9"/>
  <c r="S23" i="13" s="1"/>
  <c r="AJ79" i="9"/>
  <c r="AJ78" i="9" s="1"/>
  <c r="X79" i="9"/>
  <c r="X78" i="9" s="1"/>
  <c r="Y40" i="9"/>
  <c r="X69" i="13"/>
  <c r="U54" i="9"/>
  <c r="U59" i="9" s="1"/>
  <c r="U76" i="10"/>
  <c r="U47" i="9"/>
  <c r="AP15" i="9"/>
  <c r="AQ15" i="9" s="1"/>
  <c r="AO69" i="13"/>
  <c r="AD37" i="9"/>
  <c r="X36" i="9"/>
  <c r="Y36" i="9" s="1"/>
  <c r="W43" i="9"/>
  <c r="S18" i="9"/>
  <c r="S17" i="9" s="1"/>
  <c r="Q17" i="9"/>
  <c r="AJ36" i="9"/>
  <c r="AI43" i="9"/>
  <c r="AE31" i="9"/>
  <c r="AD116" i="10"/>
  <c r="AD124" i="10"/>
  <c r="AE124" i="10" s="1"/>
  <c r="AP64" i="9"/>
  <c r="AQ64" i="9" s="1"/>
  <c r="AO73" i="9"/>
  <c r="BB65" i="9"/>
  <c r="BA75" i="9"/>
  <c r="AP43" i="9"/>
  <c r="W79" i="9"/>
  <c r="W78" i="9" s="1"/>
  <c r="Q43" i="9"/>
  <c r="S36" i="9"/>
  <c r="M40" i="9"/>
  <c r="M43" i="9" s="1"/>
  <c r="L79" i="9"/>
  <c r="L78" i="9" s="1"/>
  <c r="W69" i="13"/>
  <c r="Y15" i="9"/>
  <c r="Q104" i="10"/>
  <c r="Q86" i="40"/>
  <c r="Q23" i="13"/>
  <c r="AH78" i="9"/>
  <c r="AI79" i="9"/>
  <c r="AI78" i="9" s="1"/>
  <c r="AV14" i="9"/>
  <c r="AJ21" i="9"/>
  <c r="AI17" i="9"/>
  <c r="I72" i="9"/>
  <c r="I71" i="9"/>
  <c r="R64" i="9"/>
  <c r="W73" i="9"/>
  <c r="Q73" i="9"/>
  <c r="Y19" i="9"/>
  <c r="J119" i="10"/>
  <c r="X86" i="40"/>
  <c r="X23" i="13"/>
  <c r="X104" i="10"/>
  <c r="S15" i="9"/>
  <c r="R69" i="13"/>
  <c r="X117" i="10"/>
  <c r="X24" i="13"/>
  <c r="Y11" i="9"/>
  <c r="J76" i="10"/>
  <c r="J47" i="9"/>
  <c r="J54" i="9"/>
  <c r="AC119" i="10"/>
  <c r="AC118" i="10"/>
  <c r="R29" i="9"/>
  <c r="S29" i="9" s="1"/>
  <c r="Q33" i="9"/>
  <c r="P25" i="9"/>
  <c r="I56" i="9"/>
  <c r="I78" i="10"/>
  <c r="AK40" i="9"/>
  <c r="W17" i="9"/>
  <c r="AD40" i="9"/>
  <c r="AC79" i="9"/>
  <c r="V25" i="9"/>
  <c r="K117" i="10"/>
  <c r="K24" i="13"/>
  <c r="L14" i="9"/>
  <c r="Y13" i="9"/>
  <c r="Y23" i="13" s="1"/>
  <c r="AD24" i="13"/>
  <c r="AD117" i="10"/>
  <c r="AD118" i="10" s="1"/>
  <c r="AP17" i="9"/>
  <c r="AQ22" i="9"/>
  <c r="AU110" i="11"/>
  <c r="CY36" i="11"/>
  <c r="CY49" i="11" s="1"/>
  <c r="V70" i="11"/>
  <c r="P153" i="12"/>
  <c r="BB108" i="11"/>
  <c r="AP11" i="13"/>
  <c r="AP46" i="13" s="1"/>
  <c r="AY70" i="12"/>
  <c r="AY73" i="12" s="1"/>
  <c r="BF61" i="12"/>
  <c r="AH157" i="12"/>
  <c r="AN59" i="13"/>
  <c r="G38" i="12"/>
  <c r="AK47" i="11"/>
  <c r="U138" i="12"/>
  <c r="AA138" i="12" s="1"/>
  <c r="AG138" i="12" s="1"/>
  <c r="AH138" i="12" s="1"/>
  <c r="AI138" i="12" s="1"/>
  <c r="AJ138" i="12" s="1"/>
  <c r="G80" i="12"/>
  <c r="U78" i="11"/>
  <c r="AJ77" i="12"/>
  <c r="Q40" i="11"/>
  <c r="P152" i="12"/>
  <c r="BG84" i="11"/>
  <c r="AJ83" i="12"/>
  <c r="AH156" i="12"/>
  <c r="AH155" i="12"/>
  <c r="AJ83" i="11"/>
  <c r="BL58" i="12"/>
  <c r="BR68" i="11" s="1"/>
  <c r="Q69" i="11"/>
  <c r="P151" i="12"/>
  <c r="M79" i="11"/>
  <c r="AH66" i="11"/>
  <c r="D47" i="13"/>
  <c r="AO73" i="11"/>
  <c r="BF36" i="11"/>
  <c r="AK9" i="12"/>
  <c r="AK84" i="12" s="1"/>
  <c r="AH150" i="12"/>
  <c r="X13" i="12"/>
  <c r="X11" i="13" s="1"/>
  <c r="X46" i="13" s="1"/>
  <c r="AP22" i="11"/>
  <c r="CW23" i="11" s="1"/>
  <c r="BI52" i="11"/>
  <c r="AP76" i="12"/>
  <c r="G79" i="12"/>
  <c r="G41" i="12"/>
  <c r="BC110" i="12"/>
  <c r="AE61" i="12"/>
  <c r="AJ23" i="11"/>
  <c r="CS24" i="11" s="1"/>
  <c r="AJ130" i="12"/>
  <c r="AP67" i="11"/>
  <c r="E155" i="12"/>
  <c r="AA46" i="13"/>
  <c r="X45" i="11"/>
  <c r="AD23" i="11"/>
  <c r="AE134" i="12"/>
  <c r="BI108" i="12"/>
  <c r="BB67" i="12"/>
  <c r="BH67" i="12" s="1"/>
  <c r="BA36" i="11"/>
  <c r="BA33" i="11" s="1"/>
  <c r="AC71" i="12"/>
  <c r="AC72" i="12" s="1"/>
  <c r="BI107" i="12"/>
  <c r="BI111" i="12"/>
  <c r="Q71" i="12"/>
  <c r="Q72" i="12" s="1"/>
  <c r="AU151" i="12"/>
  <c r="BH111" i="11"/>
  <c r="AT71" i="12"/>
  <c r="AT72" i="12" s="1"/>
  <c r="AP62" i="11"/>
  <c r="AI151" i="12"/>
  <c r="BG64" i="12"/>
  <c r="BM66" i="11" s="1"/>
  <c r="U45" i="11"/>
  <c r="AU157" i="12"/>
  <c r="O83" i="11"/>
  <c r="AT157" i="12"/>
  <c r="AQ13" i="12"/>
  <c r="AQ129" i="12" s="1"/>
  <c r="E150" i="12"/>
  <c r="Q150" i="12"/>
  <c r="AP26" i="12"/>
  <c r="AV26" i="12" s="1"/>
  <c r="AJ124" i="12"/>
  <c r="AC33" i="11"/>
  <c r="AU152" i="12"/>
  <c r="BA46" i="13"/>
  <c r="AI152" i="12"/>
  <c r="K71" i="12"/>
  <c r="K72" i="12" s="1"/>
  <c r="BO52" i="11"/>
  <c r="O33" i="11"/>
  <c r="BC58" i="12"/>
  <c r="BC59" i="12" s="1"/>
  <c r="AE10" i="11"/>
  <c r="AE23" i="11" s="1"/>
  <c r="Q152" i="12"/>
  <c r="AB46" i="13"/>
  <c r="AN69" i="11"/>
  <c r="AN71" i="12"/>
  <c r="AN72" i="12" s="1"/>
  <c r="AT156" i="12"/>
  <c r="AT87" i="12"/>
  <c r="AT88" i="12" s="1"/>
  <c r="AT10" i="11" s="1"/>
  <c r="CY10" i="11" s="1"/>
  <c r="AA78" i="11"/>
  <c r="AN39" i="11"/>
  <c r="AT52" i="11" s="1"/>
  <c r="V59" i="13"/>
  <c r="AP85" i="12"/>
  <c r="BH46" i="13"/>
  <c r="AD128" i="12"/>
  <c r="AQ46" i="12"/>
  <c r="AQ47" i="12" s="1"/>
  <c r="AQ48" i="12" s="1"/>
  <c r="BC10" i="11"/>
  <c r="AZ59" i="13"/>
  <c r="E157" i="12"/>
  <c r="AM153" i="12"/>
  <c r="R75" i="11"/>
  <c r="AM151" i="12"/>
  <c r="BI60" i="12"/>
  <c r="AI71" i="12"/>
  <c r="AI72" i="12" s="1"/>
  <c r="AB39" i="11"/>
  <c r="AH52" i="11" s="1"/>
  <c r="V46" i="13"/>
  <c r="AT59" i="13"/>
  <c r="E156" i="12"/>
  <c r="AN36" i="11"/>
  <c r="AN33" i="11" s="1"/>
  <c r="AN29" i="12"/>
  <c r="AT63" i="11" s="1"/>
  <c r="AA75" i="11"/>
  <c r="AM26" i="12"/>
  <c r="AS62" i="11" s="1"/>
  <c r="AP130" i="12"/>
  <c r="BO53" i="11"/>
  <c r="BG66" i="11"/>
  <c r="BG81" i="11" s="1"/>
  <c r="V73" i="11"/>
  <c r="E154" i="12"/>
  <c r="AM156" i="12"/>
  <c r="O75" i="11"/>
  <c r="BH58" i="12"/>
  <c r="BH61" i="12" s="1"/>
  <c r="AB77" i="11"/>
  <c r="E151" i="12"/>
  <c r="BH68" i="11"/>
  <c r="AI124" i="12"/>
  <c r="AO62" i="11"/>
  <c r="AK29" i="12"/>
  <c r="AQ63" i="11" s="1"/>
  <c r="BH23" i="11"/>
  <c r="DI24" i="11" s="1"/>
  <c r="BB111" i="11"/>
  <c r="Y12" i="12"/>
  <c r="AE128" i="12" s="1"/>
  <c r="AN66" i="11"/>
  <c r="W58" i="13"/>
  <c r="AB66" i="11"/>
  <c r="BB59" i="12"/>
  <c r="DE33" i="11"/>
  <c r="DI46" i="11" s="1"/>
  <c r="AN94" i="13"/>
  <c r="AA68" i="12"/>
  <c r="AA69" i="12" s="1"/>
  <c r="AA40" i="11" s="1"/>
  <c r="P33" i="11"/>
  <c r="AO63" i="11"/>
  <c r="BB107" i="11"/>
  <c r="AT94" i="13"/>
  <c r="AT155" i="12"/>
  <c r="AA77" i="11"/>
  <c r="AT154" i="12"/>
  <c r="AY58" i="13"/>
  <c r="E153" i="12"/>
  <c r="W40" i="11"/>
  <c r="AC53" i="11" s="1"/>
  <c r="AB78" i="11"/>
  <c r="AN154" i="12"/>
  <c r="AT40" i="11"/>
  <c r="AZ53" i="11" s="1"/>
  <c r="Y36" i="11"/>
  <c r="Y49" i="11" s="1"/>
  <c r="CZ36" i="11"/>
  <c r="CZ49" i="11" s="1"/>
  <c r="AD77" i="11"/>
  <c r="U77" i="11"/>
  <c r="W78" i="11"/>
  <c r="BE108" i="11"/>
  <c r="AT152" i="12"/>
  <c r="AT150" i="12"/>
  <c r="DB34" i="11"/>
  <c r="DB47" i="11" s="1"/>
  <c r="AB48" i="11"/>
  <c r="AC78" i="11"/>
  <c r="AT153" i="12"/>
  <c r="E152" i="12"/>
  <c r="L83" i="12"/>
  <c r="L10" i="13"/>
  <c r="L45" i="13" s="1"/>
  <c r="AY111" i="11"/>
  <c r="AC69" i="11"/>
  <c r="AM82" i="11"/>
  <c r="J46" i="13"/>
  <c r="AE13" i="12"/>
  <c r="AS36" i="11"/>
  <c r="Q46" i="13"/>
  <c r="AD11" i="13"/>
  <c r="AD46" i="13" s="1"/>
  <c r="BX51" i="11"/>
  <c r="BE111" i="11"/>
  <c r="AO155" i="12"/>
  <c r="Y63" i="11"/>
  <c r="G157" i="12"/>
  <c r="AD49" i="11"/>
  <c r="AY84" i="11"/>
  <c r="AO152" i="12"/>
  <c r="AD76" i="12"/>
  <c r="L78" i="12"/>
  <c r="AS40" i="11"/>
  <c r="AY53" i="11" s="1"/>
  <c r="DE50" i="11"/>
  <c r="P59" i="13"/>
  <c r="J59" i="13"/>
  <c r="Q59" i="13"/>
  <c r="AD85" i="12"/>
  <c r="C16" i="12"/>
  <c r="AO154" i="12"/>
  <c r="AT66" i="11"/>
  <c r="BC104" i="11"/>
  <c r="BC111" i="11" s="1"/>
  <c r="DB50" i="11"/>
  <c r="AJ135" i="12"/>
  <c r="I70" i="12"/>
  <c r="I73" i="12" s="1"/>
  <c r="L77" i="12"/>
  <c r="M17" i="12"/>
  <c r="V17" i="12"/>
  <c r="J9" i="13"/>
  <c r="J15" i="13" s="1"/>
  <c r="G153" i="12"/>
  <c r="C10" i="13"/>
  <c r="C45" i="13" s="1"/>
  <c r="X75" i="11"/>
  <c r="AO87" i="12"/>
  <c r="AO88" i="12" s="1"/>
  <c r="BA70" i="12"/>
  <c r="P58" i="13"/>
  <c r="AD70" i="12"/>
  <c r="AD73" i="12" s="1"/>
  <c r="AJ16" i="12"/>
  <c r="BN49" i="11"/>
  <c r="AU46" i="13"/>
  <c r="AK34" i="12"/>
  <c r="AK36" i="11" s="1"/>
  <c r="AK33" i="11" s="1"/>
  <c r="AB51" i="11"/>
  <c r="AP129" i="12"/>
  <c r="AJ11" i="13"/>
  <c r="AT46" i="13"/>
  <c r="AT81" i="10"/>
  <c r="AC46" i="13"/>
  <c r="AC81" i="10"/>
  <c r="V82" i="11"/>
  <c r="AN78" i="11"/>
  <c r="L82" i="12"/>
  <c r="BM36" i="11"/>
  <c r="BM33" i="11" s="1"/>
  <c r="AD16" i="12"/>
  <c r="AJ118" i="12"/>
  <c r="AJ119" i="12" s="1"/>
  <c r="D44" i="13"/>
  <c r="AM62" i="11"/>
  <c r="P82" i="11"/>
  <c r="AK77" i="11"/>
  <c r="AJ85" i="12"/>
  <c r="AJ84" i="12"/>
  <c r="BC116" i="12"/>
  <c r="AM150" i="12"/>
  <c r="AD65" i="12"/>
  <c r="AD66" i="12" s="1"/>
  <c r="AM94" i="13"/>
  <c r="AM154" i="12"/>
  <c r="U75" i="11"/>
  <c r="AH45" i="11"/>
  <c r="R121" i="12"/>
  <c r="AM157" i="12"/>
  <c r="BU31" i="12"/>
  <c r="BU35" i="11" s="1"/>
  <c r="BU48" i="11" s="1"/>
  <c r="K81" i="10"/>
  <c r="K46" i="13"/>
  <c r="W75" i="11"/>
  <c r="AJ120" i="12"/>
  <c r="AM39" i="11"/>
  <c r="AM66" i="11"/>
  <c r="AS81" i="11" s="1"/>
  <c r="AD84" i="12"/>
  <c r="BF16" i="12"/>
  <c r="AN40" i="11"/>
  <c r="AK48" i="12"/>
  <c r="AH82" i="11"/>
  <c r="AM152" i="12"/>
  <c r="L133" i="12"/>
  <c r="AM87" i="12"/>
  <c r="AM88" i="12" s="1"/>
  <c r="DA48" i="11"/>
  <c r="DG7" i="11"/>
  <c r="AM81" i="10"/>
  <c r="AM46" i="13"/>
  <c r="Y14" i="12"/>
  <c r="Y64" i="12" s="1"/>
  <c r="AQ127" i="12"/>
  <c r="K152" i="12"/>
  <c r="AC73" i="12"/>
  <c r="X61" i="12"/>
  <c r="BR33" i="11"/>
  <c r="BR46" i="11" s="1"/>
  <c r="BB110" i="11"/>
  <c r="W45" i="13"/>
  <c r="BX47" i="11"/>
  <c r="P50" i="12"/>
  <c r="P51" i="12" s="1"/>
  <c r="BG36" i="11"/>
  <c r="BG33" i="11" s="1"/>
  <c r="DD46" i="11"/>
  <c r="R64" i="12"/>
  <c r="AO58" i="13"/>
  <c r="L128" i="12"/>
  <c r="M46" i="13"/>
  <c r="AO82" i="11"/>
  <c r="I118" i="12"/>
  <c r="I119" i="12" s="1"/>
  <c r="X83" i="11"/>
  <c r="AS45" i="13"/>
  <c r="AS58" i="13"/>
  <c r="AI82" i="11"/>
  <c r="K156" i="12"/>
  <c r="K157" i="12"/>
  <c r="AG17" i="12"/>
  <c r="AY157" i="12"/>
  <c r="C135" i="12"/>
  <c r="AP83" i="12"/>
  <c r="Q17" i="12"/>
  <c r="AY151" i="12"/>
  <c r="BH67" i="11"/>
  <c r="BH47" i="11"/>
  <c r="S82" i="11"/>
  <c r="G9" i="13"/>
  <c r="AH73" i="12"/>
  <c r="BA58" i="13"/>
  <c r="I82" i="12"/>
  <c r="AW127" i="12"/>
  <c r="AI45" i="13"/>
  <c r="AM71" i="12"/>
  <c r="AM72" i="12" s="1"/>
  <c r="M58" i="13"/>
  <c r="BU52" i="11"/>
  <c r="BC60" i="12"/>
  <c r="BC68" i="11" s="1"/>
  <c r="AM155" i="12"/>
  <c r="E46" i="13"/>
  <c r="K59" i="13"/>
  <c r="BT30" i="12"/>
  <c r="F134" i="12"/>
  <c r="L67" i="11" s="1"/>
  <c r="AD122" i="12"/>
  <c r="AU58" i="13"/>
  <c r="DF48" i="11"/>
  <c r="DJ48" i="11"/>
  <c r="K150" i="12"/>
  <c r="BG83" i="11"/>
  <c r="X134" i="12"/>
  <c r="I67" i="11"/>
  <c r="I129" i="12"/>
  <c r="W49" i="12"/>
  <c r="W52" i="12" s="1"/>
  <c r="W55" i="12" s="1"/>
  <c r="M153" i="12"/>
  <c r="M150" i="12"/>
  <c r="M155" i="12"/>
  <c r="M156" i="12"/>
  <c r="E9" i="13"/>
  <c r="AM69" i="11"/>
  <c r="AS84" i="11" s="1"/>
  <c r="BL83" i="11"/>
  <c r="AU94" i="13"/>
  <c r="V58" i="13"/>
  <c r="AP65" i="12"/>
  <c r="AP66" i="12" s="1"/>
  <c r="AQ66" i="12" s="1"/>
  <c r="V39" i="11"/>
  <c r="AU69" i="11"/>
  <c r="BA84" i="11" s="1"/>
  <c r="Q154" i="12"/>
  <c r="AI157" i="12"/>
  <c r="AY152" i="12"/>
  <c r="AH59" i="13"/>
  <c r="AP77" i="12"/>
  <c r="AE67" i="12"/>
  <c r="AE70" i="12" s="1"/>
  <c r="AE73" i="12" s="1"/>
  <c r="AY94" i="13"/>
  <c r="AP84" i="12"/>
  <c r="AZ84" i="11"/>
  <c r="AO70" i="11"/>
  <c r="AU154" i="12"/>
  <c r="G150" i="12"/>
  <c r="AO59" i="13"/>
  <c r="R83" i="11"/>
  <c r="K66" i="11"/>
  <c r="K81" i="11" s="1"/>
  <c r="AP10" i="13"/>
  <c r="AH17" i="12"/>
  <c r="AJ67" i="11"/>
  <c r="O67" i="11"/>
  <c r="AH152" i="12"/>
  <c r="AH154" i="12"/>
  <c r="P150" i="12"/>
  <c r="P154" i="12"/>
  <c r="P157" i="12"/>
  <c r="P155" i="12"/>
  <c r="AB75" i="11"/>
  <c r="AY156" i="12"/>
  <c r="AY155" i="12"/>
  <c r="V66" i="11"/>
  <c r="AI155" i="12"/>
  <c r="Q155" i="12"/>
  <c r="AP118" i="12"/>
  <c r="AP119" i="12" s="1"/>
  <c r="AQ9" i="12"/>
  <c r="W17" i="12"/>
  <c r="AI154" i="12"/>
  <c r="AI153" i="12"/>
  <c r="AY153" i="12"/>
  <c r="AP16" i="12"/>
  <c r="AA49" i="11"/>
  <c r="DB48" i="11"/>
  <c r="AW103" i="11"/>
  <c r="AU17" i="12"/>
  <c r="AB17" i="12"/>
  <c r="I83" i="12"/>
  <c r="AO46" i="13"/>
  <c r="I120" i="12"/>
  <c r="AP82" i="12"/>
  <c r="W83" i="11"/>
  <c r="Q83" i="11"/>
  <c r="W47" i="11"/>
  <c r="BS34" i="12"/>
  <c r="AO94" i="13"/>
  <c r="AO150" i="12"/>
  <c r="AO151" i="12"/>
  <c r="AH81" i="10"/>
  <c r="AH46" i="13"/>
  <c r="AD83" i="11"/>
  <c r="Q77" i="11"/>
  <c r="AT45" i="13"/>
  <c r="AZ58" i="13"/>
  <c r="AT58" i="13"/>
  <c r="DC46" i="11"/>
  <c r="AB9" i="13"/>
  <c r="AB98" i="10" s="1"/>
  <c r="AY150" i="12"/>
  <c r="AO17" i="12"/>
  <c r="AP120" i="12"/>
  <c r="AV120" i="12"/>
  <c r="Q151" i="12"/>
  <c r="AB59" i="13"/>
  <c r="AI150" i="12"/>
  <c r="AI17" i="12"/>
  <c r="AY87" i="12"/>
  <c r="AY7" i="11" s="1"/>
  <c r="AU59" i="13"/>
  <c r="BA110" i="11"/>
  <c r="AU150" i="12"/>
  <c r="I77" i="12"/>
  <c r="AH83" i="11"/>
  <c r="K39" i="11"/>
  <c r="AB58" i="13"/>
  <c r="AD82" i="12"/>
  <c r="AD83" i="12"/>
  <c r="AE9" i="12"/>
  <c r="AE83" i="12" s="1"/>
  <c r="AD77" i="12"/>
  <c r="AD10" i="13"/>
  <c r="D73" i="12"/>
  <c r="J71" i="12"/>
  <c r="J72" i="12" s="1"/>
  <c r="AV118" i="12"/>
  <c r="AV119" i="12" s="1"/>
  <c r="AV11" i="13"/>
  <c r="AV46" i="13" s="1"/>
  <c r="AV129" i="12"/>
  <c r="AK64" i="12"/>
  <c r="AK65" i="12" s="1"/>
  <c r="AK85" i="12"/>
  <c r="BC128" i="12"/>
  <c r="AW134" i="12"/>
  <c r="AV148" i="12"/>
  <c r="V73" i="12"/>
  <c r="V71" i="12"/>
  <c r="V72" i="12" s="1"/>
  <c r="S68" i="11"/>
  <c r="S38" i="11"/>
  <c r="Y51" i="11" s="1"/>
  <c r="AW61" i="12"/>
  <c r="R77" i="11"/>
  <c r="O130" i="12"/>
  <c r="O11" i="13"/>
  <c r="O46" i="13" s="1"/>
  <c r="O85" i="12"/>
  <c r="BR51" i="11"/>
  <c r="O129" i="12"/>
  <c r="BF129" i="12"/>
  <c r="BF135" i="12"/>
  <c r="I76" i="12"/>
  <c r="I11" i="13"/>
  <c r="I46" i="13" s="1"/>
  <c r="I84" i="12"/>
  <c r="I16" i="12"/>
  <c r="I85" i="12"/>
  <c r="AC78" i="12"/>
  <c r="AI21" i="12"/>
  <c r="AO60" i="11" s="1"/>
  <c r="AI60" i="11"/>
  <c r="AQ64" i="12"/>
  <c r="AQ70" i="12" s="1"/>
  <c r="AQ73" i="12" s="1"/>
  <c r="AQ9" i="11"/>
  <c r="CT36" i="11"/>
  <c r="CX49" i="11" s="1"/>
  <c r="AM110" i="11"/>
  <c r="AS110" i="11"/>
  <c r="AC122" i="12"/>
  <c r="AM73" i="11"/>
  <c r="BX36" i="11"/>
  <c r="CD49" i="11" s="1"/>
  <c r="P39" i="11"/>
  <c r="Q65" i="11"/>
  <c r="AZ87" i="12"/>
  <c r="AZ7" i="11" s="1"/>
  <c r="AZ151" i="12"/>
  <c r="BH49" i="11"/>
  <c r="BB33" i="11"/>
  <c r="BH46" i="11" s="1"/>
  <c r="DC36" i="11"/>
  <c r="DG49" i="11" s="1"/>
  <c r="AZ110" i="11"/>
  <c r="BF86" i="12"/>
  <c r="BF85" i="12"/>
  <c r="BF84" i="12"/>
  <c r="BF118" i="12"/>
  <c r="BF119" i="12" s="1"/>
  <c r="BF76" i="12"/>
  <c r="BF11" i="13"/>
  <c r="BF46" i="13" s="1"/>
  <c r="BF130" i="12"/>
  <c r="BF67" i="11"/>
  <c r="BF23" i="11"/>
  <c r="DG24" i="11" s="1"/>
  <c r="DG10" i="11"/>
  <c r="AZ94" i="13"/>
  <c r="BF69" i="11"/>
  <c r="BF84" i="11" s="1"/>
  <c r="AZ70" i="12"/>
  <c r="AZ71" i="12" s="1"/>
  <c r="AZ72" i="12" s="1"/>
  <c r="AU36" i="11"/>
  <c r="AU33" i="11" s="1"/>
  <c r="AW34" i="12"/>
  <c r="W45" i="11"/>
  <c r="X77" i="11"/>
  <c r="AB49" i="12"/>
  <c r="V52" i="12"/>
  <c r="AP103" i="11"/>
  <c r="O79" i="11"/>
  <c r="O65" i="12"/>
  <c r="O66" i="12" s="1"/>
  <c r="I135" i="12"/>
  <c r="O58" i="11"/>
  <c r="AJ21" i="12"/>
  <c r="AJ78" i="12" s="1"/>
  <c r="AK26" i="12"/>
  <c r="AK124" i="12" s="1"/>
  <c r="AV61" i="12"/>
  <c r="BB68" i="11"/>
  <c r="AG71" i="12"/>
  <c r="AG72" i="12" s="1"/>
  <c r="AG73" i="12"/>
  <c r="V40" i="11"/>
  <c r="AB53" i="11" s="1"/>
  <c r="V69" i="11"/>
  <c r="Y34" i="11"/>
  <c r="I58" i="11"/>
  <c r="O16" i="12"/>
  <c r="D150" i="12"/>
  <c r="U129" i="12"/>
  <c r="BC103" i="11"/>
  <c r="BI110" i="11" s="1"/>
  <c r="BM58" i="12"/>
  <c r="S34" i="11"/>
  <c r="AA67" i="11"/>
  <c r="U58" i="11"/>
  <c r="AI46" i="13"/>
  <c r="AI59" i="13"/>
  <c r="AI81" i="10"/>
  <c r="Q156" i="12"/>
  <c r="Q153" i="12"/>
  <c r="Q157" i="12"/>
  <c r="AU87" i="12"/>
  <c r="AU155" i="12"/>
  <c r="AU153" i="12"/>
  <c r="AG69" i="11"/>
  <c r="AG40" i="11"/>
  <c r="J152" i="12"/>
  <c r="J155" i="12"/>
  <c r="J156" i="12"/>
  <c r="J151" i="12"/>
  <c r="J150" i="12"/>
  <c r="J157" i="12"/>
  <c r="P17" i="12"/>
  <c r="J154" i="12"/>
  <c r="J153" i="12"/>
  <c r="BG61" i="12"/>
  <c r="BI65" i="12"/>
  <c r="W49" i="11"/>
  <c r="AV85" i="12"/>
  <c r="BO34" i="12"/>
  <c r="BM68" i="11"/>
  <c r="BM83" i="11" s="1"/>
  <c r="AW48" i="11"/>
  <c r="G152" i="12"/>
  <c r="G156" i="12"/>
  <c r="AH40" i="11"/>
  <c r="AH53" i="11" s="1"/>
  <c r="AH69" i="11"/>
  <c r="K45" i="13"/>
  <c r="K9" i="13"/>
  <c r="K58" i="13"/>
  <c r="Q58" i="13"/>
  <c r="AM40" i="11"/>
  <c r="AP58" i="11"/>
  <c r="U79" i="11"/>
  <c r="AP20" i="11"/>
  <c r="CW21" i="11" s="1"/>
  <c r="AU39" i="11"/>
  <c r="BA52" i="11" s="1"/>
  <c r="AY83" i="11"/>
  <c r="BE66" i="11"/>
  <c r="BE81" i="11" s="1"/>
  <c r="AO39" i="11"/>
  <c r="CW7" i="11"/>
  <c r="G154" i="12"/>
  <c r="BO69" i="11"/>
  <c r="AP135" i="12"/>
  <c r="AJ86" i="12"/>
  <c r="AJ76" i="12"/>
  <c r="AJ129" i="12"/>
  <c r="AC17" i="12"/>
  <c r="Q37" i="11"/>
  <c r="AP148" i="12"/>
  <c r="BF22" i="11"/>
  <c r="DG23" i="11" s="1"/>
  <c r="DG9" i="11"/>
  <c r="Y121" i="12"/>
  <c r="AW13" i="12"/>
  <c r="AV16" i="12"/>
  <c r="BC112" i="11"/>
  <c r="AP70" i="12"/>
  <c r="AP73" i="12" s="1"/>
  <c r="AO66" i="11"/>
  <c r="AU81" i="11" s="1"/>
  <c r="BI70" i="12"/>
  <c r="BI73" i="12" s="1"/>
  <c r="BH22" i="11"/>
  <c r="DI23" i="11" s="1"/>
  <c r="G151" i="12"/>
  <c r="AV10" i="13"/>
  <c r="AW9" i="12"/>
  <c r="AV82" i="12"/>
  <c r="AV83" i="12"/>
  <c r="Y68" i="11"/>
  <c r="K151" i="12"/>
  <c r="K154" i="12"/>
  <c r="BE13" i="12"/>
  <c r="BE118" i="12" s="1"/>
  <c r="BE87" i="13"/>
  <c r="S63" i="13"/>
  <c r="V87" i="13"/>
  <c r="AJ60" i="13"/>
  <c r="AE82" i="10"/>
  <c r="AP70" i="10"/>
  <c r="BB49" i="13"/>
  <c r="BB137" i="10"/>
  <c r="BC32" i="13"/>
  <c r="AP71" i="10"/>
  <c r="AY41" i="11"/>
  <c r="BA72" i="10"/>
  <c r="AG72" i="10"/>
  <c r="BI32" i="13"/>
  <c r="AP52" i="13"/>
  <c r="AJ22" i="13"/>
  <c r="AJ137" i="10" s="1"/>
  <c r="AJ52" i="13"/>
  <c r="AH22" i="13"/>
  <c r="AK12" i="13"/>
  <c r="AJ44" i="13"/>
  <c r="Y15" i="13"/>
  <c r="Y52" i="13" s="1"/>
  <c r="Y44" i="13"/>
  <c r="AS102" i="13"/>
  <c r="AP60" i="13"/>
  <c r="L60" i="13"/>
  <c r="D15" i="13"/>
  <c r="J73" i="11"/>
  <c r="AT36" i="11"/>
  <c r="AT33" i="11" s="1"/>
  <c r="BH48" i="11"/>
  <c r="BB48" i="11"/>
  <c r="AY47" i="11"/>
  <c r="BE47" i="11"/>
  <c r="BC17" i="11"/>
  <c r="BC26" i="11"/>
  <c r="BW36" i="11"/>
  <c r="BU26" i="11"/>
  <c r="BO26" i="11"/>
  <c r="BI26" i="11"/>
  <c r="BE22" i="13"/>
  <c r="BE29" i="13" s="1"/>
  <c r="AN52" i="13"/>
  <c r="AN87" i="13"/>
  <c r="BS18" i="13"/>
  <c r="BS71" i="13"/>
  <c r="BT19" i="13"/>
  <c r="X29" i="13"/>
  <c r="X54" i="13" s="1"/>
  <c r="BB96" i="13"/>
  <c r="AS22" i="13"/>
  <c r="AS64" i="13" s="1"/>
  <c r="BG96" i="13"/>
  <c r="BG52" i="13"/>
  <c r="BG22" i="13"/>
  <c r="BG87" i="13"/>
  <c r="AJ71" i="10"/>
  <c r="AI49" i="13"/>
  <c r="AI137" i="10"/>
  <c r="AO29" i="13"/>
  <c r="AO64" i="13"/>
  <c r="AO88" i="13"/>
  <c r="AO137" i="10"/>
  <c r="X137" i="10"/>
  <c r="S95" i="11"/>
  <c r="BI70" i="10"/>
  <c r="BA22" i="13"/>
  <c r="V22" i="13"/>
  <c r="AJ70" i="10"/>
  <c r="AE63" i="13"/>
  <c r="AK32" i="13"/>
  <c r="BB102" i="13"/>
  <c r="AS87" i="13"/>
  <c r="AP87" i="13"/>
  <c r="AS52" i="13"/>
  <c r="AO91" i="11"/>
  <c r="AN22" i="13"/>
  <c r="AT88" i="13" s="1"/>
  <c r="U91" i="11"/>
  <c r="U29" i="13"/>
  <c r="U53" i="13"/>
  <c r="U64" i="13"/>
  <c r="G12" i="13"/>
  <c r="M60" i="13" s="1"/>
  <c r="AE60" i="13"/>
  <c r="Y70" i="10"/>
  <c r="P8" i="40"/>
  <c r="Q8" i="13"/>
  <c r="AZ72" i="10"/>
  <c r="AZ95" i="13"/>
  <c r="BA96" i="13"/>
  <c r="BQ74" i="13"/>
  <c r="BY35" i="11"/>
  <c r="BY30" i="12"/>
  <c r="BY27" i="12"/>
  <c r="BY34" i="11"/>
  <c r="AK127" i="12"/>
  <c r="AK9" i="11"/>
  <c r="O53" i="12"/>
  <c r="O54" i="12" s="1"/>
  <c r="I55" i="12"/>
  <c r="I49" i="12"/>
  <c r="O50" i="12" s="1"/>
  <c r="O51" i="12" s="1"/>
  <c r="BE110" i="11"/>
  <c r="DB36" i="11"/>
  <c r="DB49" i="11" s="1"/>
  <c r="AY110" i="11"/>
  <c r="AB73" i="12"/>
  <c r="AB71" i="12"/>
  <c r="AB72" i="12" s="1"/>
  <c r="G73" i="12"/>
  <c r="M71" i="12"/>
  <c r="AD47" i="11"/>
  <c r="X33" i="11"/>
  <c r="AD46" i="11" s="1"/>
  <c r="AH71" i="12"/>
  <c r="AH72" i="12" s="1"/>
  <c r="AB82" i="11"/>
  <c r="AC73" i="11"/>
  <c r="BB85" i="12"/>
  <c r="BB11" i="13"/>
  <c r="BB16" i="12"/>
  <c r="BB84" i="12"/>
  <c r="BC13" i="12"/>
  <c r="BB129" i="12"/>
  <c r="BH129" i="12"/>
  <c r="AD78" i="12"/>
  <c r="BI116" i="12"/>
  <c r="BO7" i="12"/>
  <c r="P79" i="11"/>
  <c r="K35" i="12"/>
  <c r="K81" i="12" s="1"/>
  <c r="Q64" i="11"/>
  <c r="L32" i="12"/>
  <c r="Q32" i="12"/>
  <c r="AW64" i="12"/>
  <c r="AW133" i="12"/>
  <c r="BB130" i="12"/>
  <c r="DE9" i="11"/>
  <c r="BC9" i="11"/>
  <c r="BC127" i="12"/>
  <c r="BI127" i="12"/>
  <c r="BB135" i="12"/>
  <c r="U35" i="12"/>
  <c r="U81" i="12" s="1"/>
  <c r="AA32" i="12"/>
  <c r="AA64" i="11"/>
  <c r="U126" i="12"/>
  <c r="AS39" i="11"/>
  <c r="AY52" i="11" s="1"/>
  <c r="BF110" i="11"/>
  <c r="DC48" i="11"/>
  <c r="DG48" i="11"/>
  <c r="DC47" i="11"/>
  <c r="DG47" i="11"/>
  <c r="L55" i="12"/>
  <c r="L49" i="12"/>
  <c r="AA45" i="11"/>
  <c r="AA51" i="11"/>
  <c r="AG49" i="11"/>
  <c r="AO29" i="12"/>
  <c r="I68" i="12"/>
  <c r="I69" i="12" s="1"/>
  <c r="L121" i="12"/>
  <c r="F9" i="12"/>
  <c r="AZ46" i="13"/>
  <c r="AZ81" i="10"/>
  <c r="AO73" i="12"/>
  <c r="AU71" i="12"/>
  <c r="AU72" i="12" s="1"/>
  <c r="AO71" i="12"/>
  <c r="AO72" i="12" s="1"/>
  <c r="W39" i="11"/>
  <c r="AC52" i="11" s="1"/>
  <c r="W66" i="11"/>
  <c r="BS38" i="11"/>
  <c r="BS59" i="12"/>
  <c r="AA83" i="11"/>
  <c r="U83" i="11"/>
  <c r="AS73" i="12"/>
  <c r="AS71" i="12"/>
  <c r="AS72" i="12" s="1"/>
  <c r="BB10" i="13"/>
  <c r="BB120" i="12"/>
  <c r="BB118" i="12"/>
  <c r="BB119" i="12" s="1"/>
  <c r="BB76" i="12"/>
  <c r="BC9" i="12"/>
  <c r="BC77" i="12" s="1"/>
  <c r="BB77" i="12"/>
  <c r="BB82" i="12"/>
  <c r="BA59" i="13"/>
  <c r="BE135" i="12"/>
  <c r="BH130" i="12"/>
  <c r="J38" i="12"/>
  <c r="J80" i="12"/>
  <c r="J79" i="12"/>
  <c r="J41" i="12"/>
  <c r="J81" i="12"/>
  <c r="V64" i="11"/>
  <c r="V32" i="12"/>
  <c r="P35" i="12"/>
  <c r="P126" i="12"/>
  <c r="AV76" i="12"/>
  <c r="AV86" i="12"/>
  <c r="AV130" i="12"/>
  <c r="AV84" i="12"/>
  <c r="AV65" i="12"/>
  <c r="AV66" i="12" s="1"/>
  <c r="BB66" i="11"/>
  <c r="BB64" i="12"/>
  <c r="BB86" i="12"/>
  <c r="BC67" i="12"/>
  <c r="BC134" i="12"/>
  <c r="BE10" i="13"/>
  <c r="BE120" i="12"/>
  <c r="BE82" i="12"/>
  <c r="BE83" i="12"/>
  <c r="L130" i="12"/>
  <c r="O61" i="11"/>
  <c r="AG39" i="11"/>
  <c r="AG66" i="11"/>
  <c r="AY36" i="11"/>
  <c r="AY33" i="11" s="1"/>
  <c r="BC34" i="12"/>
  <c r="AH36" i="11"/>
  <c r="AH33" i="11" s="1"/>
  <c r="AV36" i="11"/>
  <c r="BB49" i="11" s="1"/>
  <c r="AN73" i="11"/>
  <c r="AI73" i="11"/>
  <c r="P73" i="11"/>
  <c r="AH124" i="12"/>
  <c r="AN62" i="11"/>
  <c r="AE123" i="11"/>
  <c r="AI39" i="11"/>
  <c r="AI52" i="11" s="1"/>
  <c r="AZ36" i="11"/>
  <c r="AN26" i="12"/>
  <c r="AQ21" i="10"/>
  <c r="AQ65" i="10"/>
  <c r="AQ62" i="10"/>
  <c r="M65" i="10"/>
  <c r="M21" i="10"/>
  <c r="M62" i="10"/>
  <c r="BC59" i="10"/>
  <c r="W97" i="10"/>
  <c r="W98" i="10" s="1"/>
  <c r="W87" i="40"/>
  <c r="W33" i="9"/>
  <c r="BB73" i="9"/>
  <c r="M64" i="9"/>
  <c r="M73" i="9" s="1"/>
  <c r="R97" i="10"/>
  <c r="S28" i="9"/>
  <c r="R87" i="40"/>
  <c r="AE64" i="9"/>
  <c r="AE73" i="9" s="1"/>
  <c r="AD73" i="9"/>
  <c r="AK65" i="9"/>
  <c r="AJ75" i="9"/>
  <c r="AK75" i="9" s="1"/>
  <c r="AE42" i="9"/>
  <c r="AC25" i="9"/>
  <c r="AC54" i="9" s="1"/>
  <c r="AC59" i="9" s="1"/>
  <c r="AE65" i="9"/>
  <c r="AD75" i="9"/>
  <c r="AE75" i="9" s="1"/>
  <c r="AK64" i="9"/>
  <c r="AJ73" i="9"/>
  <c r="AQ65" i="9"/>
  <c r="AP75" i="9"/>
  <c r="AQ75" i="9" s="1"/>
  <c r="AW64" i="9"/>
  <c r="AH46" i="40"/>
  <c r="AV64" i="40"/>
  <c r="AV88" i="40" s="1"/>
  <c r="AU88" i="40"/>
  <c r="AI69" i="11"/>
  <c r="AI40" i="11"/>
  <c r="AI53" i="11" s="1"/>
  <c r="BB51" i="11"/>
  <c r="BH51" i="11"/>
  <c r="AO36" i="11"/>
  <c r="AO49" i="11" s="1"/>
  <c r="AQ34" i="12"/>
  <c r="AY81" i="11"/>
  <c r="G41" i="11"/>
  <c r="M58" i="11"/>
  <c r="AV63" i="11"/>
  <c r="AV29" i="12"/>
  <c r="AP125" i="12"/>
  <c r="BQ15" i="40"/>
  <c r="BR15" i="40" s="1"/>
  <c r="BS15" i="40" s="1"/>
  <c r="BT15" i="40" s="1"/>
  <c r="BU15" i="40" s="1"/>
  <c r="BU36" i="40" s="1"/>
  <c r="AQ82" i="10"/>
  <c r="Y82" i="10"/>
  <c r="AJ87" i="13"/>
  <c r="AP26" i="40"/>
  <c r="AT25" i="40"/>
  <c r="AU46" i="40" s="1"/>
  <c r="AT26" i="40"/>
  <c r="AV25" i="40"/>
  <c r="AV46" i="40" s="1"/>
  <c r="AV26" i="40"/>
  <c r="BI26" i="40"/>
  <c r="BZ77" i="40"/>
  <c r="CA77" i="40" s="1"/>
  <c r="BC43" i="40"/>
  <c r="BC44" i="40" s="1"/>
  <c r="AM44" i="40"/>
  <c r="AJ64" i="40"/>
  <c r="AJ88" i="40" s="1"/>
  <c r="BQ22" i="40"/>
  <c r="BR22" i="40" s="1"/>
  <c r="BS22" i="40" s="1"/>
  <c r="BT22" i="40" s="1"/>
  <c r="BU22" i="40" s="1"/>
  <c r="BW22" i="40" s="1"/>
  <c r="BX22" i="40" s="1"/>
  <c r="BY22" i="40" s="1"/>
  <c r="BZ22" i="40" s="1"/>
  <c r="CA22" i="40" s="1"/>
  <c r="AB44" i="40"/>
  <c r="AK25" i="40"/>
  <c r="AM46" i="40" s="1"/>
  <c r="AE71" i="40"/>
  <c r="AW44" i="40"/>
  <c r="AO77" i="40"/>
  <c r="AG44" i="40"/>
  <c r="AO26" i="40"/>
  <c r="BI77" i="40"/>
  <c r="AE44" i="40"/>
  <c r="AS44" i="40"/>
  <c r="BY72" i="40"/>
  <c r="BZ69" i="40"/>
  <c r="AC88" i="40"/>
  <c r="AD64" i="40"/>
  <c r="AD88" i="40" s="1"/>
  <c r="BK23" i="40"/>
  <c r="BK25" i="40" s="1"/>
  <c r="BK46" i="40" s="1"/>
  <c r="BM72" i="40"/>
  <c r="X74" i="40"/>
  <c r="Y74" i="40" s="1"/>
  <c r="Y76" i="40"/>
  <c r="AY44" i="40"/>
  <c r="AC44" i="40"/>
  <c r="AQ72" i="40"/>
  <c r="Q88" i="40"/>
  <c r="R64" i="40"/>
  <c r="R88" i="40" s="1"/>
  <c r="AY25" i="40"/>
  <c r="AZ46" i="40" s="1"/>
  <c r="AY26" i="40"/>
  <c r="Y25" i="40"/>
  <c r="AA46" i="40" s="1"/>
  <c r="Y26" i="40"/>
  <c r="U59" i="40"/>
  <c r="AI77" i="40"/>
  <c r="AJ75" i="40"/>
  <c r="W72" i="40"/>
  <c r="X70" i="40"/>
  <c r="BB25" i="40"/>
  <c r="BB26" i="40"/>
  <c r="AB25" i="40"/>
  <c r="AB46" i="40" s="1"/>
  <c r="AB26" i="40"/>
  <c r="AD26" i="40"/>
  <c r="AD25" i="40"/>
  <c r="AD46" i="40" s="1"/>
  <c r="AV77" i="40"/>
  <c r="AW77" i="40" s="1"/>
  <c r="AW74" i="40"/>
  <c r="Y69" i="40"/>
  <c r="X72" i="40"/>
  <c r="W61" i="40"/>
  <c r="V67" i="40"/>
  <c r="V57" i="40"/>
  <c r="V60" i="40" s="1"/>
  <c r="V62" i="40"/>
  <c r="V58" i="40" s="1"/>
  <c r="AV70" i="40"/>
  <c r="AV72" i="40" s="1"/>
  <c r="AU72" i="40"/>
  <c r="BE44" i="40"/>
  <c r="BT72" i="40"/>
  <c r="BU72" i="40" s="1"/>
  <c r="BO70" i="40"/>
  <c r="AQ44" i="40"/>
  <c r="BC25" i="40"/>
  <c r="BE46" i="40" s="1"/>
  <c r="BC26" i="40"/>
  <c r="AD69" i="40"/>
  <c r="AC72" i="40"/>
  <c r="BO74" i="40"/>
  <c r="BN77" i="40"/>
  <c r="BO77" i="40" s="1"/>
  <c r="AK44" i="40"/>
  <c r="BI43" i="40"/>
  <c r="BI44" i="40" s="1"/>
  <c r="BQ24" i="40"/>
  <c r="BO24" i="40"/>
  <c r="AE26" i="40"/>
  <c r="AE25" i="40"/>
  <c r="BS77" i="40"/>
  <c r="BT74" i="40"/>
  <c r="BG72" i="40"/>
  <c r="BH69" i="40"/>
  <c r="BB77" i="40"/>
  <c r="BC77" i="40" s="1"/>
  <c r="BC74" i="40"/>
  <c r="AP46" i="40"/>
  <c r="BU31" i="40"/>
  <c r="BW10" i="40"/>
  <c r="BX10" i="40" s="1"/>
  <c r="BY10" i="40" s="1"/>
  <c r="BZ10" i="40" s="1"/>
  <c r="CA10" i="40" s="1"/>
  <c r="BG26" i="40"/>
  <c r="BG25" i="40"/>
  <c r="BO69" i="40"/>
  <c r="BN72" i="40"/>
  <c r="BA25" i="40"/>
  <c r="BA26" i="40"/>
  <c r="AD77" i="40"/>
  <c r="AE75" i="40"/>
  <c r="K57" i="40"/>
  <c r="L64" i="40"/>
  <c r="AW63" i="40"/>
  <c r="AQ26" i="40"/>
  <c r="AQ25" i="40"/>
  <c r="AW46" i="40" s="1"/>
  <c r="AN46" i="40"/>
  <c r="AI46" i="40"/>
  <c r="AQ95" i="11"/>
  <c r="W32" i="13"/>
  <c r="BC24" i="11"/>
  <c r="AM29" i="13"/>
  <c r="AM64" i="13"/>
  <c r="AM88" i="13"/>
  <c r="AM137" i="10"/>
  <c r="AM91" i="11"/>
  <c r="AM49" i="13"/>
  <c r="AM53" i="13"/>
  <c r="R29" i="13"/>
  <c r="X64" i="13"/>
  <c r="R137" i="10"/>
  <c r="X88" i="13"/>
  <c r="R49" i="13"/>
  <c r="X91" i="11"/>
  <c r="X53" i="13"/>
  <c r="R57" i="10"/>
  <c r="AW12" i="13"/>
  <c r="BB13" i="13"/>
  <c r="AV44" i="13"/>
  <c r="AV95" i="13" s="1"/>
  <c r="BB60" i="13"/>
  <c r="AV71" i="10"/>
  <c r="AV15" i="13"/>
  <c r="AV70" i="10"/>
  <c r="AV60" i="13"/>
  <c r="AM95" i="13"/>
  <c r="AU96" i="13"/>
  <c r="AU102" i="13"/>
  <c r="BC15" i="13"/>
  <c r="BI87" i="13" s="1"/>
  <c r="BC71" i="10"/>
  <c r="BC44" i="13"/>
  <c r="BC95" i="13" s="1"/>
  <c r="BC70" i="10"/>
  <c r="BC72" i="10" s="1"/>
  <c r="AY95" i="13"/>
  <c r="AY22" i="13"/>
  <c r="AY52" i="13"/>
  <c r="AY87" i="13"/>
  <c r="BE96" i="13"/>
  <c r="BE102" i="13"/>
  <c r="BI69" i="13"/>
  <c r="BF25" i="13"/>
  <c r="BF26" i="13" s="1"/>
  <c r="AE73" i="13"/>
  <c r="AE32" i="13" s="1"/>
  <c r="AA30" i="13"/>
  <c r="P32" i="13"/>
  <c r="S73" i="13"/>
  <c r="S74" i="13" s="1"/>
  <c r="P30" i="13"/>
  <c r="M74" i="13"/>
  <c r="F74" i="13"/>
  <c r="F30" i="13"/>
  <c r="G30" i="13" s="1"/>
  <c r="DC17" i="11"/>
  <c r="AZ70" i="11"/>
  <c r="AZ41" i="11"/>
  <c r="AS17" i="11"/>
  <c r="CX11" i="11"/>
  <c r="AS24" i="11"/>
  <c r="CX25" i="11" s="1"/>
  <c r="AO41" i="11"/>
  <c r="CV17" i="11"/>
  <c r="AO27" i="11"/>
  <c r="CV28" i="11" s="1"/>
  <c r="AM17" i="11"/>
  <c r="CT11" i="11"/>
  <c r="AM24" i="11"/>
  <c r="CT25" i="11" s="1"/>
  <c r="AP27" i="11"/>
  <c r="CS17" i="11"/>
  <c r="AJ41" i="11"/>
  <c r="AJ27" i="11"/>
  <c r="Q164" i="10"/>
  <c r="Q165" i="10" s="1"/>
  <c r="Q166" i="10" s="1"/>
  <c r="Q49" i="13"/>
  <c r="Q29" i="13"/>
  <c r="AW24" i="11"/>
  <c r="W64" i="13"/>
  <c r="Q57" i="10"/>
  <c r="Q137" i="10"/>
  <c r="BE52" i="13"/>
  <c r="AU27" i="11"/>
  <c r="CZ28" i="11" s="1"/>
  <c r="BI60" i="13"/>
  <c r="AC87" i="13"/>
  <c r="AI87" i="13"/>
  <c r="AC52" i="13"/>
  <c r="AI52" i="13"/>
  <c r="AC22" i="13"/>
  <c r="AT29" i="13"/>
  <c r="AT49" i="13"/>
  <c r="AT137" i="10"/>
  <c r="AW63" i="13"/>
  <c r="AW95" i="11"/>
  <c r="AI54" i="13"/>
  <c r="AI31" i="13"/>
  <c r="Y22" i="13"/>
  <c r="AJ28" i="11"/>
  <c r="BK32" i="13"/>
  <c r="BB14" i="13"/>
  <c r="BB31" i="13"/>
  <c r="BB54" i="13"/>
  <c r="AT96" i="13"/>
  <c r="AT102" i="13"/>
  <c r="AT52" i="13"/>
  <c r="AZ52" i="13"/>
  <c r="AT87" i="13"/>
  <c r="AZ87" i="13"/>
  <c r="AU87" i="13"/>
  <c r="BA87" i="13"/>
  <c r="AU22" i="13"/>
  <c r="AU52" i="13"/>
  <c r="BA52" i="13"/>
  <c r="BC69" i="13"/>
  <c r="BA25" i="13"/>
  <c r="BE72" i="10"/>
  <c r="BY71" i="13"/>
  <c r="BZ19" i="13"/>
  <c r="BY18" i="13"/>
  <c r="AC32" i="13"/>
  <c r="AA32" i="13"/>
  <c r="X32" i="13"/>
  <c r="U30" i="13"/>
  <c r="Y30" i="13" s="1"/>
  <c r="Y73" i="13"/>
  <c r="Y32" i="13" s="1"/>
  <c r="M32" i="13"/>
  <c r="M30" i="13"/>
  <c r="G73" i="13"/>
  <c r="G74" i="13" s="1"/>
  <c r="AI27" i="11"/>
  <c r="AC70" i="11"/>
  <c r="AC27" i="11"/>
  <c r="AI28" i="11" s="1"/>
  <c r="AC41" i="11"/>
  <c r="BC82" i="10"/>
  <c r="BC63" i="13"/>
  <c r="AD53" i="13"/>
  <c r="AD88" i="13"/>
  <c r="AD137" i="10"/>
  <c r="AD49" i="13"/>
  <c r="AD91" i="11"/>
  <c r="AD64" i="13"/>
  <c r="AD29" i="13"/>
  <c r="W137" i="10"/>
  <c r="W139" i="10" s="1"/>
  <c r="W140" i="10" s="1"/>
  <c r="W141" i="10" s="1"/>
  <c r="W135" i="10" s="1"/>
  <c r="W53" i="13"/>
  <c r="W29" i="13"/>
  <c r="W88" i="13"/>
  <c r="W49" i="13"/>
  <c r="P57" i="10"/>
  <c r="S60" i="13"/>
  <c r="AW7" i="13"/>
  <c r="BH137" i="10"/>
  <c r="BH91" i="11"/>
  <c r="BH29" i="13"/>
  <c r="BH88" i="13"/>
  <c r="BH64" i="13"/>
  <c r="BH53" i="13"/>
  <c r="BH49" i="13"/>
  <c r="AZ137" i="10"/>
  <c r="AZ49" i="13"/>
  <c r="AZ64" i="13"/>
  <c r="AZ91" i="11"/>
  <c r="AZ29" i="13"/>
  <c r="AZ88" i="13"/>
  <c r="AZ53" i="13"/>
  <c r="AU41" i="11"/>
  <c r="CZ17" i="11"/>
  <c r="AU70" i="11"/>
  <c r="BH41" i="11"/>
  <c r="DI17" i="11"/>
  <c r="BH27" i="11"/>
  <c r="DI28" i="11" s="1"/>
  <c r="BI22" i="13"/>
  <c r="DD17" i="11"/>
  <c r="BA27" i="11"/>
  <c r="BA41" i="11"/>
  <c r="BA70" i="11"/>
  <c r="BF41" i="11"/>
  <c r="BF27" i="11"/>
  <c r="DG28" i="11" s="1"/>
  <c r="DG17" i="11"/>
  <c r="BA102" i="13"/>
  <c r="BC98" i="13"/>
  <c r="DH17" i="11"/>
  <c r="BG41" i="11"/>
  <c r="BG27" i="11"/>
  <c r="DH28" i="11" s="1"/>
  <c r="AN70" i="11"/>
  <c r="AA130" i="12"/>
  <c r="D155" i="12"/>
  <c r="AT17" i="12"/>
  <c r="AN151" i="12"/>
  <c r="AN157" i="12"/>
  <c r="AN155" i="12"/>
  <c r="AN17" i="12"/>
  <c r="AN153" i="12"/>
  <c r="AN150" i="12"/>
  <c r="AN152" i="12"/>
  <c r="AN156" i="12"/>
  <c r="BA46" i="12"/>
  <c r="AW46" i="12"/>
  <c r="DG46" i="11"/>
  <c r="AI78" i="11"/>
  <c r="AI48" i="11"/>
  <c r="AC48" i="11"/>
  <c r="AC75" i="11"/>
  <c r="AZ17" i="12"/>
  <c r="AZ152" i="12"/>
  <c r="AZ156" i="12"/>
  <c r="AZ157" i="12"/>
  <c r="AZ153" i="12"/>
  <c r="AZ154" i="12"/>
  <c r="AZ155" i="12"/>
  <c r="AZ150" i="12"/>
  <c r="BF70" i="11"/>
  <c r="AS46" i="13"/>
  <c r="AY59" i="13"/>
  <c r="AS59" i="13"/>
  <c r="AS81" i="10"/>
  <c r="AC45" i="11"/>
  <c r="U48" i="11"/>
  <c r="AA48" i="11"/>
  <c r="I65" i="12"/>
  <c r="I66" i="12" s="1"/>
  <c r="C70" i="12"/>
  <c r="BU53" i="11"/>
  <c r="J69" i="11"/>
  <c r="J40" i="11"/>
  <c r="Q39" i="11"/>
  <c r="Q66" i="11"/>
  <c r="F64" i="12"/>
  <c r="F70" i="12" s="1"/>
  <c r="F133" i="12"/>
  <c r="L7" i="11"/>
  <c r="BA87" i="12"/>
  <c r="BA150" i="12"/>
  <c r="BA152" i="12"/>
  <c r="BA155" i="12"/>
  <c r="BA156" i="12"/>
  <c r="BA151" i="12"/>
  <c r="BA157" i="12"/>
  <c r="BA154" i="12"/>
  <c r="BA17" i="12"/>
  <c r="BA153" i="12"/>
  <c r="BG70" i="11"/>
  <c r="AW121" i="12"/>
  <c r="AQ133" i="12"/>
  <c r="U33" i="11"/>
  <c r="D151" i="12"/>
  <c r="D152" i="12"/>
  <c r="O82" i="12"/>
  <c r="O77" i="12"/>
  <c r="O118" i="12"/>
  <c r="O119" i="12" s="1"/>
  <c r="O10" i="13"/>
  <c r="O76" i="12"/>
  <c r="O120" i="12"/>
  <c r="R52" i="12"/>
  <c r="S11" i="12"/>
  <c r="R7" i="11"/>
  <c r="R133" i="12"/>
  <c r="R127" i="12"/>
  <c r="Y122" i="12"/>
  <c r="Y22" i="12"/>
  <c r="Y23" i="12" s="1"/>
  <c r="AH60" i="11"/>
  <c r="AB122" i="12"/>
  <c r="AB78" i="12"/>
  <c r="AH21" i="12"/>
  <c r="AO69" i="11"/>
  <c r="AO40" i="11"/>
  <c r="X47" i="11"/>
  <c r="R33" i="11"/>
  <c r="K75" i="11"/>
  <c r="S60" i="11"/>
  <c r="S32" i="11"/>
  <c r="AA129" i="12"/>
  <c r="U11" i="13"/>
  <c r="U16" i="12"/>
  <c r="U85" i="12"/>
  <c r="U84" i="12"/>
  <c r="AG20" i="11"/>
  <c r="CP21" i="11" s="1"/>
  <c r="AA20" i="11"/>
  <c r="AE127" i="12"/>
  <c r="Y52" i="12"/>
  <c r="O68" i="12"/>
  <c r="O69" i="12" s="1"/>
  <c r="O70" i="12"/>
  <c r="O83" i="12"/>
  <c r="U67" i="11"/>
  <c r="O135" i="12"/>
  <c r="X70" i="12"/>
  <c r="DH49" i="11"/>
  <c r="AI33" i="11"/>
  <c r="AI49" i="11"/>
  <c r="AJ33" i="11"/>
  <c r="AJ49" i="11"/>
  <c r="AP49" i="11"/>
  <c r="AC49" i="11"/>
  <c r="U86" i="12"/>
  <c r="D154" i="12"/>
  <c r="D153" i="12"/>
  <c r="D157" i="12"/>
  <c r="O84" i="12"/>
  <c r="Q75" i="11"/>
  <c r="BQ49" i="11"/>
  <c r="W33" i="11"/>
  <c r="DC50" i="11"/>
  <c r="DG50" i="11"/>
  <c r="P40" i="11"/>
  <c r="P69" i="11"/>
  <c r="BB67" i="11"/>
  <c r="AV68" i="12"/>
  <c r="AV69" i="12" s="1"/>
  <c r="BB69" i="11"/>
  <c r="AV70" i="12"/>
  <c r="AV73" i="12" s="1"/>
  <c r="BC133" i="12"/>
  <c r="BC121" i="12"/>
  <c r="AA122" i="12"/>
  <c r="AG60" i="11"/>
  <c r="AA78" i="12"/>
  <c r="AE21" i="12"/>
  <c r="AG21" i="12"/>
  <c r="U49" i="12"/>
  <c r="BE83" i="11"/>
  <c r="DH48" i="11"/>
  <c r="DD48" i="11"/>
  <c r="CZ50" i="11"/>
  <c r="DD50" i="11"/>
  <c r="Q73" i="11"/>
  <c r="W73" i="11"/>
  <c r="Q82" i="11"/>
  <c r="W82" i="11"/>
  <c r="AB33" i="11"/>
  <c r="AB49" i="11"/>
  <c r="Y78" i="12"/>
  <c r="AD68" i="12"/>
  <c r="AD69" i="12" s="1"/>
  <c r="AD69" i="11" s="1"/>
  <c r="CS7" i="11"/>
  <c r="AJ58" i="11"/>
  <c r="AD135" i="12"/>
  <c r="AE133" i="12"/>
  <c r="AE121" i="12"/>
  <c r="U70" i="12"/>
  <c r="U65" i="12"/>
  <c r="U66" i="12" s="1"/>
  <c r="AA65" i="12"/>
  <c r="AA66" i="12" s="1"/>
  <c r="AA118" i="12"/>
  <c r="AA119" i="12" s="1"/>
  <c r="U82" i="12"/>
  <c r="AA120" i="12"/>
  <c r="U10" i="13"/>
  <c r="U118" i="12"/>
  <c r="U119" i="12" s="1"/>
  <c r="U77" i="12"/>
  <c r="U83" i="12"/>
  <c r="U76" i="12"/>
  <c r="U120" i="12"/>
  <c r="U130" i="12"/>
  <c r="AD127" i="12"/>
  <c r="X127" i="12"/>
  <c r="X9" i="12"/>
  <c r="Y9" i="12" s="1"/>
  <c r="AD7" i="11"/>
  <c r="X133" i="12"/>
  <c r="X7" i="11"/>
  <c r="S15" i="12"/>
  <c r="S67" i="12" s="1"/>
  <c r="R13" i="12"/>
  <c r="R67" i="12"/>
  <c r="AS150" i="12"/>
  <c r="AS94" i="13"/>
  <c r="AS151" i="12"/>
  <c r="AS156" i="12"/>
  <c r="AS154" i="12"/>
  <c r="AS153" i="12"/>
  <c r="AS87" i="12"/>
  <c r="AS17" i="12"/>
  <c r="AY70" i="11"/>
  <c r="AS157" i="12"/>
  <c r="AS155" i="12"/>
  <c r="AS152" i="12"/>
  <c r="Y67" i="12"/>
  <c r="BA81" i="11"/>
  <c r="U68" i="12"/>
  <c r="U69" i="12" s="1"/>
  <c r="AV135" i="12"/>
  <c r="AQ82" i="12"/>
  <c r="AY17" i="12"/>
  <c r="AB48" i="10"/>
  <c r="I42" i="10"/>
  <c r="I43" i="10" s="1"/>
  <c r="S124" i="10"/>
  <c r="AQ47" i="10"/>
  <c r="AS50" i="40"/>
  <c r="AQ63" i="10"/>
  <c r="AQ64" i="10"/>
  <c r="AS84" i="40"/>
  <c r="X97" i="10"/>
  <c r="X87" i="40"/>
  <c r="Y28" i="9"/>
  <c r="X33" i="9"/>
  <c r="AI97" i="10"/>
  <c r="AJ28" i="9"/>
  <c r="AK28" i="9" s="1"/>
  <c r="AI33" i="9"/>
  <c r="AI87" i="40"/>
  <c r="AU97" i="10"/>
  <c r="AV28" i="9"/>
  <c r="AU87" i="40"/>
  <c r="AU33" i="9"/>
  <c r="G55" i="9"/>
  <c r="G77" i="10"/>
  <c r="BM152" i="10"/>
  <c r="AC97" i="10"/>
  <c r="AD28" i="9"/>
  <c r="AC87" i="40"/>
  <c r="AE28" i="9"/>
  <c r="AC33" i="9"/>
  <c r="AO97" i="10"/>
  <c r="AP28" i="9"/>
  <c r="AQ28" i="9" s="1"/>
  <c r="AO87" i="40"/>
  <c r="AO33" i="9"/>
  <c r="BA97" i="10"/>
  <c r="BB28" i="9"/>
  <c r="BC28" i="9" s="1"/>
  <c r="BA33" i="9"/>
  <c r="BA87" i="40"/>
  <c r="O75" i="10"/>
  <c r="AW65" i="9"/>
  <c r="AV75" i="9"/>
  <c r="AG55" i="9"/>
  <c r="AG77" i="10"/>
  <c r="BH117" i="10"/>
  <c r="BH24" i="13"/>
  <c r="BI14" i="9"/>
  <c r="BI24" i="13" s="1"/>
  <c r="BI66" i="9"/>
  <c r="BH75" i="9"/>
  <c r="BI75" i="9" s="1"/>
  <c r="BI36" i="9"/>
  <c r="BI31" i="9"/>
  <c r="BI15" i="9"/>
  <c r="AU118" i="10"/>
  <c r="AU119" i="10"/>
  <c r="J67" i="9"/>
  <c r="K63" i="9" s="1"/>
  <c r="J71" i="9"/>
  <c r="J72" i="9"/>
  <c r="BH104" i="10"/>
  <c r="BI13" i="9"/>
  <c r="BH23" i="13"/>
  <c r="BH86" i="40"/>
  <c r="BI65" i="9"/>
  <c r="BI28" i="9"/>
  <c r="BH73" i="9"/>
  <c r="M65" i="9"/>
  <c r="M71" i="9" s="1"/>
  <c r="AP77" i="40"/>
  <c r="AQ77" i="40" s="1"/>
  <c r="AQ74" i="40"/>
  <c r="AK69" i="40"/>
  <c r="AJ72" i="40"/>
  <c r="AK72" i="40" s="1"/>
  <c r="AS66" i="40"/>
  <c r="AT66" i="40" s="1"/>
  <c r="AU66" i="40" s="1"/>
  <c r="AV66" i="40" s="1"/>
  <c r="AQ66" i="40"/>
  <c r="BW14" i="40"/>
  <c r="BX14" i="40" s="1"/>
  <c r="BY14" i="40" s="1"/>
  <c r="BZ14" i="40" s="1"/>
  <c r="CA14" i="40" s="1"/>
  <c r="BU35" i="40"/>
  <c r="BU39" i="40"/>
  <c r="BL23" i="40"/>
  <c r="BR21" i="40"/>
  <c r="BW19" i="40"/>
  <c r="BX19" i="40" s="1"/>
  <c r="BY19" i="40" s="1"/>
  <c r="BZ19" i="40" s="1"/>
  <c r="CA19" i="40" s="1"/>
  <c r="BU40" i="40"/>
  <c r="BR11" i="40"/>
  <c r="BW36" i="10"/>
  <c r="BX36" i="10" s="1"/>
  <c r="BY36" i="10" s="1"/>
  <c r="BZ36" i="10" s="1"/>
  <c r="BU36" i="10"/>
  <c r="BL146" i="10"/>
  <c r="BU40" i="10"/>
  <c r="BW40" i="10"/>
  <c r="BX40" i="10" s="1"/>
  <c r="BY40" i="10" s="1"/>
  <c r="BZ40" i="10" s="1"/>
  <c r="BI147" i="10"/>
  <c r="AG59" i="13"/>
  <c r="AG81" i="10"/>
  <c r="AP59" i="12"/>
  <c r="AQ58" i="12"/>
  <c r="AQ61" i="12" s="1"/>
  <c r="AW60" i="12"/>
  <c r="AV59" i="12"/>
  <c r="AV68" i="11"/>
  <c r="AP61" i="12"/>
  <c r="AH45" i="13"/>
  <c r="AN58" i="13"/>
  <c r="AH58" i="13"/>
  <c r="BQ46" i="11"/>
  <c r="AE77" i="11"/>
  <c r="AP68" i="12"/>
  <c r="AP69" i="12" s="1"/>
  <c r="AP69" i="11" s="1"/>
  <c r="BT48" i="11"/>
  <c r="BH7" i="11"/>
  <c r="BH8" i="11"/>
  <c r="BH133" i="12"/>
  <c r="BI10" i="12"/>
  <c r="BH9" i="12"/>
  <c r="BH121" i="12"/>
  <c r="P65" i="11"/>
  <c r="P37" i="11"/>
  <c r="P8" i="12"/>
  <c r="Q8" i="12" s="1"/>
  <c r="R8" i="12" s="1"/>
  <c r="U8" i="12"/>
  <c r="AK78" i="11"/>
  <c r="AQ48" i="11"/>
  <c r="AJ68" i="12"/>
  <c r="AJ69" i="12" s="1"/>
  <c r="AM59" i="13"/>
  <c r="BO48" i="11"/>
  <c r="BI48" i="11"/>
  <c r="AA58" i="11"/>
  <c r="U135" i="12"/>
  <c r="S12" i="12"/>
  <c r="R128" i="12"/>
  <c r="R61" i="12"/>
  <c r="X128" i="12"/>
  <c r="R134" i="12"/>
  <c r="R9" i="12"/>
  <c r="R83" i="12" s="1"/>
  <c r="W59" i="13"/>
  <c r="AC59" i="13"/>
  <c r="W81" i="10"/>
  <c r="W46" i="13"/>
  <c r="AQ128" i="12"/>
  <c r="AQ10" i="11"/>
  <c r="AW128" i="12"/>
  <c r="AQ134" i="12"/>
  <c r="AP21" i="11"/>
  <c r="CW22" i="11" s="1"/>
  <c r="CW8" i="11"/>
  <c r="AK86" i="12"/>
  <c r="AK67" i="12"/>
  <c r="AK134" i="12"/>
  <c r="AK128" i="12"/>
  <c r="AK10" i="11"/>
  <c r="AK58" i="12"/>
  <c r="AJ61" i="12"/>
  <c r="AQ60" i="12"/>
  <c r="AJ59" i="12"/>
  <c r="AP68" i="11"/>
  <c r="AQ121" i="12"/>
  <c r="AK121" i="12"/>
  <c r="AK8" i="11"/>
  <c r="AK21" i="11" s="1"/>
  <c r="AQ8" i="11"/>
  <c r="AQ7" i="11"/>
  <c r="AK133" i="12"/>
  <c r="AK7" i="11"/>
  <c r="F11" i="13"/>
  <c r="AJ75" i="11"/>
  <c r="O42" i="12"/>
  <c r="O43" i="12" s="1"/>
  <c r="BI134" i="12"/>
  <c r="BI128" i="12"/>
  <c r="AT27" i="11"/>
  <c r="AT41" i="11"/>
  <c r="AT70" i="11"/>
  <c r="CY17" i="11"/>
  <c r="AZ27" i="11"/>
  <c r="AA41" i="11"/>
  <c r="AA54" i="11" s="1"/>
  <c r="AA27" i="11"/>
  <c r="AG28" i="11" s="1"/>
  <c r="AG41" i="11"/>
  <c r="AG70" i="11"/>
  <c r="CP17" i="11"/>
  <c r="AG27" i="11"/>
  <c r="BH103" i="13"/>
  <c r="BK39" i="13"/>
  <c r="BM80" i="9"/>
  <c r="BI80" i="9"/>
  <c r="BI39" i="13"/>
  <c r="S14" i="9" l="1"/>
  <c r="S24" i="13" s="1"/>
  <c r="R117" i="10"/>
  <c r="R119" i="10" s="1"/>
  <c r="BI64" i="9"/>
  <c r="BN73" i="9"/>
  <c r="M155" i="10"/>
  <c r="O156" i="10" s="1"/>
  <c r="P29" i="13"/>
  <c r="BB93" i="13"/>
  <c r="BI96" i="13"/>
  <c r="P137" i="10"/>
  <c r="P139" i="10" s="1"/>
  <c r="P140" i="10" s="1"/>
  <c r="P141" i="10" s="1"/>
  <c r="P135" i="10" s="1"/>
  <c r="P49" i="13"/>
  <c r="AK42" i="10"/>
  <c r="AK43" i="10" s="1"/>
  <c r="AE42" i="10"/>
  <c r="AE43" i="10" s="1"/>
  <c r="L16" i="12"/>
  <c r="S121" i="12"/>
  <c r="L11" i="13"/>
  <c r="L9" i="13" s="1"/>
  <c r="BU37" i="40"/>
  <c r="BW12" i="40"/>
  <c r="BX12" i="40" s="1"/>
  <c r="BY12" i="40" s="1"/>
  <c r="BZ12" i="40" s="1"/>
  <c r="CA12" i="40" s="1"/>
  <c r="BU41" i="40"/>
  <c r="BR27" i="10"/>
  <c r="AI81" i="11"/>
  <c r="S164" i="10"/>
  <c r="S165" i="10" s="1"/>
  <c r="S166" i="10" s="1"/>
  <c r="BC94" i="11"/>
  <c r="AW99" i="13"/>
  <c r="AD54" i="11"/>
  <c r="M70" i="10"/>
  <c r="X164" i="10"/>
  <c r="X165" i="10" s="1"/>
  <c r="X166" i="10" s="1"/>
  <c r="Y77" i="11"/>
  <c r="BG81" i="10"/>
  <c r="K163" i="10"/>
  <c r="BC31" i="9"/>
  <c r="CF69" i="10"/>
  <c r="O139" i="10"/>
  <c r="O140" i="10" s="1"/>
  <c r="O141" i="10" s="1"/>
  <c r="O135" i="10" s="1"/>
  <c r="BA26" i="13"/>
  <c r="BA27" i="13" s="1"/>
  <c r="BC43" i="10"/>
  <c r="M42" i="10"/>
  <c r="S156" i="10"/>
  <c r="Y41" i="11"/>
  <c r="L154" i="12"/>
  <c r="O152" i="12"/>
  <c r="I155" i="12"/>
  <c r="BF150" i="12"/>
  <c r="AW110" i="12"/>
  <c r="AG97" i="11"/>
  <c r="AV94" i="13"/>
  <c r="C153" i="12"/>
  <c r="P164" i="10"/>
  <c r="P165" i="10" s="1"/>
  <c r="P166" i="10" s="1"/>
  <c r="R164" i="10"/>
  <c r="R165" i="10" s="1"/>
  <c r="R166" i="10" s="1"/>
  <c r="O164" i="10"/>
  <c r="O165" i="10" s="1"/>
  <c r="O166" i="10" s="1"/>
  <c r="AG156" i="10"/>
  <c r="AW13" i="9"/>
  <c r="BI23" i="13"/>
  <c r="AV79" i="9"/>
  <c r="AQ43" i="9"/>
  <c r="BC23" i="13"/>
  <c r="AW23" i="13"/>
  <c r="AQ23" i="13"/>
  <c r="BC14" i="9"/>
  <c r="BC24" i="13" s="1"/>
  <c r="BB117" i="10"/>
  <c r="AQ41" i="11"/>
  <c r="S81" i="40"/>
  <c r="S49" i="13"/>
  <c r="AJ45" i="13"/>
  <c r="AI70" i="13"/>
  <c r="AC85" i="11"/>
  <c r="BS72" i="10"/>
  <c r="AU70" i="13"/>
  <c r="BR72" i="10"/>
  <c r="AE52" i="40"/>
  <c r="CJ72" i="10"/>
  <c r="BW15" i="40"/>
  <c r="BX15" i="40" s="1"/>
  <c r="BY15" i="40" s="1"/>
  <c r="BZ15" i="40" s="1"/>
  <c r="CA15" i="40" s="1"/>
  <c r="CC15" i="40" s="1"/>
  <c r="CD15" i="40" s="1"/>
  <c r="CE15" i="40" s="1"/>
  <c r="CF15" i="40" s="1"/>
  <c r="CG15" i="40" s="1"/>
  <c r="Y42" i="10"/>
  <c r="Y43" i="10" s="1"/>
  <c r="AW75" i="9"/>
  <c r="BN171" i="10"/>
  <c r="AW15" i="9"/>
  <c r="Q139" i="10"/>
  <c r="Q140" i="10" s="1"/>
  <c r="Q141" i="10" s="1"/>
  <c r="Q135" i="10" s="1"/>
  <c r="AP29" i="13"/>
  <c r="R139" i="10"/>
  <c r="R140" i="10" s="1"/>
  <c r="R141" i="10" s="1"/>
  <c r="R135" i="10" s="1"/>
  <c r="X139" i="10"/>
  <c r="X140" i="10" s="1"/>
  <c r="X141" i="10" s="1"/>
  <c r="X135" i="10" s="1"/>
  <c r="AI139" i="10"/>
  <c r="AI140" i="10" s="1"/>
  <c r="AI141" i="10" s="1"/>
  <c r="AI135" i="10" s="1"/>
  <c r="AP53" i="13"/>
  <c r="U139" i="10"/>
  <c r="U140" i="10" s="1"/>
  <c r="U141" i="10" s="1"/>
  <c r="CD72" i="10"/>
  <c r="BX72" i="10"/>
  <c r="AQ155" i="10"/>
  <c r="AW156" i="10" s="1"/>
  <c r="BS31" i="10"/>
  <c r="BR170" i="10"/>
  <c r="W164" i="10"/>
  <c r="W165" i="10" s="1"/>
  <c r="U164" i="10"/>
  <c r="U165" i="10" s="1"/>
  <c r="BS138" i="10"/>
  <c r="BS163" i="10"/>
  <c r="X185" i="10"/>
  <c r="X186" i="10"/>
  <c r="X53" i="10" s="1"/>
  <c r="BC60" i="13"/>
  <c r="AW70" i="10"/>
  <c r="AW71" i="10"/>
  <c r="AI164" i="10"/>
  <c r="AI165" i="10" s="1"/>
  <c r="AI166" i="10" s="1"/>
  <c r="BY138" i="10"/>
  <c r="BY163" i="10"/>
  <c r="Q185" i="10"/>
  <c r="Q186" i="10"/>
  <c r="Q53" i="10" s="1"/>
  <c r="AQ182" i="10"/>
  <c r="AQ183" i="10"/>
  <c r="BS35" i="10"/>
  <c r="BR175" i="10"/>
  <c r="BC155" i="10"/>
  <c r="BR32" i="10"/>
  <c r="BO32" i="10"/>
  <c r="BO152" i="10" s="1"/>
  <c r="S57" i="10"/>
  <c r="S137" i="10"/>
  <c r="S139" i="10" s="1"/>
  <c r="S140" i="10" s="1"/>
  <c r="S141" i="10" s="1"/>
  <c r="S29" i="13"/>
  <c r="AJ53" i="13"/>
  <c r="AP137" i="10"/>
  <c r="AM27" i="11"/>
  <c r="AS28" i="11" s="1"/>
  <c r="AO54" i="11"/>
  <c r="BB54" i="11"/>
  <c r="AV54" i="11"/>
  <c r="AY52" i="40"/>
  <c r="BC50" i="40"/>
  <c r="BC52" i="40" s="1"/>
  <c r="AV42" i="10"/>
  <c r="AV43" i="10" s="1"/>
  <c r="AN42" i="10"/>
  <c r="AN43" i="10" s="1"/>
  <c r="S77" i="11"/>
  <c r="CE72" i="10"/>
  <c r="CK69" i="10"/>
  <c r="CK72" i="10" s="1"/>
  <c r="BY72" i="10"/>
  <c r="AV86" i="40"/>
  <c r="AV23" i="13"/>
  <c r="AW19" i="9"/>
  <c r="AW17" i="9" s="1"/>
  <c r="BC99" i="13"/>
  <c r="BS68" i="11"/>
  <c r="BM61" i="12"/>
  <c r="BG105" i="13"/>
  <c r="AD25" i="9"/>
  <c r="AD54" i="9" s="1"/>
  <c r="AD59" i="9" s="1"/>
  <c r="AK15" i="9"/>
  <c r="L25" i="9"/>
  <c r="L54" i="9" s="1"/>
  <c r="AJ69" i="13"/>
  <c r="AJ25" i="13" s="1"/>
  <c r="AH27" i="13"/>
  <c r="BO81" i="11"/>
  <c r="BG82" i="11"/>
  <c r="AW47" i="12"/>
  <c r="AW48" i="12" s="1"/>
  <c r="BG10" i="13"/>
  <c r="BG45" i="13" s="1"/>
  <c r="BG118" i="12"/>
  <c r="BG119" i="12" s="1"/>
  <c r="X130" i="12"/>
  <c r="AJ154" i="12"/>
  <c r="S33" i="11"/>
  <c r="BF153" i="12"/>
  <c r="BI102" i="13"/>
  <c r="AK15" i="13"/>
  <c r="AK22" i="13" s="1"/>
  <c r="AA164" i="10"/>
  <c r="AA165" i="10" s="1"/>
  <c r="AA64" i="13"/>
  <c r="AG64" i="13"/>
  <c r="AA88" i="13"/>
  <c r="AA91" i="11"/>
  <c r="AA96" i="11" s="1"/>
  <c r="AA137" i="10"/>
  <c r="AA139" i="10" s="1"/>
  <c r="AA140" i="10" s="1"/>
  <c r="AA141" i="10" s="1"/>
  <c r="AA135" i="10" s="1"/>
  <c r="AA29" i="13"/>
  <c r="AQ48" i="10"/>
  <c r="Y48" i="10"/>
  <c r="M48" i="10"/>
  <c r="BC48" i="10"/>
  <c r="BF105" i="13"/>
  <c r="L68" i="12"/>
  <c r="L69" i="12" s="1"/>
  <c r="L69" i="11" s="1"/>
  <c r="L84" i="11" s="1"/>
  <c r="AK48" i="11"/>
  <c r="AD71" i="12"/>
  <c r="AD72" i="12" s="1"/>
  <c r="AJ151" i="12"/>
  <c r="BF152" i="12"/>
  <c r="X85" i="12"/>
  <c r="AE33" i="11"/>
  <c r="AK46" i="11" s="1"/>
  <c r="AM138" i="12"/>
  <c r="AS138" i="12" s="1"/>
  <c r="AY138" i="12" s="1"/>
  <c r="AB138" i="12"/>
  <c r="AC138" i="12" s="1"/>
  <c r="AD138" i="12" s="1"/>
  <c r="BG83" i="12"/>
  <c r="BG135" i="12"/>
  <c r="AP102" i="13"/>
  <c r="AP103" i="13" s="1"/>
  <c r="AP96" i="13"/>
  <c r="BF27" i="13"/>
  <c r="BF51" i="13" s="1"/>
  <c r="BE137" i="10"/>
  <c r="AQ103" i="11"/>
  <c r="AW110" i="11" s="1"/>
  <c r="AD130" i="12"/>
  <c r="BF151" i="12"/>
  <c r="BF155" i="12"/>
  <c r="BF157" i="12"/>
  <c r="BT27" i="12"/>
  <c r="F16" i="12"/>
  <c r="AD129" i="12"/>
  <c r="AK82" i="12"/>
  <c r="BG59" i="13"/>
  <c r="R65" i="12"/>
  <c r="R66" i="12" s="1"/>
  <c r="R66" i="11" s="1"/>
  <c r="Y78" i="11"/>
  <c r="AK51" i="11"/>
  <c r="BF103" i="13"/>
  <c r="BG21" i="11"/>
  <c r="DH22" i="11" s="1"/>
  <c r="BC61" i="12"/>
  <c r="Y127" i="12"/>
  <c r="AW129" i="12"/>
  <c r="S78" i="11"/>
  <c r="BG77" i="12"/>
  <c r="BG120" i="12"/>
  <c r="BG16" i="12"/>
  <c r="BG151" i="12" s="1"/>
  <c r="S65" i="12"/>
  <c r="DH7" i="11"/>
  <c r="BG64" i="13"/>
  <c r="AU103" i="13"/>
  <c r="AN103" i="13"/>
  <c r="AT103" i="13"/>
  <c r="BB103" i="13"/>
  <c r="AS103" i="13"/>
  <c r="AO103" i="13"/>
  <c r="AW27" i="11"/>
  <c r="BC28" i="11" s="1"/>
  <c r="AW41" i="11"/>
  <c r="BC27" i="11"/>
  <c r="AG51" i="40"/>
  <c r="AK51" i="40" s="1"/>
  <c r="AK50" i="40"/>
  <c r="AK155" i="10"/>
  <c r="BH87" i="40"/>
  <c r="BH79" i="9"/>
  <c r="BH33" i="9"/>
  <c r="BH43" i="9"/>
  <c r="BI40" i="9"/>
  <c r="BI43" i="9" s="1"/>
  <c r="BU43" i="40"/>
  <c r="CA40" i="40"/>
  <c r="CC19" i="40"/>
  <c r="CD19" i="40" s="1"/>
  <c r="CE19" i="40" s="1"/>
  <c r="CF19" i="40" s="1"/>
  <c r="CG19" i="40" s="1"/>
  <c r="CA33" i="40"/>
  <c r="CC12" i="40"/>
  <c r="CD12" i="40" s="1"/>
  <c r="CE12" i="40" s="1"/>
  <c r="CF12" i="40" s="1"/>
  <c r="CG12" i="40" s="1"/>
  <c r="CA31" i="40"/>
  <c r="CC10" i="40"/>
  <c r="CA39" i="40"/>
  <c r="CC18" i="40"/>
  <c r="CD18" i="40" s="1"/>
  <c r="CE18" i="40" s="1"/>
  <c r="CF18" i="40" s="1"/>
  <c r="CG18" i="40" s="1"/>
  <c r="CA37" i="40"/>
  <c r="CC16" i="40"/>
  <c r="CD16" i="40" s="1"/>
  <c r="CE16" i="40" s="1"/>
  <c r="CF16" i="40" s="1"/>
  <c r="CG16" i="40" s="1"/>
  <c r="CA41" i="40"/>
  <c r="CC20" i="40"/>
  <c r="CD20" i="40" s="1"/>
  <c r="CE20" i="40" s="1"/>
  <c r="CF20" i="40" s="1"/>
  <c r="CG20" i="40" s="1"/>
  <c r="CA35" i="40"/>
  <c r="CC14" i="40"/>
  <c r="CD14" i="40" s="1"/>
  <c r="CE14" i="40" s="1"/>
  <c r="CF14" i="40" s="1"/>
  <c r="CG14" i="40" s="1"/>
  <c r="BB72" i="40"/>
  <c r="BC72" i="40" s="1"/>
  <c r="CA43" i="40"/>
  <c r="CC22" i="40"/>
  <c r="CD22" i="40" s="1"/>
  <c r="CE22" i="40" s="1"/>
  <c r="CF22" i="40" s="1"/>
  <c r="CG22" i="40" s="1"/>
  <c r="AA6" i="11"/>
  <c r="L70" i="12"/>
  <c r="L73" i="12" s="1"/>
  <c r="BF154" i="12"/>
  <c r="BF17" i="12"/>
  <c r="BF87" i="12"/>
  <c r="BF88" i="12" s="1"/>
  <c r="BF156" i="12"/>
  <c r="BF94" i="13"/>
  <c r="AW130" i="12"/>
  <c r="AA69" i="11"/>
  <c r="C156" i="12"/>
  <c r="AQ85" i="12"/>
  <c r="AT8" i="11"/>
  <c r="AZ21" i="11" s="1"/>
  <c r="DC22" i="11" s="1"/>
  <c r="AQ76" i="12"/>
  <c r="AQ130" i="12"/>
  <c r="V138" i="12"/>
  <c r="W138" i="12" s="1"/>
  <c r="X138" i="12" s="1"/>
  <c r="V46" i="11"/>
  <c r="L129" i="12"/>
  <c r="AK77" i="12"/>
  <c r="AK83" i="12"/>
  <c r="AK16" i="12"/>
  <c r="AK157" i="12" s="1"/>
  <c r="AJ152" i="12"/>
  <c r="AJ150" i="12"/>
  <c r="L151" i="12"/>
  <c r="Y13" i="12"/>
  <c r="AE118" i="12" s="1"/>
  <c r="AE119" i="12" s="1"/>
  <c r="L86" i="12"/>
  <c r="L85" i="12"/>
  <c r="AK76" i="12"/>
  <c r="X86" i="12"/>
  <c r="L84" i="12"/>
  <c r="AP81" i="10"/>
  <c r="AY156" i="10"/>
  <c r="BC156" i="10"/>
  <c r="AZ42" i="10"/>
  <c r="AZ43" i="10" s="1"/>
  <c r="BG42" i="10"/>
  <c r="BG43" i="10" s="1"/>
  <c r="CA36" i="10"/>
  <c r="CC36" i="10"/>
  <c r="CD36" i="10" s="1"/>
  <c r="CE36" i="10" s="1"/>
  <c r="CF36" i="10" s="1"/>
  <c r="BY33" i="11"/>
  <c r="CE46" i="11" s="1"/>
  <c r="CE47" i="11"/>
  <c r="BY48" i="11"/>
  <c r="CE48" i="11"/>
  <c r="BW33" i="11"/>
  <c r="CC49" i="11"/>
  <c r="CA40" i="10"/>
  <c r="CC40" i="10"/>
  <c r="CD40" i="10" s="1"/>
  <c r="CE40" i="10" s="1"/>
  <c r="CF40" i="10" s="1"/>
  <c r="BF45" i="13"/>
  <c r="AN125" i="12"/>
  <c r="W46" i="11"/>
  <c r="BM69" i="11"/>
  <c r="AU26" i="12"/>
  <c r="BH28" i="11"/>
  <c r="AO124" i="12"/>
  <c r="AU62" i="11"/>
  <c r="AU77" i="11" s="1"/>
  <c r="AM78" i="11"/>
  <c r="AS29" i="12"/>
  <c r="AY29" i="12" s="1"/>
  <c r="AG53" i="11"/>
  <c r="Y33" i="11"/>
  <c r="AE49" i="11"/>
  <c r="AQ29" i="12"/>
  <c r="AW63" i="11" s="1"/>
  <c r="DF46" i="11"/>
  <c r="AM125" i="12"/>
  <c r="AS63" i="11"/>
  <c r="AM52" i="11"/>
  <c r="BB70" i="12"/>
  <c r="BB73" i="12" s="1"/>
  <c r="BG58" i="11"/>
  <c r="P81" i="11"/>
  <c r="BS69" i="11"/>
  <c r="AP77" i="11"/>
  <c r="AW36" i="11"/>
  <c r="AW33" i="11" s="1"/>
  <c r="AM84" i="11"/>
  <c r="AN27" i="13"/>
  <c r="U56" i="10"/>
  <c r="I112" i="10"/>
  <c r="CA14" i="9"/>
  <c r="CA24" i="13" s="1"/>
  <c r="AM58" i="10"/>
  <c r="AP59" i="13"/>
  <c r="AB44" i="13"/>
  <c r="BH54" i="11"/>
  <c r="AG51" i="13"/>
  <c r="AO85" i="11"/>
  <c r="DI47" i="11"/>
  <c r="AI46" i="11"/>
  <c r="AT84" i="11"/>
  <c r="BH69" i="11"/>
  <c r="BH84" i="11" s="1"/>
  <c r="AK125" i="12"/>
  <c r="AN84" i="11"/>
  <c r="BL67" i="12"/>
  <c r="BL12" i="12" s="1"/>
  <c r="BL10" i="12" s="1"/>
  <c r="AM81" i="11"/>
  <c r="AJ39" i="11"/>
  <c r="AJ66" i="11"/>
  <c r="BI109" i="11"/>
  <c r="BL64" i="12"/>
  <c r="BR64" i="12" s="1"/>
  <c r="BF70" i="12"/>
  <c r="BF73" i="12" s="1"/>
  <c r="AS53" i="11"/>
  <c r="AK66" i="12"/>
  <c r="U58" i="10"/>
  <c r="U51" i="13"/>
  <c r="AU26" i="13"/>
  <c r="AU27" i="13" s="1"/>
  <c r="Y17" i="9"/>
  <c r="BL84" i="11"/>
  <c r="BL81" i="11"/>
  <c r="AE77" i="12"/>
  <c r="L135" i="12"/>
  <c r="AP70" i="11"/>
  <c r="AJ157" i="12"/>
  <c r="AJ153" i="12"/>
  <c r="AS49" i="11"/>
  <c r="BC108" i="11"/>
  <c r="BG76" i="12"/>
  <c r="BG84" i="12"/>
  <c r="K84" i="11"/>
  <c r="AT29" i="12"/>
  <c r="AZ63" i="11" s="1"/>
  <c r="BI68" i="11"/>
  <c r="AJ156" i="12"/>
  <c r="AJ155" i="12"/>
  <c r="AB15" i="13"/>
  <c r="AB22" i="13" s="1"/>
  <c r="AO78" i="11"/>
  <c r="BI38" i="11"/>
  <c r="BO71" i="13"/>
  <c r="BB28" i="11"/>
  <c r="Y72" i="10"/>
  <c r="AQ60" i="13"/>
  <c r="AG31" i="13"/>
  <c r="AT64" i="13"/>
  <c r="AT53" i="13"/>
  <c r="O51" i="13"/>
  <c r="BG91" i="11"/>
  <c r="BF64" i="13"/>
  <c r="V49" i="13"/>
  <c r="S32" i="13"/>
  <c r="BF29" i="13"/>
  <c r="BF49" i="13"/>
  <c r="BF93" i="13" s="1"/>
  <c r="AG54" i="13"/>
  <c r="Y87" i="13"/>
  <c r="AJ91" i="11"/>
  <c r="AJ96" i="11" s="1"/>
  <c r="AK60" i="13"/>
  <c r="AO97" i="11"/>
  <c r="AP91" i="11"/>
  <c r="AP96" i="11" s="1"/>
  <c r="AP88" i="13"/>
  <c r="BE27" i="13"/>
  <c r="BO18" i="13"/>
  <c r="O58" i="10"/>
  <c r="O56" i="10"/>
  <c r="AG88" i="13"/>
  <c r="AA49" i="13"/>
  <c r="AA53" i="13"/>
  <c r="AG91" i="11"/>
  <c r="AM96" i="11" s="1"/>
  <c r="AA27" i="13"/>
  <c r="AS156" i="10"/>
  <c r="AQ42" i="10"/>
  <c r="AQ43" i="10" s="1"/>
  <c r="S42" i="10"/>
  <c r="S43" i="10" s="1"/>
  <c r="AH8" i="10"/>
  <c r="AI8" i="10" s="1"/>
  <c r="AJ8" i="10" s="1"/>
  <c r="AM8" i="10"/>
  <c r="Y156" i="10"/>
  <c r="U156" i="10"/>
  <c r="BI50" i="40"/>
  <c r="BI52" i="40" s="1"/>
  <c r="BE52" i="40"/>
  <c r="BF53" i="13"/>
  <c r="BF88" i="13"/>
  <c r="BF91" i="11"/>
  <c r="BF96" i="11" s="1"/>
  <c r="V91" i="11"/>
  <c r="BF137" i="10"/>
  <c r="BO73" i="13"/>
  <c r="AJ88" i="13"/>
  <c r="AK44" i="13"/>
  <c r="AK71" i="10"/>
  <c r="AK70" i="10"/>
  <c r="BE53" i="13"/>
  <c r="AQ15" i="13"/>
  <c r="AQ22" i="13" s="1"/>
  <c r="AQ71" i="10"/>
  <c r="AQ72" i="10" s="1"/>
  <c r="AQ44" i="13"/>
  <c r="AQ95" i="13" s="1"/>
  <c r="AQ96" i="13" s="1"/>
  <c r="BI72" i="10"/>
  <c r="BG27" i="13"/>
  <c r="X25" i="9"/>
  <c r="AC47" i="9"/>
  <c r="AC75" i="10" s="1"/>
  <c r="AV73" i="9"/>
  <c r="AZ58" i="10"/>
  <c r="I48" i="9"/>
  <c r="I49" i="9" s="1"/>
  <c r="J48" i="9" s="1"/>
  <c r="J49" i="9" s="1"/>
  <c r="K48" i="9" s="1"/>
  <c r="AQ104" i="10"/>
  <c r="R76" i="10"/>
  <c r="R54" i="9"/>
  <c r="R59" i="9" s="1"/>
  <c r="BB118" i="10"/>
  <c r="BC117" i="10"/>
  <c r="BB119" i="10"/>
  <c r="J103" i="10"/>
  <c r="AP69" i="13"/>
  <c r="AP25" i="13" s="1"/>
  <c r="AP26" i="13" s="1"/>
  <c r="AP27" i="13" s="1"/>
  <c r="P56" i="10"/>
  <c r="R33" i="9"/>
  <c r="AD43" i="9"/>
  <c r="L97" i="10"/>
  <c r="M97" i="10" s="1"/>
  <c r="AU28" i="11"/>
  <c r="BN58" i="12"/>
  <c r="BN68" i="11"/>
  <c r="BN83" i="11" s="1"/>
  <c r="AA7" i="40"/>
  <c r="AG7" i="13"/>
  <c r="U8" i="40"/>
  <c r="AA8" i="13"/>
  <c r="V8" i="13"/>
  <c r="J59" i="9"/>
  <c r="O54" i="13"/>
  <c r="O31" i="13"/>
  <c r="S104" i="10"/>
  <c r="M28" i="9"/>
  <c r="M33" i="9" s="1"/>
  <c r="M13" i="9"/>
  <c r="M23" i="13" s="1"/>
  <c r="L86" i="40"/>
  <c r="L23" i="13"/>
  <c r="L104" i="10"/>
  <c r="AJ24" i="13"/>
  <c r="AJ117" i="10"/>
  <c r="AK117" i="10" s="1"/>
  <c r="AQ79" i="9"/>
  <c r="AQ78" i="9" s="1"/>
  <c r="BB79" i="9"/>
  <c r="BC40" i="9"/>
  <c r="AV25" i="13"/>
  <c r="AV70" i="13"/>
  <c r="AW69" i="13"/>
  <c r="AA55" i="9"/>
  <c r="AG57" i="9" s="1"/>
  <c r="AA59" i="9"/>
  <c r="AA77" i="10"/>
  <c r="AK14" i="9"/>
  <c r="AK24" i="13" s="1"/>
  <c r="AI26" i="13"/>
  <c r="AI27" i="13" s="1"/>
  <c r="BQ152" i="10"/>
  <c r="BB26" i="13"/>
  <c r="BB27" i="13" s="1"/>
  <c r="AI118" i="10"/>
  <c r="AI119" i="10"/>
  <c r="BM69" i="9"/>
  <c r="AN8" i="9"/>
  <c r="AO8" i="9" s="1"/>
  <c r="AP8" i="9" s="1"/>
  <c r="AS8" i="9"/>
  <c r="L87" i="40"/>
  <c r="AA75" i="10"/>
  <c r="AE104" i="10"/>
  <c r="AT58" i="10"/>
  <c r="J105" i="10"/>
  <c r="AM49" i="11"/>
  <c r="AV81" i="10"/>
  <c r="AE16" i="12"/>
  <c r="AE151" i="12" s="1"/>
  <c r="BC107" i="11"/>
  <c r="BG70" i="12"/>
  <c r="BG73" i="12" s="1"/>
  <c r="AJ72" i="10"/>
  <c r="AN52" i="11"/>
  <c r="BT34" i="11"/>
  <c r="BT47" i="11" s="1"/>
  <c r="Y61" i="12"/>
  <c r="BU28" i="12"/>
  <c r="AS33" i="11"/>
  <c r="AY46" i="11" s="1"/>
  <c r="AM77" i="11"/>
  <c r="Y134" i="12"/>
  <c r="AE67" i="11" s="1"/>
  <c r="J47" i="13"/>
  <c r="AN81" i="11"/>
  <c r="AH81" i="11"/>
  <c r="DE46" i="11"/>
  <c r="P57" i="13"/>
  <c r="P11" i="11" s="1"/>
  <c r="U46" i="11"/>
  <c r="AK45" i="13"/>
  <c r="AP73" i="11"/>
  <c r="J57" i="13"/>
  <c r="J11" i="11" s="1"/>
  <c r="DD49" i="11"/>
  <c r="AV43" i="9"/>
  <c r="AE25" i="9"/>
  <c r="AE54" i="9" s="1"/>
  <c r="AW36" i="9"/>
  <c r="O123" i="10"/>
  <c r="O125" i="10" s="1"/>
  <c r="S125" i="10" s="1"/>
  <c r="S123" i="10"/>
  <c r="L25" i="13"/>
  <c r="M69" i="13"/>
  <c r="AC25" i="13"/>
  <c r="AC26" i="13" s="1"/>
  <c r="AC27" i="13" s="1"/>
  <c r="AE69" i="13"/>
  <c r="AC70" i="13"/>
  <c r="AD125" i="10"/>
  <c r="AB75" i="10"/>
  <c r="AQ17" i="9"/>
  <c r="AK79" i="9"/>
  <c r="AK78" i="9" s="1"/>
  <c r="BB43" i="9"/>
  <c r="R79" i="9"/>
  <c r="R78" i="9" s="1"/>
  <c r="O56" i="9"/>
  <c r="O78" i="10"/>
  <c r="O57" i="9"/>
  <c r="AO119" i="10"/>
  <c r="AO118" i="10"/>
  <c r="AQ117" i="10"/>
  <c r="R43" i="9"/>
  <c r="AB76" i="10"/>
  <c r="AB54" i="9"/>
  <c r="AB59" i="9" s="1"/>
  <c r="S40" i="9"/>
  <c r="AP119" i="10"/>
  <c r="AP118" i="10"/>
  <c r="AE46" i="13"/>
  <c r="Y43" i="9"/>
  <c r="AP73" i="9"/>
  <c r="AO70" i="13"/>
  <c r="L24" i="13"/>
  <c r="L117" i="10"/>
  <c r="M14" i="9"/>
  <c r="J55" i="9"/>
  <c r="J77" i="10"/>
  <c r="M79" i="9"/>
  <c r="M78" i="9" s="1"/>
  <c r="K76" i="10"/>
  <c r="K47" i="9"/>
  <c r="K54" i="9"/>
  <c r="K59" i="9" s="1"/>
  <c r="U75" i="10"/>
  <c r="Y79" i="9"/>
  <c r="Y78" i="9" s="1"/>
  <c r="R112" i="10"/>
  <c r="R111" i="10"/>
  <c r="AO25" i="13"/>
  <c r="AO26" i="13" s="1"/>
  <c r="AO27" i="13" s="1"/>
  <c r="AO51" i="13" s="1"/>
  <c r="K26" i="13"/>
  <c r="V54" i="9"/>
  <c r="V59" i="9" s="1"/>
  <c r="V76" i="10"/>
  <c r="V47" i="9"/>
  <c r="P76" i="10"/>
  <c r="P54" i="9"/>
  <c r="P59" i="9" s="1"/>
  <c r="P47" i="9"/>
  <c r="J75" i="10"/>
  <c r="X118" i="10"/>
  <c r="X119" i="10"/>
  <c r="Y117" i="10"/>
  <c r="X112" i="10"/>
  <c r="Y104" i="10"/>
  <c r="X111" i="10"/>
  <c r="S64" i="9"/>
  <c r="X73" i="9"/>
  <c r="AK21" i="9"/>
  <c r="AK17" i="9" s="1"/>
  <c r="AJ17" i="9"/>
  <c r="Y69" i="13"/>
  <c r="W25" i="13"/>
  <c r="W26" i="13" s="1"/>
  <c r="W27" i="13" s="1"/>
  <c r="W70" i="13"/>
  <c r="BB75" i="9"/>
  <c r="BC75" i="9" s="1"/>
  <c r="BC65" i="9"/>
  <c r="Q25" i="9"/>
  <c r="R73" i="9"/>
  <c r="R118" i="10"/>
  <c r="X70" i="13"/>
  <c r="X25" i="13"/>
  <c r="X26" i="13" s="1"/>
  <c r="X27" i="13" s="1"/>
  <c r="AE117" i="10"/>
  <c r="AD26" i="13"/>
  <c r="AD27" i="13" s="1"/>
  <c r="AD79" i="9"/>
  <c r="AD78" i="9" s="1"/>
  <c r="AV117" i="10"/>
  <c r="AW117" i="10" s="1"/>
  <c r="AV24" i="13"/>
  <c r="Q26" i="13"/>
  <c r="Q27" i="13" s="1"/>
  <c r="X43" i="9"/>
  <c r="K119" i="10"/>
  <c r="K118" i="10"/>
  <c r="AC78" i="9"/>
  <c r="W25" i="9"/>
  <c r="W47" i="9" s="1"/>
  <c r="R25" i="13"/>
  <c r="R26" i="13" s="1"/>
  <c r="R27" i="13" s="1"/>
  <c r="S69" i="13"/>
  <c r="R70" i="13"/>
  <c r="AW14" i="9"/>
  <c r="AW24" i="13" s="1"/>
  <c r="AE116" i="10"/>
  <c r="AD119" i="10"/>
  <c r="AK36" i="9"/>
  <c r="AJ43" i="9"/>
  <c r="AE37" i="9"/>
  <c r="U77" i="10"/>
  <c r="U55" i="9"/>
  <c r="S25" i="9"/>
  <c r="AE40" i="9"/>
  <c r="BF33" i="11"/>
  <c r="BL46" i="11" s="1"/>
  <c r="BL49" i="11"/>
  <c r="Q84" i="11"/>
  <c r="AV156" i="12"/>
  <c r="AY71" i="12"/>
  <c r="AY72" i="12" s="1"/>
  <c r="BR58" i="12"/>
  <c r="BX58" i="12" s="1"/>
  <c r="C157" i="12"/>
  <c r="W84" i="11"/>
  <c r="BZ36" i="11"/>
  <c r="CF49" i="11" s="1"/>
  <c r="AU85" i="11"/>
  <c r="BB62" i="11"/>
  <c r="AS77" i="11"/>
  <c r="O154" i="12"/>
  <c r="AP124" i="12"/>
  <c r="DF49" i="11"/>
  <c r="AK120" i="12"/>
  <c r="C151" i="12"/>
  <c r="AB52" i="11"/>
  <c r="O156" i="12"/>
  <c r="AS26" i="12"/>
  <c r="AV62" i="11"/>
  <c r="AV59" i="13"/>
  <c r="C150" i="12"/>
  <c r="C154" i="12"/>
  <c r="AZ81" i="11"/>
  <c r="O157" i="12"/>
  <c r="AM124" i="12"/>
  <c r="CA36" i="11"/>
  <c r="CG49" i="11" s="1"/>
  <c r="AD67" i="11"/>
  <c r="AJ82" i="11" s="1"/>
  <c r="F135" i="12"/>
  <c r="BF59" i="13"/>
  <c r="C155" i="12"/>
  <c r="AE82" i="12"/>
  <c r="C152" i="12"/>
  <c r="AK118" i="12"/>
  <c r="AK119" i="12" s="1"/>
  <c r="AK30" i="12"/>
  <c r="AK11" i="13"/>
  <c r="AE86" i="12"/>
  <c r="BH82" i="11"/>
  <c r="J69" i="10"/>
  <c r="J72" i="10" s="1"/>
  <c r="J44" i="13"/>
  <c r="J98" i="10"/>
  <c r="J83" i="10"/>
  <c r="AK129" i="12"/>
  <c r="AE84" i="12"/>
  <c r="AQ62" i="11"/>
  <c r="AQ77" i="11" s="1"/>
  <c r="AT67" i="11"/>
  <c r="AZ23" i="11"/>
  <c r="DC24" i="11" s="1"/>
  <c r="BI111" i="11"/>
  <c r="AQ86" i="12"/>
  <c r="AQ11" i="13"/>
  <c r="AQ81" i="10" s="1"/>
  <c r="AP39" i="11"/>
  <c r="AZ88" i="12"/>
  <c r="AM53" i="11"/>
  <c r="J136" i="10"/>
  <c r="J156" i="10" s="1"/>
  <c r="AE76" i="12"/>
  <c r="AV157" i="12"/>
  <c r="X46" i="11"/>
  <c r="AI78" i="12"/>
  <c r="AT81" i="11"/>
  <c r="BM81" i="11"/>
  <c r="G83" i="10"/>
  <c r="AO21" i="12"/>
  <c r="AU60" i="11" s="1"/>
  <c r="AU75" i="11" s="1"/>
  <c r="W53" i="11"/>
  <c r="AT7" i="11"/>
  <c r="AO81" i="11"/>
  <c r="J48" i="13"/>
  <c r="AK130" i="12"/>
  <c r="AE85" i="12"/>
  <c r="DF47" i="11"/>
  <c r="AV154" i="12"/>
  <c r="AT9" i="11"/>
  <c r="AZ22" i="11" s="1"/>
  <c r="DC23" i="11" s="1"/>
  <c r="BM64" i="12"/>
  <c r="BM70" i="12" s="1"/>
  <c r="BM73" i="12" s="1"/>
  <c r="I58" i="13"/>
  <c r="AT23" i="11"/>
  <c r="CY24" i="11" s="1"/>
  <c r="C9" i="13"/>
  <c r="AO77" i="11"/>
  <c r="L118" i="12"/>
  <c r="L119" i="12" s="1"/>
  <c r="AQ10" i="13"/>
  <c r="AQ58" i="13" s="1"/>
  <c r="AE7" i="11"/>
  <c r="AB136" i="10"/>
  <c r="AB156" i="10" s="1"/>
  <c r="AB57" i="13"/>
  <c r="AB11" i="11" s="1"/>
  <c r="AB48" i="13"/>
  <c r="Y7" i="11"/>
  <c r="AQ83" i="12"/>
  <c r="AN49" i="11"/>
  <c r="AQ118" i="12"/>
  <c r="AQ119" i="12" s="1"/>
  <c r="AQ77" i="12"/>
  <c r="I82" i="11"/>
  <c r="AH57" i="13"/>
  <c r="AH11" i="11" s="1"/>
  <c r="AB47" i="13"/>
  <c r="Y133" i="12"/>
  <c r="O82" i="11"/>
  <c r="AT53" i="11"/>
  <c r="AB69" i="10"/>
  <c r="AB72" i="10" s="1"/>
  <c r="AB83" i="10"/>
  <c r="AJ59" i="13"/>
  <c r="AS52" i="11"/>
  <c r="AQ66" i="11"/>
  <c r="AJ17" i="12"/>
  <c r="AB81" i="11"/>
  <c r="AJ70" i="11"/>
  <c r="AD81" i="10"/>
  <c r="BG49" i="11"/>
  <c r="BF97" i="11"/>
  <c r="G98" i="10"/>
  <c r="G47" i="13"/>
  <c r="AE65" i="12"/>
  <c r="Y65" i="12"/>
  <c r="BA71" i="12"/>
  <c r="BA72" i="12" s="1"/>
  <c r="BA73" i="12"/>
  <c r="AE78" i="11"/>
  <c r="AP66" i="11"/>
  <c r="AC84" i="11"/>
  <c r="AQ39" i="11"/>
  <c r="AJ71" i="12"/>
  <c r="AJ72" i="12" s="1"/>
  <c r="AK72" i="12" s="1"/>
  <c r="AZ73" i="12"/>
  <c r="O81" i="10"/>
  <c r="V81" i="11"/>
  <c r="AH49" i="11"/>
  <c r="AD59" i="13"/>
  <c r="AQ46" i="13"/>
  <c r="X81" i="10"/>
  <c r="D22" i="13"/>
  <c r="BM46" i="11"/>
  <c r="G69" i="10"/>
  <c r="G48" i="13"/>
  <c r="AE11" i="13"/>
  <c r="AE81" i="10" s="1"/>
  <c r="BM49" i="11"/>
  <c r="G136" i="10"/>
  <c r="AD39" i="11"/>
  <c r="AD66" i="11"/>
  <c r="AJ46" i="13"/>
  <c r="AK46" i="13" s="1"/>
  <c r="AJ81" i="10"/>
  <c r="AU52" i="11"/>
  <c r="DC49" i="11"/>
  <c r="AV17" i="12"/>
  <c r="X65" i="12"/>
  <c r="X66" i="12" s="1"/>
  <c r="X66" i="11" s="1"/>
  <c r="O155" i="12"/>
  <c r="O153" i="12"/>
  <c r="AP17" i="12"/>
  <c r="BY47" i="11"/>
  <c r="AP94" i="13"/>
  <c r="AP60" i="11"/>
  <c r="AJ122" i="12"/>
  <c r="W53" i="12"/>
  <c r="W54" i="12" s="1"/>
  <c r="I154" i="12"/>
  <c r="BC38" i="11"/>
  <c r="E48" i="13"/>
  <c r="E47" i="13"/>
  <c r="E44" i="13"/>
  <c r="E15" i="13"/>
  <c r="O151" i="12"/>
  <c r="V52" i="11"/>
  <c r="W52" i="11"/>
  <c r="AP21" i="12"/>
  <c r="AC49" i="12"/>
  <c r="O150" i="12"/>
  <c r="U70" i="11"/>
  <c r="AP157" i="12"/>
  <c r="V53" i="11"/>
  <c r="U17" i="12"/>
  <c r="BO36" i="11"/>
  <c r="BO33" i="11" s="1"/>
  <c r="AC46" i="11"/>
  <c r="O17" i="12"/>
  <c r="AV70" i="11"/>
  <c r="AP155" i="12"/>
  <c r="AQ16" i="12"/>
  <c r="Q80" i="11"/>
  <c r="BC118" i="12"/>
  <c r="BC119" i="12" s="1"/>
  <c r="BC130" i="12"/>
  <c r="AY88" i="12"/>
  <c r="AY49" i="11"/>
  <c r="BA49" i="11"/>
  <c r="BF81" i="10"/>
  <c r="I150" i="12"/>
  <c r="AD45" i="13"/>
  <c r="AE45" i="13" s="1"/>
  <c r="AE10" i="13"/>
  <c r="AP82" i="11"/>
  <c r="AP58" i="13"/>
  <c r="AP45" i="13"/>
  <c r="AQ45" i="13" s="1"/>
  <c r="AH84" i="11"/>
  <c r="AT49" i="11"/>
  <c r="AP151" i="12"/>
  <c r="AP150" i="12"/>
  <c r="AP87" i="12"/>
  <c r="AP88" i="12" s="1"/>
  <c r="AW11" i="13"/>
  <c r="AW81" i="10" s="1"/>
  <c r="BC129" i="12"/>
  <c r="I152" i="12"/>
  <c r="I153" i="12"/>
  <c r="I156" i="12"/>
  <c r="BC110" i="11"/>
  <c r="BU33" i="12"/>
  <c r="BT34" i="12"/>
  <c r="AJ58" i="13"/>
  <c r="AP154" i="12"/>
  <c r="AP152" i="12"/>
  <c r="AP153" i="12"/>
  <c r="AP156" i="12"/>
  <c r="BS58" i="12"/>
  <c r="BS12" i="12" s="1"/>
  <c r="I157" i="12"/>
  <c r="BB58" i="13"/>
  <c r="AW84" i="12"/>
  <c r="AN53" i="11"/>
  <c r="BS36" i="11"/>
  <c r="AQ84" i="12"/>
  <c r="AQ120" i="12"/>
  <c r="V55" i="12"/>
  <c r="V53" i="12"/>
  <c r="V54" i="12" s="1"/>
  <c r="I9" i="13"/>
  <c r="I59" i="9" s="1"/>
  <c r="I59" i="13"/>
  <c r="AV124" i="12"/>
  <c r="BS67" i="12"/>
  <c r="BY69" i="11" s="1"/>
  <c r="AW16" i="12"/>
  <c r="I81" i="10"/>
  <c r="AB52" i="12"/>
  <c r="AH49" i="12"/>
  <c r="BX49" i="11"/>
  <c r="BX33" i="11"/>
  <c r="AI122" i="12"/>
  <c r="BC67" i="11"/>
  <c r="BB26" i="12"/>
  <c r="BH62" i="11" s="1"/>
  <c r="AB84" i="11"/>
  <c r="AP71" i="12"/>
  <c r="AP72" i="12" s="1"/>
  <c r="AQ72" i="12" s="1"/>
  <c r="O59" i="13"/>
  <c r="AW120" i="12"/>
  <c r="AW118" i="12"/>
  <c r="AW119" i="12" s="1"/>
  <c r="AW76" i="12"/>
  <c r="AQ65" i="12"/>
  <c r="AK27" i="12"/>
  <c r="U73" i="11"/>
  <c r="I73" i="11"/>
  <c r="AE47" i="11"/>
  <c r="Y47" i="11"/>
  <c r="BH83" i="11"/>
  <c r="O66" i="11"/>
  <c r="O39" i="11"/>
  <c r="AV110" i="11"/>
  <c r="AP110" i="11"/>
  <c r="CW36" i="11"/>
  <c r="DA49" i="11" s="1"/>
  <c r="I151" i="12"/>
  <c r="S83" i="11"/>
  <c r="AI75" i="11"/>
  <c r="BW49" i="11"/>
  <c r="AU9" i="11"/>
  <c r="AU7" i="11"/>
  <c r="AU8" i="11"/>
  <c r="AU88" i="12"/>
  <c r="AU10" i="11" s="1"/>
  <c r="AG82" i="11"/>
  <c r="O73" i="11"/>
  <c r="BF82" i="11"/>
  <c r="Y83" i="11"/>
  <c r="AE83" i="11"/>
  <c r="BH105" i="13"/>
  <c r="AV151" i="12"/>
  <c r="AV153" i="12"/>
  <c r="BH70" i="11"/>
  <c r="AW83" i="12"/>
  <c r="AW10" i="13"/>
  <c r="AW77" i="12"/>
  <c r="AW82" i="12"/>
  <c r="AW85" i="12"/>
  <c r="AW86" i="12"/>
  <c r="K83" i="10"/>
  <c r="K15" i="13"/>
  <c r="K69" i="10"/>
  <c r="K72" i="10" s="1"/>
  <c r="K136" i="10"/>
  <c r="K98" i="10"/>
  <c r="K48" i="13"/>
  <c r="K47" i="13"/>
  <c r="Q57" i="13"/>
  <c r="Q11" i="11" s="1"/>
  <c r="K57" i="13"/>
  <c r="K11" i="11" s="1"/>
  <c r="K44" i="13"/>
  <c r="L152" i="12"/>
  <c r="L155" i="12"/>
  <c r="L150" i="12"/>
  <c r="L157" i="12"/>
  <c r="L156" i="12"/>
  <c r="R86" i="12"/>
  <c r="AV152" i="12"/>
  <c r="AV87" i="12"/>
  <c r="AV9" i="11" s="1"/>
  <c r="AV155" i="12"/>
  <c r="AV45" i="13"/>
  <c r="AW45" i="13" s="1"/>
  <c r="AV58" i="13"/>
  <c r="L153" i="12"/>
  <c r="BB70" i="11"/>
  <c r="BB17" i="12"/>
  <c r="AV150" i="12"/>
  <c r="BE86" i="12"/>
  <c r="BE129" i="12"/>
  <c r="BE84" i="12"/>
  <c r="BI13" i="12"/>
  <c r="BE85" i="12"/>
  <c r="BE16" i="12"/>
  <c r="BE76" i="12"/>
  <c r="BE11" i="13"/>
  <c r="BE130" i="12"/>
  <c r="BR83" i="11"/>
  <c r="AP72" i="10"/>
  <c r="AJ64" i="13"/>
  <c r="AJ29" i="13"/>
  <c r="AJ54" i="13" s="1"/>
  <c r="AJ49" i="13"/>
  <c r="AT91" i="11"/>
  <c r="AZ96" i="11" s="1"/>
  <c r="AP64" i="13"/>
  <c r="AH164" i="10"/>
  <c r="AH165" i="10" s="1"/>
  <c r="AH29" i="13"/>
  <c r="AH137" i="10"/>
  <c r="AH139" i="10" s="1"/>
  <c r="AH140" i="10" s="1"/>
  <c r="AH141" i="10" s="1"/>
  <c r="AH135" i="10" s="1"/>
  <c r="AH49" i="13"/>
  <c r="AT105" i="13"/>
  <c r="AW46" i="13"/>
  <c r="V64" i="13"/>
  <c r="V164" i="10"/>
  <c r="V165" i="10" s="1"/>
  <c r="BA137" i="10"/>
  <c r="BA88" i="13"/>
  <c r="BA49" i="13"/>
  <c r="BE49" i="13"/>
  <c r="BE93" i="13" s="1"/>
  <c r="BC41" i="11"/>
  <c r="AZ96" i="13"/>
  <c r="AZ102" i="13"/>
  <c r="R8" i="13"/>
  <c r="R8" i="40" s="1"/>
  <c r="Q8" i="40"/>
  <c r="G71" i="10"/>
  <c r="G70" i="10"/>
  <c r="G44" i="13"/>
  <c r="BG49" i="13"/>
  <c r="BG29" i="13"/>
  <c r="BG137" i="10"/>
  <c r="AS137" i="10"/>
  <c r="AS49" i="13"/>
  <c r="AS29" i="13"/>
  <c r="BU19" i="13"/>
  <c r="BT71" i="13"/>
  <c r="BU71" i="13" s="1"/>
  <c r="BT18" i="13"/>
  <c r="P51" i="13"/>
  <c r="AT51" i="13"/>
  <c r="BF54" i="11"/>
  <c r="AU97" i="11"/>
  <c r="AU54" i="11"/>
  <c r="V88" i="13"/>
  <c r="V27" i="13"/>
  <c r="V53" i="13"/>
  <c r="V137" i="10"/>
  <c r="V139" i="10" s="1"/>
  <c r="V140" i="10" s="1"/>
  <c r="V141" i="10" s="1"/>
  <c r="V135" i="10" s="1"/>
  <c r="V29" i="13"/>
  <c r="BG53" i="13"/>
  <c r="BG88" i="13"/>
  <c r="BA53" i="13"/>
  <c r="BA29" i="13"/>
  <c r="AS91" i="11"/>
  <c r="AS96" i="11" s="1"/>
  <c r="BM32" i="13"/>
  <c r="X31" i="13"/>
  <c r="X81" i="13" s="1"/>
  <c r="X82" i="13" s="1"/>
  <c r="AS88" i="13"/>
  <c r="AS53" i="13"/>
  <c r="P58" i="10"/>
  <c r="BQ73" i="13"/>
  <c r="BQ32" i="13" s="1"/>
  <c r="BR74" i="13"/>
  <c r="AN29" i="13"/>
  <c r="AN53" i="13"/>
  <c r="AN49" i="13"/>
  <c r="AN88" i="13"/>
  <c r="AN137" i="10"/>
  <c r="AN91" i="11"/>
  <c r="AN64" i="13"/>
  <c r="AZ51" i="13"/>
  <c r="AO31" i="13"/>
  <c r="AO54" i="13"/>
  <c r="G15" i="13"/>
  <c r="AS27" i="13"/>
  <c r="AV66" i="11"/>
  <c r="AW66" i="12"/>
  <c r="AV39" i="11"/>
  <c r="BB52" i="11" s="1"/>
  <c r="P80" i="12"/>
  <c r="P38" i="12"/>
  <c r="P123" i="12"/>
  <c r="P36" i="12"/>
  <c r="P37" i="12" s="1"/>
  <c r="P41" i="12"/>
  <c r="P79" i="12"/>
  <c r="P81" i="12"/>
  <c r="V79" i="11"/>
  <c r="BT38" i="11"/>
  <c r="BT59" i="12"/>
  <c r="I69" i="11"/>
  <c r="I40" i="11"/>
  <c r="AO125" i="12"/>
  <c r="AU63" i="11"/>
  <c r="AU29" i="12"/>
  <c r="U123" i="12"/>
  <c r="U80" i="12"/>
  <c r="U79" i="12"/>
  <c r="U41" i="12"/>
  <c r="U42" i="12" s="1"/>
  <c r="U43" i="12" s="1"/>
  <c r="U59" i="11" s="1"/>
  <c r="U38" i="12"/>
  <c r="U36" i="12"/>
  <c r="U37" i="12" s="1"/>
  <c r="AW135" i="12"/>
  <c r="L35" i="12"/>
  <c r="R64" i="11"/>
  <c r="R32" i="12"/>
  <c r="M32" i="12"/>
  <c r="K41" i="12"/>
  <c r="K80" i="12"/>
  <c r="K38" i="12"/>
  <c r="K79" i="12"/>
  <c r="BC85" i="12"/>
  <c r="BC11" i="13"/>
  <c r="BC81" i="10" s="1"/>
  <c r="BC16" i="12"/>
  <c r="BC84" i="12"/>
  <c r="BC86" i="12"/>
  <c r="BB94" i="13"/>
  <c r="BB153" i="12"/>
  <c r="BB150" i="12"/>
  <c r="BB154" i="12"/>
  <c r="BB152" i="12"/>
  <c r="BB155" i="12"/>
  <c r="BB156" i="12"/>
  <c r="BB151" i="12"/>
  <c r="BB157" i="12"/>
  <c r="BB87" i="12"/>
  <c r="O37" i="11"/>
  <c r="AK22" i="11"/>
  <c r="AQ22" i="11"/>
  <c r="BZ34" i="11"/>
  <c r="CF47" i="11" s="1"/>
  <c r="BZ27" i="12"/>
  <c r="BZ30" i="12"/>
  <c r="BZ35" i="11"/>
  <c r="O76" i="11"/>
  <c r="BE45" i="13"/>
  <c r="BE58" i="13"/>
  <c r="BI68" i="12"/>
  <c r="BC70" i="12"/>
  <c r="BI69" i="11"/>
  <c r="BC68" i="12"/>
  <c r="BH66" i="11"/>
  <c r="BH64" i="12"/>
  <c r="BH70" i="12" s="1"/>
  <c r="AB32" i="12"/>
  <c r="V126" i="12"/>
  <c r="AB64" i="11"/>
  <c r="V35" i="12"/>
  <c r="V81" i="12" s="1"/>
  <c r="L46" i="13"/>
  <c r="BC83" i="12"/>
  <c r="BC82" i="12"/>
  <c r="BC76" i="12"/>
  <c r="BC10" i="13"/>
  <c r="BC120" i="12"/>
  <c r="BY51" i="11"/>
  <c r="BS51" i="11"/>
  <c r="AC81" i="11"/>
  <c r="F10" i="13"/>
  <c r="F9" i="13" s="1"/>
  <c r="L120" i="12"/>
  <c r="AA79" i="11"/>
  <c r="AG64" i="11"/>
  <c r="AA126" i="12"/>
  <c r="AA35" i="12"/>
  <c r="AG32" i="12"/>
  <c r="BC66" i="11"/>
  <c r="AW65" i="12"/>
  <c r="BC65" i="12"/>
  <c r="AW70" i="12"/>
  <c r="W32" i="12"/>
  <c r="Q35" i="12"/>
  <c r="Q81" i="12" s="1"/>
  <c r="Q126" i="12"/>
  <c r="W64" i="11"/>
  <c r="Q79" i="11"/>
  <c r="BO116" i="12"/>
  <c r="BU7" i="12"/>
  <c r="BB81" i="10"/>
  <c r="BH59" i="13"/>
  <c r="BB59" i="13"/>
  <c r="O65" i="11"/>
  <c r="AT62" i="11"/>
  <c r="AT26" i="12"/>
  <c r="AQ26" i="12"/>
  <c r="AN124" i="12"/>
  <c r="BC36" i="11"/>
  <c r="BC33" i="11" s="1"/>
  <c r="AZ33" i="11"/>
  <c r="AZ49" i="11"/>
  <c r="BF49" i="11"/>
  <c r="AN77" i="11"/>
  <c r="AV33" i="11"/>
  <c r="AV49" i="11"/>
  <c r="AO52" i="11"/>
  <c r="M43" i="10"/>
  <c r="AK73" i="9"/>
  <c r="AQ73" i="9"/>
  <c r="AC76" i="10"/>
  <c r="S33" i="9"/>
  <c r="R98" i="10"/>
  <c r="S97" i="10"/>
  <c r="S98" i="10" s="1"/>
  <c r="AW73" i="9"/>
  <c r="BC73" i="9"/>
  <c r="AI84" i="11"/>
  <c r="AV78" i="11"/>
  <c r="AQ36" i="11"/>
  <c r="AQ33" i="11" s="1"/>
  <c r="AQ46" i="11" s="1"/>
  <c r="AU49" i="11"/>
  <c r="AO33" i="11"/>
  <c r="AU46" i="11" s="1"/>
  <c r="BG54" i="11"/>
  <c r="BB29" i="12"/>
  <c r="AV125" i="12"/>
  <c r="BB63" i="11"/>
  <c r="M73" i="11"/>
  <c r="BG97" i="11"/>
  <c r="BA28" i="11"/>
  <c r="BA54" i="11"/>
  <c r="AY46" i="40"/>
  <c r="AW70" i="40"/>
  <c r="AT46" i="40"/>
  <c r="BA97" i="11"/>
  <c r="AU105" i="13"/>
  <c r="BA91" i="11"/>
  <c r="BA64" i="13"/>
  <c r="AQ46" i="40"/>
  <c r="BO72" i="40"/>
  <c r="X77" i="40"/>
  <c r="Y77" i="40" s="1"/>
  <c r="AC46" i="40"/>
  <c r="V59" i="40"/>
  <c r="Y72" i="40"/>
  <c r="BC46" i="40"/>
  <c r="BI46" i="40"/>
  <c r="BQ30" i="10"/>
  <c r="BO30" i="10"/>
  <c r="CA69" i="40"/>
  <c r="BZ72" i="40"/>
  <c r="CA72" i="40" s="1"/>
  <c r="AE46" i="40"/>
  <c r="AK46" i="40"/>
  <c r="AG46" i="40"/>
  <c r="BO23" i="10"/>
  <c r="AD72" i="40"/>
  <c r="AE72" i="40" s="1"/>
  <c r="AE69" i="40"/>
  <c r="AW72" i="40"/>
  <c r="W67" i="40"/>
  <c r="W79" i="40" s="1"/>
  <c r="X61" i="40"/>
  <c r="W57" i="40"/>
  <c r="W62" i="40"/>
  <c r="W58" i="40" s="1"/>
  <c r="BQ45" i="40"/>
  <c r="BQ23" i="10"/>
  <c r="BR24" i="40"/>
  <c r="V79" i="40"/>
  <c r="V57" i="10" s="1"/>
  <c r="AK75" i="40"/>
  <c r="AJ77" i="40"/>
  <c r="AK77" i="40" s="1"/>
  <c r="BC63" i="40"/>
  <c r="M64" i="40"/>
  <c r="L88" i="40"/>
  <c r="L75" i="40" s="1"/>
  <c r="AE77" i="40"/>
  <c r="BG46" i="40"/>
  <c r="BH46" i="40"/>
  <c r="BI69" i="40"/>
  <c r="BH72" i="40"/>
  <c r="BI72" i="40" s="1"/>
  <c r="BU74" i="40"/>
  <c r="BT77" i="40"/>
  <c r="BU77" i="40" s="1"/>
  <c r="AS46" i="40"/>
  <c r="K66" i="40"/>
  <c r="K70" i="40" s="1"/>
  <c r="L60" i="40"/>
  <c r="K60" i="40"/>
  <c r="BB46" i="40"/>
  <c r="BA46" i="40"/>
  <c r="P31" i="13"/>
  <c r="W31" i="13"/>
  <c r="AD31" i="13"/>
  <c r="AD54" i="13"/>
  <c r="AI54" i="11"/>
  <c r="AC54" i="11"/>
  <c r="AI97" i="11"/>
  <c r="AC97" i="11"/>
  <c r="CR28" i="11"/>
  <c r="AO28" i="11"/>
  <c r="U54" i="13"/>
  <c r="U31" i="13"/>
  <c r="BZ18" i="13"/>
  <c r="BZ71" i="13"/>
  <c r="CA71" i="13" s="1"/>
  <c r="CA19" i="13"/>
  <c r="BQ72" i="10"/>
  <c r="BC25" i="13"/>
  <c r="BC26" i="13" s="1"/>
  <c r="BC70" i="13"/>
  <c r="BB77" i="13"/>
  <c r="BB52" i="10"/>
  <c r="BB35" i="13"/>
  <c r="BB68" i="13"/>
  <c r="BB75" i="13" s="1"/>
  <c r="BB34" i="13" s="1"/>
  <c r="BB81" i="13"/>
  <c r="BB82" i="13" s="1"/>
  <c r="BB33" i="13"/>
  <c r="BB55" i="13"/>
  <c r="BB51" i="10"/>
  <c r="AI35" i="13"/>
  <c r="AI33" i="13"/>
  <c r="AI51" i="10"/>
  <c r="AI55" i="13"/>
  <c r="AI52" i="10"/>
  <c r="AI68" i="13"/>
  <c r="AI75" i="13" s="1"/>
  <c r="AI34" i="13" s="1"/>
  <c r="AI81" i="13"/>
  <c r="AI82" i="13" s="1"/>
  <c r="AT54" i="13"/>
  <c r="AT31" i="13"/>
  <c r="Q31" i="13"/>
  <c r="Q54" i="13"/>
  <c r="CS28" i="11"/>
  <c r="AP28" i="11"/>
  <c r="AP54" i="11"/>
  <c r="AJ54" i="11"/>
  <c r="CT17" i="11"/>
  <c r="AM97" i="11"/>
  <c r="AM70" i="11"/>
  <c r="AM85" i="11" s="1"/>
  <c r="AM41" i="11"/>
  <c r="AM54" i="11" s="1"/>
  <c r="AS27" i="11"/>
  <c r="AS70" i="11"/>
  <c r="AY85" i="11" s="1"/>
  <c r="CX17" i="11"/>
  <c r="AY27" i="11"/>
  <c r="DB28" i="11" s="1"/>
  <c r="AS41" i="11"/>
  <c r="AS105" i="13"/>
  <c r="S30" i="13"/>
  <c r="AE30" i="13"/>
  <c r="BE54" i="13"/>
  <c r="BE31" i="13"/>
  <c r="AY53" i="13"/>
  <c r="AY91" i="11"/>
  <c r="AY88" i="13"/>
  <c r="AY137" i="10"/>
  <c r="AY49" i="13"/>
  <c r="AY29" i="13"/>
  <c r="AY64" i="13"/>
  <c r="AY27" i="13"/>
  <c r="BB87" i="13"/>
  <c r="AV52" i="13"/>
  <c r="AV22" i="13"/>
  <c r="BB52" i="13"/>
  <c r="AV87" i="13"/>
  <c r="AV102" i="13"/>
  <c r="AV96" i="13"/>
  <c r="AW60" i="13"/>
  <c r="AW15" i="13"/>
  <c r="AW44" i="13"/>
  <c r="AW95" i="13" s="1"/>
  <c r="R31" i="13"/>
  <c r="R54" i="13"/>
  <c r="AM54" i="13"/>
  <c r="AM31" i="13"/>
  <c r="BC7" i="13"/>
  <c r="AW7" i="40"/>
  <c r="AI85" i="11"/>
  <c r="G32" i="13"/>
  <c r="W54" i="13"/>
  <c r="AU49" i="13"/>
  <c r="AU53" i="13"/>
  <c r="AU88" i="13"/>
  <c r="AU29" i="13"/>
  <c r="AU91" i="11"/>
  <c r="AU96" i="11" s="1"/>
  <c r="AU137" i="10"/>
  <c r="AU64" i="13"/>
  <c r="BC14" i="13"/>
  <c r="BB46" i="13"/>
  <c r="BC46" i="13" s="1"/>
  <c r="Y91" i="11"/>
  <c r="Y49" i="13"/>
  <c r="Y64" i="13"/>
  <c r="Y137" i="10"/>
  <c r="Y139" i="10" s="1"/>
  <c r="Y140" i="10" s="1"/>
  <c r="Y141" i="10" s="1"/>
  <c r="Y53" i="13"/>
  <c r="Y88" i="13"/>
  <c r="Y29" i="13"/>
  <c r="Y54" i="13" s="1"/>
  <c r="AT93" i="13"/>
  <c r="AC64" i="13"/>
  <c r="AC29" i="13"/>
  <c r="AC53" i="13"/>
  <c r="AC164" i="10"/>
  <c r="AC165" i="10" s="1"/>
  <c r="AC137" i="10"/>
  <c r="AC139" i="10" s="1"/>
  <c r="AC140" i="10" s="1"/>
  <c r="AC141" i="10" s="1"/>
  <c r="AC135" i="10" s="1"/>
  <c r="AC88" i="13"/>
  <c r="AI64" i="13"/>
  <c r="AC91" i="11"/>
  <c r="AC96" i="11" s="1"/>
  <c r="AI91" i="11"/>
  <c r="AC49" i="13"/>
  <c r="AI53" i="13"/>
  <c r="AI88" i="13"/>
  <c r="AP93" i="13"/>
  <c r="CW28" i="11"/>
  <c r="AV28" i="11"/>
  <c r="BI25" i="13"/>
  <c r="BI26" i="13" s="1"/>
  <c r="BI27" i="13" s="1"/>
  <c r="BI70" i="13"/>
  <c r="BE91" i="11"/>
  <c r="BE88" i="13"/>
  <c r="BE64" i="13"/>
  <c r="BE103" i="13"/>
  <c r="AY102" i="13"/>
  <c r="AY96" i="13"/>
  <c r="BC96" i="13"/>
  <c r="BC22" i="13"/>
  <c r="BI53" i="13" s="1"/>
  <c r="BI52" i="13"/>
  <c r="AM96" i="13"/>
  <c r="AM102" i="13"/>
  <c r="AV72" i="10"/>
  <c r="BC13" i="13"/>
  <c r="BB45" i="13"/>
  <c r="BC45" i="13" s="1"/>
  <c r="AD96" i="11"/>
  <c r="AM93" i="13"/>
  <c r="AZ31" i="13"/>
  <c r="AZ54" i="13"/>
  <c r="BH54" i="13"/>
  <c r="BH31" i="13"/>
  <c r="BI29" i="13"/>
  <c r="BI49" i="13"/>
  <c r="BI137" i="10"/>
  <c r="AZ93" i="13"/>
  <c r="BH93" i="13"/>
  <c r="BA105" i="13"/>
  <c r="BA103" i="13"/>
  <c r="BA85" i="11"/>
  <c r="BC102" i="13"/>
  <c r="BG28" i="11"/>
  <c r="DD28" i="11"/>
  <c r="BG46" i="12"/>
  <c r="BC46" i="12"/>
  <c r="BC47" i="12" s="1"/>
  <c r="BC48" i="12" s="1"/>
  <c r="AO75" i="11"/>
  <c r="AA70" i="11"/>
  <c r="BL13" i="12"/>
  <c r="BL86" i="12" s="1"/>
  <c r="BG85" i="11"/>
  <c r="W81" i="11"/>
  <c r="Q81" i="11"/>
  <c r="J84" i="11"/>
  <c r="C73" i="12"/>
  <c r="I71" i="12"/>
  <c r="I72" i="12" s="1"/>
  <c r="I39" i="11"/>
  <c r="X82" i="12"/>
  <c r="BA88" i="12"/>
  <c r="BA7" i="11"/>
  <c r="L58" i="11"/>
  <c r="L65" i="12"/>
  <c r="L66" i="12" s="1"/>
  <c r="AA46" i="11"/>
  <c r="I66" i="11"/>
  <c r="BF85" i="11"/>
  <c r="Y68" i="12"/>
  <c r="Y70" i="12"/>
  <c r="R70" i="12"/>
  <c r="X71" i="12" s="1"/>
  <c r="X72" i="12" s="1"/>
  <c r="R68" i="12"/>
  <c r="R69" i="12" s="1"/>
  <c r="S69" i="12" s="1"/>
  <c r="S68" i="12"/>
  <c r="S70" i="12"/>
  <c r="Y77" i="12"/>
  <c r="AE120" i="12"/>
  <c r="Y10" i="13"/>
  <c r="U58" i="13"/>
  <c r="AA58" i="13"/>
  <c r="U45" i="13"/>
  <c r="AE66" i="12"/>
  <c r="AA39" i="11"/>
  <c r="AA66" i="11"/>
  <c r="U73" i="12"/>
  <c r="U71" i="12"/>
  <c r="U72" i="12" s="1"/>
  <c r="AA71" i="12"/>
  <c r="AA72" i="12" s="1"/>
  <c r="AE135" i="12"/>
  <c r="AZ58" i="11"/>
  <c r="DC7" i="11"/>
  <c r="BF20" i="11"/>
  <c r="DG21" i="11" s="1"/>
  <c r="U52" i="12"/>
  <c r="AA49" i="12"/>
  <c r="AM21" i="12"/>
  <c r="AM60" i="11"/>
  <c r="AG78" i="12"/>
  <c r="AK21" i="12"/>
  <c r="AG122" i="12"/>
  <c r="BC135" i="12"/>
  <c r="Y82" i="12"/>
  <c r="BN67" i="12"/>
  <c r="BN69" i="11"/>
  <c r="AP46" i="11"/>
  <c r="AJ46" i="11"/>
  <c r="AK49" i="11"/>
  <c r="X68" i="12"/>
  <c r="X69" i="12" s="1"/>
  <c r="X69" i="11" s="1"/>
  <c r="O73" i="12"/>
  <c r="O71" i="12"/>
  <c r="O72" i="12" s="1"/>
  <c r="AO84" i="11"/>
  <c r="AU84" i="11"/>
  <c r="Y32" i="11"/>
  <c r="Y45" i="11" s="1"/>
  <c r="Y60" i="11"/>
  <c r="X58" i="11"/>
  <c r="R58" i="11"/>
  <c r="S52" i="12"/>
  <c r="Y53" i="12" s="1"/>
  <c r="S127" i="12"/>
  <c r="S7" i="11"/>
  <c r="S133" i="12"/>
  <c r="R49" i="12"/>
  <c r="R53" i="12"/>
  <c r="R54" i="12" s="1"/>
  <c r="R55" i="12"/>
  <c r="O45" i="13"/>
  <c r="O58" i="13"/>
  <c r="Y83" i="12"/>
  <c r="U40" i="11"/>
  <c r="AS9" i="11"/>
  <c r="AS7" i="11"/>
  <c r="AY20" i="11" s="1"/>
  <c r="DB21" i="11" s="1"/>
  <c r="AS88" i="12"/>
  <c r="AS10" i="11" s="1"/>
  <c r="AS8" i="11"/>
  <c r="R129" i="12"/>
  <c r="R85" i="12"/>
  <c r="S13" i="12"/>
  <c r="R11" i="13"/>
  <c r="X129" i="12"/>
  <c r="X135" i="12"/>
  <c r="AD58" i="11"/>
  <c r="AD20" i="11"/>
  <c r="X83" i="12"/>
  <c r="X10" i="13"/>
  <c r="AD120" i="12"/>
  <c r="X76" i="12"/>
  <c r="X77" i="12"/>
  <c r="X16" i="12"/>
  <c r="X84" i="12"/>
  <c r="AD118" i="12"/>
  <c r="AD119" i="12" s="1"/>
  <c r="U39" i="11"/>
  <c r="U66" i="11"/>
  <c r="AJ20" i="11"/>
  <c r="CS21" i="11" s="1"/>
  <c r="AD40" i="11"/>
  <c r="AE69" i="12"/>
  <c r="AH46" i="11"/>
  <c r="AB46" i="11"/>
  <c r="AE122" i="12"/>
  <c r="AE22" i="12"/>
  <c r="AE23" i="12" s="1"/>
  <c r="AE78" i="12"/>
  <c r="AG75" i="11"/>
  <c r="AV40" i="11"/>
  <c r="BB53" i="11" s="1"/>
  <c r="AW69" i="12"/>
  <c r="AV69" i="11"/>
  <c r="V84" i="11"/>
  <c r="P84" i="11"/>
  <c r="DB7" i="11"/>
  <c r="AY58" i="11"/>
  <c r="J22" i="13"/>
  <c r="J52" i="13"/>
  <c r="P52" i="13"/>
  <c r="J87" i="13"/>
  <c r="P87" i="13"/>
  <c r="AE68" i="12"/>
  <c r="AV71" i="12"/>
  <c r="AV72" i="12" s="1"/>
  <c r="AW72" i="12" s="1"/>
  <c r="BA46" i="11"/>
  <c r="BG46" i="11"/>
  <c r="X73" i="12"/>
  <c r="U82" i="11"/>
  <c r="AA82" i="11"/>
  <c r="U69" i="11"/>
  <c r="O69" i="11"/>
  <c r="O40" i="11"/>
  <c r="Y55" i="12"/>
  <c r="AA17" i="12"/>
  <c r="AA59" i="13"/>
  <c r="U46" i="13"/>
  <c r="U81" i="10"/>
  <c r="U59" i="13"/>
  <c r="S75" i="11"/>
  <c r="AO53" i="11"/>
  <c r="AU53" i="11"/>
  <c r="AN21" i="12"/>
  <c r="AH78" i="12"/>
  <c r="AH122" i="12"/>
  <c r="AN60" i="11"/>
  <c r="AH75" i="11"/>
  <c r="R130" i="12"/>
  <c r="K96" i="10"/>
  <c r="J107" i="10"/>
  <c r="J111" i="10"/>
  <c r="AS92" i="40"/>
  <c r="AW50" i="40"/>
  <c r="AS51" i="40"/>
  <c r="AW51" i="40" s="1"/>
  <c r="M67" i="9"/>
  <c r="S63" i="9" s="1"/>
  <c r="BC33" i="9"/>
  <c r="BA98" i="10"/>
  <c r="AP97" i="10"/>
  <c r="AP98" i="10" s="1"/>
  <c r="AP87" i="40"/>
  <c r="AP33" i="9"/>
  <c r="AC77" i="10"/>
  <c r="AC55" i="9"/>
  <c r="AE33" i="9"/>
  <c r="AD97" i="10"/>
  <c r="AD98" i="10" s="1"/>
  <c r="AD87" i="40"/>
  <c r="AD33" i="9"/>
  <c r="AV97" i="10"/>
  <c r="AV98" i="10" s="1"/>
  <c r="AV87" i="40"/>
  <c r="AV33" i="9"/>
  <c r="AI98" i="10"/>
  <c r="Y33" i="9"/>
  <c r="AG78" i="10"/>
  <c r="AG56" i="9"/>
  <c r="BB97" i="10"/>
  <c r="BB98" i="10" s="1"/>
  <c r="BB87" i="40"/>
  <c r="BB33" i="9"/>
  <c r="AO98" i="10"/>
  <c r="AC98" i="10"/>
  <c r="AQ33" i="9"/>
  <c r="G78" i="10"/>
  <c r="G56" i="9"/>
  <c r="AW28" i="9"/>
  <c r="AU98" i="10"/>
  <c r="AK33" i="9"/>
  <c r="AJ97" i="10"/>
  <c r="AJ98" i="10" s="1"/>
  <c r="AJ33" i="9"/>
  <c r="AJ87" i="40"/>
  <c r="X98" i="10"/>
  <c r="Y97" i="10"/>
  <c r="Y98" i="10" s="1"/>
  <c r="AD76" i="10"/>
  <c r="BT64" i="9"/>
  <c r="BH98" i="10"/>
  <c r="BI97" i="10"/>
  <c r="BI98" i="10" s="1"/>
  <c r="K72" i="9"/>
  <c r="K71" i="9"/>
  <c r="K67" i="9"/>
  <c r="L63" i="9" s="1"/>
  <c r="BH118" i="10"/>
  <c r="BH119" i="10"/>
  <c r="BI117" i="10"/>
  <c r="BI33" i="9"/>
  <c r="BH26" i="13"/>
  <c r="BH27" i="13" s="1"/>
  <c r="BI104" i="10"/>
  <c r="AW66" i="40"/>
  <c r="AY66" i="40"/>
  <c r="AZ66" i="40" s="1"/>
  <c r="BA66" i="40" s="1"/>
  <c r="BB66" i="40" s="1"/>
  <c r="BS11" i="40"/>
  <c r="BS21" i="40"/>
  <c r="BM23" i="40"/>
  <c r="BL25" i="40"/>
  <c r="BL46" i="40" s="1"/>
  <c r="BL26" i="40"/>
  <c r="BK26" i="40"/>
  <c r="BH145" i="10"/>
  <c r="BM146" i="10"/>
  <c r="BO38" i="10"/>
  <c r="BO90" i="10" s="1"/>
  <c r="BQ38" i="10"/>
  <c r="F46" i="13"/>
  <c r="AQ20" i="11"/>
  <c r="AP83" i="11"/>
  <c r="AQ38" i="11"/>
  <c r="AQ51" i="11" s="1"/>
  <c r="AK59" i="12"/>
  <c r="AQ68" i="11"/>
  <c r="AK67" i="11"/>
  <c r="AK23" i="11"/>
  <c r="AQ67" i="11"/>
  <c r="AK61" i="12"/>
  <c r="X67" i="11"/>
  <c r="R135" i="12"/>
  <c r="S128" i="12"/>
  <c r="S61" i="12"/>
  <c r="Y128" i="12"/>
  <c r="S134" i="12"/>
  <c r="AG73" i="11"/>
  <c r="AA73" i="11"/>
  <c r="F73" i="12"/>
  <c r="P80" i="11"/>
  <c r="BH76" i="12"/>
  <c r="BH120" i="12"/>
  <c r="BH84" i="12"/>
  <c r="BH118" i="12"/>
  <c r="BH119" i="12" s="1"/>
  <c r="BH82" i="12"/>
  <c r="BH83" i="12"/>
  <c r="BI9" i="12"/>
  <c r="BI77" i="12" s="1"/>
  <c r="BH10" i="13"/>
  <c r="BH16" i="12"/>
  <c r="BH77" i="12"/>
  <c r="BH58" i="11"/>
  <c r="DI7" i="11"/>
  <c r="AQ78" i="11"/>
  <c r="AT78" i="11"/>
  <c r="AV83" i="11"/>
  <c r="BB83" i="11"/>
  <c r="AW38" i="11"/>
  <c r="R82" i="11"/>
  <c r="O59" i="11"/>
  <c r="F150" i="12"/>
  <c r="AK58" i="11"/>
  <c r="AK135" i="12"/>
  <c r="AQ58" i="11"/>
  <c r="AQ21" i="11"/>
  <c r="AK70" i="12"/>
  <c r="AK68" i="12"/>
  <c r="AQ68" i="12"/>
  <c r="AQ135" i="12"/>
  <c r="AQ23" i="11"/>
  <c r="S9" i="12"/>
  <c r="R82" i="12"/>
  <c r="R10" i="13"/>
  <c r="R77" i="12"/>
  <c r="R76" i="12"/>
  <c r="X118" i="12"/>
  <c r="X119" i="12" s="1"/>
  <c r="R120" i="12"/>
  <c r="X120" i="12"/>
  <c r="R84" i="12"/>
  <c r="R118" i="12"/>
  <c r="R119" i="12" s="1"/>
  <c r="R16" i="12"/>
  <c r="L82" i="11"/>
  <c r="AJ40" i="11"/>
  <c r="AJ69" i="11"/>
  <c r="AK69" i="12"/>
  <c r="V8" i="12"/>
  <c r="W8" i="12" s="1"/>
  <c r="X8" i="12" s="1"/>
  <c r="AA8" i="12"/>
  <c r="BI121" i="12"/>
  <c r="BI133" i="12"/>
  <c r="BH135" i="12"/>
  <c r="BH21" i="11"/>
  <c r="DI22" i="11" s="1"/>
  <c r="DI8" i="11"/>
  <c r="AP40" i="11"/>
  <c r="AQ69" i="12"/>
  <c r="AT46" i="11"/>
  <c r="AN46" i="11"/>
  <c r="AW68" i="11"/>
  <c r="AQ59" i="12"/>
  <c r="AW59" i="12"/>
  <c r="BH104" i="13"/>
  <c r="AM28" i="11"/>
  <c r="CP28" i="11"/>
  <c r="BF28" i="11"/>
  <c r="DC28" i="11"/>
  <c r="AZ97" i="11"/>
  <c r="AT97" i="11"/>
  <c r="CY28" i="11"/>
  <c r="AZ28" i="11"/>
  <c r="BH143" i="10"/>
  <c r="AG54" i="11"/>
  <c r="AT85" i="11"/>
  <c r="AZ85" i="11"/>
  <c r="AT54" i="11"/>
  <c r="AZ54" i="11"/>
  <c r="BI22" i="9"/>
  <c r="BH150" i="10"/>
  <c r="BH153" i="10" s="1"/>
  <c r="BM39" i="13"/>
  <c r="BI81" i="9"/>
  <c r="BM78" i="9"/>
  <c r="BM81" i="9"/>
  <c r="S117" i="10" l="1"/>
  <c r="AJ70" i="13"/>
  <c r="L98" i="10"/>
  <c r="BO73" i="9"/>
  <c r="BI73" i="9"/>
  <c r="R185" i="10"/>
  <c r="L59" i="13"/>
  <c r="AG84" i="11"/>
  <c r="L81" i="10"/>
  <c r="P54" i="13"/>
  <c r="S185" i="10"/>
  <c r="S186" i="10"/>
  <c r="S53" i="10" s="1"/>
  <c r="BZ72" i="10"/>
  <c r="BS27" i="10"/>
  <c r="BR152" i="10"/>
  <c r="BS32" i="10"/>
  <c r="AT138" i="12"/>
  <c r="AU138" i="12" s="1"/>
  <c r="AV138" i="12" s="1"/>
  <c r="M69" i="12"/>
  <c r="AP54" i="13"/>
  <c r="AP31" i="13"/>
  <c r="P186" i="10"/>
  <c r="P53" i="10" s="1"/>
  <c r="AW94" i="13"/>
  <c r="S135" i="10"/>
  <c r="R186" i="10"/>
  <c r="R53" i="10" s="1"/>
  <c r="BO171" i="10"/>
  <c r="AA97" i="11"/>
  <c r="P185" i="10"/>
  <c r="AQ154" i="12"/>
  <c r="AK153" i="12"/>
  <c r="BG150" i="12"/>
  <c r="AW155" i="12"/>
  <c r="AE157" i="12"/>
  <c r="F157" i="12"/>
  <c r="O185" i="10"/>
  <c r="O186" i="10"/>
  <c r="O53" i="10" s="1"/>
  <c r="BC43" i="9"/>
  <c r="AW97" i="10"/>
  <c r="AW98" i="10" s="1"/>
  <c r="AW79" i="9"/>
  <c r="AW78" i="9" s="1"/>
  <c r="AV78" i="9"/>
  <c r="AW54" i="11"/>
  <c r="CT28" i="11"/>
  <c r="AK69" i="13"/>
  <c r="AK25" i="13" s="1"/>
  <c r="AK26" i="13" s="1"/>
  <c r="AK27" i="13" s="1"/>
  <c r="CA36" i="40"/>
  <c r="BH148" i="10"/>
  <c r="BH155" i="10" s="1"/>
  <c r="AH51" i="13"/>
  <c r="AH58" i="10"/>
  <c r="BT31" i="10"/>
  <c r="BS170" i="10"/>
  <c r="BR30" i="10"/>
  <c r="BQ171" i="10"/>
  <c r="U166" i="10"/>
  <c r="U186" i="10"/>
  <c r="U53" i="10" s="1"/>
  <c r="U185" i="10"/>
  <c r="W166" i="10"/>
  <c r="W185" i="10"/>
  <c r="W186" i="10"/>
  <c r="W53" i="10" s="1"/>
  <c r="AC166" i="10"/>
  <c r="AC185" i="10"/>
  <c r="AC186" i="10"/>
  <c r="AC53" i="10" s="1"/>
  <c r="V166" i="10"/>
  <c r="V185" i="10"/>
  <c r="V186" i="10"/>
  <c r="V53" i="10" s="1"/>
  <c r="Y164" i="10"/>
  <c r="Y165" i="10" s="1"/>
  <c r="BB138" i="10"/>
  <c r="BB139" i="10" s="1"/>
  <c r="BB140" i="10" s="1"/>
  <c r="BB141" i="10" s="1"/>
  <c r="BB135" i="10" s="1"/>
  <c r="BB163" i="10"/>
  <c r="BB164" i="10" s="1"/>
  <c r="BB165" i="10" s="1"/>
  <c r="AH166" i="10"/>
  <c r="AH186" i="10"/>
  <c r="AH53" i="10" s="1"/>
  <c r="AH185" i="10"/>
  <c r="AA166" i="10"/>
  <c r="AA185" i="10"/>
  <c r="AA186" i="10"/>
  <c r="AA53" i="10" s="1"/>
  <c r="AI186" i="10"/>
  <c r="AI53" i="10" s="1"/>
  <c r="AW72" i="10"/>
  <c r="AI185" i="10"/>
  <c r="BT35" i="10"/>
  <c r="BS175" i="10"/>
  <c r="BE156" i="10"/>
  <c r="BI156" i="10"/>
  <c r="AB24" i="11"/>
  <c r="J17" i="11"/>
  <c r="P17" i="11"/>
  <c r="BI103" i="13"/>
  <c r="AA54" i="13"/>
  <c r="S126" i="10"/>
  <c r="Y123" i="10" s="1"/>
  <c r="BG153" i="12"/>
  <c r="CL69" i="10"/>
  <c r="CL72" i="10" s="1"/>
  <c r="CF72" i="10"/>
  <c r="BG50" i="13"/>
  <c r="X76" i="10"/>
  <c r="BS83" i="11"/>
  <c r="S20" i="11"/>
  <c r="Y20" i="11"/>
  <c r="L76" i="10"/>
  <c r="L47" i="9"/>
  <c r="AK150" i="12"/>
  <c r="F154" i="12"/>
  <c r="AN138" i="12"/>
  <c r="AO138" i="12" s="1"/>
  <c r="AP138" i="12" s="1"/>
  <c r="BG58" i="13"/>
  <c r="BG152" i="12"/>
  <c r="AE129" i="12"/>
  <c r="Y16" i="12"/>
  <c r="L40" i="11"/>
  <c r="Y46" i="11"/>
  <c r="BO32" i="13"/>
  <c r="AA31" i="13"/>
  <c r="AA35" i="13" s="1"/>
  <c r="BF58" i="10"/>
  <c r="BF50" i="13"/>
  <c r="F151" i="12"/>
  <c r="F152" i="12"/>
  <c r="AE72" i="12"/>
  <c r="AK152" i="12"/>
  <c r="AK155" i="12"/>
  <c r="AQ70" i="11"/>
  <c r="F155" i="12"/>
  <c r="F153" i="12"/>
  <c r="F156" i="12"/>
  <c r="Y11" i="13"/>
  <c r="Y81" i="10" s="1"/>
  <c r="Y76" i="12"/>
  <c r="X68" i="13"/>
  <c r="X75" i="13" s="1"/>
  <c r="X34" i="13" s="1"/>
  <c r="AG77" i="13"/>
  <c r="X35" i="13"/>
  <c r="X55" i="13"/>
  <c r="AG35" i="13"/>
  <c r="AG51" i="10"/>
  <c r="AU104" i="13"/>
  <c r="AK156" i="12"/>
  <c r="AK154" i="12"/>
  <c r="AK151" i="12"/>
  <c r="L71" i="12"/>
  <c r="L72" i="12" s="1"/>
  <c r="Y86" i="12"/>
  <c r="AE130" i="12"/>
  <c r="Y85" i="12"/>
  <c r="Y84" i="12"/>
  <c r="S66" i="12"/>
  <c r="R39" i="11"/>
  <c r="BG156" i="12"/>
  <c r="BG87" i="12"/>
  <c r="BG88" i="12" s="1"/>
  <c r="AQ94" i="13"/>
  <c r="BU34" i="11"/>
  <c r="BU47" i="11" s="1"/>
  <c r="BG155" i="12"/>
  <c r="BG17" i="12"/>
  <c r="BG157" i="12"/>
  <c r="BG94" i="13"/>
  <c r="BG154" i="12"/>
  <c r="X33" i="13"/>
  <c r="AA52" i="10"/>
  <c r="BF54" i="13"/>
  <c r="BF77" i="13" s="1"/>
  <c r="BB106" i="13"/>
  <c r="BF104" i="13"/>
  <c r="AM103" i="13"/>
  <c r="Y31" i="13"/>
  <c r="AS104" i="13"/>
  <c r="AQ102" i="13"/>
  <c r="S31" i="13"/>
  <c r="S55" i="13" s="1"/>
  <c r="BC54" i="11"/>
  <c r="AU50" i="13"/>
  <c r="AT50" i="13"/>
  <c r="AS50" i="13"/>
  <c r="CY8" i="11"/>
  <c r="AT21" i="11"/>
  <c r="CY22" i="11" s="1"/>
  <c r="AB87" i="13"/>
  <c r="BA54" i="13"/>
  <c r="BA31" i="13"/>
  <c r="BA81" i="13" s="1"/>
  <c r="BA82" i="13" s="1"/>
  <c r="AM156" i="10"/>
  <c r="AQ156" i="10"/>
  <c r="AK52" i="40"/>
  <c r="AE76" i="10"/>
  <c r="BI79" i="9"/>
  <c r="BI78" i="9" s="1"/>
  <c r="BH78" i="9"/>
  <c r="R55" i="9"/>
  <c r="R56" i="9" s="1"/>
  <c r="Y25" i="9"/>
  <c r="Y47" i="9" s="1"/>
  <c r="Y75" i="10" s="1"/>
  <c r="CG35" i="40"/>
  <c r="CI14" i="40"/>
  <c r="CJ14" i="40" s="1"/>
  <c r="CK14" i="40" s="1"/>
  <c r="CL14" i="40" s="1"/>
  <c r="CM14" i="40" s="1"/>
  <c r="CM35" i="40" s="1"/>
  <c r="CG41" i="40"/>
  <c r="CI20" i="40"/>
  <c r="CJ20" i="40" s="1"/>
  <c r="CK20" i="40" s="1"/>
  <c r="CL20" i="40" s="1"/>
  <c r="CM20" i="40" s="1"/>
  <c r="CM41" i="40" s="1"/>
  <c r="CG37" i="40"/>
  <c r="CI16" i="40"/>
  <c r="CJ16" i="40" s="1"/>
  <c r="CK16" i="40" s="1"/>
  <c r="CL16" i="40" s="1"/>
  <c r="CM16" i="40" s="1"/>
  <c r="CM37" i="40" s="1"/>
  <c r="CG39" i="40"/>
  <c r="CI18" i="40"/>
  <c r="CJ18" i="40" s="1"/>
  <c r="CK18" i="40" s="1"/>
  <c r="CL18" i="40" s="1"/>
  <c r="CM18" i="40" s="1"/>
  <c r="CM39" i="40" s="1"/>
  <c r="CD10" i="40"/>
  <c r="CG33" i="40"/>
  <c r="CI12" i="40"/>
  <c r="CJ12" i="40" s="1"/>
  <c r="CK12" i="40" s="1"/>
  <c r="CL12" i="40" s="1"/>
  <c r="CM12" i="40" s="1"/>
  <c r="CM33" i="40" s="1"/>
  <c r="CG40" i="40"/>
  <c r="CI19" i="40"/>
  <c r="CJ19" i="40" s="1"/>
  <c r="CK19" i="40" s="1"/>
  <c r="CL19" i="40" s="1"/>
  <c r="CM19" i="40" s="1"/>
  <c r="CM40" i="40" s="1"/>
  <c r="CG36" i="40"/>
  <c r="CI15" i="40"/>
  <c r="CJ15" i="40" s="1"/>
  <c r="CK15" i="40" s="1"/>
  <c r="CL15" i="40" s="1"/>
  <c r="CM15" i="40" s="1"/>
  <c r="CM36" i="40" s="1"/>
  <c r="CG43" i="40"/>
  <c r="CI22" i="40"/>
  <c r="CJ22" i="40" s="1"/>
  <c r="CK22" i="40" s="1"/>
  <c r="CL22" i="40" s="1"/>
  <c r="CM22" i="40" s="1"/>
  <c r="CM43" i="40" s="1"/>
  <c r="AS78" i="11"/>
  <c r="AB6" i="11"/>
  <c r="AC6" i="11" s="1"/>
  <c r="AD6" i="11" s="1"/>
  <c r="AG6" i="11"/>
  <c r="AE154" i="12"/>
  <c r="AD154" i="12" s="1"/>
  <c r="AU124" i="12"/>
  <c r="AE46" i="11"/>
  <c r="BF31" i="13"/>
  <c r="AG68" i="13"/>
  <c r="AG75" i="13" s="1"/>
  <c r="AG34" i="13" s="1"/>
  <c r="AG81" i="13"/>
  <c r="AG82" i="13" s="1"/>
  <c r="AG33" i="13"/>
  <c r="AG58" i="9" s="1"/>
  <c r="AG52" i="10"/>
  <c r="AG55" i="13"/>
  <c r="BI93" i="13"/>
  <c r="CI36" i="10"/>
  <c r="CJ36" i="10" s="1"/>
  <c r="CK36" i="10" s="1"/>
  <c r="CL36" i="10" s="1"/>
  <c r="CM36" i="10" s="1"/>
  <c r="CG36" i="10"/>
  <c r="BZ48" i="11"/>
  <c r="CF48" i="11"/>
  <c r="BX46" i="11"/>
  <c r="CD46" i="11"/>
  <c r="BM71" i="12"/>
  <c r="BM72" i="12" s="1"/>
  <c r="BX12" i="12"/>
  <c r="CD68" i="11"/>
  <c r="CD58" i="12"/>
  <c r="BB71" i="12"/>
  <c r="BB72" i="12" s="1"/>
  <c r="BC72" i="12" s="1"/>
  <c r="BW46" i="11"/>
  <c r="CC46" i="11"/>
  <c r="CG40" i="10"/>
  <c r="CI40" i="10"/>
  <c r="CJ40" i="10" s="1"/>
  <c r="CK40" i="10" s="1"/>
  <c r="CL40" i="10" s="1"/>
  <c r="CM40" i="10" s="1"/>
  <c r="AN58" i="10"/>
  <c r="AN51" i="13"/>
  <c r="AH52" i="13"/>
  <c r="AH87" i="13"/>
  <c r="AB52" i="13"/>
  <c r="AY125" i="12"/>
  <c r="BI83" i="11"/>
  <c r="BS84" i="11"/>
  <c r="BE63" i="11"/>
  <c r="AQ125" i="12"/>
  <c r="BM84" i="11"/>
  <c r="AS46" i="11"/>
  <c r="AK66" i="11"/>
  <c r="BA26" i="12"/>
  <c r="AQ30" i="12"/>
  <c r="BA62" i="11"/>
  <c r="BF71" i="12"/>
  <c r="BF72" i="12" s="1"/>
  <c r="AS125" i="12"/>
  <c r="AY63" i="11"/>
  <c r="AZ29" i="12"/>
  <c r="BF63" i="11" s="1"/>
  <c r="BR66" i="11"/>
  <c r="BR81" i="11" s="1"/>
  <c r="AP97" i="11"/>
  <c r="BA50" i="13"/>
  <c r="AY96" i="11"/>
  <c r="BH50" i="13"/>
  <c r="BI51" i="11"/>
  <c r="AP52" i="11"/>
  <c r="BE58" i="10"/>
  <c r="BG51" i="13"/>
  <c r="AJ26" i="13"/>
  <c r="AJ27" i="13" s="1"/>
  <c r="AU51" i="13"/>
  <c r="L59" i="9"/>
  <c r="BG96" i="11"/>
  <c r="L83" i="10"/>
  <c r="AP70" i="13"/>
  <c r="AQ69" i="13"/>
  <c r="AQ70" i="13" s="1"/>
  <c r="BG71" i="12"/>
  <c r="BG72" i="12" s="1"/>
  <c r="AJ52" i="11"/>
  <c r="BT68" i="11"/>
  <c r="AT125" i="12"/>
  <c r="BT58" i="12"/>
  <c r="BZ68" i="11" s="1"/>
  <c r="AV97" i="11"/>
  <c r="BR67" i="12"/>
  <c r="BR69" i="11"/>
  <c r="BR84" i="11" s="1"/>
  <c r="BL70" i="12"/>
  <c r="BL73" i="12" s="1"/>
  <c r="AK39" i="11"/>
  <c r="AQ52" i="11" s="1"/>
  <c r="AD47" i="9"/>
  <c r="AD75" i="10" s="1"/>
  <c r="BE51" i="13"/>
  <c r="AU58" i="10"/>
  <c r="BG58" i="10"/>
  <c r="X47" i="9"/>
  <c r="X75" i="10" s="1"/>
  <c r="X54" i="9"/>
  <c r="U123" i="10"/>
  <c r="U125" i="10" s="1"/>
  <c r="Y125" i="10" s="1"/>
  <c r="Y126" i="10" s="1"/>
  <c r="BL104" i="13"/>
  <c r="AK17" i="12"/>
  <c r="AE152" i="12"/>
  <c r="AD152" i="12" s="1"/>
  <c r="AE153" i="12"/>
  <c r="AD153" i="12" s="1"/>
  <c r="P24" i="11"/>
  <c r="BR15" i="12"/>
  <c r="AE150" i="12"/>
  <c r="AD150" i="12" s="1"/>
  <c r="AE155" i="12"/>
  <c r="AE156" i="12"/>
  <c r="AG96" i="11"/>
  <c r="AG85" i="11"/>
  <c r="AB17" i="11"/>
  <c r="AW58" i="13"/>
  <c r="AA58" i="10"/>
  <c r="AA51" i="13"/>
  <c r="BH106" i="13"/>
  <c r="J24" i="11"/>
  <c r="BE96" i="11"/>
  <c r="Y135" i="10"/>
  <c r="AJ31" i="13"/>
  <c r="AJ68" i="13" s="1"/>
  <c r="AJ75" i="13" s="1"/>
  <c r="AJ34" i="13" s="1"/>
  <c r="O63" i="9"/>
  <c r="O72" i="9" s="1"/>
  <c r="AK72" i="10"/>
  <c r="U135" i="10"/>
  <c r="AN8" i="10"/>
  <c r="AO8" i="10" s="1"/>
  <c r="AP8" i="10" s="1"/>
  <c r="AS8" i="10"/>
  <c r="BF106" i="13"/>
  <c r="BA93" i="13"/>
  <c r="BI91" i="11"/>
  <c r="AQ52" i="13"/>
  <c r="AQ87" i="13"/>
  <c r="R77" i="10"/>
  <c r="AE97" i="10"/>
  <c r="X51" i="13"/>
  <c r="X58" i="10"/>
  <c r="AQ97" i="10"/>
  <c r="AQ98" i="10" s="1"/>
  <c r="R47" i="9"/>
  <c r="AO122" i="12"/>
  <c r="BL134" i="12"/>
  <c r="AZ82" i="11"/>
  <c r="BL61" i="12"/>
  <c r="AS124" i="12"/>
  <c r="V51" i="13"/>
  <c r="X52" i="10"/>
  <c r="X51" i="10"/>
  <c r="BA58" i="10"/>
  <c r="AT96" i="11"/>
  <c r="AA8" i="40"/>
  <c r="AG8" i="13"/>
  <c r="AB8" i="13"/>
  <c r="AG7" i="40"/>
  <c r="AM7" i="13"/>
  <c r="W8" i="13"/>
  <c r="V8" i="40"/>
  <c r="O35" i="13"/>
  <c r="O68" i="13"/>
  <c r="O75" i="13" s="1"/>
  <c r="O34" i="13" s="1"/>
  <c r="O33" i="13"/>
  <c r="O55" i="13"/>
  <c r="O81" i="13"/>
  <c r="O82" i="13" s="1"/>
  <c r="O52" i="10"/>
  <c r="O51" i="10"/>
  <c r="L111" i="10"/>
  <c r="L112" i="10"/>
  <c r="Q56" i="10"/>
  <c r="AT8" i="9"/>
  <c r="AU8" i="9" s="1"/>
  <c r="AV8" i="9" s="1"/>
  <c r="AY8" i="9"/>
  <c r="M104" i="10"/>
  <c r="M105" i="10" s="1"/>
  <c r="AI51" i="13"/>
  <c r="AI58" i="10"/>
  <c r="AW25" i="13"/>
  <c r="AW26" i="13" s="1"/>
  <c r="AW70" i="13"/>
  <c r="BB78" i="9"/>
  <c r="BC79" i="9"/>
  <c r="BC78" i="9" s="1"/>
  <c r="Q51" i="13"/>
  <c r="Q58" i="10"/>
  <c r="BQ68" i="9"/>
  <c r="BB58" i="10"/>
  <c r="BB51" i="13"/>
  <c r="AA78" i="10"/>
  <c r="AA56" i="9"/>
  <c r="AJ119" i="10"/>
  <c r="AJ118" i="10"/>
  <c r="BR12" i="12"/>
  <c r="BR61" i="12" s="1"/>
  <c r="BX68" i="11"/>
  <c r="AP85" i="11"/>
  <c r="AK59" i="13"/>
  <c r="AK81" i="10"/>
  <c r="L136" i="10"/>
  <c r="L69" i="10"/>
  <c r="L72" i="10" s="1"/>
  <c r="R57" i="13"/>
  <c r="R11" i="11" s="1"/>
  <c r="V24" i="11"/>
  <c r="AY26" i="12"/>
  <c r="AY124" i="12" s="1"/>
  <c r="AW26" i="12"/>
  <c r="AW124" i="12" s="1"/>
  <c r="BL128" i="12"/>
  <c r="CY7" i="11"/>
  <c r="AO78" i="12"/>
  <c r="AU21" i="12"/>
  <c r="L47" i="13"/>
  <c r="AY62" i="11"/>
  <c r="AT82" i="11"/>
  <c r="L44" i="13"/>
  <c r="L48" i="13"/>
  <c r="L15" i="13"/>
  <c r="R87" i="13" s="1"/>
  <c r="BL10" i="11"/>
  <c r="L57" i="13"/>
  <c r="L11" i="11" s="1"/>
  <c r="AZ20" i="11"/>
  <c r="DC21" i="11" s="1"/>
  <c r="BB77" i="11"/>
  <c r="BI88" i="13"/>
  <c r="AW43" i="9"/>
  <c r="G72" i="10"/>
  <c r="M25" i="13"/>
  <c r="M70" i="13"/>
  <c r="K49" i="9"/>
  <c r="L48" i="9" s="1"/>
  <c r="AE70" i="13"/>
  <c r="AE25" i="13"/>
  <c r="AE26" i="13" s="1"/>
  <c r="W75" i="10"/>
  <c r="S79" i="9"/>
  <c r="S78" i="9" s="1"/>
  <c r="S43" i="9"/>
  <c r="S47" i="9" s="1"/>
  <c r="AB77" i="10"/>
  <c r="AB55" i="9"/>
  <c r="BU18" i="13"/>
  <c r="AT58" i="11"/>
  <c r="AT73" i="11" s="1"/>
  <c r="AT20" i="11"/>
  <c r="CY21" i="11" s="1"/>
  <c r="R58" i="10"/>
  <c r="R56" i="10"/>
  <c r="R51" i="13"/>
  <c r="AV119" i="10"/>
  <c r="AV118" i="10"/>
  <c r="V75" i="10"/>
  <c r="W76" i="10"/>
  <c r="W54" i="9"/>
  <c r="W59" i="9" s="1"/>
  <c r="AE78" i="9"/>
  <c r="AV26" i="13"/>
  <c r="AV27" i="13" s="1"/>
  <c r="P75" i="10"/>
  <c r="AO58" i="10"/>
  <c r="K75" i="10"/>
  <c r="L26" i="13"/>
  <c r="S76" i="10"/>
  <c r="AK43" i="9"/>
  <c r="AD58" i="10"/>
  <c r="AD51" i="13"/>
  <c r="P77" i="10"/>
  <c r="P55" i="9"/>
  <c r="J78" i="10"/>
  <c r="J56" i="9"/>
  <c r="S54" i="9"/>
  <c r="U78" i="10"/>
  <c r="AA57" i="9"/>
  <c r="U56" i="9"/>
  <c r="U57" i="9"/>
  <c r="Q47" i="9"/>
  <c r="Q76" i="10"/>
  <c r="Q54" i="9"/>
  <c r="Q59" i="9" s="1"/>
  <c r="W58" i="10"/>
  <c r="W51" i="13"/>
  <c r="M24" i="13"/>
  <c r="M25" i="9"/>
  <c r="S25" i="13"/>
  <c r="S26" i="13" s="1"/>
  <c r="S27" i="13" s="1"/>
  <c r="S70" i="13"/>
  <c r="V55" i="9"/>
  <c r="V77" i="10"/>
  <c r="AE43" i="9"/>
  <c r="AE47" i="9" s="1"/>
  <c r="AE79" i="9"/>
  <c r="Y70" i="13"/>
  <c r="Y25" i="13"/>
  <c r="Y26" i="13" s="1"/>
  <c r="Y27" i="13" s="1"/>
  <c r="Y73" i="9"/>
  <c r="S73" i="9"/>
  <c r="K77" i="10"/>
  <c r="K55" i="9"/>
  <c r="L119" i="10"/>
  <c r="M119" i="10" s="1"/>
  <c r="L118" i="10"/>
  <c r="M117" i="10"/>
  <c r="M118" i="10" s="1"/>
  <c r="AW59" i="13"/>
  <c r="AV77" i="11"/>
  <c r="AJ53" i="11"/>
  <c r="AE9" i="13"/>
  <c r="AE20" i="11"/>
  <c r="AQ59" i="13"/>
  <c r="U52" i="11"/>
  <c r="BH85" i="11"/>
  <c r="AW49" i="11"/>
  <c r="AQ49" i="11"/>
  <c r="BS64" i="12"/>
  <c r="BS70" i="12" s="1"/>
  <c r="BS71" i="12" s="1"/>
  <c r="BS72" i="12" s="1"/>
  <c r="BM13" i="12"/>
  <c r="BS66" i="11"/>
  <c r="AW46" i="11"/>
  <c r="C15" i="13"/>
  <c r="C47" i="13"/>
  <c r="C48" i="13"/>
  <c r="C44" i="13"/>
  <c r="AT22" i="11"/>
  <c r="CY23" i="11" s="1"/>
  <c r="CY9" i="11"/>
  <c r="S39" i="11"/>
  <c r="AQ157" i="12"/>
  <c r="AV7" i="11"/>
  <c r="AH66" i="13"/>
  <c r="AQ152" i="12"/>
  <c r="AQ17" i="12"/>
  <c r="S66" i="11"/>
  <c r="AK20" i="11"/>
  <c r="Y135" i="12"/>
  <c r="AV8" i="11"/>
  <c r="BB21" i="11" s="1"/>
  <c r="DE22" i="11" s="1"/>
  <c r="BY68" i="11"/>
  <c r="AQ155" i="12"/>
  <c r="AQ151" i="12"/>
  <c r="AE58" i="11"/>
  <c r="AV88" i="12"/>
  <c r="AV10" i="11" s="1"/>
  <c r="DA10" i="11" s="1"/>
  <c r="AW157" i="12"/>
  <c r="BY58" i="12"/>
  <c r="AW70" i="11"/>
  <c r="AQ87" i="12"/>
  <c r="AQ88" i="12" s="1"/>
  <c r="AQ150" i="12"/>
  <c r="BB97" i="11"/>
  <c r="AQ153" i="12"/>
  <c r="AQ156" i="12"/>
  <c r="AA85" i="11"/>
  <c r="AP81" i="11"/>
  <c r="D27" i="13"/>
  <c r="D51" i="13" s="1"/>
  <c r="D49" i="13"/>
  <c r="AV81" i="11"/>
  <c r="Y66" i="12"/>
  <c r="D29" i="13"/>
  <c r="D31" i="13" s="1"/>
  <c r="BB124" i="12"/>
  <c r="AJ81" i="11"/>
  <c r="BS15" i="12"/>
  <c r="BS10" i="11" s="1"/>
  <c r="DP10" i="11" s="1"/>
  <c r="BH26" i="12"/>
  <c r="BH124" i="12" s="1"/>
  <c r="Y69" i="12"/>
  <c r="AK58" i="13"/>
  <c r="AV85" i="11"/>
  <c r="BY67" i="12"/>
  <c r="AP122" i="12"/>
  <c r="X81" i="11"/>
  <c r="BB85" i="11"/>
  <c r="BZ33" i="11"/>
  <c r="CF46" i="11" s="1"/>
  <c r="AI49" i="12"/>
  <c r="AC52" i="12"/>
  <c r="AD81" i="11"/>
  <c r="AP78" i="12"/>
  <c r="E22" i="13"/>
  <c r="AP75" i="11"/>
  <c r="X39" i="11"/>
  <c r="W37" i="11"/>
  <c r="W50" i="11" s="1"/>
  <c r="W65" i="11"/>
  <c r="AW87" i="12"/>
  <c r="AW88" i="12" s="1"/>
  <c r="BB81" i="11"/>
  <c r="AV21" i="12"/>
  <c r="AV60" i="11"/>
  <c r="AV52" i="11"/>
  <c r="M72" i="12"/>
  <c r="BC70" i="11"/>
  <c r="AW150" i="12"/>
  <c r="AW151" i="12"/>
  <c r="AW153" i="12"/>
  <c r="BT36" i="11"/>
  <c r="BU34" i="12"/>
  <c r="AW17" i="12"/>
  <c r="AW156" i="12"/>
  <c r="AW152" i="12"/>
  <c r="AW154" i="12"/>
  <c r="BC59" i="13"/>
  <c r="BC58" i="13"/>
  <c r="BY49" i="11"/>
  <c r="BS33" i="11"/>
  <c r="BS49" i="11"/>
  <c r="I83" i="10"/>
  <c r="I15" i="13"/>
  <c r="I136" i="10"/>
  <c r="I57" i="13"/>
  <c r="I11" i="11" s="1"/>
  <c r="I98" i="10"/>
  <c r="I44" i="13"/>
  <c r="I69" i="10"/>
  <c r="I72" i="10" s="1"/>
  <c r="O57" i="13"/>
  <c r="O11" i="11" s="1"/>
  <c r="I47" i="13"/>
  <c r="I48" i="13"/>
  <c r="BM10" i="11"/>
  <c r="BM128" i="12"/>
  <c r="AS97" i="11"/>
  <c r="AU21" i="11"/>
  <c r="CZ22" i="11" s="1"/>
  <c r="BA21" i="11"/>
  <c r="DD22" i="11" s="1"/>
  <c r="CZ8" i="11"/>
  <c r="V37" i="11"/>
  <c r="V50" i="11" s="1"/>
  <c r="V65" i="11"/>
  <c r="AU23" i="11"/>
  <c r="CZ24" i="11" s="1"/>
  <c r="CZ10" i="11"/>
  <c r="BA23" i="11"/>
  <c r="DD24" i="11" s="1"/>
  <c r="AU67" i="11"/>
  <c r="BM134" i="12"/>
  <c r="CZ7" i="11"/>
  <c r="AU20" i="11"/>
  <c r="CZ21" i="11" s="1"/>
  <c r="AU58" i="11"/>
  <c r="AN49" i="12"/>
  <c r="AH52" i="12"/>
  <c r="M9" i="13"/>
  <c r="M83" i="10" s="1"/>
  <c r="BZ47" i="11"/>
  <c r="CZ9" i="11"/>
  <c r="BA22" i="11"/>
  <c r="DD23" i="11" s="1"/>
  <c r="AU22" i="11"/>
  <c r="CZ23" i="11" s="1"/>
  <c r="AB53" i="12"/>
  <c r="AB54" i="12" s="1"/>
  <c r="AB55" i="12"/>
  <c r="BI129" i="12"/>
  <c r="BI85" i="12"/>
  <c r="BI11" i="13"/>
  <c r="BI86" i="12"/>
  <c r="BI130" i="12"/>
  <c r="Q17" i="11"/>
  <c r="W24" i="11"/>
  <c r="Q24" i="11"/>
  <c r="Q87" i="13"/>
  <c r="Q52" i="13"/>
  <c r="K22" i="13"/>
  <c r="K52" i="13"/>
  <c r="K87" i="13"/>
  <c r="BE153" i="12"/>
  <c r="BE157" i="12"/>
  <c r="BE151" i="12"/>
  <c r="BE154" i="12"/>
  <c r="BE150" i="12"/>
  <c r="BE156" i="12"/>
  <c r="BE87" i="12"/>
  <c r="BE88" i="12" s="1"/>
  <c r="BE152" i="12"/>
  <c r="BE17" i="12"/>
  <c r="BE155" i="12"/>
  <c r="K156" i="10"/>
  <c r="K24" i="11"/>
  <c r="K17" i="11"/>
  <c r="BH97" i="11"/>
  <c r="BE81" i="10"/>
  <c r="BE59" i="13"/>
  <c r="BE46" i="13"/>
  <c r="V58" i="10"/>
  <c r="AH31" i="13"/>
  <c r="AH54" i="13"/>
  <c r="BA51" i="13"/>
  <c r="BI64" i="13"/>
  <c r="AO46" i="11"/>
  <c r="CA18" i="13"/>
  <c r="AS51" i="13"/>
  <c r="AS58" i="10"/>
  <c r="AN93" i="13"/>
  <c r="V31" i="13"/>
  <c r="V54" i="13"/>
  <c r="AS31" i="13"/>
  <c r="AS54" i="13"/>
  <c r="AS93" i="13"/>
  <c r="BG54" i="13"/>
  <c r="BG31" i="13"/>
  <c r="AZ103" i="13"/>
  <c r="AZ105" i="13"/>
  <c r="G22" i="13"/>
  <c r="AO77" i="13"/>
  <c r="AO33" i="13"/>
  <c r="AO81" i="13"/>
  <c r="AO82" i="13" s="1"/>
  <c r="AO68" i="13"/>
  <c r="AO75" i="13" s="1"/>
  <c r="AO34" i="13" s="1"/>
  <c r="AO55" i="13"/>
  <c r="AO51" i="10"/>
  <c r="AO35" i="13"/>
  <c r="AO65" i="13" s="1"/>
  <c r="AO52" i="10"/>
  <c r="AN54" i="13"/>
  <c r="AN31" i="13"/>
  <c r="BS74" i="13"/>
  <c r="BR73" i="13"/>
  <c r="BR32" i="13" s="1"/>
  <c r="BG93" i="13"/>
  <c r="O80" i="11"/>
  <c r="BU116" i="12"/>
  <c r="CA7" i="12"/>
  <c r="Q36" i="12"/>
  <c r="Q37" i="12" s="1"/>
  <c r="Q79" i="12"/>
  <c r="Q38" i="12"/>
  <c r="Q41" i="12"/>
  <c r="Q123" i="12"/>
  <c r="Q80" i="12"/>
  <c r="AC32" i="12"/>
  <c r="AC64" i="11"/>
  <c r="W35" i="12"/>
  <c r="W81" i="12" s="1"/>
  <c r="W126" i="12"/>
  <c r="AA81" i="12"/>
  <c r="AA123" i="12"/>
  <c r="AA79" i="12"/>
  <c r="AA36" i="12"/>
  <c r="AA37" i="12" s="1"/>
  <c r="AA80" i="12"/>
  <c r="AA41" i="12"/>
  <c r="AA38" i="12"/>
  <c r="AG79" i="11"/>
  <c r="AB79" i="11"/>
  <c r="AB126" i="12"/>
  <c r="AB35" i="12"/>
  <c r="AB81" i="12" s="1"/>
  <c r="AH32" i="12"/>
  <c r="AH64" i="11"/>
  <c r="BN64" i="12"/>
  <c r="BN66" i="11"/>
  <c r="BO84" i="11"/>
  <c r="BI84" i="11"/>
  <c r="CA35" i="11"/>
  <c r="CA34" i="11"/>
  <c r="BC94" i="13"/>
  <c r="M35" i="12"/>
  <c r="M81" i="12" s="1"/>
  <c r="S64" i="11"/>
  <c r="M33" i="12"/>
  <c r="M126" i="12"/>
  <c r="S32" i="12"/>
  <c r="X64" i="11"/>
  <c r="X32" i="12"/>
  <c r="R126" i="12"/>
  <c r="R35" i="12"/>
  <c r="L80" i="12"/>
  <c r="L41" i="12"/>
  <c r="L38" i="12"/>
  <c r="L79" i="12"/>
  <c r="AU78" i="11"/>
  <c r="I84" i="11"/>
  <c r="BZ51" i="11"/>
  <c r="BT51" i="11"/>
  <c r="P42" i="12"/>
  <c r="P43" i="12" s="1"/>
  <c r="W79" i="11"/>
  <c r="AW71" i="12"/>
  <c r="AW73" i="12"/>
  <c r="BI81" i="11"/>
  <c r="AM64" i="11"/>
  <c r="AM32" i="12"/>
  <c r="AG126" i="12"/>
  <c r="AG35" i="12"/>
  <c r="AG81" i="12" s="1"/>
  <c r="F45" i="13"/>
  <c r="L58" i="13"/>
  <c r="V36" i="12"/>
  <c r="V37" i="12" s="1"/>
  <c r="V79" i="12"/>
  <c r="V80" i="12"/>
  <c r="V41" i="12"/>
  <c r="V38" i="12"/>
  <c r="V123" i="12"/>
  <c r="BH81" i="11"/>
  <c r="BC73" i="12"/>
  <c r="BI71" i="12"/>
  <c r="BC71" i="12"/>
  <c r="BB88" i="12"/>
  <c r="BB7" i="11"/>
  <c r="BC155" i="12"/>
  <c r="BC153" i="12"/>
  <c r="BC154" i="12"/>
  <c r="BC157" i="12"/>
  <c r="BC17" i="12"/>
  <c r="BC87" i="12"/>
  <c r="BC88" i="12" s="1"/>
  <c r="BC151" i="12"/>
  <c r="BC150" i="12"/>
  <c r="BC156" i="12"/>
  <c r="BC152" i="12"/>
  <c r="L81" i="12"/>
  <c r="R79" i="11"/>
  <c r="U61" i="11"/>
  <c r="BA29" i="12"/>
  <c r="BA63" i="11"/>
  <c r="AU125" i="12"/>
  <c r="P61" i="11"/>
  <c r="AW39" i="11"/>
  <c r="AW66" i="11"/>
  <c r="AW29" i="12"/>
  <c r="AV46" i="11"/>
  <c r="BB46" i="11"/>
  <c r="AZ46" i="11"/>
  <c r="BF46" i="11"/>
  <c r="AW62" i="11"/>
  <c r="AQ27" i="12"/>
  <c r="AQ124" i="12"/>
  <c r="AT77" i="11"/>
  <c r="AZ26" i="12"/>
  <c r="AZ62" i="11"/>
  <c r="AT124" i="12"/>
  <c r="BC49" i="11"/>
  <c r="AP51" i="13"/>
  <c r="AP58" i="10"/>
  <c r="BB78" i="11"/>
  <c r="BY84" i="11"/>
  <c r="BB125" i="12"/>
  <c r="BH29" i="12"/>
  <c r="BH63" i="11"/>
  <c r="BO28" i="40"/>
  <c r="BQ28" i="40" s="1"/>
  <c r="W60" i="40"/>
  <c r="W59" i="40"/>
  <c r="W56" i="10"/>
  <c r="W57" i="10"/>
  <c r="V56" i="10"/>
  <c r="BR23" i="10"/>
  <c r="BR45" i="40"/>
  <c r="BS24" i="40"/>
  <c r="X67" i="40"/>
  <c r="X79" i="40" s="1"/>
  <c r="X57" i="10" s="1"/>
  <c r="Y61" i="40"/>
  <c r="AE61" i="40" s="1"/>
  <c r="X62" i="40"/>
  <c r="X58" i="40" s="1"/>
  <c r="Y58" i="40" s="1"/>
  <c r="X57" i="40"/>
  <c r="AW52" i="40"/>
  <c r="BI63" i="40"/>
  <c r="BC137" i="10"/>
  <c r="BC29" i="13"/>
  <c r="BC49" i="13"/>
  <c r="AC51" i="13"/>
  <c r="AC58" i="10"/>
  <c r="AI96" i="11"/>
  <c r="AO96" i="11"/>
  <c r="AC31" i="13"/>
  <c r="AC54" i="13"/>
  <c r="AU93" i="13"/>
  <c r="BI7" i="13"/>
  <c r="BC7" i="40"/>
  <c r="AM33" i="13"/>
  <c r="AM52" i="10"/>
  <c r="AM68" i="13"/>
  <c r="AM75" i="13" s="1"/>
  <c r="AM34" i="13" s="1"/>
  <c r="AM55" i="13"/>
  <c r="AM81" i="13"/>
  <c r="AM82" i="13" s="1"/>
  <c r="AM35" i="13"/>
  <c r="AM51" i="10"/>
  <c r="AQ88" i="13"/>
  <c r="AQ64" i="13"/>
  <c r="AQ91" i="11"/>
  <c r="AQ49" i="13"/>
  <c r="AQ137" i="10"/>
  <c r="AQ29" i="13"/>
  <c r="AQ53" i="13"/>
  <c r="AY51" i="13"/>
  <c r="AY58" i="10"/>
  <c r="AY54" i="13"/>
  <c r="AY31" i="13"/>
  <c r="BE77" i="13"/>
  <c r="S54" i="13"/>
  <c r="Q52" i="10"/>
  <c r="Q68" i="13"/>
  <c r="Q75" i="13" s="1"/>
  <c r="Q34" i="13" s="1"/>
  <c r="Q51" i="10"/>
  <c r="Q81" i="13"/>
  <c r="Q82" i="13" s="1"/>
  <c r="Q55" i="13"/>
  <c r="Q35" i="13"/>
  <c r="Q33" i="13"/>
  <c r="AP68" i="13"/>
  <c r="AP75" i="13" s="1"/>
  <c r="AP34" i="13" s="1"/>
  <c r="AP35" i="13"/>
  <c r="AP55" i="13"/>
  <c r="AP81" i="13"/>
  <c r="AP82" i="13" s="1"/>
  <c r="AP33" i="13"/>
  <c r="AP52" i="10"/>
  <c r="AP51" i="10"/>
  <c r="AT77" i="13"/>
  <c r="AI85" i="40"/>
  <c r="AI88" i="10"/>
  <c r="AI91" i="10" s="1"/>
  <c r="AD77" i="13"/>
  <c r="AD55" i="13"/>
  <c r="AD35" i="13"/>
  <c r="AD52" i="10"/>
  <c r="AD51" i="10"/>
  <c r="AD81" i="13"/>
  <c r="AD82" i="13" s="1"/>
  <c r="AD68" i="13"/>
  <c r="AD75" i="13" s="1"/>
  <c r="AD33" i="13"/>
  <c r="AD58" i="9" s="1"/>
  <c r="AY103" i="13"/>
  <c r="AY105" i="13"/>
  <c r="AT106" i="13"/>
  <c r="AU31" i="13"/>
  <c r="AU54" i="13"/>
  <c r="AM77" i="13"/>
  <c r="R52" i="10"/>
  <c r="R55" i="13"/>
  <c r="R33" i="13"/>
  <c r="R58" i="9" s="1"/>
  <c r="R81" i="13"/>
  <c r="R82" i="13" s="1"/>
  <c r="R51" i="10"/>
  <c r="R35" i="13"/>
  <c r="R68" i="13"/>
  <c r="R75" i="13" s="1"/>
  <c r="R34" i="13" s="1"/>
  <c r="AW102" i="13"/>
  <c r="AW96" i="13"/>
  <c r="BC52" i="13"/>
  <c r="AW52" i="13"/>
  <c r="BC87" i="13"/>
  <c r="AW22" i="13"/>
  <c r="AW87" i="13"/>
  <c r="AV103" i="13"/>
  <c r="AV105" i="13"/>
  <c r="AV64" i="13"/>
  <c r="AV137" i="10"/>
  <c r="AV88" i="13"/>
  <c r="AV29" i="13"/>
  <c r="AV49" i="13"/>
  <c r="BB64" i="13"/>
  <c r="AV53" i="13"/>
  <c r="BB91" i="11"/>
  <c r="BB53" i="13"/>
  <c r="BB88" i="13"/>
  <c r="AV91" i="11"/>
  <c r="AV96" i="11" s="1"/>
  <c r="BB105" i="13"/>
  <c r="AY93" i="13"/>
  <c r="BE51" i="10"/>
  <c r="BE68" i="13"/>
  <c r="BE75" i="13" s="1"/>
  <c r="BE34" i="13" s="1"/>
  <c r="BE81" i="13"/>
  <c r="BE82" i="13" s="1"/>
  <c r="BE35" i="13"/>
  <c r="BE52" i="10"/>
  <c r="BE55" i="13"/>
  <c r="BE33" i="13"/>
  <c r="BE106" i="13"/>
  <c r="AY54" i="11"/>
  <c r="AS54" i="11"/>
  <c r="AS85" i="11"/>
  <c r="CX28" i="11"/>
  <c r="AY28" i="11"/>
  <c r="AT35" i="13"/>
  <c r="AT55" i="13"/>
  <c r="AT81" i="13"/>
  <c r="AT82" i="13" s="1"/>
  <c r="AT33" i="13"/>
  <c r="AT68" i="13"/>
  <c r="AT75" i="13" s="1"/>
  <c r="AT34" i="13" s="1"/>
  <c r="AT51" i="10"/>
  <c r="AT52" i="10"/>
  <c r="AK49" i="13"/>
  <c r="AK137" i="10"/>
  <c r="AK29" i="13"/>
  <c r="AJ77" i="13"/>
  <c r="BB10" i="9"/>
  <c r="BB25" i="9" s="1"/>
  <c r="BB85" i="40"/>
  <c r="BB88" i="10"/>
  <c r="BB91" i="10" s="1"/>
  <c r="BC27" i="13"/>
  <c r="U35" i="13"/>
  <c r="U52" i="10"/>
  <c r="U33" i="13"/>
  <c r="U58" i="9" s="1"/>
  <c r="U68" i="13"/>
  <c r="U75" i="13" s="1"/>
  <c r="U34" i="13" s="1"/>
  <c r="U55" i="13"/>
  <c r="U51" i="10"/>
  <c r="U81" i="13"/>
  <c r="U82" i="13" s="1"/>
  <c r="W51" i="10"/>
  <c r="W81" i="13"/>
  <c r="W82" i="13" s="1"/>
  <c r="W52" i="10"/>
  <c r="W55" i="13"/>
  <c r="W35" i="13"/>
  <c r="W68" i="13"/>
  <c r="W75" i="13" s="1"/>
  <c r="W34" i="13" s="1"/>
  <c r="W33" i="13"/>
  <c r="P51" i="10"/>
  <c r="P52" i="10"/>
  <c r="P55" i="13"/>
  <c r="P35" i="13"/>
  <c r="P68" i="13"/>
  <c r="P75" i="13" s="1"/>
  <c r="P34" i="13" s="1"/>
  <c r="P81" i="13"/>
  <c r="P82" i="13" s="1"/>
  <c r="P33" i="13"/>
  <c r="P58" i="9" s="1"/>
  <c r="BA96" i="11"/>
  <c r="AY97" i="11"/>
  <c r="BH33" i="13"/>
  <c r="BH81" i="13"/>
  <c r="BH82" i="13" s="1"/>
  <c r="BH35" i="13"/>
  <c r="BH51" i="10"/>
  <c r="BH55" i="13"/>
  <c r="BH68" i="13"/>
  <c r="BH75" i="13" s="1"/>
  <c r="BH34" i="13" s="1"/>
  <c r="BH77" i="13"/>
  <c r="AZ33" i="13"/>
  <c r="AZ52" i="10"/>
  <c r="AZ55" i="13"/>
  <c r="AZ51" i="10"/>
  <c r="AZ68" i="13"/>
  <c r="AZ75" i="13" s="1"/>
  <c r="AZ34" i="13" s="1"/>
  <c r="AZ35" i="13"/>
  <c r="AZ81" i="13"/>
  <c r="AZ82" i="13" s="1"/>
  <c r="BI31" i="13"/>
  <c r="BI54" i="13"/>
  <c r="AZ77" i="13"/>
  <c r="BC103" i="13"/>
  <c r="BX64" i="12"/>
  <c r="BR14" i="12"/>
  <c r="BX66" i="11"/>
  <c r="BM46" i="12"/>
  <c r="BI46" i="12"/>
  <c r="BI47" i="12" s="1"/>
  <c r="I81" i="11"/>
  <c r="O81" i="11"/>
  <c r="AZ138" i="12"/>
  <c r="BA138" i="12" s="1"/>
  <c r="BB138" i="12" s="1"/>
  <c r="BE138" i="12"/>
  <c r="L39" i="11"/>
  <c r="L66" i="11"/>
  <c r="M66" i="12"/>
  <c r="BA58" i="11"/>
  <c r="BA20" i="11"/>
  <c r="DD21" i="11" s="1"/>
  <c r="DD7" i="11"/>
  <c r="BG20" i="11"/>
  <c r="DH21" i="11" s="1"/>
  <c r="L73" i="11"/>
  <c r="AD84" i="11"/>
  <c r="BH151" i="12"/>
  <c r="BH156" i="12"/>
  <c r="BH153" i="12"/>
  <c r="BH154" i="12"/>
  <c r="BH150" i="12"/>
  <c r="BH155" i="12"/>
  <c r="BH152" i="12"/>
  <c r="BH157" i="12"/>
  <c r="BH87" i="12"/>
  <c r="BH88" i="12" s="1"/>
  <c r="S69" i="11"/>
  <c r="S40" i="11"/>
  <c r="O84" i="11"/>
  <c r="AB64" i="13"/>
  <c r="AB88" i="13"/>
  <c r="AB49" i="13"/>
  <c r="AB27" i="13"/>
  <c r="AB164" i="10"/>
  <c r="AB165" i="10" s="1"/>
  <c r="AH53" i="13"/>
  <c r="AH88" i="13"/>
  <c r="AB29" i="13"/>
  <c r="AB91" i="11"/>
  <c r="AB96" i="11" s="1"/>
  <c r="AB53" i="13"/>
  <c r="AB137" i="10"/>
  <c r="AB139" i="10" s="1"/>
  <c r="AB140" i="10" s="1"/>
  <c r="AB141" i="10" s="1"/>
  <c r="AB135" i="10" s="1"/>
  <c r="AH91" i="11"/>
  <c r="AH64" i="13"/>
  <c r="AH17" i="11"/>
  <c r="AH24" i="11"/>
  <c r="CQ25" i="11" s="1"/>
  <c r="CQ11" i="11"/>
  <c r="AN24" i="11"/>
  <c r="CU25" i="11" s="1"/>
  <c r="P88" i="13"/>
  <c r="J164" i="10"/>
  <c r="J165" i="10" s="1"/>
  <c r="P53" i="13"/>
  <c r="J57" i="10"/>
  <c r="J137" i="10"/>
  <c r="J139" i="10" s="1"/>
  <c r="J140" i="10" s="1"/>
  <c r="J141" i="10" s="1"/>
  <c r="J135" i="10" s="1"/>
  <c r="J53" i="13"/>
  <c r="J91" i="11"/>
  <c r="J96" i="11" s="1"/>
  <c r="J64" i="13"/>
  <c r="J49" i="13"/>
  <c r="P64" i="13"/>
  <c r="J81" i="40"/>
  <c r="P91" i="11"/>
  <c r="J29" i="13"/>
  <c r="J27" i="13"/>
  <c r="J88" i="13"/>
  <c r="AW40" i="11"/>
  <c r="BC53" i="11" s="1"/>
  <c r="AW69" i="11"/>
  <c r="AE40" i="11"/>
  <c r="AA81" i="11"/>
  <c r="U81" i="11"/>
  <c r="AJ73" i="11"/>
  <c r="S11" i="13"/>
  <c r="S129" i="12"/>
  <c r="S86" i="12"/>
  <c r="S85" i="12"/>
  <c r="S130" i="12"/>
  <c r="AS67" i="11"/>
  <c r="AY23" i="11"/>
  <c r="DB24" i="11" s="1"/>
  <c r="CX10" i="11"/>
  <c r="AS23" i="11"/>
  <c r="CX24" i="11" s="1"/>
  <c r="AS22" i="11"/>
  <c r="CX23" i="11" s="1"/>
  <c r="AY22" i="11"/>
  <c r="DB23" i="11" s="1"/>
  <c r="CX9" i="11"/>
  <c r="AW9" i="11"/>
  <c r="AE69" i="11"/>
  <c r="Y130" i="12"/>
  <c r="R65" i="11"/>
  <c r="R37" i="11"/>
  <c r="S54" i="12"/>
  <c r="Y58" i="11"/>
  <c r="S55" i="12"/>
  <c r="S53" i="12"/>
  <c r="AD73" i="11"/>
  <c r="X73" i="11"/>
  <c r="Y75" i="11"/>
  <c r="Y153" i="12"/>
  <c r="Y152" i="12"/>
  <c r="AD151" i="12"/>
  <c r="BT69" i="11"/>
  <c r="BT67" i="12"/>
  <c r="BC46" i="11"/>
  <c r="AK122" i="12"/>
  <c r="AK22" i="12"/>
  <c r="AK23" i="12" s="1"/>
  <c r="AK78" i="12"/>
  <c r="AM75" i="11"/>
  <c r="AA52" i="12"/>
  <c r="AG49" i="12"/>
  <c r="BF73" i="11"/>
  <c r="Y45" i="13"/>
  <c r="AE58" i="13"/>
  <c r="S73" i="12"/>
  <c r="S71" i="12"/>
  <c r="R73" i="12"/>
  <c r="R71" i="12"/>
  <c r="R72" i="12" s="1"/>
  <c r="S72" i="12" s="1"/>
  <c r="AN75" i="11"/>
  <c r="AT21" i="12"/>
  <c r="AT60" i="11"/>
  <c r="AN122" i="12"/>
  <c r="AN78" i="12"/>
  <c r="U84" i="11"/>
  <c r="AA84" i="11"/>
  <c r="DA9" i="11"/>
  <c r="BB22" i="11"/>
  <c r="DE23" i="11" s="1"/>
  <c r="AV22" i="11"/>
  <c r="DA23" i="11" s="1"/>
  <c r="BB84" i="11"/>
  <c r="AV84" i="11"/>
  <c r="AE60" i="11"/>
  <c r="AE32" i="11"/>
  <c r="AE45" i="11" s="1"/>
  <c r="AJ97" i="11"/>
  <c r="AD70" i="11"/>
  <c r="AD17" i="12"/>
  <c r="X45" i="13"/>
  <c r="AD58" i="13"/>
  <c r="R46" i="13"/>
  <c r="X59" i="13"/>
  <c r="R81" i="10"/>
  <c r="R59" i="13"/>
  <c r="AY21" i="11"/>
  <c r="DB22" i="11" s="1"/>
  <c r="CX8" i="11"/>
  <c r="AS21" i="11"/>
  <c r="CX22" i="11" s="1"/>
  <c r="AS20" i="11"/>
  <c r="CX21" i="11" s="1"/>
  <c r="CX7" i="11"/>
  <c r="AS58" i="11"/>
  <c r="AA53" i="11"/>
  <c r="U53" i="11"/>
  <c r="BS61" i="12"/>
  <c r="BS128" i="12"/>
  <c r="Y129" i="12"/>
  <c r="X49" i="12"/>
  <c r="R50" i="12"/>
  <c r="R51" i="12" s="1"/>
  <c r="S51" i="12" s="1"/>
  <c r="S49" i="12"/>
  <c r="S50" i="12" s="1"/>
  <c r="S58" i="11"/>
  <c r="R73" i="11"/>
  <c r="X40" i="11"/>
  <c r="AD53" i="11" s="1"/>
  <c r="BH73" i="12"/>
  <c r="BH71" i="12"/>
  <c r="BH72" i="12" s="1"/>
  <c r="BN84" i="11"/>
  <c r="AS21" i="12"/>
  <c r="AM122" i="12"/>
  <c r="AM78" i="12"/>
  <c r="AS60" i="11"/>
  <c r="AQ21" i="12"/>
  <c r="U53" i="12"/>
  <c r="U54" i="12" s="1"/>
  <c r="U55" i="12"/>
  <c r="Y72" i="12"/>
  <c r="AG81" i="11"/>
  <c r="AG52" i="11"/>
  <c r="AA52" i="11"/>
  <c r="AE39" i="11"/>
  <c r="AE66" i="11"/>
  <c r="R40" i="11"/>
  <c r="R69" i="11"/>
  <c r="AE71" i="12"/>
  <c r="Y71" i="12"/>
  <c r="Y73" i="12"/>
  <c r="K101" i="10"/>
  <c r="K105" i="10"/>
  <c r="BQ12" i="10"/>
  <c r="BO12" i="10"/>
  <c r="J106" i="10"/>
  <c r="J112" i="10"/>
  <c r="K103" i="10"/>
  <c r="AK97" i="10"/>
  <c r="AK98" i="10" s="1"/>
  <c r="AC56" i="9"/>
  <c r="AC78" i="10"/>
  <c r="BC97" i="10"/>
  <c r="BC98" i="10" s="1"/>
  <c r="AW33" i="9"/>
  <c r="O67" i="9"/>
  <c r="P63" i="9" s="1"/>
  <c r="L72" i="9"/>
  <c r="L67" i="9"/>
  <c r="L71" i="9"/>
  <c r="L77" i="10"/>
  <c r="L55" i="9"/>
  <c r="BI51" i="13"/>
  <c r="BZ64" i="9"/>
  <c r="BU64" i="9"/>
  <c r="BU73" i="9" s="1"/>
  <c r="AD55" i="9"/>
  <c r="AD77" i="10"/>
  <c r="AE55" i="9"/>
  <c r="AE77" i="10"/>
  <c r="BH51" i="13"/>
  <c r="S67" i="9"/>
  <c r="S71" i="9"/>
  <c r="S72" i="9"/>
  <c r="BE66" i="40"/>
  <c r="BC66" i="40"/>
  <c r="BO13" i="40"/>
  <c r="BM25" i="40"/>
  <c r="BM46" i="40" s="1"/>
  <c r="BM26" i="40"/>
  <c r="BT21" i="40"/>
  <c r="BO17" i="40"/>
  <c r="BN23" i="40"/>
  <c r="BT11" i="40"/>
  <c r="BI145" i="10"/>
  <c r="BQ20" i="10"/>
  <c r="BO20" i="10"/>
  <c r="BO146" i="10" s="1"/>
  <c r="BT32" i="10"/>
  <c r="BS152" i="10"/>
  <c r="BR38" i="10"/>
  <c r="BQ90" i="10"/>
  <c r="AW83" i="11"/>
  <c r="BC83" i="11"/>
  <c r="AW78" i="11"/>
  <c r="AQ40" i="11"/>
  <c r="AV53" i="11"/>
  <c r="AP53" i="11"/>
  <c r="BI135" i="12"/>
  <c r="AK40" i="11"/>
  <c r="AK69" i="11"/>
  <c r="AJ84" i="11"/>
  <c r="S120" i="12"/>
  <c r="S10" i="13"/>
  <c r="S76" i="12"/>
  <c r="S118" i="12"/>
  <c r="S119" i="12" s="1"/>
  <c r="S77" i="12"/>
  <c r="Y118" i="12"/>
  <c r="Y119" i="12" s="1"/>
  <c r="S82" i="12"/>
  <c r="Y120" i="12"/>
  <c r="S16" i="12"/>
  <c r="S84" i="12"/>
  <c r="AQ69" i="11"/>
  <c r="BH77" i="11"/>
  <c r="AW51" i="11"/>
  <c r="BC51" i="11"/>
  <c r="BH94" i="13"/>
  <c r="BH17" i="12"/>
  <c r="BI120" i="12"/>
  <c r="BI76" i="12"/>
  <c r="BI16" i="12"/>
  <c r="BI82" i="12"/>
  <c r="BI84" i="12"/>
  <c r="BI118" i="12"/>
  <c r="BI10" i="13"/>
  <c r="BI58" i="13" s="1"/>
  <c r="BI83" i="12"/>
  <c r="S83" i="12"/>
  <c r="AG8" i="12"/>
  <c r="AB8" i="12"/>
  <c r="AC8" i="12" s="1"/>
  <c r="AD8" i="12" s="1"/>
  <c r="M40" i="11"/>
  <c r="M69" i="11"/>
  <c r="R153" i="12"/>
  <c r="X17" i="12"/>
  <c r="R157" i="12"/>
  <c r="R152" i="12"/>
  <c r="R151" i="12"/>
  <c r="R17" i="12"/>
  <c r="R156" i="12"/>
  <c r="R155" i="12"/>
  <c r="X70" i="11"/>
  <c r="R150" i="12"/>
  <c r="R154" i="12"/>
  <c r="R45" i="13"/>
  <c r="R58" i="13"/>
  <c r="X58" i="13"/>
  <c r="AK73" i="12"/>
  <c r="AK71" i="12"/>
  <c r="AQ71" i="12"/>
  <c r="AQ73" i="11"/>
  <c r="O74" i="11"/>
  <c r="AZ78" i="11"/>
  <c r="BH45" i="13"/>
  <c r="BH58" i="13"/>
  <c r="AP84" i="11"/>
  <c r="Y67" i="11"/>
  <c r="S135" i="12"/>
  <c r="X82" i="11"/>
  <c r="AD82" i="11"/>
  <c r="AQ82" i="11"/>
  <c r="AK82" i="11"/>
  <c r="AQ83" i="11"/>
  <c r="F15" i="13"/>
  <c r="F44" i="13"/>
  <c r="F48" i="13"/>
  <c r="F47" i="13"/>
  <c r="U74" i="11"/>
  <c r="BL11" i="13"/>
  <c r="BL81" i="10" s="1"/>
  <c r="BR81" i="10" s="1"/>
  <c r="BX81" i="10" s="1"/>
  <c r="CD81" i="10" s="1"/>
  <c r="CJ81" i="10" s="1"/>
  <c r="BL85" i="12"/>
  <c r="BL129" i="12"/>
  <c r="BI150" i="10"/>
  <c r="BI153" i="10" s="1"/>
  <c r="BH17" i="9"/>
  <c r="BI19" i="9"/>
  <c r="BI17" i="9" s="1"/>
  <c r="BT72" i="10"/>
  <c r="BI143" i="10"/>
  <c r="Y33" i="13"/>
  <c r="BN39" i="13"/>
  <c r="BN80" i="9"/>
  <c r="BN78" i="9" s="1"/>
  <c r="BO60" i="9"/>
  <c r="BO80" i="9" s="1"/>
  <c r="BI37" i="13"/>
  <c r="BQ80" i="9"/>
  <c r="BQ39" i="13"/>
  <c r="AK70" i="13" l="1"/>
  <c r="AP77" i="13"/>
  <c r="BT27" i="10"/>
  <c r="BR12" i="10"/>
  <c r="Y46" i="13"/>
  <c r="S35" i="13"/>
  <c r="S52" i="10"/>
  <c r="S51" i="10"/>
  <c r="S81" i="13"/>
  <c r="S82" i="13" s="1"/>
  <c r="S68" i="13"/>
  <c r="S75" i="13" s="1"/>
  <c r="S34" i="13" s="1"/>
  <c r="S33" i="13"/>
  <c r="BN12" i="12"/>
  <c r="BN14" i="12"/>
  <c r="V27" i="11"/>
  <c r="AB28" i="11" s="1"/>
  <c r="Y151" i="12"/>
  <c r="J70" i="11"/>
  <c r="AE59" i="13"/>
  <c r="V97" i="11"/>
  <c r="P41" i="11"/>
  <c r="V54" i="11" s="1"/>
  <c r="AA68" i="13"/>
  <c r="AA75" i="13" s="1"/>
  <c r="AA34" i="13" s="1"/>
  <c r="Y55" i="13"/>
  <c r="X88" i="10"/>
  <c r="X91" i="10" s="1"/>
  <c r="BI148" i="10"/>
  <c r="BI155" i="10" s="1"/>
  <c r="Y54" i="9"/>
  <c r="Y59" i="9" s="1"/>
  <c r="BF81" i="13"/>
  <c r="BF82" i="13" s="1"/>
  <c r="BS30" i="10"/>
  <c r="BR171" i="10"/>
  <c r="BT170" i="10"/>
  <c r="BU31" i="10"/>
  <c r="BU170" i="10" s="1"/>
  <c r="BW31" i="10"/>
  <c r="J166" i="10"/>
  <c r="J186" i="10"/>
  <c r="J53" i="10" s="1"/>
  <c r="J185" i="10"/>
  <c r="AB166" i="10"/>
  <c r="AB185" i="10"/>
  <c r="AB186" i="10"/>
  <c r="AB53" i="10" s="1"/>
  <c r="AZ138" i="10"/>
  <c r="AZ139" i="10" s="1"/>
  <c r="AZ140" i="10" s="1"/>
  <c r="AZ141" i="10" s="1"/>
  <c r="AZ135" i="10" s="1"/>
  <c r="AZ163" i="10"/>
  <c r="AZ164" i="10" s="1"/>
  <c r="AZ165" i="10" s="1"/>
  <c r="BH138" i="10"/>
  <c r="BH139" i="10" s="1"/>
  <c r="BH140" i="10" s="1"/>
  <c r="BH141" i="10" s="1"/>
  <c r="BH135" i="10" s="1"/>
  <c r="BH163" i="10"/>
  <c r="BH164" i="10" s="1"/>
  <c r="BH165" i="10" s="1"/>
  <c r="AJ138" i="10"/>
  <c r="AJ139" i="10" s="1"/>
  <c r="AJ140" i="10" s="1"/>
  <c r="AJ141" i="10" s="1"/>
  <c r="AJ135" i="10" s="1"/>
  <c r="AJ163" i="10"/>
  <c r="AJ164" i="10" s="1"/>
  <c r="AJ165" i="10" s="1"/>
  <c r="AP138" i="10"/>
  <c r="AP139" i="10" s="1"/>
  <c r="AP140" i="10" s="1"/>
  <c r="AP141" i="10" s="1"/>
  <c r="AP135" i="10" s="1"/>
  <c r="AP163" i="10"/>
  <c r="AP164" i="10" s="1"/>
  <c r="AP165" i="10" s="1"/>
  <c r="AW137" i="10"/>
  <c r="AM138" i="10"/>
  <c r="AM139" i="10" s="1"/>
  <c r="AM140" i="10" s="1"/>
  <c r="AM141" i="10" s="1"/>
  <c r="AM135" i="10" s="1"/>
  <c r="AM163" i="10"/>
  <c r="AM164" i="10" s="1"/>
  <c r="AM165" i="10" s="1"/>
  <c r="BE138" i="10"/>
  <c r="BE139" i="10" s="1"/>
  <c r="BE140" i="10" s="1"/>
  <c r="BE141" i="10" s="1"/>
  <c r="BE135" i="10" s="1"/>
  <c r="BE163" i="10"/>
  <c r="BE164" i="10" s="1"/>
  <c r="BE165" i="10" s="1"/>
  <c r="BF138" i="10"/>
  <c r="BF139" i="10" s="1"/>
  <c r="BF140" i="10" s="1"/>
  <c r="BF141" i="10" s="1"/>
  <c r="BF135" i="10" s="1"/>
  <c r="BF163" i="10"/>
  <c r="BF164" i="10" s="1"/>
  <c r="BF165" i="10" s="1"/>
  <c r="BB166" i="10"/>
  <c r="BB185" i="10"/>
  <c r="BB186" i="10"/>
  <c r="BB53" i="10" s="1"/>
  <c r="Y166" i="10"/>
  <c r="Y185" i="10"/>
  <c r="Y186" i="10"/>
  <c r="Y53" i="10" s="1"/>
  <c r="AD138" i="10"/>
  <c r="AD139" i="10" s="1"/>
  <c r="AD140" i="10" s="1"/>
  <c r="AD141" i="10" s="1"/>
  <c r="AD135" i="10" s="1"/>
  <c r="AD163" i="10"/>
  <c r="AD164" i="10" s="1"/>
  <c r="AD165" i="10" s="1"/>
  <c r="AT138" i="10"/>
  <c r="AT139" i="10" s="1"/>
  <c r="AT140" i="10" s="1"/>
  <c r="AT141" i="10" s="1"/>
  <c r="AT135" i="10" s="1"/>
  <c r="AT163" i="10"/>
  <c r="AT164" i="10" s="1"/>
  <c r="AT165" i="10" s="1"/>
  <c r="AO138" i="10"/>
  <c r="AO139" i="10" s="1"/>
  <c r="AO140" i="10" s="1"/>
  <c r="AO141" i="10" s="1"/>
  <c r="AO135" i="10" s="1"/>
  <c r="AO163" i="10"/>
  <c r="AO164" i="10" s="1"/>
  <c r="AO165" i="10" s="1"/>
  <c r="AG138" i="10"/>
  <c r="AG139" i="10" s="1"/>
  <c r="AG140" i="10" s="1"/>
  <c r="AG141" i="10" s="1"/>
  <c r="AG135" i="10" s="1"/>
  <c r="AG163" i="10"/>
  <c r="AG164" i="10" s="1"/>
  <c r="AG165" i="10" s="1"/>
  <c r="BT175" i="10"/>
  <c r="BW35" i="10"/>
  <c r="BU35" i="10"/>
  <c r="BU175" i="10" s="1"/>
  <c r="X24" i="11"/>
  <c r="Y52" i="10"/>
  <c r="J97" i="11"/>
  <c r="J27" i="11"/>
  <c r="J41" i="11"/>
  <c r="P70" i="11"/>
  <c r="P27" i="11"/>
  <c r="BF52" i="10"/>
  <c r="BF35" i="13"/>
  <c r="X85" i="40"/>
  <c r="X58" i="9"/>
  <c r="L17" i="11"/>
  <c r="AA33" i="13"/>
  <c r="AA58" i="9" s="1"/>
  <c r="AA81" i="13"/>
  <c r="AA82" i="13" s="1"/>
  <c r="BN70" i="12"/>
  <c r="BN71" i="12" s="1"/>
  <c r="BN72" i="12" s="1"/>
  <c r="X77" i="10"/>
  <c r="X59" i="9"/>
  <c r="L49" i="9"/>
  <c r="X55" i="9"/>
  <c r="X57" i="9" s="1"/>
  <c r="Y68" i="13"/>
  <c r="Y75" i="13" s="1"/>
  <c r="Y34" i="13" s="1"/>
  <c r="Y51" i="10"/>
  <c r="Y81" i="13"/>
  <c r="Y82" i="13" s="1"/>
  <c r="Y35" i="13"/>
  <c r="L75" i="10"/>
  <c r="Y156" i="12"/>
  <c r="X156" i="12" s="1"/>
  <c r="Y155" i="12"/>
  <c r="Y154" i="12"/>
  <c r="AE17" i="12"/>
  <c r="AW97" i="11"/>
  <c r="AD156" i="12"/>
  <c r="AD146" i="12" s="1"/>
  <c r="Y150" i="12"/>
  <c r="Y157" i="12"/>
  <c r="AG65" i="13"/>
  <c r="R57" i="9"/>
  <c r="R78" i="10"/>
  <c r="AA55" i="13"/>
  <c r="AA51" i="10"/>
  <c r="S59" i="9"/>
  <c r="AD155" i="12"/>
  <c r="AC155" i="12" s="1"/>
  <c r="BA52" i="10"/>
  <c r="BA68" i="13"/>
  <c r="BA75" i="13" s="1"/>
  <c r="BA34" i="13" s="1"/>
  <c r="BX61" i="12"/>
  <c r="BA77" i="13"/>
  <c r="BF55" i="13"/>
  <c r="BF33" i="13"/>
  <c r="BF10" i="9" s="1"/>
  <c r="BF25" i="9" s="1"/>
  <c r="BF51" i="10"/>
  <c r="BF68" i="13"/>
  <c r="BF75" i="13" s="1"/>
  <c r="BF34" i="13" s="1"/>
  <c r="AV104" i="13"/>
  <c r="AU106" i="13"/>
  <c r="AS106" i="13"/>
  <c r="AT104" i="13"/>
  <c r="AQ103" i="13"/>
  <c r="BM23" i="11"/>
  <c r="DL24" i="11" s="1"/>
  <c r="AV50" i="13"/>
  <c r="BA33" i="13"/>
  <c r="BA85" i="40" s="1"/>
  <c r="BA51" i="10"/>
  <c r="BA55" i="13"/>
  <c r="BA35" i="13"/>
  <c r="AG85" i="40"/>
  <c r="AG89" i="40" s="1"/>
  <c r="AG90" i="40" s="1"/>
  <c r="AG88" i="10"/>
  <c r="AG91" i="10" s="1"/>
  <c r="CA64" i="9"/>
  <c r="CA73" i="9" s="1"/>
  <c r="CF64" i="9"/>
  <c r="Y76" i="10"/>
  <c r="CE10" i="40"/>
  <c r="AM6" i="11"/>
  <c r="AH6" i="11"/>
  <c r="AI6" i="11" s="1"/>
  <c r="AJ6" i="11" s="1"/>
  <c r="BL59" i="13"/>
  <c r="BL46" i="13"/>
  <c r="CA116" i="12"/>
  <c r="CG7" i="12"/>
  <c r="AQ93" i="13"/>
  <c r="BC93" i="13"/>
  <c r="CD83" i="11"/>
  <c r="CA47" i="11"/>
  <c r="CG47" i="11"/>
  <c r="CD12" i="12"/>
  <c r="CJ68" i="11"/>
  <c r="CJ58" i="12"/>
  <c r="CJ12" i="12" s="1"/>
  <c r="CA48" i="11"/>
  <c r="CG48" i="11"/>
  <c r="CE69" i="11"/>
  <c r="CE67" i="12"/>
  <c r="CD66" i="11"/>
  <c r="CD64" i="12"/>
  <c r="BA124" i="12"/>
  <c r="BY12" i="12"/>
  <c r="CE68" i="11"/>
  <c r="CE58" i="12"/>
  <c r="BA77" i="11"/>
  <c r="R17" i="11"/>
  <c r="AY77" i="11"/>
  <c r="AK52" i="11"/>
  <c r="BG26" i="12"/>
  <c r="BM26" i="12" s="1"/>
  <c r="AZ125" i="12"/>
  <c r="BG62" i="11"/>
  <c r="AQ81" i="11"/>
  <c r="AY78" i="11"/>
  <c r="BE78" i="11"/>
  <c r="BX69" i="11"/>
  <c r="BL67" i="11"/>
  <c r="BL82" i="11" s="1"/>
  <c r="BF29" i="12"/>
  <c r="BL29" i="12" s="1"/>
  <c r="BX67" i="12"/>
  <c r="BL23" i="11"/>
  <c r="DK24" i="11" s="1"/>
  <c r="AW27" i="12"/>
  <c r="BZ83" i="11"/>
  <c r="BC29" i="12"/>
  <c r="BI63" i="11" s="1"/>
  <c r="BL71" i="12"/>
  <c r="BL72" i="12" s="1"/>
  <c r="BT83" i="11"/>
  <c r="BR70" i="12"/>
  <c r="BR71" i="12" s="1"/>
  <c r="BR72" i="12" s="1"/>
  <c r="AB41" i="11"/>
  <c r="AB54" i="11" s="1"/>
  <c r="AB27" i="11"/>
  <c r="AH28" i="11" s="1"/>
  <c r="BC62" i="11"/>
  <c r="BC77" i="11" s="1"/>
  <c r="AE17" i="11"/>
  <c r="BX83" i="11"/>
  <c r="BZ58" i="12"/>
  <c r="AB97" i="11"/>
  <c r="AB70" i="11"/>
  <c r="AB85" i="11" s="1"/>
  <c r="BB50" i="13"/>
  <c r="AY50" i="13"/>
  <c r="AZ50" i="13"/>
  <c r="BT12" i="12"/>
  <c r="AJ58" i="10"/>
  <c r="AJ51" i="13"/>
  <c r="AQ25" i="13"/>
  <c r="AQ26" i="13" s="1"/>
  <c r="AQ27" i="13" s="1"/>
  <c r="AQ51" i="13" s="1"/>
  <c r="R52" i="13"/>
  <c r="DA7" i="11"/>
  <c r="AV58" i="11"/>
  <c r="BB20" i="11"/>
  <c r="DE21" i="11" s="1"/>
  <c r="O71" i="9"/>
  <c r="DK10" i="11"/>
  <c r="AJ52" i="10"/>
  <c r="BG104" i="13"/>
  <c r="AJ55" i="13"/>
  <c r="AJ33" i="13"/>
  <c r="AJ88" i="10" s="1"/>
  <c r="AJ91" i="10" s="1"/>
  <c r="AJ81" i="13"/>
  <c r="AJ82" i="13" s="1"/>
  <c r="BA106" i="13"/>
  <c r="AJ35" i="13"/>
  <c r="AJ51" i="10"/>
  <c r="AT8" i="10"/>
  <c r="AU8" i="10" s="1"/>
  <c r="AV8" i="10" s="1"/>
  <c r="AY8" i="10"/>
  <c r="AE98" i="10"/>
  <c r="L22" i="13"/>
  <c r="R75" i="10"/>
  <c r="Y58" i="10"/>
  <c r="S55" i="9"/>
  <c r="S77" i="10"/>
  <c r="L24" i="11"/>
  <c r="R24" i="11"/>
  <c r="L156" i="10"/>
  <c r="AZ104" i="13"/>
  <c r="BN26" i="12"/>
  <c r="BT62" i="11" s="1"/>
  <c r="BR134" i="12"/>
  <c r="DA8" i="11"/>
  <c r="AS7" i="13"/>
  <c r="AM7" i="40"/>
  <c r="AB8" i="40"/>
  <c r="AC8" i="13"/>
  <c r="W8" i="40"/>
  <c r="X8" i="13"/>
  <c r="X8" i="40" s="1"/>
  <c r="AM8" i="13"/>
  <c r="AG8" i="40"/>
  <c r="AH8" i="13"/>
  <c r="O58" i="9"/>
  <c r="O85" i="40"/>
  <c r="O89" i="40" s="1"/>
  <c r="O88" i="10"/>
  <c r="O91" i="10" s="1"/>
  <c r="AE59" i="9"/>
  <c r="BE8" i="9"/>
  <c r="AZ8" i="9"/>
  <c r="BA8" i="9" s="1"/>
  <c r="BB8" i="9" s="1"/>
  <c r="BR68" i="9"/>
  <c r="BQ69" i="9"/>
  <c r="W58" i="9"/>
  <c r="BX128" i="12"/>
  <c r="BN62" i="11"/>
  <c r="BN77" i="11" s="1"/>
  <c r="BR10" i="11"/>
  <c r="BR128" i="12"/>
  <c r="BB23" i="11"/>
  <c r="DE24" i="11" s="1"/>
  <c r="D54" i="13"/>
  <c r="AV23" i="11"/>
  <c r="DA24" i="11" s="1"/>
  <c r="AW10" i="11"/>
  <c r="AE148" i="12"/>
  <c r="AV67" i="11"/>
  <c r="BE62" i="11"/>
  <c r="BC26" i="12"/>
  <c r="BC124" i="12" s="1"/>
  <c r="BA21" i="12"/>
  <c r="AU78" i="12"/>
  <c r="AU122" i="12"/>
  <c r="BA60" i="11"/>
  <c r="AZ73" i="11"/>
  <c r="AE47" i="13"/>
  <c r="AE48" i="13"/>
  <c r="AE136" i="10"/>
  <c r="M120" i="10"/>
  <c r="S115" i="10" s="1"/>
  <c r="S75" i="10"/>
  <c r="AB78" i="10"/>
  <c r="AB56" i="9"/>
  <c r="BM67" i="11"/>
  <c r="AW7" i="11"/>
  <c r="AV21" i="11"/>
  <c r="DA22" i="11" s="1"/>
  <c r="AV20" i="11"/>
  <c r="DA21" i="11" s="1"/>
  <c r="AW8" i="11"/>
  <c r="AW21" i="11" s="1"/>
  <c r="AE75" i="10"/>
  <c r="Q58" i="9"/>
  <c r="M26" i="13"/>
  <c r="Q75" i="10"/>
  <c r="W55" i="9"/>
  <c r="W77" i="10"/>
  <c r="V57" i="9"/>
  <c r="V78" i="10"/>
  <c r="V56" i="9"/>
  <c r="AB57" i="9"/>
  <c r="Q55" i="9"/>
  <c r="Q57" i="9" s="1"/>
  <c r="Q77" i="10"/>
  <c r="Y51" i="13"/>
  <c r="K56" i="9"/>
  <c r="K78" i="10"/>
  <c r="S51" i="13"/>
  <c r="S56" i="10"/>
  <c r="S58" i="10"/>
  <c r="M47" i="9"/>
  <c r="M54" i="9"/>
  <c r="M59" i="9" s="1"/>
  <c r="M76" i="10"/>
  <c r="P56" i="9"/>
  <c r="P78" i="10"/>
  <c r="P57" i="9"/>
  <c r="AE44" i="13"/>
  <c r="AE15" i="13"/>
  <c r="AK52" i="13" s="1"/>
  <c r="AE57" i="13"/>
  <c r="AE11" i="11" s="1"/>
  <c r="AE69" i="10"/>
  <c r="AE72" i="10" s="1"/>
  <c r="BY83" i="11"/>
  <c r="AK57" i="13"/>
  <c r="AK11" i="11" s="1"/>
  <c r="AE83" i="10"/>
  <c r="BM86" i="12"/>
  <c r="BM85" i="12"/>
  <c r="BM129" i="12"/>
  <c r="BM11" i="13"/>
  <c r="BS81" i="11"/>
  <c r="C22" i="13"/>
  <c r="BS14" i="12"/>
  <c r="BS73" i="12" s="1"/>
  <c r="BY66" i="11"/>
  <c r="BY64" i="12"/>
  <c r="BR13" i="12"/>
  <c r="BR129" i="12" s="1"/>
  <c r="AK73" i="11"/>
  <c r="Y69" i="11"/>
  <c r="Y84" i="11" s="1"/>
  <c r="BC85" i="11"/>
  <c r="Y40" i="11"/>
  <c r="Y53" i="11" s="1"/>
  <c r="BC97" i="11"/>
  <c r="AW85" i="11"/>
  <c r="DL10" i="11"/>
  <c r="BY15" i="12"/>
  <c r="Y66" i="11"/>
  <c r="AE81" i="11" s="1"/>
  <c r="Y39" i="11"/>
  <c r="Y52" i="11" s="1"/>
  <c r="M98" i="10"/>
  <c r="BS134" i="12"/>
  <c r="X53" i="11"/>
  <c r="X52" i="11"/>
  <c r="AD52" i="11"/>
  <c r="AV75" i="11"/>
  <c r="E27" i="13"/>
  <c r="E29" i="13"/>
  <c r="E49" i="13"/>
  <c r="AC53" i="12"/>
  <c r="AC54" i="12" s="1"/>
  <c r="AC55" i="12"/>
  <c r="BB21" i="12"/>
  <c r="BB60" i="11"/>
  <c r="AV78" i="12"/>
  <c r="AV122" i="12"/>
  <c r="W80" i="11"/>
  <c r="AO49" i="12"/>
  <c r="AI52" i="12"/>
  <c r="AI53" i="12" s="1"/>
  <c r="AI54" i="12" s="1"/>
  <c r="M136" i="10"/>
  <c r="S57" i="13"/>
  <c r="S11" i="11" s="1"/>
  <c r="M15" i="13"/>
  <c r="M44" i="13"/>
  <c r="M57" i="13"/>
  <c r="M11" i="11" s="1"/>
  <c r="BU36" i="11"/>
  <c r="BY46" i="11"/>
  <c r="BS46" i="11"/>
  <c r="M48" i="13"/>
  <c r="M47" i="13"/>
  <c r="M69" i="10"/>
  <c r="M72" i="10" s="1"/>
  <c r="BT49" i="11"/>
  <c r="BT33" i="11"/>
  <c r="BZ49" i="11"/>
  <c r="AB37" i="11"/>
  <c r="AB50" i="11" s="1"/>
  <c r="AB65" i="11"/>
  <c r="AH55" i="12"/>
  <c r="AH53" i="12"/>
  <c r="AH54" i="12" s="1"/>
  <c r="I17" i="11"/>
  <c r="I24" i="11"/>
  <c r="AT49" i="12"/>
  <c r="AN52" i="12"/>
  <c r="V80" i="11"/>
  <c r="I156" i="10"/>
  <c r="AU73" i="11"/>
  <c r="BA82" i="11"/>
  <c r="AU82" i="11"/>
  <c r="O24" i="11"/>
  <c r="U24" i="11"/>
  <c r="O17" i="11"/>
  <c r="O52" i="13"/>
  <c r="I52" i="13"/>
  <c r="I22" i="13"/>
  <c r="O87" i="13"/>
  <c r="I87" i="13"/>
  <c r="K70" i="11"/>
  <c r="K97" i="11"/>
  <c r="K27" i="11"/>
  <c r="K41" i="11"/>
  <c r="W27" i="11"/>
  <c r="AC28" i="11" s="1"/>
  <c r="Q70" i="11"/>
  <c r="Q27" i="11"/>
  <c r="Q41" i="11"/>
  <c r="W54" i="11" s="1"/>
  <c r="BI81" i="10"/>
  <c r="BI59" i="13"/>
  <c r="BI46" i="13"/>
  <c r="AK53" i="11"/>
  <c r="CA33" i="11"/>
  <c r="CG46" i="11" s="1"/>
  <c r="Q88" i="13"/>
  <c r="Q53" i="13"/>
  <c r="Q64" i="13"/>
  <c r="K27" i="13"/>
  <c r="K137" i="10"/>
  <c r="K139" i="10" s="1"/>
  <c r="K140" i="10" s="1"/>
  <c r="K141" i="10" s="1"/>
  <c r="K135" i="10" s="1"/>
  <c r="K29" i="13"/>
  <c r="K57" i="10"/>
  <c r="Q91" i="11"/>
  <c r="K49" i="13"/>
  <c r="K164" i="10"/>
  <c r="K165" i="10" s="1"/>
  <c r="K81" i="40"/>
  <c r="K64" i="13"/>
  <c r="K88" i="13"/>
  <c r="K91" i="11"/>
  <c r="K96" i="11" s="1"/>
  <c r="K53" i="13"/>
  <c r="BA104" i="13"/>
  <c r="AZ106" i="13"/>
  <c r="AH68" i="13"/>
  <c r="AH75" i="13" s="1"/>
  <c r="AH34" i="13" s="1"/>
  <c r="AH52" i="10"/>
  <c r="AH51" i="10"/>
  <c r="AH55" i="13"/>
  <c r="AH81" i="13"/>
  <c r="AH82" i="13" s="1"/>
  <c r="AH33" i="13"/>
  <c r="AH35" i="13"/>
  <c r="BG52" i="10"/>
  <c r="BG81" i="13"/>
  <c r="BG82" i="13" s="1"/>
  <c r="BG35" i="13"/>
  <c r="BG33" i="13"/>
  <c r="BG55" i="13"/>
  <c r="BG51" i="10"/>
  <c r="BG68" i="13"/>
  <c r="BG75" i="13" s="1"/>
  <c r="BG34" i="13" s="1"/>
  <c r="BG77" i="13"/>
  <c r="AS77" i="13"/>
  <c r="V51" i="10"/>
  <c r="V52" i="10"/>
  <c r="V81" i="13"/>
  <c r="V82" i="13" s="1"/>
  <c r="V35" i="13"/>
  <c r="V55" i="13"/>
  <c r="V68" i="13"/>
  <c r="V75" i="13" s="1"/>
  <c r="V34" i="13" s="1"/>
  <c r="V33" i="13"/>
  <c r="BG106" i="13"/>
  <c r="BT74" i="13"/>
  <c r="BS73" i="13"/>
  <c r="BS32" i="13" s="1"/>
  <c r="AN68" i="13"/>
  <c r="AN75" i="13" s="1"/>
  <c r="AN34" i="13" s="1"/>
  <c r="AN81" i="13"/>
  <c r="AN82" i="13" s="1"/>
  <c r="AN51" i="10"/>
  <c r="AN33" i="13"/>
  <c r="AN35" i="13"/>
  <c r="AT65" i="13" s="1"/>
  <c r="AN52" i="10"/>
  <c r="AN55" i="13"/>
  <c r="AN77" i="13"/>
  <c r="AO88" i="10"/>
  <c r="AO91" i="10" s="1"/>
  <c r="AO10" i="9"/>
  <c r="AO25" i="9" s="1"/>
  <c r="AO85" i="40"/>
  <c r="G137" i="10"/>
  <c r="G139" i="10" s="1"/>
  <c r="G140" i="10" s="1"/>
  <c r="G141" i="10" s="1"/>
  <c r="G164" i="10"/>
  <c r="G27" i="13"/>
  <c r="G49" i="13"/>
  <c r="G29" i="13"/>
  <c r="AS81" i="13"/>
  <c r="AS82" i="13" s="1"/>
  <c r="AS52" i="10"/>
  <c r="AS55" i="13"/>
  <c r="AS33" i="13"/>
  <c r="AS51" i="10"/>
  <c r="AS68" i="13"/>
  <c r="AS75" i="13" s="1"/>
  <c r="AS34" i="13" s="1"/>
  <c r="AS35" i="13"/>
  <c r="BC63" i="11"/>
  <c r="AW30" i="12"/>
  <c r="AW125" i="12"/>
  <c r="BA125" i="12"/>
  <c r="BG63" i="11"/>
  <c r="BG29" i="12"/>
  <c r="V42" i="12"/>
  <c r="V43" i="12" s="1"/>
  <c r="V61" i="11"/>
  <c r="AM79" i="11"/>
  <c r="P59" i="11"/>
  <c r="R79" i="12"/>
  <c r="R36" i="12"/>
  <c r="R37" i="12" s="1"/>
  <c r="R81" i="12"/>
  <c r="R41" i="12"/>
  <c r="R42" i="12" s="1"/>
  <c r="R43" i="12" s="1"/>
  <c r="R59" i="11" s="1"/>
  <c r="R80" i="12"/>
  <c r="R123" i="12"/>
  <c r="R38" i="12"/>
  <c r="X35" i="12"/>
  <c r="AD32" i="12"/>
  <c r="Y32" i="12"/>
  <c r="X126" i="12"/>
  <c r="AD64" i="11"/>
  <c r="Y64" i="11"/>
  <c r="S33" i="12"/>
  <c r="S126" i="12"/>
  <c r="S35" i="12"/>
  <c r="BN81" i="11"/>
  <c r="AN64" i="11"/>
  <c r="AH126" i="12"/>
  <c r="AH35" i="12"/>
  <c r="AH81" i="12" s="1"/>
  <c r="AN32" i="12"/>
  <c r="AA61" i="11"/>
  <c r="W36" i="12"/>
  <c r="W37" i="12" s="1"/>
  <c r="W79" i="12"/>
  <c r="W38" i="12"/>
  <c r="W41" i="12"/>
  <c r="W123" i="12"/>
  <c r="W80" i="12"/>
  <c r="AC79" i="11"/>
  <c r="Q42" i="12"/>
  <c r="Q43" i="12" s="1"/>
  <c r="BC81" i="11"/>
  <c r="AW81" i="11"/>
  <c r="BC52" i="11"/>
  <c r="AW52" i="11"/>
  <c r="P76" i="11"/>
  <c r="BA78" i="11"/>
  <c r="U76" i="11"/>
  <c r="DE7" i="11"/>
  <c r="BH20" i="11"/>
  <c r="DI21" i="11" s="1"/>
  <c r="BB58" i="11"/>
  <c r="BC7" i="11"/>
  <c r="AG79" i="12"/>
  <c r="AG36" i="12"/>
  <c r="AG37" i="12" s="1"/>
  <c r="AG80" i="12"/>
  <c r="AG123" i="12"/>
  <c r="AG41" i="12"/>
  <c r="AG42" i="12" s="1"/>
  <c r="AG43" i="12" s="1"/>
  <c r="AG59" i="11" s="1"/>
  <c r="AG38" i="12"/>
  <c r="AM126" i="12"/>
  <c r="AS64" i="11"/>
  <c r="AS32" i="12"/>
  <c r="AM35" i="12"/>
  <c r="AM81" i="12" s="1"/>
  <c r="X79" i="11"/>
  <c r="S79" i="11"/>
  <c r="M79" i="12"/>
  <c r="M38" i="12"/>
  <c r="M123" i="12"/>
  <c r="M80" i="12"/>
  <c r="M36" i="12"/>
  <c r="M37" i="12" s="1"/>
  <c r="M41" i="12"/>
  <c r="M42" i="12" s="1"/>
  <c r="M43" i="12" s="1"/>
  <c r="BT64" i="12"/>
  <c r="BT70" i="12" s="1"/>
  <c r="BT66" i="11"/>
  <c r="AH79" i="11"/>
  <c r="AB123" i="12"/>
  <c r="AB79" i="12"/>
  <c r="AB36" i="12"/>
  <c r="AB37" i="12" s="1"/>
  <c r="AB80" i="12"/>
  <c r="AB41" i="12"/>
  <c r="AB38" i="12"/>
  <c r="AA42" i="12"/>
  <c r="AA43" i="12" s="1"/>
  <c r="AC35" i="12"/>
  <c r="AC81" i="12" s="1"/>
  <c r="AC126" i="12"/>
  <c r="AI64" i="11"/>
  <c r="AI32" i="12"/>
  <c r="Q61" i="11"/>
  <c r="BF26" i="12"/>
  <c r="BF62" i="11"/>
  <c r="AZ124" i="12"/>
  <c r="AZ77" i="11"/>
  <c r="AW77" i="11"/>
  <c r="BH78" i="11"/>
  <c r="BN63" i="11"/>
  <c r="BN29" i="12"/>
  <c r="BH125" i="12"/>
  <c r="BX14" i="12"/>
  <c r="BX81" i="11"/>
  <c r="BR28" i="40"/>
  <c r="X56" i="10"/>
  <c r="Y79" i="40"/>
  <c r="Y56" i="10" s="1"/>
  <c r="AK61" i="40"/>
  <c r="AD61" i="40"/>
  <c r="AE62" i="40"/>
  <c r="AE57" i="40"/>
  <c r="BT24" i="40"/>
  <c r="BS45" i="40"/>
  <c r="BS23" i="10"/>
  <c r="X60" i="40"/>
  <c r="Y57" i="40"/>
  <c r="X59" i="40"/>
  <c r="Y59" i="40" s="1"/>
  <c r="Y67" i="40"/>
  <c r="Y57" i="10"/>
  <c r="BO63" i="40"/>
  <c r="P88" i="10"/>
  <c r="P91" i="10" s="1"/>
  <c r="P85" i="40"/>
  <c r="W88" i="10"/>
  <c r="W91" i="10" s="1"/>
  <c r="W85" i="40"/>
  <c r="W65" i="13"/>
  <c r="BC58" i="10"/>
  <c r="BC51" i="13"/>
  <c r="BB76" i="10"/>
  <c r="BB54" i="9"/>
  <c r="AK58" i="10"/>
  <c r="AK51" i="13"/>
  <c r="AT10" i="9"/>
  <c r="AT25" i="9" s="1"/>
  <c r="AT88" i="10"/>
  <c r="AT91" i="10" s="1"/>
  <c r="AT85" i="40"/>
  <c r="BE85" i="40"/>
  <c r="BE88" i="10"/>
  <c r="BE91" i="10" s="1"/>
  <c r="BE10" i="9"/>
  <c r="BE25" i="9" s="1"/>
  <c r="AY106" i="13"/>
  <c r="BB96" i="11"/>
  <c r="BH96" i="11"/>
  <c r="AV31" i="13"/>
  <c r="AV54" i="13"/>
  <c r="AV58" i="10"/>
  <c r="AV51" i="13"/>
  <c r="AU77" i="13"/>
  <c r="AU51" i="10"/>
  <c r="AU35" i="13"/>
  <c r="AU55" i="13"/>
  <c r="AU52" i="10"/>
  <c r="AU81" i="13"/>
  <c r="AU82" i="13" s="1"/>
  <c r="AU68" i="13"/>
  <c r="AU75" i="13" s="1"/>
  <c r="AU34" i="13" s="1"/>
  <c r="AU33" i="13"/>
  <c r="AY104" i="13"/>
  <c r="BB47" i="9"/>
  <c r="AD88" i="10"/>
  <c r="AD91" i="10" s="1"/>
  <c r="AD85" i="40"/>
  <c r="AD65" i="13"/>
  <c r="AY77" i="13"/>
  <c r="AM85" i="40"/>
  <c r="AM89" i="40" s="1"/>
  <c r="AM88" i="10"/>
  <c r="AM91" i="10" s="1"/>
  <c r="AM10" i="9"/>
  <c r="BO7" i="13"/>
  <c r="BI7" i="40"/>
  <c r="AC68" i="13"/>
  <c r="AC75" i="13" s="1"/>
  <c r="AC34" i="13" s="1"/>
  <c r="AC33" i="13"/>
  <c r="AC58" i="9" s="1"/>
  <c r="AC55" i="13"/>
  <c r="AC52" i="10"/>
  <c r="AC81" i="13"/>
  <c r="AC82" i="13" s="1"/>
  <c r="AC51" i="10"/>
  <c r="AC35" i="13"/>
  <c r="BE104" i="13"/>
  <c r="U88" i="10"/>
  <c r="U91" i="10" s="1"/>
  <c r="U85" i="40"/>
  <c r="U89" i="40" s="1"/>
  <c r="U65" i="13"/>
  <c r="AK54" i="13"/>
  <c r="AK31" i="13"/>
  <c r="AV93" i="13"/>
  <c r="AW29" i="13"/>
  <c r="AW91" i="11"/>
  <c r="AW96" i="11" s="1"/>
  <c r="AW88" i="13"/>
  <c r="BC105" i="13"/>
  <c r="BC53" i="13"/>
  <c r="AW49" i="13"/>
  <c r="BC88" i="13"/>
  <c r="BC64" i="13"/>
  <c r="BC91" i="11"/>
  <c r="AW53" i="13"/>
  <c r="AW64" i="13"/>
  <c r="AW27" i="13"/>
  <c r="AW103" i="13"/>
  <c r="AW105" i="13"/>
  <c r="R88" i="10"/>
  <c r="R91" i="10" s="1"/>
  <c r="R85" i="40"/>
  <c r="AA65" i="13"/>
  <c r="S88" i="10"/>
  <c r="S91" i="10" s="1"/>
  <c r="AP88" i="10"/>
  <c r="AP91" i="10" s="1"/>
  <c r="AP85" i="40"/>
  <c r="AP10" i="9"/>
  <c r="AP25" i="9" s="1"/>
  <c r="Q85" i="40"/>
  <c r="Q88" i="10"/>
  <c r="Q91" i="10" s="1"/>
  <c r="AY33" i="13"/>
  <c r="AY81" i="13"/>
  <c r="AY82" i="13" s="1"/>
  <c r="AY68" i="13"/>
  <c r="AY75" i="13" s="1"/>
  <c r="AY34" i="13" s="1"/>
  <c r="AY35" i="13"/>
  <c r="BE65" i="13" s="1"/>
  <c r="AY52" i="10"/>
  <c r="AY51" i="10"/>
  <c r="AY55" i="13"/>
  <c r="AQ31" i="13"/>
  <c r="AQ54" i="13"/>
  <c r="AM65" i="13"/>
  <c r="X65" i="13"/>
  <c r="BC54" i="13"/>
  <c r="BC31" i="13"/>
  <c r="BI33" i="13"/>
  <c r="BI51" i="10"/>
  <c r="BI81" i="13"/>
  <c r="BI82" i="13" s="1"/>
  <c r="BI35" i="13"/>
  <c r="BI55" i="13"/>
  <c r="BI68" i="13"/>
  <c r="BI75" i="13" s="1"/>
  <c r="BI34" i="13" s="1"/>
  <c r="AZ65" i="13"/>
  <c r="AZ10" i="9"/>
  <c r="AZ85" i="40"/>
  <c r="AZ88" i="10"/>
  <c r="AZ91" i="10" s="1"/>
  <c r="BI77" i="13"/>
  <c r="BH65" i="13"/>
  <c r="BH88" i="10"/>
  <c r="BH91" i="10" s="1"/>
  <c r="BH85" i="40"/>
  <c r="BH10" i="9"/>
  <c r="BH25" i="9" s="1"/>
  <c r="BH76" i="10" s="1"/>
  <c r="BS46" i="12"/>
  <c r="BO46" i="12"/>
  <c r="BO47" i="12" s="1"/>
  <c r="BO48" i="12" s="1"/>
  <c r="BG73" i="11"/>
  <c r="BA73" i="11"/>
  <c r="M39" i="11"/>
  <c r="M66" i="11"/>
  <c r="L81" i="11"/>
  <c r="R81" i="11"/>
  <c r="BK138" i="12"/>
  <c r="BF138" i="12"/>
  <c r="BG138" i="12" s="1"/>
  <c r="BH138" i="12" s="1"/>
  <c r="BI156" i="12"/>
  <c r="BI154" i="12"/>
  <c r="BI151" i="12"/>
  <c r="BI150" i="12"/>
  <c r="BI153" i="12"/>
  <c r="BI155" i="12"/>
  <c r="BI157" i="12"/>
  <c r="BI152" i="12"/>
  <c r="BI87" i="12"/>
  <c r="BI88" i="12" s="1"/>
  <c r="R84" i="11"/>
  <c r="AQ78" i="12"/>
  <c r="AQ22" i="12"/>
  <c r="AQ23" i="12" s="1"/>
  <c r="AQ122" i="12"/>
  <c r="AC153" i="12"/>
  <c r="AD143" i="12"/>
  <c r="D35" i="13"/>
  <c r="D68" i="13"/>
  <c r="D75" i="13" s="1"/>
  <c r="D34" i="13" s="1"/>
  <c r="D55" i="13"/>
  <c r="D33" i="13"/>
  <c r="D81" i="13"/>
  <c r="D82" i="13" s="1"/>
  <c r="S73" i="11"/>
  <c r="AS73" i="11"/>
  <c r="AT75" i="11"/>
  <c r="AA55" i="12"/>
  <c r="AA53" i="12"/>
  <c r="AA54" i="12" s="1"/>
  <c r="BT15" i="12"/>
  <c r="BZ67" i="12"/>
  <c r="BZ69" i="11"/>
  <c r="BT84" i="11"/>
  <c r="AC154" i="12"/>
  <c r="AD144" i="12"/>
  <c r="AC150" i="12"/>
  <c r="AD140" i="12"/>
  <c r="X152" i="12"/>
  <c r="X153" i="12"/>
  <c r="X151" i="12"/>
  <c r="Y73" i="11"/>
  <c r="S37" i="11"/>
  <c r="S65" i="11"/>
  <c r="BC84" i="11"/>
  <c r="AY73" i="11"/>
  <c r="J54" i="13"/>
  <c r="J31" i="13"/>
  <c r="AE73" i="11"/>
  <c r="X84" i="11"/>
  <c r="AK81" i="11"/>
  <c r="U37" i="11"/>
  <c r="U50" i="11" s="1"/>
  <c r="U65" i="11"/>
  <c r="AS75" i="11"/>
  <c r="AY60" i="11"/>
  <c r="AY21" i="12"/>
  <c r="AS78" i="12"/>
  <c r="AS122" i="12"/>
  <c r="AW21" i="12"/>
  <c r="AD49" i="12"/>
  <c r="X52" i="12"/>
  <c r="Y49" i="12"/>
  <c r="Y50" i="12" s="1"/>
  <c r="AE51" i="12"/>
  <c r="AE50" i="12" s="1"/>
  <c r="AJ85" i="11"/>
  <c r="AE75" i="11"/>
  <c r="AT78" i="12"/>
  <c r="AZ60" i="11"/>
  <c r="AZ21" i="12"/>
  <c r="AT122" i="12"/>
  <c r="AM49" i="12"/>
  <c r="AG52" i="12"/>
  <c r="AK32" i="11"/>
  <c r="AK45" i="11" s="1"/>
  <c r="AK60" i="11"/>
  <c r="BN134" i="12"/>
  <c r="BN10" i="11"/>
  <c r="AC151" i="12"/>
  <c r="AD141" i="12"/>
  <c r="AC152" i="12"/>
  <c r="R80" i="11"/>
  <c r="AW22" i="11"/>
  <c r="BC22" i="11"/>
  <c r="AY82" i="11"/>
  <c r="AS82" i="11"/>
  <c r="S46" i="13"/>
  <c r="Y59" i="13"/>
  <c r="S59" i="13"/>
  <c r="S81" i="10"/>
  <c r="J51" i="13"/>
  <c r="J56" i="10"/>
  <c r="J58" i="10"/>
  <c r="V96" i="11"/>
  <c r="P96" i="11"/>
  <c r="AH70" i="11"/>
  <c r="AH27" i="11"/>
  <c r="AN27" i="11"/>
  <c r="AH41" i="11"/>
  <c r="CQ17" i="11"/>
  <c r="AH96" i="11"/>
  <c r="AN96" i="11"/>
  <c r="AB31" i="13"/>
  <c r="AB54" i="13"/>
  <c r="AB51" i="13"/>
  <c r="AB58" i="10"/>
  <c r="L96" i="10"/>
  <c r="K111" i="10"/>
  <c r="K107" i="10"/>
  <c r="AA123" i="10"/>
  <c r="AA125" i="10" s="1"/>
  <c r="AE125" i="10" s="1"/>
  <c r="AE123" i="10"/>
  <c r="Y63" i="9"/>
  <c r="U63" i="9"/>
  <c r="AE78" i="10"/>
  <c r="AE56" i="9"/>
  <c r="L56" i="9"/>
  <c r="L78" i="10"/>
  <c r="P71" i="9"/>
  <c r="P67" i="9"/>
  <c r="Q63" i="9" s="1"/>
  <c r="P72" i="9"/>
  <c r="AD56" i="9"/>
  <c r="AD78" i="10"/>
  <c r="BF66" i="40"/>
  <c r="BQ13" i="40"/>
  <c r="BU11" i="40"/>
  <c r="BQ17" i="40"/>
  <c r="BO23" i="40"/>
  <c r="BU21" i="40"/>
  <c r="BN25" i="40"/>
  <c r="BQ146" i="10"/>
  <c r="BR20" i="10"/>
  <c r="BW32" i="10"/>
  <c r="BU32" i="10"/>
  <c r="BT152" i="10"/>
  <c r="BS38" i="10"/>
  <c r="BR90" i="10"/>
  <c r="F22" i="13"/>
  <c r="Y82" i="11"/>
  <c r="AE82" i="11"/>
  <c r="AD97" i="11"/>
  <c r="M84" i="11"/>
  <c r="S84" i="11"/>
  <c r="BH162" i="12"/>
  <c r="L52" i="13"/>
  <c r="S58" i="13"/>
  <c r="S45" i="13"/>
  <c r="Y58" i="13"/>
  <c r="BI45" i="13"/>
  <c r="AD85" i="11"/>
  <c r="AH8" i="12"/>
  <c r="AI8" i="12" s="1"/>
  <c r="AJ8" i="12" s="1"/>
  <c r="AM8" i="12"/>
  <c r="BS23" i="11"/>
  <c r="DP24" i="11" s="1"/>
  <c r="BI17" i="12"/>
  <c r="L87" i="13"/>
  <c r="BS67" i="11"/>
  <c r="BF78" i="11"/>
  <c r="AQ84" i="11"/>
  <c r="AW84" i="11"/>
  <c r="S157" i="12"/>
  <c r="S153" i="12"/>
  <c r="S155" i="12"/>
  <c r="S17" i="12"/>
  <c r="S150" i="12"/>
  <c r="S151" i="12"/>
  <c r="S156" i="12"/>
  <c r="S154" i="12"/>
  <c r="S152" i="12"/>
  <c r="Y70" i="11"/>
  <c r="Y17" i="12"/>
  <c r="AK84" i="11"/>
  <c r="AQ53" i="11"/>
  <c r="AW53" i="11"/>
  <c r="Y88" i="10"/>
  <c r="BO39" i="13"/>
  <c r="BN81" i="9"/>
  <c r="BI41" i="13"/>
  <c r="BR80" i="9"/>
  <c r="BR39" i="13"/>
  <c r="BQ78" i="9"/>
  <c r="BQ81" i="9"/>
  <c r="BO78" i="9"/>
  <c r="BO81" i="9"/>
  <c r="J85" i="11" l="1"/>
  <c r="BU27" i="10"/>
  <c r="BW27" i="10"/>
  <c r="BX27" i="10" s="1"/>
  <c r="BY27" i="10" s="1"/>
  <c r="BZ27" i="10" s="1"/>
  <c r="BS12" i="10"/>
  <c r="X155" i="12"/>
  <c r="X145" i="12" s="1"/>
  <c r="AD145" i="12"/>
  <c r="P85" i="11"/>
  <c r="S58" i="9"/>
  <c r="P97" i="11"/>
  <c r="Y77" i="10"/>
  <c r="BN73" i="12"/>
  <c r="BN10" i="12"/>
  <c r="BN61" i="12"/>
  <c r="BN128" i="12"/>
  <c r="Y58" i="9"/>
  <c r="BF65" i="13"/>
  <c r="BM59" i="13"/>
  <c r="BM81" i="10"/>
  <c r="BS81" i="10" s="1"/>
  <c r="BY81" i="10" s="1"/>
  <c r="CE81" i="10" s="1"/>
  <c r="CK81" i="10" s="1"/>
  <c r="BM46" i="13"/>
  <c r="Y65" i="13"/>
  <c r="BF88" i="10"/>
  <c r="BF91" i="10" s="1"/>
  <c r="BN26" i="40"/>
  <c r="BN169" i="10"/>
  <c r="X56" i="9"/>
  <c r="Y55" i="9"/>
  <c r="AE57" i="9" s="1"/>
  <c r="L70" i="11"/>
  <c r="L41" i="11"/>
  <c r="BA65" i="13"/>
  <c r="BX31" i="10"/>
  <c r="BW170" i="10"/>
  <c r="BT30" i="10"/>
  <c r="BS171" i="10"/>
  <c r="BI138" i="10"/>
  <c r="BI139" i="10" s="1"/>
  <c r="BI140" i="10" s="1"/>
  <c r="BI141" i="10" s="1"/>
  <c r="BI135" i="10" s="1"/>
  <c r="BI163" i="10"/>
  <c r="BI164" i="10" s="1"/>
  <c r="BI165" i="10" s="1"/>
  <c r="AU138" i="10"/>
  <c r="AU139" i="10" s="1"/>
  <c r="AU140" i="10" s="1"/>
  <c r="AU141" i="10" s="1"/>
  <c r="AU135" i="10" s="1"/>
  <c r="AU163" i="10"/>
  <c r="AU164" i="10" s="1"/>
  <c r="AU165" i="10" s="1"/>
  <c r="AS138" i="10"/>
  <c r="AS139" i="10" s="1"/>
  <c r="AS140" i="10" s="1"/>
  <c r="AS141" i="10" s="1"/>
  <c r="AS135" i="10" s="1"/>
  <c r="AS163" i="10"/>
  <c r="AS164" i="10" s="1"/>
  <c r="AS165" i="10" s="1"/>
  <c r="K166" i="10"/>
  <c r="K185" i="10"/>
  <c r="K186" i="10"/>
  <c r="K53" i="10" s="1"/>
  <c r="AT166" i="10"/>
  <c r="AT186" i="10"/>
  <c r="AT53" i="10" s="1"/>
  <c r="AT185" i="10"/>
  <c r="AD166" i="10"/>
  <c r="AD186" i="10"/>
  <c r="AD53" i="10" s="1"/>
  <c r="AD185" i="10"/>
  <c r="BF166" i="10"/>
  <c r="BF186" i="10"/>
  <c r="BF53" i="10" s="1"/>
  <c r="BF185" i="10"/>
  <c r="AP166" i="10"/>
  <c r="AP185" i="10"/>
  <c r="AP186" i="10"/>
  <c r="AP53" i="10" s="1"/>
  <c r="AJ166" i="10"/>
  <c r="AJ186" i="10"/>
  <c r="AJ53" i="10" s="1"/>
  <c r="AJ185" i="10"/>
  <c r="BH166" i="10"/>
  <c r="BH185" i="10"/>
  <c r="BH186" i="10"/>
  <c r="BH53" i="10" s="1"/>
  <c r="AZ166" i="10"/>
  <c r="AZ185" i="10"/>
  <c r="AZ186" i="10"/>
  <c r="AZ53" i="10" s="1"/>
  <c r="AW58" i="10"/>
  <c r="AY138" i="10"/>
  <c r="AY139" i="10" s="1"/>
  <c r="AY140" i="10" s="1"/>
  <c r="AY141" i="10" s="1"/>
  <c r="AY135" i="10" s="1"/>
  <c r="AY163" i="10"/>
  <c r="AY164" i="10" s="1"/>
  <c r="AY165" i="10" s="1"/>
  <c r="AN138" i="10"/>
  <c r="AN139" i="10" s="1"/>
  <c r="AN140" i="10" s="1"/>
  <c r="AN141" i="10" s="1"/>
  <c r="AN135" i="10" s="1"/>
  <c r="AN163" i="10"/>
  <c r="AN164" i="10" s="1"/>
  <c r="AN165" i="10" s="1"/>
  <c r="BG138" i="10"/>
  <c r="BG139" i="10" s="1"/>
  <c r="BG140" i="10" s="1"/>
  <c r="BG141" i="10" s="1"/>
  <c r="BG135" i="10" s="1"/>
  <c r="BG163" i="10"/>
  <c r="BG164" i="10" s="1"/>
  <c r="BG165" i="10" s="1"/>
  <c r="BA138" i="10"/>
  <c r="BA139" i="10" s="1"/>
  <c r="BA140" i="10" s="1"/>
  <c r="BA141" i="10" s="1"/>
  <c r="BA135" i="10" s="1"/>
  <c r="BA163" i="10"/>
  <c r="BA164" i="10" s="1"/>
  <c r="BA165" i="10" s="1"/>
  <c r="AG166" i="10"/>
  <c r="AG185" i="10"/>
  <c r="AG186" i="10"/>
  <c r="AG53" i="10" s="1"/>
  <c r="AO166" i="10"/>
  <c r="AO185" i="10"/>
  <c r="AO186" i="10"/>
  <c r="AO53" i="10" s="1"/>
  <c r="BE166" i="10"/>
  <c r="BE186" i="10"/>
  <c r="BE53" i="10" s="1"/>
  <c r="BE185" i="10"/>
  <c r="AM166" i="10"/>
  <c r="AM186" i="10"/>
  <c r="AM53" i="10" s="1"/>
  <c r="AM185" i="10"/>
  <c r="BX35" i="10"/>
  <c r="BW175" i="10"/>
  <c r="BU152" i="10"/>
  <c r="L97" i="11"/>
  <c r="L27" i="11"/>
  <c r="V85" i="11"/>
  <c r="G165" i="10"/>
  <c r="M24" i="11"/>
  <c r="Y24" i="11"/>
  <c r="AK17" i="11"/>
  <c r="AE24" i="11"/>
  <c r="X78" i="10"/>
  <c r="R41" i="11"/>
  <c r="X54" i="11" s="1"/>
  <c r="AA88" i="10"/>
  <c r="AA91" i="10" s="1"/>
  <c r="AA85" i="40"/>
  <c r="AA89" i="40" s="1"/>
  <c r="AA90" i="40" s="1"/>
  <c r="X150" i="12"/>
  <c r="W150" i="12" s="1"/>
  <c r="X154" i="12"/>
  <c r="X144" i="12" s="1"/>
  <c r="AD57" i="9"/>
  <c r="AC156" i="12"/>
  <c r="BA88" i="10"/>
  <c r="BA91" i="10" s="1"/>
  <c r="AH84" i="40"/>
  <c r="AH92" i="40" s="1"/>
  <c r="AP65" i="13"/>
  <c r="BA10" i="9"/>
  <c r="BA25" i="9" s="1"/>
  <c r="BA47" i="9" s="1"/>
  <c r="BF85" i="40"/>
  <c r="BM62" i="11"/>
  <c r="BR67" i="11"/>
  <c r="BR82" i="11" s="1"/>
  <c r="DO10" i="11"/>
  <c r="AW104" i="13"/>
  <c r="AW50" i="13"/>
  <c r="BY128" i="12"/>
  <c r="AJ85" i="40"/>
  <c r="CL64" i="9"/>
  <c r="CM64" i="9" s="1"/>
  <c r="CG64" i="9"/>
  <c r="CG73" i="9" s="1"/>
  <c r="CF10" i="40"/>
  <c r="AN6" i="11"/>
  <c r="AO6" i="11" s="1"/>
  <c r="AP6" i="11" s="1"/>
  <c r="AS6" i="11"/>
  <c r="BC30" i="12"/>
  <c r="BL63" i="11"/>
  <c r="BL78" i="11" s="1"/>
  <c r="AW67" i="11"/>
  <c r="BC82" i="11" s="1"/>
  <c r="BG124" i="12"/>
  <c r="BY134" i="12"/>
  <c r="BY61" i="12"/>
  <c r="CE83" i="11"/>
  <c r="CD81" i="11"/>
  <c r="CJ83" i="11"/>
  <c r="CG116" i="12"/>
  <c r="CM7" i="12"/>
  <c r="CM116" i="12" s="1"/>
  <c r="CE84" i="11"/>
  <c r="AW93" i="13"/>
  <c r="BI104" i="13"/>
  <c r="BZ12" i="12"/>
  <c r="CF68" i="11"/>
  <c r="CF58" i="12"/>
  <c r="CE12" i="12"/>
  <c r="CK68" i="11"/>
  <c r="CK58" i="12"/>
  <c r="CK12" i="12" s="1"/>
  <c r="CJ64" i="12"/>
  <c r="CJ66" i="11"/>
  <c r="CD14" i="12"/>
  <c r="CD61" i="12"/>
  <c r="CD128" i="12"/>
  <c r="CF69" i="11"/>
  <c r="CF67" i="12"/>
  <c r="BY70" i="12"/>
  <c r="BY71" i="12" s="1"/>
  <c r="BY72" i="12" s="1"/>
  <c r="CE66" i="11"/>
  <c r="CE64" i="12"/>
  <c r="CE15" i="12"/>
  <c r="CK69" i="11"/>
  <c r="CK67" i="12"/>
  <c r="CJ61" i="12"/>
  <c r="CJ128" i="12"/>
  <c r="CD69" i="11"/>
  <c r="CD67" i="12"/>
  <c r="R27" i="11"/>
  <c r="X97" i="11"/>
  <c r="S17" i="11"/>
  <c r="X27" i="11"/>
  <c r="AD28" i="11" s="1"/>
  <c r="R70" i="11"/>
  <c r="X85" i="11" s="1"/>
  <c r="BX84" i="11"/>
  <c r="BR73" i="12"/>
  <c r="BC21" i="11"/>
  <c r="AW58" i="11"/>
  <c r="BX70" i="12"/>
  <c r="BX71" i="12" s="1"/>
  <c r="BX72" i="12" s="1"/>
  <c r="BG77" i="11"/>
  <c r="BF125" i="12"/>
  <c r="AW20" i="11"/>
  <c r="BC125" i="12"/>
  <c r="BX15" i="12"/>
  <c r="BX134" i="12" s="1"/>
  <c r="AE97" i="11"/>
  <c r="AE41" i="11"/>
  <c r="AE54" i="11" s="1"/>
  <c r="AE27" i="11"/>
  <c r="AV82" i="11"/>
  <c r="BY10" i="11"/>
  <c r="AE70" i="11"/>
  <c r="AE85" i="11" s="1"/>
  <c r="AV73" i="11"/>
  <c r="BC50" i="13"/>
  <c r="BT61" i="12"/>
  <c r="BT128" i="12"/>
  <c r="AQ58" i="10"/>
  <c r="BN124" i="12"/>
  <c r="L137" i="10"/>
  <c r="L139" i="10" s="1"/>
  <c r="L140" i="10" s="1"/>
  <c r="L141" i="10" s="1"/>
  <c r="L135" i="10" s="1"/>
  <c r="L29" i="13"/>
  <c r="AE52" i="11"/>
  <c r="AJ65" i="13"/>
  <c r="BT26" i="12"/>
  <c r="L27" i="13"/>
  <c r="L51" i="13" s="1"/>
  <c r="BB82" i="11"/>
  <c r="R88" i="13"/>
  <c r="R53" i="13"/>
  <c r="L81" i="40"/>
  <c r="BE8" i="10"/>
  <c r="AZ8" i="10"/>
  <c r="BA8" i="10" s="1"/>
  <c r="BB8" i="10" s="1"/>
  <c r="L49" i="13"/>
  <c r="R64" i="13"/>
  <c r="L57" i="10"/>
  <c r="L164" i="10"/>
  <c r="L165" i="10" s="1"/>
  <c r="R91" i="11"/>
  <c r="X96" i="11" s="1"/>
  <c r="L88" i="13"/>
  <c r="S56" i="9"/>
  <c r="S78" i="10"/>
  <c r="AE156" i="10"/>
  <c r="AQ24" i="11"/>
  <c r="AI8" i="13"/>
  <c r="AH8" i="40"/>
  <c r="AS8" i="13"/>
  <c r="AM8" i="40"/>
  <c r="AN8" i="13"/>
  <c r="AD8" i="13"/>
  <c r="AD8" i="40" s="1"/>
  <c r="AC8" i="40"/>
  <c r="AY7" i="13"/>
  <c r="AS7" i="40"/>
  <c r="P84" i="40"/>
  <c r="P89" i="40" s="1"/>
  <c r="O90" i="40"/>
  <c r="O91" i="40" s="1"/>
  <c r="BB58" i="9"/>
  <c r="BB59" i="9"/>
  <c r="BR69" i="9"/>
  <c r="BS68" i="9"/>
  <c r="BF8" i="9"/>
  <c r="BG8" i="9" s="1"/>
  <c r="BH8" i="9" s="1"/>
  <c r="BK8" i="9"/>
  <c r="BR23" i="11"/>
  <c r="DO24" i="11" s="1"/>
  <c r="BR85" i="12"/>
  <c r="BR86" i="12"/>
  <c r="BR11" i="13"/>
  <c r="BR59" i="13" s="1"/>
  <c r="BM82" i="11"/>
  <c r="BI62" i="11"/>
  <c r="BI77" i="11" s="1"/>
  <c r="BC23" i="11"/>
  <c r="BE77" i="11"/>
  <c r="AW23" i="11"/>
  <c r="O115" i="10"/>
  <c r="O119" i="10" s="1"/>
  <c r="S119" i="10" s="1"/>
  <c r="S120" i="10" s="1"/>
  <c r="AK24" i="11"/>
  <c r="BC27" i="12"/>
  <c r="BG21" i="12"/>
  <c r="BG60" i="11"/>
  <c r="BA78" i="12"/>
  <c r="BA122" i="12"/>
  <c r="BA75" i="11"/>
  <c r="AE87" i="13"/>
  <c r="AK87" i="13"/>
  <c r="AE22" i="13"/>
  <c r="AK91" i="11" s="1"/>
  <c r="AE52" i="13"/>
  <c r="M75" i="10"/>
  <c r="M49" i="9"/>
  <c r="Q78" i="10"/>
  <c r="Q56" i="9"/>
  <c r="W56" i="9"/>
  <c r="W57" i="9"/>
  <c r="AC57" i="9"/>
  <c r="W78" i="10"/>
  <c r="S118" i="10"/>
  <c r="M55" i="9"/>
  <c r="M77" i="10"/>
  <c r="O118" i="10"/>
  <c r="BS13" i="12"/>
  <c r="BS86" i="12" s="1"/>
  <c r="BY81" i="11"/>
  <c r="AE84" i="11"/>
  <c r="BY14" i="12"/>
  <c r="BY13" i="12" s="1"/>
  <c r="C49" i="13"/>
  <c r="C27" i="13"/>
  <c r="C29" i="13"/>
  <c r="L53" i="13"/>
  <c r="M17" i="11"/>
  <c r="AE53" i="11"/>
  <c r="AI65" i="11"/>
  <c r="AI37" i="11"/>
  <c r="BN13" i="12"/>
  <c r="BN86" i="12" s="1"/>
  <c r="Y81" i="11"/>
  <c r="M22" i="13"/>
  <c r="E51" i="13"/>
  <c r="M156" i="10"/>
  <c r="AC65" i="11"/>
  <c r="AC37" i="11"/>
  <c r="AC50" i="11" s="1"/>
  <c r="E31" i="13"/>
  <c r="E54" i="13"/>
  <c r="BB122" i="12"/>
  <c r="BH21" i="12"/>
  <c r="BB78" i="12"/>
  <c r="BH60" i="11"/>
  <c r="S24" i="11"/>
  <c r="AU49" i="12"/>
  <c r="AO52" i="12"/>
  <c r="BB75" i="11"/>
  <c r="S87" i="13"/>
  <c r="M87" i="13"/>
  <c r="M52" i="13"/>
  <c r="BU33" i="11"/>
  <c r="BU46" i="11" s="1"/>
  <c r="BU49" i="11"/>
  <c r="CA49" i="11"/>
  <c r="S52" i="13"/>
  <c r="BT46" i="11"/>
  <c r="BZ46" i="11"/>
  <c r="AH65" i="11"/>
  <c r="AH37" i="11"/>
  <c r="AH50" i="11" s="1"/>
  <c r="S43" i="12"/>
  <c r="I97" i="11"/>
  <c r="I41" i="11"/>
  <c r="I27" i="11"/>
  <c r="I70" i="11"/>
  <c r="AT52" i="12"/>
  <c r="AZ49" i="12"/>
  <c r="O88" i="13"/>
  <c r="O53" i="13"/>
  <c r="I27" i="13"/>
  <c r="I91" i="11"/>
  <c r="I96" i="11" s="1"/>
  <c r="I81" i="40"/>
  <c r="I29" i="13"/>
  <c r="I137" i="10"/>
  <c r="I139" i="10" s="1"/>
  <c r="I140" i="10" s="1"/>
  <c r="I141" i="10" s="1"/>
  <c r="I135" i="10" s="1"/>
  <c r="I64" i="13"/>
  <c r="I88" i="13"/>
  <c r="I57" i="10"/>
  <c r="O91" i="11"/>
  <c r="I49" i="13"/>
  <c r="I53" i="13"/>
  <c r="O64" i="13"/>
  <c r="I164" i="10"/>
  <c r="I165" i="10" s="1"/>
  <c r="O41" i="11"/>
  <c r="U54" i="11" s="1"/>
  <c r="O70" i="11"/>
  <c r="U27" i="11"/>
  <c r="AA28" i="11" s="1"/>
  <c r="O27" i="11"/>
  <c r="AN55" i="12"/>
  <c r="AN53" i="12"/>
  <c r="AN54" i="12" s="1"/>
  <c r="AB80" i="11"/>
  <c r="W85" i="11"/>
  <c r="Q85" i="11"/>
  <c r="M59" i="11"/>
  <c r="M74" i="11" s="1"/>
  <c r="W96" i="11"/>
  <c r="Q96" i="11"/>
  <c r="K56" i="10"/>
  <c r="K58" i="10"/>
  <c r="K51" i="13"/>
  <c r="K31" i="13"/>
  <c r="K54" i="13"/>
  <c r="Q97" i="11"/>
  <c r="W97" i="11"/>
  <c r="K85" i="11"/>
  <c r="AK75" i="13"/>
  <c r="AK34" i="13" s="1"/>
  <c r="AH10" i="9"/>
  <c r="AH85" i="40"/>
  <c r="AH88" i="10"/>
  <c r="AH91" i="10" s="1"/>
  <c r="L64" i="13"/>
  <c r="L91" i="11"/>
  <c r="L96" i="11" s="1"/>
  <c r="AS65" i="13"/>
  <c r="AS85" i="40"/>
  <c r="AS89" i="40" s="1"/>
  <c r="AS10" i="9"/>
  <c r="AS25" i="9" s="1"/>
  <c r="AS88" i="10"/>
  <c r="AS91" i="10" s="1"/>
  <c r="G31" i="13"/>
  <c r="G54" i="13"/>
  <c r="G58" i="10"/>
  <c r="G51" i="13"/>
  <c r="AN85" i="40"/>
  <c r="AN10" i="9"/>
  <c r="AN25" i="9" s="1"/>
  <c r="AN88" i="10"/>
  <c r="AN91" i="10" s="1"/>
  <c r="BC106" i="13"/>
  <c r="BG65" i="13"/>
  <c r="AO47" i="9"/>
  <c r="AO76" i="10"/>
  <c r="AO54" i="9"/>
  <c r="AN65" i="13"/>
  <c r="BW74" i="13"/>
  <c r="BT73" i="13"/>
  <c r="BT32" i="13" s="1"/>
  <c r="BI106" i="13"/>
  <c r="V58" i="9"/>
  <c r="V88" i="10"/>
  <c r="V91" i="10" s="1"/>
  <c r="V85" i="40"/>
  <c r="V65" i="13"/>
  <c r="BG88" i="10"/>
  <c r="BG91" i="10" s="1"/>
  <c r="BG10" i="9"/>
  <c r="BG25" i="9" s="1"/>
  <c r="BG85" i="40"/>
  <c r="Q76" i="11"/>
  <c r="AC79" i="12"/>
  <c r="AC36" i="12"/>
  <c r="AC37" i="12" s="1"/>
  <c r="AC123" i="12"/>
  <c r="AC38" i="12"/>
  <c r="AC41" i="12"/>
  <c r="AC80" i="12"/>
  <c r="AA59" i="11"/>
  <c r="AG74" i="11" s="1"/>
  <c r="AB42" i="12"/>
  <c r="AB43" i="12" s="1"/>
  <c r="BT81" i="11"/>
  <c r="AM123" i="12"/>
  <c r="AM79" i="12"/>
  <c r="AM80" i="12"/>
  <c r="AM36" i="12"/>
  <c r="AM37" i="12" s="1"/>
  <c r="AM41" i="12"/>
  <c r="AM38" i="12"/>
  <c r="AS79" i="11"/>
  <c r="W42" i="12"/>
  <c r="W43" i="12" s="1"/>
  <c r="W61" i="11"/>
  <c r="AH79" i="12"/>
  <c r="AH80" i="12"/>
  <c r="AH123" i="12"/>
  <c r="AH36" i="12"/>
  <c r="AH37" i="12" s="1"/>
  <c r="AH38" i="12"/>
  <c r="AH41" i="12"/>
  <c r="AN79" i="11"/>
  <c r="AD79" i="11"/>
  <c r="AJ32" i="12"/>
  <c r="AD35" i="12"/>
  <c r="AD81" i="12" s="1"/>
  <c r="AJ64" i="11"/>
  <c r="AD126" i="12"/>
  <c r="AE32" i="12"/>
  <c r="X80" i="12"/>
  <c r="X41" i="12"/>
  <c r="X42" i="12" s="1"/>
  <c r="X43" i="12" s="1"/>
  <c r="X79" i="12"/>
  <c r="X123" i="12"/>
  <c r="X38" i="12"/>
  <c r="X36" i="12"/>
  <c r="X37" i="12" s="1"/>
  <c r="V76" i="11"/>
  <c r="V59" i="11"/>
  <c r="BM29" i="12"/>
  <c r="BM63" i="11"/>
  <c r="BG125" i="12"/>
  <c r="AO32" i="12"/>
  <c r="AI35" i="12"/>
  <c r="AI81" i="12" s="1"/>
  <c r="AI126" i="12"/>
  <c r="AO64" i="11"/>
  <c r="AI79" i="11"/>
  <c r="AB61" i="11"/>
  <c r="BZ66" i="11"/>
  <c r="BT14" i="12"/>
  <c r="BT13" i="12" s="1"/>
  <c r="BZ64" i="12"/>
  <c r="M61" i="11"/>
  <c r="AY64" i="11"/>
  <c r="AS126" i="12"/>
  <c r="AY32" i="12"/>
  <c r="AS35" i="12"/>
  <c r="AG61" i="11"/>
  <c r="BC58" i="11"/>
  <c r="BC20" i="11"/>
  <c r="BH73" i="11"/>
  <c r="BB73" i="11"/>
  <c r="Q59" i="11"/>
  <c r="AA76" i="11"/>
  <c r="AN126" i="12"/>
  <c r="AT64" i="11"/>
  <c r="AN35" i="12"/>
  <c r="AN81" i="12" s="1"/>
  <c r="AT32" i="12"/>
  <c r="S81" i="12"/>
  <c r="S38" i="12"/>
  <c r="S80" i="12"/>
  <c r="S41" i="12"/>
  <c r="S42" i="12" s="1"/>
  <c r="S79" i="12"/>
  <c r="S36" i="12"/>
  <c r="S37" i="12" s="1"/>
  <c r="S123" i="12"/>
  <c r="Y79" i="11"/>
  <c r="Y126" i="12"/>
  <c r="Y33" i="12"/>
  <c r="AE64" i="11"/>
  <c r="Y35" i="12"/>
  <c r="X81" i="12"/>
  <c r="R61" i="11"/>
  <c r="P74" i="11"/>
  <c r="BG78" i="11"/>
  <c r="BC78" i="11"/>
  <c r="BF124" i="12"/>
  <c r="BL26" i="12"/>
  <c r="BL62" i="11"/>
  <c r="BF77" i="11"/>
  <c r="AE126" i="10"/>
  <c r="AG123" i="10" s="1"/>
  <c r="AG125" i="10" s="1"/>
  <c r="AK125" i="10" s="1"/>
  <c r="BZ84" i="11"/>
  <c r="BT29" i="12"/>
  <c r="BN125" i="12"/>
  <c r="BT63" i="11"/>
  <c r="BN78" i="11"/>
  <c r="BS26" i="12"/>
  <c r="BS62" i="11"/>
  <c r="BM124" i="12"/>
  <c r="Y81" i="40"/>
  <c r="BS28" i="40"/>
  <c r="BT23" i="10"/>
  <c r="BW24" i="40"/>
  <c r="BU24" i="40"/>
  <c r="BU45" i="40" s="1"/>
  <c r="BT45" i="40"/>
  <c r="AQ61" i="40"/>
  <c r="AJ61" i="40"/>
  <c r="AG61" i="40" s="1"/>
  <c r="AK62" i="40"/>
  <c r="AK57" i="40"/>
  <c r="AD67" i="40"/>
  <c r="AD79" i="40" s="1"/>
  <c r="AD57" i="40"/>
  <c r="AD62" i="40"/>
  <c r="AD58" i="40" s="1"/>
  <c r="AE58" i="40" s="1"/>
  <c r="AA61" i="40"/>
  <c r="BU63" i="40"/>
  <c r="BC51" i="10"/>
  <c r="BC35" i="13"/>
  <c r="BI65" i="13" s="1"/>
  <c r="BC52" i="10"/>
  <c r="BC81" i="13"/>
  <c r="BC82" i="13" s="1"/>
  <c r="BC68" i="13"/>
  <c r="BC75" i="13" s="1"/>
  <c r="BC34" i="13" s="1"/>
  <c r="BC55" i="13"/>
  <c r="BC33" i="13"/>
  <c r="AQ52" i="10"/>
  <c r="AQ51" i="10"/>
  <c r="AQ33" i="13"/>
  <c r="AQ81" i="13"/>
  <c r="AQ82" i="13" s="1"/>
  <c r="AQ68" i="13"/>
  <c r="AQ75" i="13" s="1"/>
  <c r="AQ34" i="13" s="1"/>
  <c r="AQ35" i="13"/>
  <c r="AQ55" i="13"/>
  <c r="AY65" i="13"/>
  <c r="AY10" i="9"/>
  <c r="AY25" i="9" s="1"/>
  <c r="AY85" i="40"/>
  <c r="AY88" i="10"/>
  <c r="AY91" i="10" s="1"/>
  <c r="AP76" i="10"/>
  <c r="AP54" i="9"/>
  <c r="AP47" i="9"/>
  <c r="BC96" i="11"/>
  <c r="BI96" i="11"/>
  <c r="AW54" i="13"/>
  <c r="AW31" i="13"/>
  <c r="AK55" i="13"/>
  <c r="AK68" i="13"/>
  <c r="AK81" i="13"/>
  <c r="AK82" i="13" s="1"/>
  <c r="AK51" i="10"/>
  <c r="AK52" i="10"/>
  <c r="AK35" i="13"/>
  <c r="AK33" i="13"/>
  <c r="V84" i="40"/>
  <c r="U90" i="40"/>
  <c r="U92" i="40" s="1"/>
  <c r="AC65" i="13"/>
  <c r="AI65" i="13"/>
  <c r="AC85" i="40"/>
  <c r="AC88" i="10"/>
  <c r="AC91" i="10" s="1"/>
  <c r="AM25" i="9"/>
  <c r="AU88" i="10"/>
  <c r="AU91" i="10" s="1"/>
  <c r="AU10" i="9"/>
  <c r="AU85" i="40"/>
  <c r="AU65" i="13"/>
  <c r="AV77" i="13"/>
  <c r="AV81" i="13"/>
  <c r="AV82" i="13" s="1"/>
  <c r="AV35" i="13"/>
  <c r="AV33" i="13"/>
  <c r="AV51" i="10"/>
  <c r="AV55" i="13"/>
  <c r="AV68" i="13"/>
  <c r="AV75" i="13" s="1"/>
  <c r="AV34" i="13" s="1"/>
  <c r="AV52" i="10"/>
  <c r="BE47" i="9"/>
  <c r="BE76" i="10"/>
  <c r="BE54" i="9"/>
  <c r="AT47" i="9"/>
  <c r="AT76" i="10"/>
  <c r="AT54" i="9"/>
  <c r="BB77" i="10"/>
  <c r="BB55" i="9"/>
  <c r="BC77" i="13"/>
  <c r="AQ77" i="13"/>
  <c r="BF54" i="9"/>
  <c r="BF76" i="10"/>
  <c r="BF47" i="9"/>
  <c r="AW51" i="13"/>
  <c r="AV106" i="13"/>
  <c r="BB104" i="13"/>
  <c r="AK77" i="13"/>
  <c r="BO7" i="40"/>
  <c r="BU7" i="13"/>
  <c r="AN84" i="40"/>
  <c r="AM90" i="40"/>
  <c r="BB75" i="10"/>
  <c r="BI88" i="10"/>
  <c r="BI91" i="10" s="1"/>
  <c r="AZ25" i="9"/>
  <c r="BY46" i="12"/>
  <c r="BU46" i="12"/>
  <c r="BU47" i="12" s="1"/>
  <c r="BU48" i="12" s="1"/>
  <c r="BL138" i="12"/>
  <c r="BM138" i="12" s="1"/>
  <c r="BN138" i="12" s="1"/>
  <c r="BQ138" i="12"/>
  <c r="S81" i="11"/>
  <c r="M81" i="11"/>
  <c r="AB55" i="13"/>
  <c r="AB52" i="10"/>
  <c r="AB51" i="10"/>
  <c r="AB33" i="13"/>
  <c r="AB58" i="9" s="1"/>
  <c r="AB35" i="13"/>
  <c r="AB81" i="13"/>
  <c r="AB82" i="13" s="1"/>
  <c r="AB68" i="13"/>
  <c r="AB75" i="13" s="1"/>
  <c r="AB34" i="13" s="1"/>
  <c r="AN28" i="11"/>
  <c r="CQ28" i="11"/>
  <c r="DM10" i="11"/>
  <c r="BN23" i="11"/>
  <c r="DM24" i="11" s="1"/>
  <c r="BN67" i="11"/>
  <c r="AG53" i="12"/>
  <c r="AG54" i="12" s="1"/>
  <c r="AG55" i="12"/>
  <c r="AS49" i="12"/>
  <c r="AM52" i="12"/>
  <c r="AZ75" i="11"/>
  <c r="X55" i="12"/>
  <c r="X53" i="12"/>
  <c r="X54" i="12" s="1"/>
  <c r="AB155" i="12"/>
  <c r="AC145" i="12"/>
  <c r="AW78" i="12"/>
  <c r="AW122" i="12"/>
  <c r="AW22" i="12"/>
  <c r="AW23" i="12" s="1"/>
  <c r="AY122" i="12"/>
  <c r="AY78" i="12"/>
  <c r="BE60" i="11"/>
  <c r="BC21" i="12"/>
  <c r="AY75" i="11"/>
  <c r="S80" i="11"/>
  <c r="W153" i="12"/>
  <c r="X143" i="12"/>
  <c r="W152" i="12"/>
  <c r="AB154" i="12"/>
  <c r="AC144" i="12"/>
  <c r="BT134" i="12"/>
  <c r="BT10" i="11"/>
  <c r="AB156" i="12"/>
  <c r="AC146" i="12"/>
  <c r="AN97" i="11"/>
  <c r="AH97" i="11"/>
  <c r="AH54" i="11"/>
  <c r="AN54" i="11"/>
  <c r="CU28" i="11"/>
  <c r="AT28" i="11"/>
  <c r="AH85" i="11"/>
  <c r="AN85" i="11"/>
  <c r="W156" i="12"/>
  <c r="X146" i="12"/>
  <c r="AB152" i="12"/>
  <c r="AC141" i="12"/>
  <c r="AB151" i="12"/>
  <c r="AK75" i="11"/>
  <c r="BF60" i="11"/>
  <c r="BF21" i="12"/>
  <c r="AZ78" i="12"/>
  <c r="AZ122" i="12"/>
  <c r="AJ49" i="12"/>
  <c r="AD52" i="12"/>
  <c r="AK51" i="12"/>
  <c r="AK50" i="12" s="1"/>
  <c r="AE49" i="12"/>
  <c r="U80" i="11"/>
  <c r="AK41" i="11"/>
  <c r="J33" i="13"/>
  <c r="J58" i="9" s="1"/>
  <c r="J68" i="13"/>
  <c r="J75" i="13" s="1"/>
  <c r="J34" i="13" s="1"/>
  <c r="J81" i="13"/>
  <c r="J82" i="13" s="1"/>
  <c r="J51" i="10"/>
  <c r="J52" i="10"/>
  <c r="J35" i="13"/>
  <c r="J55" i="13"/>
  <c r="X141" i="12"/>
  <c r="W151" i="12"/>
  <c r="AC140" i="12"/>
  <c r="AB150" i="12"/>
  <c r="BT71" i="12"/>
  <c r="BT72" i="12" s="1"/>
  <c r="BZ15" i="12"/>
  <c r="AA37" i="11"/>
  <c r="AA50" i="11" s="1"/>
  <c r="AA65" i="11"/>
  <c r="AB153" i="12"/>
  <c r="AC143" i="12"/>
  <c r="AQ32" i="11"/>
  <c r="AQ45" i="11" s="1"/>
  <c r="AQ60" i="11"/>
  <c r="L103" i="10"/>
  <c r="L106" i="10" s="1"/>
  <c r="K112" i="10"/>
  <c r="L100" i="10"/>
  <c r="M100" i="10" s="1"/>
  <c r="M101" i="10" s="1"/>
  <c r="L105" i="10"/>
  <c r="K106" i="10"/>
  <c r="M106" i="10" s="1"/>
  <c r="M107" i="10" s="1"/>
  <c r="Q71" i="9"/>
  <c r="Q72" i="9"/>
  <c r="Q67" i="9"/>
  <c r="R63" i="9" s="1"/>
  <c r="Y67" i="9"/>
  <c r="Y71" i="9"/>
  <c r="Y72" i="9"/>
  <c r="U67" i="9"/>
  <c r="V63" i="9" s="1"/>
  <c r="U71" i="9"/>
  <c r="U72" i="9"/>
  <c r="BG66" i="40"/>
  <c r="BR13" i="40"/>
  <c r="BW21" i="40"/>
  <c r="BU42" i="40"/>
  <c r="BO29" i="10"/>
  <c r="BO25" i="40"/>
  <c r="BR17" i="40"/>
  <c r="BQ23" i="40"/>
  <c r="BQ47" i="40" s="1"/>
  <c r="BW11" i="40"/>
  <c r="BU32" i="40"/>
  <c r="BR146" i="10"/>
  <c r="BS20" i="10"/>
  <c r="BX32" i="10"/>
  <c r="BW152" i="10"/>
  <c r="BS90" i="10"/>
  <c r="BT38" i="10"/>
  <c r="BT77" i="11"/>
  <c r="BS82" i="11"/>
  <c r="BI78" i="11"/>
  <c r="R74" i="11"/>
  <c r="AS8" i="12"/>
  <c r="AN8" i="12"/>
  <c r="AO8" i="12" s="1"/>
  <c r="AP8" i="12" s="1"/>
  <c r="BL125" i="12"/>
  <c r="BR29" i="12"/>
  <c r="BR63" i="11"/>
  <c r="F29" i="13"/>
  <c r="F27" i="13"/>
  <c r="F49" i="13"/>
  <c r="BH54" i="9"/>
  <c r="BH47" i="9"/>
  <c r="BH75" i="10" s="1"/>
  <c r="Y91" i="10"/>
  <c r="BS80" i="9"/>
  <c r="BS39" i="13"/>
  <c r="BR78" i="9"/>
  <c r="BR81" i="9"/>
  <c r="L85" i="11" l="1"/>
  <c r="X140" i="12"/>
  <c r="AD147" i="12"/>
  <c r="W155" i="12"/>
  <c r="AD142" i="12"/>
  <c r="BO169" i="10"/>
  <c r="BO46" i="10"/>
  <c r="CA27" i="10"/>
  <c r="CC27" i="10"/>
  <c r="CD27" i="10" s="1"/>
  <c r="CE27" i="10" s="1"/>
  <c r="CF27" i="10" s="1"/>
  <c r="BT12" i="10"/>
  <c r="AK70" i="11"/>
  <c r="AB84" i="40"/>
  <c r="AB92" i="40" s="1"/>
  <c r="AQ97" i="11"/>
  <c r="AK27" i="11"/>
  <c r="AQ28" i="11" s="1"/>
  <c r="AQ27" i="11"/>
  <c r="AW28" i="11" s="1"/>
  <c r="AK28" i="11"/>
  <c r="Y78" i="10"/>
  <c r="Y57" i="9"/>
  <c r="Y56" i="9"/>
  <c r="BA54" i="9"/>
  <c r="BA58" i="9" s="1"/>
  <c r="BT171" i="10"/>
  <c r="BW30" i="10"/>
  <c r="BU30" i="10"/>
  <c r="BU171" i="10" s="1"/>
  <c r="BY31" i="10"/>
  <c r="BX170" i="10"/>
  <c r="AK138" i="10"/>
  <c r="AK139" i="10" s="1"/>
  <c r="AK140" i="10" s="1"/>
  <c r="AK141" i="10" s="1"/>
  <c r="AK135" i="10" s="1"/>
  <c r="AK163" i="10"/>
  <c r="AK164" i="10" s="1"/>
  <c r="AK165" i="10" s="1"/>
  <c r="AQ138" i="10"/>
  <c r="AQ139" i="10" s="1"/>
  <c r="AQ140" i="10" s="1"/>
  <c r="AQ141" i="10" s="1"/>
  <c r="AQ135" i="10" s="1"/>
  <c r="AQ163" i="10"/>
  <c r="AQ164" i="10" s="1"/>
  <c r="AQ165" i="10" s="1"/>
  <c r="BC138" i="10"/>
  <c r="BC139" i="10" s="1"/>
  <c r="BC140" i="10" s="1"/>
  <c r="BC141" i="10" s="1"/>
  <c r="BC135" i="10" s="1"/>
  <c r="BC163" i="10"/>
  <c r="BC164" i="10" s="1"/>
  <c r="BC165" i="10" s="1"/>
  <c r="I166" i="10"/>
  <c r="I185" i="10"/>
  <c r="I186" i="10"/>
  <c r="I53" i="10" s="1"/>
  <c r="L166" i="10"/>
  <c r="L185" i="10"/>
  <c r="L186" i="10"/>
  <c r="L53" i="10" s="1"/>
  <c r="BA166" i="10"/>
  <c r="BA186" i="10"/>
  <c r="BA53" i="10" s="1"/>
  <c r="BA185" i="10"/>
  <c r="BG166" i="10"/>
  <c r="BG185" i="10"/>
  <c r="BG186" i="10"/>
  <c r="BG53" i="10" s="1"/>
  <c r="AN166" i="10"/>
  <c r="AN186" i="10"/>
  <c r="AN53" i="10" s="1"/>
  <c r="AN185" i="10"/>
  <c r="AY166" i="10"/>
  <c r="AY185" i="10"/>
  <c r="AY186" i="10"/>
  <c r="AY53" i="10" s="1"/>
  <c r="AS166" i="10"/>
  <c r="AS186" i="10"/>
  <c r="AS53" i="10" s="1"/>
  <c r="AS185" i="10"/>
  <c r="AU166" i="10"/>
  <c r="AU185" i="10"/>
  <c r="AU186" i="10"/>
  <c r="AU53" i="10" s="1"/>
  <c r="BI166" i="10"/>
  <c r="BI186" i="10"/>
  <c r="BI53" i="10" s="1"/>
  <c r="BI185" i="10"/>
  <c r="AV138" i="10"/>
  <c r="AV139" i="10" s="1"/>
  <c r="AV140" i="10" s="1"/>
  <c r="AV141" i="10" s="1"/>
  <c r="AV135" i="10" s="1"/>
  <c r="AV163" i="10"/>
  <c r="AV164" i="10" s="1"/>
  <c r="AV165" i="10" s="1"/>
  <c r="AW51" i="10"/>
  <c r="AW52" i="10"/>
  <c r="G166" i="10"/>
  <c r="G185" i="10"/>
  <c r="G186" i="10"/>
  <c r="G53" i="10" s="1"/>
  <c r="BY35" i="10"/>
  <c r="BX175" i="10"/>
  <c r="W154" i="12"/>
  <c r="W144" i="12" s="1"/>
  <c r="AH89" i="40"/>
  <c r="AI84" i="40" s="1"/>
  <c r="BO37" i="13"/>
  <c r="BY129" i="12"/>
  <c r="BX10" i="11"/>
  <c r="BM77" i="11"/>
  <c r="S59" i="11"/>
  <c r="BY23" i="11"/>
  <c r="AW82" i="11"/>
  <c r="BA76" i="10"/>
  <c r="BY67" i="11"/>
  <c r="BT67" i="11"/>
  <c r="DQ10" i="11"/>
  <c r="AW106" i="13"/>
  <c r="BC104" i="13"/>
  <c r="L31" i="13"/>
  <c r="L52" i="10" s="1"/>
  <c r="S70" i="11"/>
  <c r="AO59" i="9"/>
  <c r="BH59" i="9"/>
  <c r="CM73" i="9"/>
  <c r="CG10" i="40"/>
  <c r="AY6" i="11"/>
  <c r="AT6" i="11"/>
  <c r="AU6" i="11" s="1"/>
  <c r="AV6" i="11" s="1"/>
  <c r="BZ128" i="12"/>
  <c r="CD84" i="11"/>
  <c r="CK15" i="12"/>
  <c r="CK134" i="12" s="1"/>
  <c r="CE81" i="11"/>
  <c r="CF84" i="11"/>
  <c r="CK83" i="11"/>
  <c r="CA46" i="12"/>
  <c r="CA47" i="12" s="1"/>
  <c r="CA48" i="12" s="1"/>
  <c r="CE46" i="12"/>
  <c r="BZ61" i="12"/>
  <c r="CK84" i="11"/>
  <c r="CJ81" i="11"/>
  <c r="CF83" i="11"/>
  <c r="L54" i="13"/>
  <c r="R85" i="11"/>
  <c r="M164" i="10"/>
  <c r="M165" i="10" s="1"/>
  <c r="CK128" i="12"/>
  <c r="CK61" i="12"/>
  <c r="CK10" i="11"/>
  <c r="AW73" i="11"/>
  <c r="CE10" i="11"/>
  <c r="CE134" i="12"/>
  <c r="CE128" i="12"/>
  <c r="CE61" i="12"/>
  <c r="CF15" i="12"/>
  <c r="CL69" i="11"/>
  <c r="CL67" i="12"/>
  <c r="CK66" i="11"/>
  <c r="CK64" i="12"/>
  <c r="CE70" i="12"/>
  <c r="CE14" i="12"/>
  <c r="CJ14" i="12"/>
  <c r="CF12" i="12"/>
  <c r="CL68" i="11"/>
  <c r="CL58" i="12"/>
  <c r="CL12" i="12" s="1"/>
  <c r="BZ70" i="12"/>
  <c r="BZ71" i="12" s="1"/>
  <c r="BZ72" i="12" s="1"/>
  <c r="CF66" i="11"/>
  <c r="CF64" i="12"/>
  <c r="CD15" i="12"/>
  <c r="CJ69" i="11"/>
  <c r="CJ67" i="12"/>
  <c r="CD70" i="12"/>
  <c r="Y97" i="11"/>
  <c r="S27" i="11"/>
  <c r="Y28" i="11" s="1"/>
  <c r="S41" i="11"/>
  <c r="Y54" i="11" s="1"/>
  <c r="Y27" i="11"/>
  <c r="AE28" i="11" s="1"/>
  <c r="R97" i="11"/>
  <c r="BX73" i="12"/>
  <c r="BX13" i="12"/>
  <c r="BX86" i="12" s="1"/>
  <c r="BZ62" i="11"/>
  <c r="BR26" i="10"/>
  <c r="BZ26" i="12"/>
  <c r="BT124" i="12"/>
  <c r="BY86" i="12"/>
  <c r="M53" i="13"/>
  <c r="L58" i="10"/>
  <c r="M49" i="13"/>
  <c r="M29" i="13"/>
  <c r="L56" i="10"/>
  <c r="BF8" i="10"/>
  <c r="BG8" i="10" s="1"/>
  <c r="BH8" i="10" s="1"/>
  <c r="BK8" i="10"/>
  <c r="M57" i="10"/>
  <c r="S64" i="13"/>
  <c r="S91" i="11"/>
  <c r="Y96" i="11" s="1"/>
  <c r="M81" i="40"/>
  <c r="AE27" i="13"/>
  <c r="AE51" i="13" s="1"/>
  <c r="AE91" i="11"/>
  <c r="AE96" i="11" s="1"/>
  <c r="BE7" i="13"/>
  <c r="AY7" i="40"/>
  <c r="AN8" i="40"/>
  <c r="AO8" i="13"/>
  <c r="AY8" i="13"/>
  <c r="AT8" i="13"/>
  <c r="AS8" i="40"/>
  <c r="AJ8" i="13"/>
  <c r="AJ8" i="40" s="1"/>
  <c r="AI8" i="40"/>
  <c r="M27" i="13"/>
  <c r="S53" i="13"/>
  <c r="M137" i="10"/>
  <c r="M139" i="10" s="1"/>
  <c r="M140" i="10" s="1"/>
  <c r="M141" i="10" s="1"/>
  <c r="M135" i="10" s="1"/>
  <c r="S88" i="13"/>
  <c r="M64" i="13"/>
  <c r="M91" i="11"/>
  <c r="M96" i="11" s="1"/>
  <c r="M88" i="13"/>
  <c r="M70" i="11"/>
  <c r="BI10" i="9"/>
  <c r="AS47" i="9"/>
  <c r="AQ10" i="9"/>
  <c r="Q84" i="40"/>
  <c r="Q89" i="40" s="1"/>
  <c r="R84" i="40" s="1"/>
  <c r="R89" i="40" s="1"/>
  <c r="R90" i="40" s="1"/>
  <c r="R91" i="40" s="1"/>
  <c r="P90" i="40"/>
  <c r="P91" i="40" s="1"/>
  <c r="BF58" i="9"/>
  <c r="BF59" i="9"/>
  <c r="AT58" i="9"/>
  <c r="AT59" i="9"/>
  <c r="BE58" i="9"/>
  <c r="BE59" i="9"/>
  <c r="AP58" i="9"/>
  <c r="AP59" i="9"/>
  <c r="BL8" i="9"/>
  <c r="BM8" i="9" s="1"/>
  <c r="BN8" i="9" s="1"/>
  <c r="BQ8" i="9"/>
  <c r="BT68" i="9"/>
  <c r="BU68" i="9" s="1"/>
  <c r="BU69" i="9" s="1"/>
  <c r="BS69" i="9"/>
  <c r="V89" i="40"/>
  <c r="V90" i="40" s="1"/>
  <c r="V92" i="40" s="1"/>
  <c r="AS76" i="10"/>
  <c r="BY11" i="13"/>
  <c r="AE137" i="10"/>
  <c r="AK64" i="13"/>
  <c r="AE88" i="13"/>
  <c r="AK88" i="13"/>
  <c r="AE49" i="13"/>
  <c r="BY85" i="12"/>
  <c r="AK53" i="13"/>
  <c r="AE53" i="13"/>
  <c r="BS85" i="12"/>
  <c r="BG75" i="11"/>
  <c r="BM21" i="12"/>
  <c r="BG122" i="12"/>
  <c r="BG78" i="12"/>
  <c r="BM60" i="11"/>
  <c r="AE29" i="13"/>
  <c r="AE64" i="13"/>
  <c r="AK123" i="10"/>
  <c r="AK126" i="10" s="1"/>
  <c r="AM123" i="10" s="1"/>
  <c r="AM125" i="10" s="1"/>
  <c r="AQ125" i="10" s="1"/>
  <c r="Y115" i="10"/>
  <c r="Y118" i="10" s="1"/>
  <c r="U115" i="10"/>
  <c r="M57" i="9"/>
  <c r="M56" i="9"/>
  <c r="S57" i="9"/>
  <c r="M78" i="10"/>
  <c r="S48" i="9"/>
  <c r="S49" i="9" s="1"/>
  <c r="O48" i="9"/>
  <c r="O49" i="9" s="1"/>
  <c r="M50" i="9"/>
  <c r="BT73" i="12"/>
  <c r="BS11" i="13"/>
  <c r="BS129" i="12"/>
  <c r="BY73" i="12"/>
  <c r="C31" i="13"/>
  <c r="C54" i="13"/>
  <c r="BN85" i="12"/>
  <c r="C51" i="13"/>
  <c r="M41" i="11"/>
  <c r="M97" i="11"/>
  <c r="M27" i="11"/>
  <c r="S28" i="11" s="1"/>
  <c r="BN11" i="13"/>
  <c r="BN129" i="12"/>
  <c r="AI80" i="11"/>
  <c r="AO55" i="12"/>
  <c r="AO53" i="12"/>
  <c r="AO54" i="12" s="1"/>
  <c r="AI50" i="11"/>
  <c r="BN60" i="11"/>
  <c r="BN21" i="12"/>
  <c r="BH122" i="12"/>
  <c r="BH78" i="12"/>
  <c r="AU52" i="12"/>
  <c r="BA49" i="12"/>
  <c r="AC80" i="11"/>
  <c r="BH75" i="11"/>
  <c r="E81" i="13"/>
  <c r="E82" i="13" s="1"/>
  <c r="E68" i="13"/>
  <c r="E75" i="13" s="1"/>
  <c r="E34" i="13" s="1"/>
  <c r="E55" i="13"/>
  <c r="E33" i="13"/>
  <c r="E35" i="13"/>
  <c r="CA46" i="11"/>
  <c r="R96" i="11"/>
  <c r="AN37" i="11"/>
  <c r="AN50" i="11" s="1"/>
  <c r="AN65" i="11"/>
  <c r="I31" i="13"/>
  <c r="I54" i="13"/>
  <c r="X59" i="11"/>
  <c r="I85" i="11"/>
  <c r="U97" i="11"/>
  <c r="O97" i="11"/>
  <c r="I51" i="13"/>
  <c r="I58" i="10"/>
  <c r="I56" i="10"/>
  <c r="AT55" i="12"/>
  <c r="AT53" i="12"/>
  <c r="AT54" i="12" s="1"/>
  <c r="U85" i="11"/>
  <c r="O85" i="11"/>
  <c r="U96" i="11"/>
  <c r="O96" i="11"/>
  <c r="AZ52" i="12"/>
  <c r="BF49" i="12"/>
  <c r="AH80" i="11"/>
  <c r="K81" i="13"/>
  <c r="K82" i="13" s="1"/>
  <c r="K35" i="13"/>
  <c r="K55" i="13"/>
  <c r="K51" i="10"/>
  <c r="K68" i="13"/>
  <c r="K75" i="13" s="1"/>
  <c r="K34" i="13" s="1"/>
  <c r="K52" i="10"/>
  <c r="K33" i="13"/>
  <c r="Y43" i="12"/>
  <c r="AS54" i="9"/>
  <c r="AI10" i="9"/>
  <c r="AI25" i="9" s="1"/>
  <c r="AH25" i="9"/>
  <c r="AO75" i="10"/>
  <c r="G81" i="13"/>
  <c r="G82" i="13" s="1"/>
  <c r="G68" i="13"/>
  <c r="G75" i="13" s="1"/>
  <c r="G55" i="13"/>
  <c r="G35" i="13"/>
  <c r="G33" i="13"/>
  <c r="AS90" i="40"/>
  <c r="AT84" i="40"/>
  <c r="BG54" i="9"/>
  <c r="BG76" i="10"/>
  <c r="BG47" i="9"/>
  <c r="BX74" i="13"/>
  <c r="BW73" i="13"/>
  <c r="BW32" i="13" s="1"/>
  <c r="AO58" i="9"/>
  <c r="AO77" i="10"/>
  <c r="AO55" i="9"/>
  <c r="BU73" i="13"/>
  <c r="BU32" i="13" s="1"/>
  <c r="AN47" i="9"/>
  <c r="AN54" i="9"/>
  <c r="AN76" i="10"/>
  <c r="Y79" i="12"/>
  <c r="Y123" i="12"/>
  <c r="Y36" i="12"/>
  <c r="Y37" i="12" s="1"/>
  <c r="Y80" i="12"/>
  <c r="Y38" i="12"/>
  <c r="Y41" i="12"/>
  <c r="Y42" i="12" s="1"/>
  <c r="S61" i="11"/>
  <c r="AZ64" i="11"/>
  <c r="AT126" i="12"/>
  <c r="AZ32" i="12"/>
  <c r="AT35" i="12"/>
  <c r="AT81" i="12" s="1"/>
  <c r="AT79" i="11"/>
  <c r="Q74" i="11"/>
  <c r="BC73" i="11"/>
  <c r="AS80" i="12"/>
  <c r="AS123" i="12"/>
  <c r="AS36" i="12"/>
  <c r="AS37" i="12" s="1"/>
  <c r="AS79" i="12"/>
  <c r="AS38" i="12"/>
  <c r="AS41" i="12"/>
  <c r="AY35" i="12"/>
  <c r="AY81" i="12" s="1"/>
  <c r="BE32" i="12"/>
  <c r="AY126" i="12"/>
  <c r="BZ81" i="11"/>
  <c r="AO79" i="11"/>
  <c r="AU64" i="11"/>
  <c r="AU32" i="12"/>
  <c r="AO126" i="12"/>
  <c r="AO35" i="12"/>
  <c r="AO81" i="12" s="1"/>
  <c r="BS29" i="12"/>
  <c r="BM125" i="12"/>
  <c r="BS63" i="11"/>
  <c r="X61" i="11"/>
  <c r="AK64" i="11"/>
  <c r="AE33" i="12"/>
  <c r="AE35" i="12"/>
  <c r="AE126" i="12"/>
  <c r="AD79" i="12"/>
  <c r="AD36" i="12"/>
  <c r="AD37" i="12" s="1"/>
  <c r="AD80" i="12"/>
  <c r="AD41" i="12"/>
  <c r="AD42" i="12" s="1"/>
  <c r="AD43" i="12" s="1"/>
  <c r="AD38" i="12"/>
  <c r="AD123" i="12"/>
  <c r="AM42" i="12"/>
  <c r="AM43" i="12" s="1"/>
  <c r="AA74" i="11"/>
  <c r="R76" i="11"/>
  <c r="Y81" i="12"/>
  <c r="AE79" i="11"/>
  <c r="AN80" i="12"/>
  <c r="AN36" i="12"/>
  <c r="AN37" i="12" s="1"/>
  <c r="AN123" i="12"/>
  <c r="AN79" i="12"/>
  <c r="AN38" i="12"/>
  <c r="AN41" i="12"/>
  <c r="AG76" i="11"/>
  <c r="AS81" i="12"/>
  <c r="AY79" i="11"/>
  <c r="M76" i="11"/>
  <c r="BZ14" i="12"/>
  <c r="BZ13" i="12" s="1"/>
  <c r="AB76" i="11"/>
  <c r="AI79" i="12"/>
  <c r="AI41" i="12"/>
  <c r="AI38" i="12"/>
  <c r="AI123" i="12"/>
  <c r="AI36" i="12"/>
  <c r="AI37" i="12" s="1"/>
  <c r="AI80" i="12"/>
  <c r="BM78" i="11"/>
  <c r="V74" i="11"/>
  <c r="AJ79" i="11"/>
  <c r="AP64" i="11"/>
  <c r="AJ35" i="12"/>
  <c r="AP32" i="12"/>
  <c r="AJ126" i="12"/>
  <c r="AK32" i="12"/>
  <c r="AH42" i="12"/>
  <c r="AH43" i="12" s="1"/>
  <c r="AH61" i="11"/>
  <c r="W76" i="11"/>
  <c r="W59" i="11"/>
  <c r="AM61" i="11"/>
  <c r="AB59" i="11"/>
  <c r="AC42" i="12"/>
  <c r="AC43" i="12" s="1"/>
  <c r="AC61" i="11"/>
  <c r="BR62" i="11"/>
  <c r="BR26" i="12"/>
  <c r="BL124" i="12"/>
  <c r="BL77" i="11"/>
  <c r="BH77" i="10"/>
  <c r="BH58" i="9"/>
  <c r="BC10" i="9"/>
  <c r="BY26" i="12"/>
  <c r="BY62" i="11"/>
  <c r="BS124" i="12"/>
  <c r="BT125" i="12"/>
  <c r="BZ63" i="11"/>
  <c r="BZ29" i="12"/>
  <c r="BS77" i="11"/>
  <c r="BT78" i="11"/>
  <c r="BT28" i="40"/>
  <c r="AG67" i="40"/>
  <c r="AG57" i="40"/>
  <c r="AG60" i="40" s="1"/>
  <c r="AH61" i="40"/>
  <c r="AD59" i="40"/>
  <c r="AE59" i="40" s="1"/>
  <c r="AJ57" i="40"/>
  <c r="AJ62" i="40"/>
  <c r="AJ58" i="40" s="1"/>
  <c r="AK58" i="40" s="1"/>
  <c r="AJ67" i="40"/>
  <c r="AJ79" i="40" s="1"/>
  <c r="BW45" i="40"/>
  <c r="BX24" i="40"/>
  <c r="BW23" i="10"/>
  <c r="AA57" i="40"/>
  <c r="AA67" i="40"/>
  <c r="AA62" i="40"/>
  <c r="AA58" i="40" s="1"/>
  <c r="AB61" i="40"/>
  <c r="AD56" i="10"/>
  <c r="AD57" i="10"/>
  <c r="AW61" i="40"/>
  <c r="AP61" i="40"/>
  <c r="AQ62" i="40"/>
  <c r="AQ58" i="40" s="1"/>
  <c r="AQ57" i="40"/>
  <c r="BU23" i="10"/>
  <c r="CA63" i="40"/>
  <c r="CG63" i="40" s="1"/>
  <c r="CM63" i="40" s="1"/>
  <c r="CA7" i="13"/>
  <c r="BU7" i="40"/>
  <c r="BF55" i="9"/>
  <c r="BF77" i="10"/>
  <c r="AV65" i="13"/>
  <c r="BB65" i="13"/>
  <c r="AU25" i="9"/>
  <c r="AM54" i="9"/>
  <c r="AM76" i="10"/>
  <c r="AM47" i="9"/>
  <c r="AW35" i="13"/>
  <c r="AW55" i="13"/>
  <c r="AW33" i="13"/>
  <c r="AW88" i="10" s="1"/>
  <c r="AW91" i="10" s="1"/>
  <c r="AW68" i="13"/>
  <c r="AW75" i="13" s="1"/>
  <c r="AW34" i="13" s="1"/>
  <c r="AW81" i="13"/>
  <c r="AW82" i="13" s="1"/>
  <c r="AW77" i="13"/>
  <c r="AP55" i="9"/>
  <c r="AP77" i="10"/>
  <c r="AY76" i="10"/>
  <c r="AY47" i="9"/>
  <c r="AY54" i="9"/>
  <c r="AQ65" i="13"/>
  <c r="AN89" i="40"/>
  <c r="AN92" i="40"/>
  <c r="BF75" i="10"/>
  <c r="BB56" i="9"/>
  <c r="BB78" i="10"/>
  <c r="AT55" i="9"/>
  <c r="AT77" i="10"/>
  <c r="AT75" i="10"/>
  <c r="BE55" i="9"/>
  <c r="BE77" i="10"/>
  <c r="BE75" i="10"/>
  <c r="AV10" i="9"/>
  <c r="AV25" i="9" s="1"/>
  <c r="AV88" i="10"/>
  <c r="AV91" i="10" s="1"/>
  <c r="AV85" i="40"/>
  <c r="AK88" i="10"/>
  <c r="AK91" i="10" s="1"/>
  <c r="AP75" i="10"/>
  <c r="AQ88" i="10"/>
  <c r="AQ91" i="10" s="1"/>
  <c r="BC88" i="10"/>
  <c r="BC91" i="10" s="1"/>
  <c r="AZ54" i="9"/>
  <c r="AZ47" i="9"/>
  <c r="AZ76" i="10"/>
  <c r="BA75" i="10"/>
  <c r="BW138" i="12"/>
  <c r="BR138" i="12"/>
  <c r="BS138" i="12" s="1"/>
  <c r="BT138" i="12" s="1"/>
  <c r="AQ96" i="11"/>
  <c r="AQ75" i="11"/>
  <c r="X147" i="12"/>
  <c r="AD53" i="12"/>
  <c r="AD54" i="12" s="1"/>
  <c r="AD55" i="12"/>
  <c r="AE52" i="12"/>
  <c r="BL21" i="12"/>
  <c r="BF122" i="12"/>
  <c r="BF78" i="12"/>
  <c r="BL60" i="11"/>
  <c r="BF75" i="11"/>
  <c r="BT23" i="11"/>
  <c r="DQ24" i="11" s="1"/>
  <c r="V152" i="12"/>
  <c r="V153" i="12"/>
  <c r="W143" i="12"/>
  <c r="BC22" i="12"/>
  <c r="BC23" i="12" s="1"/>
  <c r="BC122" i="12"/>
  <c r="BC78" i="12"/>
  <c r="BE75" i="11"/>
  <c r="AW32" i="11"/>
  <c r="AW45" i="11" s="1"/>
  <c r="AW60" i="11"/>
  <c r="X37" i="11"/>
  <c r="X50" i="11" s="1"/>
  <c r="X65" i="11"/>
  <c r="Y54" i="12"/>
  <c r="AM53" i="12"/>
  <c r="AM54" i="12" s="1"/>
  <c r="AM55" i="12"/>
  <c r="AY49" i="12"/>
  <c r="AS52" i="12"/>
  <c r="AG37" i="11"/>
  <c r="AG50" i="11" s="1"/>
  <c r="AG65" i="11"/>
  <c r="BN82" i="11"/>
  <c r="AB88" i="10"/>
  <c r="AB91" i="10" s="1"/>
  <c r="AB85" i="40"/>
  <c r="AC142" i="12"/>
  <c r="AA153" i="12"/>
  <c r="AB143" i="12"/>
  <c r="AA80" i="11"/>
  <c r="BZ134" i="12"/>
  <c r="BZ10" i="11"/>
  <c r="AB140" i="12"/>
  <c r="AA150" i="12"/>
  <c r="AC147" i="12"/>
  <c r="AD157" i="12"/>
  <c r="V150" i="12"/>
  <c r="W140" i="12"/>
  <c r="W141" i="12"/>
  <c r="V151" i="12"/>
  <c r="P65" i="13"/>
  <c r="J65" i="13"/>
  <c r="J85" i="40"/>
  <c r="J88" i="10"/>
  <c r="J91" i="10" s="1"/>
  <c r="AQ54" i="11"/>
  <c r="AK54" i="11"/>
  <c r="AJ52" i="12"/>
  <c r="AP49" i="12"/>
  <c r="AK49" i="12"/>
  <c r="AQ51" i="12"/>
  <c r="AQ50" i="12" s="1"/>
  <c r="AA151" i="12"/>
  <c r="AB141" i="12"/>
  <c r="AA152" i="12"/>
  <c r="V156" i="12"/>
  <c r="W146" i="12"/>
  <c r="V155" i="12"/>
  <c r="W145" i="12"/>
  <c r="AA156" i="12"/>
  <c r="AB146" i="12"/>
  <c r="BT129" i="12"/>
  <c r="BT11" i="13"/>
  <c r="BT85" i="12"/>
  <c r="BT86" i="12"/>
  <c r="AA154" i="12"/>
  <c r="AB144" i="12"/>
  <c r="X142" i="12"/>
  <c r="AB145" i="12"/>
  <c r="AA155" i="12"/>
  <c r="AK85" i="11"/>
  <c r="V154" i="12"/>
  <c r="AH65" i="13"/>
  <c r="AB65" i="13"/>
  <c r="M112" i="10"/>
  <c r="O103" i="10"/>
  <c r="S103" i="10"/>
  <c r="O96" i="10"/>
  <c r="M111" i="10"/>
  <c r="S96" i="10"/>
  <c r="S105" i="10" s="1"/>
  <c r="M109" i="10"/>
  <c r="V71" i="9"/>
  <c r="V67" i="9"/>
  <c r="W63" i="9" s="1"/>
  <c r="V72" i="9"/>
  <c r="R67" i="9"/>
  <c r="R72" i="9"/>
  <c r="R71" i="9"/>
  <c r="AE63" i="9"/>
  <c r="AA63" i="9"/>
  <c r="BH66" i="40"/>
  <c r="BS13" i="40"/>
  <c r="BX11" i="40"/>
  <c r="BS17" i="40"/>
  <c r="BR23" i="40"/>
  <c r="BR47" i="40" s="1"/>
  <c r="BQ25" i="40"/>
  <c r="BQ46" i="40" s="1"/>
  <c r="BQ29" i="10"/>
  <c r="BO26" i="40"/>
  <c r="BX21" i="40"/>
  <c r="BS146" i="10"/>
  <c r="BT20" i="10"/>
  <c r="BX152" i="10"/>
  <c r="BY32" i="10"/>
  <c r="BU38" i="10"/>
  <c r="BU90" i="10" s="1"/>
  <c r="BT90" i="10"/>
  <c r="BW38" i="10"/>
  <c r="BK25" i="11"/>
  <c r="DJ26" i="11" s="1"/>
  <c r="BE10" i="11"/>
  <c r="BE8" i="11"/>
  <c r="BE17" i="11"/>
  <c r="BE7" i="11"/>
  <c r="BE25" i="11"/>
  <c r="DF26" i="11" s="1"/>
  <c r="DF12" i="11"/>
  <c r="BE18" i="12"/>
  <c r="BI12" i="11"/>
  <c r="BE9" i="11"/>
  <c r="F51" i="13"/>
  <c r="F54" i="13"/>
  <c r="F31" i="13"/>
  <c r="BR78" i="11"/>
  <c r="AY8" i="12"/>
  <c r="AT8" i="12"/>
  <c r="AU8" i="12" s="1"/>
  <c r="AV8" i="12" s="1"/>
  <c r="BX29" i="12"/>
  <c r="BR125" i="12"/>
  <c r="BX63" i="11"/>
  <c r="BH55" i="9"/>
  <c r="BS81" i="9"/>
  <c r="BS78" i="9"/>
  <c r="BT39" i="13"/>
  <c r="BU60" i="9"/>
  <c r="BT80" i="9"/>
  <c r="BO36" i="13"/>
  <c r="BQ37" i="13"/>
  <c r="AQ85" i="11" l="1"/>
  <c r="AE43" i="12"/>
  <c r="BN46" i="13"/>
  <c r="BT46" i="13" s="1"/>
  <c r="BZ46" i="13" s="1"/>
  <c r="CF46" i="13" s="1"/>
  <c r="CL46" i="13" s="1"/>
  <c r="BN81" i="10"/>
  <c r="BT81" i="10" s="1"/>
  <c r="BZ81" i="10" s="1"/>
  <c r="CF81" i="10" s="1"/>
  <c r="CL81" i="10" s="1"/>
  <c r="BQ169" i="10"/>
  <c r="CI27" i="10"/>
  <c r="CJ27" i="10" s="1"/>
  <c r="CK27" i="10" s="1"/>
  <c r="CL27" i="10" s="1"/>
  <c r="CM27" i="10" s="1"/>
  <c r="CG27" i="10"/>
  <c r="BW12" i="10"/>
  <c r="BX12" i="10" s="1"/>
  <c r="BY12" i="10" s="1"/>
  <c r="BZ12" i="10" s="1"/>
  <c r="BU12" i="10"/>
  <c r="S74" i="11"/>
  <c r="AK97" i="11"/>
  <c r="BA55" i="9"/>
  <c r="BA56" i="9" s="1"/>
  <c r="BN59" i="13"/>
  <c r="AB89" i="40"/>
  <c r="AC84" i="40" s="1"/>
  <c r="AQ149" i="10"/>
  <c r="BC25" i="9"/>
  <c r="BI25" i="9"/>
  <c r="BI76" i="10" s="1"/>
  <c r="AQ25" i="9"/>
  <c r="BA59" i="9"/>
  <c r="BA77" i="10"/>
  <c r="BI149" i="10"/>
  <c r="AH90" i="40"/>
  <c r="BZ31" i="10"/>
  <c r="BY170" i="10"/>
  <c r="BX30" i="10"/>
  <c r="BW171" i="10"/>
  <c r="M166" i="10"/>
  <c r="M186" i="10"/>
  <c r="M53" i="10" s="1"/>
  <c r="M185" i="10"/>
  <c r="BC166" i="10"/>
  <c r="BC186" i="10"/>
  <c r="BC53" i="10" s="1"/>
  <c r="BC185" i="10"/>
  <c r="AQ166" i="10"/>
  <c r="AQ185" i="10"/>
  <c r="AQ186" i="10"/>
  <c r="AQ53" i="10" s="1"/>
  <c r="AK166" i="10"/>
  <c r="AK185" i="10"/>
  <c r="AK186" i="10"/>
  <c r="AK53" i="10" s="1"/>
  <c r="AW138" i="10"/>
  <c r="AW139" i="10" s="1"/>
  <c r="AW140" i="10" s="1"/>
  <c r="AW141" i="10" s="1"/>
  <c r="AW135" i="10" s="1"/>
  <c r="AW163" i="10"/>
  <c r="AW164" i="10" s="1"/>
  <c r="AW165" i="10" s="1"/>
  <c r="AV166" i="10"/>
  <c r="AV186" i="10"/>
  <c r="AV53" i="10" s="1"/>
  <c r="AV185" i="10"/>
  <c r="BZ35" i="10"/>
  <c r="BY175" i="10"/>
  <c r="BY82" i="11"/>
  <c r="BX23" i="11"/>
  <c r="BX67" i="11"/>
  <c r="BX82" i="11" s="1"/>
  <c r="L35" i="13"/>
  <c r="R65" i="13" s="1"/>
  <c r="L33" i="13"/>
  <c r="L58" i="9" s="1"/>
  <c r="L81" i="13"/>
  <c r="L82" i="13" s="1"/>
  <c r="BT82" i="11"/>
  <c r="L68" i="13"/>
  <c r="L75" i="13" s="1"/>
  <c r="L34" i="13" s="1"/>
  <c r="L51" i="10"/>
  <c r="L55" i="13"/>
  <c r="M31" i="13"/>
  <c r="M35" i="13" s="1"/>
  <c r="Y85" i="11"/>
  <c r="AN59" i="9"/>
  <c r="AS77" i="10"/>
  <c r="BG59" i="9"/>
  <c r="CI10" i="40"/>
  <c r="CG31" i="40"/>
  <c r="AZ6" i="11"/>
  <c r="BA6" i="11" s="1"/>
  <c r="BB6" i="11" s="1"/>
  <c r="BE6" i="11"/>
  <c r="BX138" i="12"/>
  <c r="BY138" i="12" s="1"/>
  <c r="BZ138" i="12" s="1"/>
  <c r="CC138" i="12"/>
  <c r="CJ84" i="11"/>
  <c r="CL15" i="12"/>
  <c r="CL10" i="11" s="1"/>
  <c r="CK46" i="12"/>
  <c r="CM46" i="12" s="1"/>
  <c r="CG46" i="12"/>
  <c r="CG47" i="12" s="1"/>
  <c r="BZ77" i="11"/>
  <c r="CJ15" i="12"/>
  <c r="CJ134" i="12" s="1"/>
  <c r="CF81" i="11"/>
  <c r="CL83" i="11"/>
  <c r="CK81" i="11"/>
  <c r="CL84" i="11"/>
  <c r="CA7" i="40"/>
  <c r="CG7" i="13"/>
  <c r="CF63" i="11"/>
  <c r="CF29" i="12"/>
  <c r="CD71" i="12"/>
  <c r="CD72" i="12" s="1"/>
  <c r="CD73" i="12"/>
  <c r="CL66" i="11"/>
  <c r="CF70" i="12"/>
  <c r="CL64" i="12"/>
  <c r="CF14" i="12"/>
  <c r="CJ70" i="12"/>
  <c r="CK14" i="12"/>
  <c r="CK70" i="12"/>
  <c r="CK67" i="11"/>
  <c r="CL61" i="12"/>
  <c r="CL128" i="12"/>
  <c r="CE23" i="11"/>
  <c r="CE67" i="11"/>
  <c r="CK23" i="11"/>
  <c r="CD63" i="11"/>
  <c r="CD29" i="12"/>
  <c r="CE62" i="11"/>
  <c r="CE26" i="12"/>
  <c r="CF62" i="11"/>
  <c r="CF26" i="12"/>
  <c r="CE13" i="12"/>
  <c r="CE85" i="12" s="1"/>
  <c r="CD134" i="12"/>
  <c r="CD10" i="11"/>
  <c r="CF10" i="11"/>
  <c r="CF128" i="12"/>
  <c r="CF61" i="12"/>
  <c r="CF134" i="12"/>
  <c r="CE73" i="12"/>
  <c r="CE71" i="12"/>
  <c r="CE72" i="12" s="1"/>
  <c r="CD13" i="12"/>
  <c r="CD86" i="12" s="1"/>
  <c r="BZ124" i="12"/>
  <c r="BX11" i="13"/>
  <c r="BX129" i="12"/>
  <c r="BX85" i="12"/>
  <c r="S85" i="11"/>
  <c r="AK96" i="11"/>
  <c r="M54" i="13"/>
  <c r="M58" i="10"/>
  <c r="AE58" i="10"/>
  <c r="M56" i="10"/>
  <c r="W84" i="40"/>
  <c r="W89" i="40" s="1"/>
  <c r="X84" i="40" s="1"/>
  <c r="X89" i="40" s="1"/>
  <c r="X90" i="40" s="1"/>
  <c r="X92" i="40" s="1"/>
  <c r="AE31" i="13"/>
  <c r="BQ8" i="10"/>
  <c r="BL8" i="10"/>
  <c r="BM8" i="10" s="1"/>
  <c r="BN8" i="10" s="1"/>
  <c r="S96" i="11"/>
  <c r="AS75" i="10"/>
  <c r="BY59" i="13"/>
  <c r="AU8" i="13"/>
  <c r="AT8" i="40"/>
  <c r="AO8" i="40"/>
  <c r="AP8" i="13"/>
  <c r="AP8" i="40" s="1"/>
  <c r="BE8" i="13"/>
  <c r="AZ8" i="13"/>
  <c r="AY8" i="40"/>
  <c r="BK7" i="13"/>
  <c r="BE7" i="40"/>
  <c r="M51" i="13"/>
  <c r="M85" i="11"/>
  <c r="AE54" i="13"/>
  <c r="S90" i="40"/>
  <c r="S91" i="40" s="1"/>
  <c r="S97" i="11"/>
  <c r="BW8" i="9"/>
  <c r="BR8" i="9"/>
  <c r="BS8" i="9" s="1"/>
  <c r="BT8" i="9" s="1"/>
  <c r="AZ58" i="9"/>
  <c r="AZ59" i="9"/>
  <c r="AY58" i="9"/>
  <c r="AY59" i="9"/>
  <c r="AS58" i="9"/>
  <c r="AS59" i="9"/>
  <c r="AM58" i="9"/>
  <c r="AM59" i="9"/>
  <c r="BW68" i="9"/>
  <c r="BT69" i="9"/>
  <c r="AQ123" i="10"/>
  <c r="AQ126" i="10" s="1"/>
  <c r="AW123" i="10" s="1"/>
  <c r="AS55" i="9"/>
  <c r="AS56" i="9" s="1"/>
  <c r="BY26" i="10"/>
  <c r="X74" i="11"/>
  <c r="BZ73" i="12"/>
  <c r="BM75" i="11"/>
  <c r="BM122" i="12"/>
  <c r="BS21" i="12"/>
  <c r="BS60" i="11"/>
  <c r="O50" i="9"/>
  <c r="P48" i="9"/>
  <c r="P49" i="9" s="1"/>
  <c r="Y48" i="9"/>
  <c r="Y49" i="9" s="1"/>
  <c r="U48" i="9"/>
  <c r="U49" i="9" s="1"/>
  <c r="S50" i="9"/>
  <c r="U118" i="10"/>
  <c r="U119" i="10"/>
  <c r="Y119" i="10" s="1"/>
  <c r="Y120" i="10" s="1"/>
  <c r="BS26" i="10"/>
  <c r="BS59" i="13"/>
  <c r="C81" i="13"/>
  <c r="C82" i="13" s="1"/>
  <c r="C55" i="13"/>
  <c r="C35" i="13"/>
  <c r="C33" i="13"/>
  <c r="C68" i="13"/>
  <c r="C75" i="13" s="1"/>
  <c r="C34" i="13" s="1"/>
  <c r="Y59" i="11"/>
  <c r="Y74" i="11" s="1"/>
  <c r="AU53" i="12"/>
  <c r="AU54" i="12" s="1"/>
  <c r="AU55" i="12"/>
  <c r="BN122" i="12"/>
  <c r="BT21" i="12"/>
  <c r="BT60" i="11"/>
  <c r="BG49" i="12"/>
  <c r="BA52" i="12"/>
  <c r="AO37" i="11"/>
  <c r="AO50" i="11" s="1"/>
  <c r="AO65" i="11"/>
  <c r="AD59" i="11"/>
  <c r="BN75" i="11"/>
  <c r="AZ53" i="12"/>
  <c r="AZ54" i="12" s="1"/>
  <c r="AZ55" i="12"/>
  <c r="AT37" i="11"/>
  <c r="AT50" i="11" s="1"/>
  <c r="AT65" i="11"/>
  <c r="I35" i="13"/>
  <c r="I33" i="13"/>
  <c r="I52" i="10"/>
  <c r="I51" i="10"/>
  <c r="I81" i="13"/>
  <c r="I82" i="13" s="1"/>
  <c r="I68" i="13"/>
  <c r="I75" i="13" s="1"/>
  <c r="I34" i="13" s="1"/>
  <c r="I55" i="13"/>
  <c r="BL49" i="12"/>
  <c r="BF52" i="12"/>
  <c r="AN80" i="11"/>
  <c r="K58" i="9"/>
  <c r="K88" i="10"/>
  <c r="K91" i="10" s="1"/>
  <c r="K85" i="40"/>
  <c r="Q65" i="13"/>
  <c r="K65" i="13"/>
  <c r="AJ10" i="9"/>
  <c r="AJ25" i="9" s="1"/>
  <c r="AI76" i="10"/>
  <c r="AI54" i="9"/>
  <c r="AI59" i="9" s="1"/>
  <c r="AI47" i="9"/>
  <c r="AH76" i="10"/>
  <c r="AH47" i="9"/>
  <c r="AH54" i="9"/>
  <c r="AH59" i="9" s="1"/>
  <c r="AN58" i="9"/>
  <c r="AN77" i="10"/>
  <c r="AN55" i="9"/>
  <c r="AT57" i="9" s="1"/>
  <c r="BX73" i="13"/>
  <c r="BX32" i="13" s="1"/>
  <c r="BY74" i="13"/>
  <c r="G88" i="10"/>
  <c r="G91" i="10" s="1"/>
  <c r="G92" i="10" s="1"/>
  <c r="G34" i="13"/>
  <c r="AN75" i="10"/>
  <c r="AO56" i="9"/>
  <c r="AO78" i="10"/>
  <c r="BG75" i="10"/>
  <c r="BG58" i="9"/>
  <c r="BG55" i="9"/>
  <c r="BG57" i="9" s="1"/>
  <c r="BG77" i="10"/>
  <c r="AT92" i="40"/>
  <c r="AT89" i="40"/>
  <c r="AB74" i="11"/>
  <c r="AM76" i="11"/>
  <c r="AH76" i="11"/>
  <c r="AH59" i="11"/>
  <c r="AV32" i="12"/>
  <c r="AP35" i="12"/>
  <c r="AP126" i="12"/>
  <c r="AV64" i="11"/>
  <c r="AQ32" i="12"/>
  <c r="AP79" i="11"/>
  <c r="AI42" i="12"/>
  <c r="AI43" i="12" s="1"/>
  <c r="AN42" i="12"/>
  <c r="AN43" i="12" s="1"/>
  <c r="AM59" i="11"/>
  <c r="X76" i="11"/>
  <c r="BS78" i="11"/>
  <c r="BS125" i="12"/>
  <c r="BY29" i="12"/>
  <c r="BY63" i="11"/>
  <c r="AO41" i="12"/>
  <c r="AO123" i="12"/>
  <c r="AO36" i="12"/>
  <c r="AO37" i="12" s="1"/>
  <c r="AO38" i="12"/>
  <c r="AO79" i="12"/>
  <c r="AO80" i="12"/>
  <c r="AU79" i="11"/>
  <c r="BK32" i="12"/>
  <c r="BE126" i="12"/>
  <c r="BK64" i="11"/>
  <c r="AY80" i="12"/>
  <c r="AY36" i="12"/>
  <c r="AY37" i="12" s="1"/>
  <c r="AY123" i="12"/>
  <c r="AY79" i="12"/>
  <c r="AY41" i="12"/>
  <c r="AY42" i="12" s="1"/>
  <c r="AY43" i="12" s="1"/>
  <c r="AY59" i="11" s="1"/>
  <c r="AY38" i="12"/>
  <c r="AS42" i="12"/>
  <c r="AS43" i="12" s="1"/>
  <c r="AS61" i="11"/>
  <c r="AZ126" i="12"/>
  <c r="BF64" i="11"/>
  <c r="AZ35" i="12"/>
  <c r="BF32" i="12"/>
  <c r="AC76" i="11"/>
  <c r="AC59" i="11"/>
  <c r="W74" i="11"/>
  <c r="AK126" i="12"/>
  <c r="AK35" i="12"/>
  <c r="AK33" i="12"/>
  <c r="AQ64" i="11"/>
  <c r="AJ81" i="12"/>
  <c r="AJ36" i="12"/>
  <c r="AJ37" i="12" s="1"/>
  <c r="AJ80" i="12"/>
  <c r="AJ38" i="12"/>
  <c r="AJ79" i="12"/>
  <c r="AJ41" i="12"/>
  <c r="AJ42" i="12" s="1"/>
  <c r="AJ43" i="12" s="1"/>
  <c r="AJ123" i="12"/>
  <c r="AI61" i="11"/>
  <c r="AN61" i="11"/>
  <c r="AD61" i="11"/>
  <c r="AE81" i="12"/>
  <c r="AE123" i="12"/>
  <c r="AE80" i="12"/>
  <c r="AE36" i="12"/>
  <c r="AE37" i="12" s="1"/>
  <c r="AE79" i="12"/>
  <c r="AE41" i="12"/>
  <c r="AE42" i="12" s="1"/>
  <c r="AE38" i="12"/>
  <c r="AK79" i="11"/>
  <c r="AU126" i="12"/>
  <c r="BA64" i="11"/>
  <c r="BA32" i="12"/>
  <c r="AU35" i="12"/>
  <c r="AT36" i="12"/>
  <c r="AT37" i="12" s="1"/>
  <c r="AT41" i="12"/>
  <c r="AT38" i="12"/>
  <c r="AT79" i="12"/>
  <c r="AT123" i="12"/>
  <c r="AT80" i="12"/>
  <c r="AZ79" i="11"/>
  <c r="S76" i="11"/>
  <c r="Y61" i="11"/>
  <c r="BX26" i="12"/>
  <c r="BR124" i="12"/>
  <c r="BX62" i="11"/>
  <c r="BR77" i="11"/>
  <c r="BH78" i="10"/>
  <c r="BH57" i="9"/>
  <c r="BZ125" i="12"/>
  <c r="BY124" i="12"/>
  <c r="BX78" i="11"/>
  <c r="BZ78" i="11"/>
  <c r="BY77" i="11"/>
  <c r="BZ23" i="11"/>
  <c r="BU28" i="40"/>
  <c r="BW28" i="40" s="1"/>
  <c r="AQ59" i="40"/>
  <c r="AP57" i="40"/>
  <c r="AP67" i="40"/>
  <c r="AP79" i="40" s="1"/>
  <c r="AB67" i="40"/>
  <c r="AB79" i="40" s="1"/>
  <c r="AB57" i="40"/>
  <c r="AB62" i="40"/>
  <c r="AB58" i="40" s="1"/>
  <c r="AC61" i="40"/>
  <c r="AA79" i="40"/>
  <c r="AJ59" i="40"/>
  <c r="AK59" i="40" s="1"/>
  <c r="BC61" i="40"/>
  <c r="AW57" i="40"/>
  <c r="AV61" i="40"/>
  <c r="AW62" i="40"/>
  <c r="AW58" i="40" s="1"/>
  <c r="AA59" i="40"/>
  <c r="AA60" i="40"/>
  <c r="BX45" i="40"/>
  <c r="BY24" i="40"/>
  <c r="BX23" i="10"/>
  <c r="AJ57" i="10"/>
  <c r="AJ56" i="10"/>
  <c r="AM61" i="40"/>
  <c r="AH62" i="40"/>
  <c r="AH58" i="40" s="1"/>
  <c r="AH67" i="40"/>
  <c r="AH79" i="40" s="1"/>
  <c r="AI61" i="40"/>
  <c r="AH57" i="40"/>
  <c r="AG79" i="40"/>
  <c r="AV76" i="10"/>
  <c r="AV54" i="9"/>
  <c r="AV47" i="9"/>
  <c r="AT78" i="10"/>
  <c r="AT56" i="9"/>
  <c r="AY77" i="10"/>
  <c r="AY55" i="9"/>
  <c r="BC65" i="13"/>
  <c r="AW65" i="13"/>
  <c r="AI92" i="40"/>
  <c r="AI89" i="40"/>
  <c r="AW10" i="9"/>
  <c r="BF78" i="10"/>
  <c r="BF56" i="9"/>
  <c r="BE78" i="10"/>
  <c r="BE56" i="9"/>
  <c r="AN90" i="40"/>
  <c r="AO84" i="40"/>
  <c r="AY75" i="10"/>
  <c r="AP78" i="10"/>
  <c r="AP56" i="9"/>
  <c r="AM75" i="10"/>
  <c r="AM55" i="9"/>
  <c r="AM57" i="9" s="1"/>
  <c r="AM77" i="10"/>
  <c r="AU76" i="10"/>
  <c r="AU54" i="9"/>
  <c r="AU47" i="9"/>
  <c r="BA78" i="10"/>
  <c r="AZ75" i="10"/>
  <c r="AZ77" i="10"/>
  <c r="AZ55" i="9"/>
  <c r="AZ57" i="9" s="1"/>
  <c r="BT59" i="13"/>
  <c r="BT26" i="10"/>
  <c r="V145" i="12"/>
  <c r="U155" i="12"/>
  <c r="AA141" i="12"/>
  <c r="AJ53" i="12"/>
  <c r="AJ54" i="12" s="1"/>
  <c r="AJ55" i="12"/>
  <c r="AK52" i="12"/>
  <c r="W147" i="12"/>
  <c r="V140" i="12"/>
  <c r="U150" i="12"/>
  <c r="AC157" i="12"/>
  <c r="BZ86" i="12"/>
  <c r="BZ129" i="12"/>
  <c r="BZ85" i="12"/>
  <c r="BZ11" i="13"/>
  <c r="AA143" i="12"/>
  <c r="AG80" i="11"/>
  <c r="Y37" i="11"/>
  <c r="Y50" i="11" s="1"/>
  <c r="Y65" i="11"/>
  <c r="AW75" i="11"/>
  <c r="BC60" i="11"/>
  <c r="BC32" i="11"/>
  <c r="BC45" i="11" s="1"/>
  <c r="U152" i="12"/>
  <c r="BZ67" i="11"/>
  <c r="AE55" i="12"/>
  <c r="AE53" i="12"/>
  <c r="X157" i="12"/>
  <c r="U154" i="12"/>
  <c r="V144" i="12"/>
  <c r="AA145" i="12"/>
  <c r="AA144" i="12"/>
  <c r="AA146" i="12"/>
  <c r="V146" i="12"/>
  <c r="U156" i="12"/>
  <c r="AP52" i="12"/>
  <c r="AV49" i="12"/>
  <c r="AQ49" i="12"/>
  <c r="AW51" i="12"/>
  <c r="AW50" i="12" s="1"/>
  <c r="V141" i="12"/>
  <c r="U151" i="12"/>
  <c r="AA140" i="12"/>
  <c r="AB147" i="12"/>
  <c r="AB142" i="12"/>
  <c r="AS55" i="12"/>
  <c r="AS53" i="12"/>
  <c r="AS54" i="12" s="1"/>
  <c r="AY52" i="12"/>
  <c r="AM37" i="11"/>
  <c r="AM50" i="11" s="1"/>
  <c r="AM65" i="11"/>
  <c r="X80" i="11"/>
  <c r="W142" i="12"/>
  <c r="V143" i="12"/>
  <c r="U153" i="12"/>
  <c r="BL75" i="11"/>
  <c r="BR60" i="11"/>
  <c r="BL122" i="12"/>
  <c r="BR21" i="12"/>
  <c r="AD37" i="11"/>
  <c r="AD50" i="11" s="1"/>
  <c r="AD65" i="11"/>
  <c r="AE54" i="12"/>
  <c r="O101" i="10"/>
  <c r="O105" i="10"/>
  <c r="AA71" i="9"/>
  <c r="AA67" i="9"/>
  <c r="AB63" i="9" s="1"/>
  <c r="AA72" i="9"/>
  <c r="AE67" i="9"/>
  <c r="AE72" i="9"/>
  <c r="AE71" i="9"/>
  <c r="W71" i="9"/>
  <c r="W67" i="9"/>
  <c r="X63" i="9" s="1"/>
  <c r="W72" i="9"/>
  <c r="BK66" i="40"/>
  <c r="BI66" i="40"/>
  <c r="BT13" i="40"/>
  <c r="BQ46" i="10"/>
  <c r="BR25" i="40"/>
  <c r="BR46" i="40" s="1"/>
  <c r="BR29" i="10"/>
  <c r="BY21" i="40"/>
  <c r="BQ26" i="40"/>
  <c r="BT17" i="40"/>
  <c r="BS23" i="40"/>
  <c r="BS47" i="40" s="1"/>
  <c r="BY11" i="40"/>
  <c r="BW20" i="10"/>
  <c r="BU20" i="10"/>
  <c r="BT146" i="10"/>
  <c r="BY152" i="10"/>
  <c r="BZ32" i="10"/>
  <c r="BX38" i="10"/>
  <c r="BW90" i="10"/>
  <c r="BI7" i="11"/>
  <c r="BI9" i="11"/>
  <c r="BI22" i="11" s="1"/>
  <c r="BI8" i="11"/>
  <c r="BI21" i="11" s="1"/>
  <c r="BI10" i="11"/>
  <c r="BI25" i="11"/>
  <c r="BO25" i="11"/>
  <c r="BI18" i="12"/>
  <c r="BI17" i="11"/>
  <c r="BE58" i="11"/>
  <c r="BE20" i="11"/>
  <c r="DF21" i="11" s="1"/>
  <c r="DF7" i="11"/>
  <c r="DF8" i="11"/>
  <c r="BE21" i="11"/>
  <c r="DF22" i="11" s="1"/>
  <c r="DF9" i="11"/>
  <c r="BE22" i="11"/>
  <c r="DF23" i="11" s="1"/>
  <c r="BE65" i="12"/>
  <c r="BE64" i="12" s="1"/>
  <c r="BE48" i="12"/>
  <c r="BE22" i="12"/>
  <c r="BE21" i="12" s="1"/>
  <c r="BE59" i="12"/>
  <c r="BE58" i="12" s="1"/>
  <c r="BE50" i="12"/>
  <c r="BE49" i="12" s="1"/>
  <c r="BE34" i="12"/>
  <c r="BE27" i="12"/>
  <c r="BE26" i="12" s="1"/>
  <c r="BE30" i="12"/>
  <c r="BE29" i="12" s="1"/>
  <c r="BE68" i="12"/>
  <c r="BE67" i="12" s="1"/>
  <c r="BE119" i="12"/>
  <c r="BE94" i="13"/>
  <c r="DF17" i="11"/>
  <c r="BE41" i="11"/>
  <c r="BE54" i="11" s="1"/>
  <c r="BE105" i="13"/>
  <c r="BE70" i="11"/>
  <c r="BE27" i="11"/>
  <c r="DF28" i="11" s="1"/>
  <c r="BE28" i="11"/>
  <c r="BE97" i="11"/>
  <c r="DF10" i="11"/>
  <c r="BE23" i="11"/>
  <c r="DF24" i="11" s="1"/>
  <c r="BE67" i="11"/>
  <c r="BX125" i="12"/>
  <c r="BE8" i="12"/>
  <c r="AZ8" i="12"/>
  <c r="BA8" i="12" s="1"/>
  <c r="BB8" i="12" s="1"/>
  <c r="F81" i="13"/>
  <c r="F82" i="13" s="1"/>
  <c r="F55" i="13"/>
  <c r="F68" i="13"/>
  <c r="F75" i="13" s="1"/>
  <c r="F34" i="13" s="1"/>
  <c r="F33" i="13"/>
  <c r="F35" i="13"/>
  <c r="BH56" i="9"/>
  <c r="BU80" i="9"/>
  <c r="BU39" i="13"/>
  <c r="BW39" i="13"/>
  <c r="BW80" i="9"/>
  <c r="BT81" i="9"/>
  <c r="BT78" i="9"/>
  <c r="BQ40" i="13"/>
  <c r="BQ36" i="13"/>
  <c r="BR37" i="13"/>
  <c r="AE59" i="11" l="1"/>
  <c r="BT14" i="13"/>
  <c r="BS23" i="9"/>
  <c r="BR169" i="10"/>
  <c r="CC12" i="10"/>
  <c r="CD12" i="10" s="1"/>
  <c r="CE12" i="10" s="1"/>
  <c r="CF12" i="10" s="1"/>
  <c r="CA12" i="10"/>
  <c r="AB90" i="40"/>
  <c r="BI47" i="9"/>
  <c r="BI75" i="10" s="1"/>
  <c r="BO26" i="10"/>
  <c r="BC54" i="9"/>
  <c r="BC76" i="10"/>
  <c r="BC47" i="9"/>
  <c r="BI54" i="9"/>
  <c r="BI77" i="10" s="1"/>
  <c r="AW25" i="9"/>
  <c r="AW76" i="10" s="1"/>
  <c r="AQ76" i="10"/>
  <c r="AQ47" i="9"/>
  <c r="AQ54" i="9"/>
  <c r="AQ59" i="9" s="1"/>
  <c r="BC149" i="10"/>
  <c r="AW149" i="10"/>
  <c r="BY30" i="10"/>
  <c r="BX171" i="10"/>
  <c r="BZ170" i="10"/>
  <c r="CC31" i="10"/>
  <c r="CA31" i="10"/>
  <c r="CA170" i="10" s="1"/>
  <c r="AW166" i="10"/>
  <c r="AW186" i="10"/>
  <c r="AW53" i="10" s="1"/>
  <c r="AW185" i="10"/>
  <c r="BZ175" i="10"/>
  <c r="CC35" i="10"/>
  <c r="CA35" i="10"/>
  <c r="CA175" i="10" s="1"/>
  <c r="CC32" i="10"/>
  <c r="CD32" i="10" s="1"/>
  <c r="BU146" i="10"/>
  <c r="L88" i="10"/>
  <c r="L91" i="10" s="1"/>
  <c r="CM47" i="12"/>
  <c r="CM48" i="12" s="1"/>
  <c r="CG48" i="12"/>
  <c r="CJ10" i="11"/>
  <c r="CJ23" i="11" s="1"/>
  <c r="L85" i="40"/>
  <c r="AE33" i="13"/>
  <c r="AE58" i="9" s="1"/>
  <c r="M51" i="10"/>
  <c r="M55" i="13"/>
  <c r="M68" i="13"/>
  <c r="M75" i="13" s="1"/>
  <c r="M34" i="13" s="1"/>
  <c r="M52" i="10"/>
  <c r="L65" i="13"/>
  <c r="AE35" i="13"/>
  <c r="AK65" i="13" s="1"/>
  <c r="M33" i="13"/>
  <c r="M58" i="9" s="1"/>
  <c r="M81" i="13"/>
  <c r="M82" i="13" s="1"/>
  <c r="CJ13" i="12"/>
  <c r="CJ129" i="12" s="1"/>
  <c r="CL134" i="12"/>
  <c r="BX8" i="9"/>
  <c r="BY8" i="9" s="1"/>
  <c r="BZ8" i="9" s="1"/>
  <c r="CC8" i="9"/>
  <c r="CJ10" i="40"/>
  <c r="BF6" i="11"/>
  <c r="BG6" i="11" s="1"/>
  <c r="BH6" i="11" s="1"/>
  <c r="BK6" i="11"/>
  <c r="AE51" i="10"/>
  <c r="AE52" i="10"/>
  <c r="CF77" i="11"/>
  <c r="CE82" i="11"/>
  <c r="CL81" i="11"/>
  <c r="CF78" i="11"/>
  <c r="CD138" i="12"/>
  <c r="CE138" i="12" s="1"/>
  <c r="CF138" i="12" s="1"/>
  <c r="CI138" i="12"/>
  <c r="CJ138" i="12" s="1"/>
  <c r="CK138" i="12" s="1"/>
  <c r="CL138" i="12" s="1"/>
  <c r="CF23" i="11"/>
  <c r="CE77" i="11"/>
  <c r="CD78" i="11"/>
  <c r="CF67" i="11"/>
  <c r="CM7" i="13"/>
  <c r="CM7" i="40" s="1"/>
  <c r="CG7" i="40"/>
  <c r="CD62" i="11"/>
  <c r="CD26" i="12"/>
  <c r="CL26" i="12"/>
  <c r="CL62" i="11"/>
  <c r="CF124" i="12"/>
  <c r="CK13" i="12"/>
  <c r="CF71" i="12"/>
  <c r="CF72" i="12" s="1"/>
  <c r="CF73" i="12"/>
  <c r="CE63" i="11"/>
  <c r="CE29" i="12"/>
  <c r="CJ63" i="11"/>
  <c r="CJ29" i="12"/>
  <c r="CD125" i="12"/>
  <c r="CL23" i="11"/>
  <c r="CK82" i="11"/>
  <c r="CJ73" i="12"/>
  <c r="CJ71" i="12"/>
  <c r="CJ72" i="12" s="1"/>
  <c r="CD11" i="13"/>
  <c r="CD129" i="12"/>
  <c r="CD85" i="12"/>
  <c r="CL67" i="11"/>
  <c r="CD23" i="11"/>
  <c r="CD67" i="11"/>
  <c r="CF13" i="12"/>
  <c r="CF85" i="12" s="1"/>
  <c r="CL29" i="12"/>
  <c r="CL63" i="11"/>
  <c r="CF125" i="12"/>
  <c r="CE11" i="13"/>
  <c r="CE129" i="12"/>
  <c r="CE86" i="12"/>
  <c r="CK26" i="12"/>
  <c r="CK62" i="11"/>
  <c r="CE124" i="12"/>
  <c r="CK73" i="12"/>
  <c r="CK71" i="12"/>
  <c r="CK72" i="12" s="1"/>
  <c r="CL14" i="12"/>
  <c r="CL70" i="12"/>
  <c r="AE81" i="13"/>
  <c r="AE82" i="13" s="1"/>
  <c r="AE55" i="13"/>
  <c r="AE68" i="13"/>
  <c r="AE75" i="13" s="1"/>
  <c r="AE34" i="13" s="1"/>
  <c r="BX59" i="13"/>
  <c r="BX26" i="10"/>
  <c r="BY23" i="9" s="1"/>
  <c r="BE50" i="13"/>
  <c r="AY57" i="9"/>
  <c r="W90" i="40"/>
  <c r="Y90" i="40" s="1"/>
  <c r="BR8" i="10"/>
  <c r="BS8" i="10" s="1"/>
  <c r="BT8" i="10" s="1"/>
  <c r="BW8" i="10"/>
  <c r="AE77" i="13"/>
  <c r="AS78" i="10"/>
  <c r="BK7" i="40"/>
  <c r="BQ7" i="13"/>
  <c r="AZ8" i="40"/>
  <c r="BA8" i="13"/>
  <c r="BE8" i="40"/>
  <c r="BF8" i="13"/>
  <c r="BK8" i="13"/>
  <c r="AU8" i="40"/>
  <c r="AV8" i="13"/>
  <c r="AV8" i="40" s="1"/>
  <c r="AS123" i="10"/>
  <c r="AS125" i="10" s="1"/>
  <c r="AW125" i="10" s="1"/>
  <c r="AW126" i="10" s="1"/>
  <c r="AV58" i="9"/>
  <c r="AV59" i="9"/>
  <c r="BX68" i="9"/>
  <c r="BW69" i="9"/>
  <c r="AU58" i="9"/>
  <c r="AU59" i="9"/>
  <c r="BS75" i="11"/>
  <c r="BY60" i="11"/>
  <c r="BS122" i="12"/>
  <c r="BY21" i="12"/>
  <c r="U50" i="9"/>
  <c r="V48" i="9"/>
  <c r="V49" i="9" s="1"/>
  <c r="AA115" i="10"/>
  <c r="AE115" i="10"/>
  <c r="AE118" i="10" s="1"/>
  <c r="P50" i="9"/>
  <c r="Q48" i="9"/>
  <c r="Q49" i="9" s="1"/>
  <c r="AA48" i="9"/>
  <c r="AA49" i="9" s="1"/>
  <c r="Y50" i="9"/>
  <c r="AE48" i="9"/>
  <c r="AE49" i="9" s="1"/>
  <c r="AK10" i="9"/>
  <c r="AK25" i="9" s="1"/>
  <c r="AD74" i="11"/>
  <c r="BM49" i="12"/>
  <c r="BG52" i="12"/>
  <c r="BA55" i="12"/>
  <c r="BA53" i="12"/>
  <c r="BA54" i="12" s="1"/>
  <c r="AO80" i="11"/>
  <c r="BT122" i="12"/>
  <c r="BZ21" i="12"/>
  <c r="BZ60" i="11"/>
  <c r="AK43" i="12"/>
  <c r="AK59" i="11" s="1"/>
  <c r="BT75" i="11"/>
  <c r="AU65" i="11"/>
  <c r="AU37" i="11"/>
  <c r="AU50" i="11" s="1"/>
  <c r="O65" i="13"/>
  <c r="I65" i="13"/>
  <c r="BF53" i="12"/>
  <c r="BF54" i="12" s="1"/>
  <c r="BF55" i="12"/>
  <c r="AZ37" i="11"/>
  <c r="AZ50" i="11" s="1"/>
  <c r="AZ65" i="11"/>
  <c r="I58" i="9"/>
  <c r="I88" i="10"/>
  <c r="I91" i="10" s="1"/>
  <c r="I85" i="40"/>
  <c r="I89" i="40" s="1"/>
  <c r="AJ59" i="11"/>
  <c r="AJ74" i="11" s="1"/>
  <c r="BR49" i="12"/>
  <c r="BL52" i="12"/>
  <c r="AT80" i="11"/>
  <c r="AJ54" i="9"/>
  <c r="AJ76" i="10"/>
  <c r="AJ47" i="9"/>
  <c r="AI75" i="10"/>
  <c r="AH58" i="9"/>
  <c r="AH77" i="10"/>
  <c r="AH55" i="9"/>
  <c r="AN57" i="9" s="1"/>
  <c r="AH75" i="10"/>
  <c r="AI77" i="10"/>
  <c r="AI55" i="9"/>
  <c r="AI58" i="9"/>
  <c r="AU84" i="40"/>
  <c r="AT90" i="40"/>
  <c r="BG56" i="9"/>
  <c r="BG78" i="10"/>
  <c r="BY73" i="13"/>
  <c r="BZ74" i="13"/>
  <c r="AN56" i="9"/>
  <c r="AN78" i="10"/>
  <c r="I86" i="10"/>
  <c r="M86" i="10"/>
  <c r="Y76" i="11"/>
  <c r="AT42" i="12"/>
  <c r="AT43" i="12" s="1"/>
  <c r="AU41" i="12"/>
  <c r="AU79" i="12"/>
  <c r="AU123" i="12"/>
  <c r="AU36" i="12"/>
  <c r="AU37" i="12" s="1"/>
  <c r="AU38" i="12"/>
  <c r="AU80" i="12"/>
  <c r="BA79" i="11"/>
  <c r="AE61" i="11"/>
  <c r="AD76" i="11"/>
  <c r="AN76" i="11"/>
  <c r="AJ61" i="11"/>
  <c r="AQ79" i="11"/>
  <c r="AK81" i="12"/>
  <c r="AK38" i="12"/>
  <c r="AK36" i="12"/>
  <c r="AK37" i="12" s="1"/>
  <c r="AK79" i="12"/>
  <c r="AK41" i="12"/>
  <c r="AK42" i="12" s="1"/>
  <c r="AK123" i="12"/>
  <c r="AK80" i="12"/>
  <c r="AC74" i="11"/>
  <c r="AZ80" i="12"/>
  <c r="AZ41" i="12"/>
  <c r="AZ38" i="12"/>
  <c r="AZ79" i="12"/>
  <c r="AZ123" i="12"/>
  <c r="AZ36" i="12"/>
  <c r="AZ37" i="12" s="1"/>
  <c r="BQ32" i="12"/>
  <c r="BQ64" i="11"/>
  <c r="BK126" i="12"/>
  <c r="BY78" i="11"/>
  <c r="AM74" i="11"/>
  <c r="AV79" i="11"/>
  <c r="AP80" i="12"/>
  <c r="AP38" i="12"/>
  <c r="AP123" i="12"/>
  <c r="AP41" i="12"/>
  <c r="AP42" i="12" s="1"/>
  <c r="AP43" i="12" s="1"/>
  <c r="AP36" i="12"/>
  <c r="AP37" i="12" s="1"/>
  <c r="AP79" i="12"/>
  <c r="AH74" i="11"/>
  <c r="AT61" i="11"/>
  <c r="AU81" i="12"/>
  <c r="BA126" i="12"/>
  <c r="BG32" i="12"/>
  <c r="BG64" i="11"/>
  <c r="BA35" i="12"/>
  <c r="AI76" i="11"/>
  <c r="AZ81" i="12"/>
  <c r="BL64" i="11"/>
  <c r="BF35" i="12"/>
  <c r="BF81" i="12" s="1"/>
  <c r="BF126" i="12"/>
  <c r="BL32" i="12"/>
  <c r="BF79" i="11"/>
  <c r="AS76" i="11"/>
  <c r="AS59" i="11"/>
  <c r="AY61" i="11"/>
  <c r="AO61" i="11"/>
  <c r="AO42" i="12"/>
  <c r="AO43" i="12" s="1"/>
  <c r="BY125" i="12"/>
  <c r="AN59" i="11"/>
  <c r="AI59" i="11"/>
  <c r="AQ33" i="12"/>
  <c r="AW64" i="11"/>
  <c r="AQ35" i="12"/>
  <c r="AQ126" i="12"/>
  <c r="AP81" i="12"/>
  <c r="AV126" i="12"/>
  <c r="AV35" i="12"/>
  <c r="BB64" i="11"/>
  <c r="BB32" i="12"/>
  <c r="AW32" i="12"/>
  <c r="BX77" i="11"/>
  <c r="BX124" i="12"/>
  <c r="BF57" i="9"/>
  <c r="BE57" i="9"/>
  <c r="AS57" i="9"/>
  <c r="BO41" i="13"/>
  <c r="BZ82" i="11"/>
  <c r="AW59" i="40"/>
  <c r="BX28" i="40"/>
  <c r="AG57" i="10"/>
  <c r="AG56" i="10"/>
  <c r="AI67" i="40"/>
  <c r="AI57" i="40"/>
  <c r="AI62" i="40"/>
  <c r="AI58" i="40" s="1"/>
  <c r="AS61" i="40"/>
  <c r="AV57" i="40"/>
  <c r="AV67" i="40"/>
  <c r="AV79" i="40" s="1"/>
  <c r="BB61" i="40"/>
  <c r="BI61" i="40"/>
  <c r="BC57" i="40"/>
  <c r="BC62" i="40"/>
  <c r="BC58" i="40" s="1"/>
  <c r="AC67" i="40"/>
  <c r="AC57" i="40"/>
  <c r="AC62" i="40"/>
  <c r="AC58" i="40" s="1"/>
  <c r="AB59" i="40"/>
  <c r="AB60" i="40"/>
  <c r="AP56" i="10"/>
  <c r="AP57" i="10"/>
  <c r="AH59" i="40"/>
  <c r="AH60" i="40"/>
  <c r="AH56" i="10"/>
  <c r="AH57" i="10"/>
  <c r="AM67" i="40"/>
  <c r="AM57" i="40"/>
  <c r="AM60" i="40" s="1"/>
  <c r="AN61" i="40"/>
  <c r="BY23" i="10"/>
  <c r="BY45" i="40"/>
  <c r="BZ24" i="40"/>
  <c r="CC24" i="40" s="1"/>
  <c r="AA57" i="10"/>
  <c r="AA56" i="10"/>
  <c r="AB57" i="10"/>
  <c r="AB56" i="10"/>
  <c r="AU77" i="10"/>
  <c r="AU55" i="9"/>
  <c r="AM78" i="10"/>
  <c r="AM56" i="9"/>
  <c r="AO92" i="40"/>
  <c r="AO89" i="40"/>
  <c r="AJ84" i="40"/>
  <c r="AI90" i="40"/>
  <c r="AV75" i="10"/>
  <c r="AU75" i="10"/>
  <c r="AY78" i="10"/>
  <c r="AY56" i="9"/>
  <c r="AV77" i="10"/>
  <c r="AV55" i="9"/>
  <c r="AZ56" i="9"/>
  <c r="AZ78" i="10"/>
  <c r="AD80" i="11"/>
  <c r="BX21" i="12"/>
  <c r="BR122" i="12"/>
  <c r="BX60" i="11"/>
  <c r="U143" i="12"/>
  <c r="AM80" i="11"/>
  <c r="AY55" i="12"/>
  <c r="AY53" i="12"/>
  <c r="AY54" i="12" s="1"/>
  <c r="AS37" i="11"/>
  <c r="AS50" i="11" s="1"/>
  <c r="AS65" i="11"/>
  <c r="AB157" i="12"/>
  <c r="AA147" i="12"/>
  <c r="AV52" i="12"/>
  <c r="BB49" i="12"/>
  <c r="AW49" i="12"/>
  <c r="BC51" i="12"/>
  <c r="BC50" i="12" s="1"/>
  <c r="U146" i="12"/>
  <c r="U144" i="12"/>
  <c r="Y80" i="11"/>
  <c r="AC92" i="40"/>
  <c r="AC89" i="40"/>
  <c r="U140" i="12"/>
  <c r="AK53" i="12"/>
  <c r="U145" i="12"/>
  <c r="BU26" i="10"/>
  <c r="BT23" i="9"/>
  <c r="AE37" i="11"/>
  <c r="AE50" i="11" s="1"/>
  <c r="AE65" i="11"/>
  <c r="BR75" i="11"/>
  <c r="V142" i="12"/>
  <c r="U141" i="12"/>
  <c r="AP55" i="12"/>
  <c r="AP53" i="12"/>
  <c r="AP54" i="12" s="1"/>
  <c r="AQ52" i="12"/>
  <c r="BC75" i="11"/>
  <c r="AA142" i="12"/>
  <c r="BZ26" i="10"/>
  <c r="BZ59" i="13"/>
  <c r="BZ14" i="13"/>
  <c r="V147" i="12"/>
  <c r="W157" i="12"/>
  <c r="AJ37" i="11"/>
  <c r="AJ50" i="11" s="1"/>
  <c r="AJ65" i="11"/>
  <c r="AK54" i="12"/>
  <c r="O107" i="10"/>
  <c r="P96" i="10"/>
  <c r="O111" i="10"/>
  <c r="AB67" i="9"/>
  <c r="AC63" i="9" s="1"/>
  <c r="AB72" i="9"/>
  <c r="AB71" i="9"/>
  <c r="X67" i="9"/>
  <c r="X71" i="9"/>
  <c r="X72" i="9"/>
  <c r="AK63" i="9"/>
  <c r="AG63" i="9"/>
  <c r="BL66" i="40"/>
  <c r="BU13" i="40"/>
  <c r="BZ11" i="40"/>
  <c r="BU17" i="40"/>
  <c r="BT23" i="40"/>
  <c r="BT47" i="40" s="1"/>
  <c r="BU47" i="40" s="1"/>
  <c r="BZ21" i="40"/>
  <c r="BR46" i="10"/>
  <c r="BR26" i="40"/>
  <c r="BS25" i="40"/>
  <c r="BS46" i="40" s="1"/>
  <c r="BS29" i="10"/>
  <c r="BX20" i="10"/>
  <c r="BW146" i="10"/>
  <c r="CA32" i="10"/>
  <c r="BZ152" i="10"/>
  <c r="BX90" i="10"/>
  <c r="BY38" i="10"/>
  <c r="BK63" i="11"/>
  <c r="BI29" i="12"/>
  <c r="BK29" i="12"/>
  <c r="BE125" i="12"/>
  <c r="BE36" i="11"/>
  <c r="BI34" i="12"/>
  <c r="BE64" i="11"/>
  <c r="BE61" i="12"/>
  <c r="BO60" i="12"/>
  <c r="BK68" i="11"/>
  <c r="BI58" i="12"/>
  <c r="BI61" i="12" s="1"/>
  <c r="BK58" i="12"/>
  <c r="BE73" i="11"/>
  <c r="BI28" i="11"/>
  <c r="BI27" i="11"/>
  <c r="BI41" i="11"/>
  <c r="BI54" i="11" s="1"/>
  <c r="BI97" i="11"/>
  <c r="BI70" i="11"/>
  <c r="BI105" i="13"/>
  <c r="BI67" i="11"/>
  <c r="BI23" i="11"/>
  <c r="BE82" i="11"/>
  <c r="BE85" i="11"/>
  <c r="BI94" i="13"/>
  <c r="BK69" i="11"/>
  <c r="BK67" i="12"/>
  <c r="BK26" i="12"/>
  <c r="BE124" i="12"/>
  <c r="BK62" i="11"/>
  <c r="BI26" i="12"/>
  <c r="BE35" i="12"/>
  <c r="BE80" i="12" s="1"/>
  <c r="BE52" i="12"/>
  <c r="BK49" i="12"/>
  <c r="BE78" i="12"/>
  <c r="BK21" i="12"/>
  <c r="BE122" i="12"/>
  <c r="BK60" i="11"/>
  <c r="BI21" i="12"/>
  <c r="BK64" i="12"/>
  <c r="BK66" i="11"/>
  <c r="BE70" i="12"/>
  <c r="BI48" i="12"/>
  <c r="BI119" i="12"/>
  <c r="BI58" i="11"/>
  <c r="BI20" i="11"/>
  <c r="BF8" i="12"/>
  <c r="BG8" i="12" s="1"/>
  <c r="BH8" i="12" s="1"/>
  <c r="BK8" i="12"/>
  <c r="M65" i="13"/>
  <c r="S65" i="13"/>
  <c r="BX39" i="13"/>
  <c r="BX80" i="9"/>
  <c r="BW78" i="9"/>
  <c r="BW81" i="9"/>
  <c r="BU81" i="9"/>
  <c r="BU78" i="9"/>
  <c r="BR36" i="13"/>
  <c r="BR40" i="13"/>
  <c r="BS37" i="13"/>
  <c r="AE74" i="11" l="1"/>
  <c r="BS169" i="10"/>
  <c r="CG12" i="10"/>
  <c r="CI12" i="10"/>
  <c r="CJ12" i="10" s="1"/>
  <c r="CK12" i="10" s="1"/>
  <c r="CL12" i="10" s="1"/>
  <c r="CM12" i="10" s="1"/>
  <c r="AW54" i="9"/>
  <c r="AW77" i="10" s="1"/>
  <c r="BC55" i="9"/>
  <c r="BC78" i="10" s="1"/>
  <c r="BI59" i="9"/>
  <c r="BI55" i="9"/>
  <c r="BI56" i="9" s="1"/>
  <c r="AW47" i="9"/>
  <c r="AW75" i="10" s="1"/>
  <c r="BC75" i="10"/>
  <c r="AQ75" i="10"/>
  <c r="BC59" i="9"/>
  <c r="BC58" i="9"/>
  <c r="BC77" i="10"/>
  <c r="BI58" i="9"/>
  <c r="CC152" i="10"/>
  <c r="AQ55" i="9"/>
  <c r="AQ56" i="9" s="1"/>
  <c r="AQ77" i="10"/>
  <c r="AQ58" i="9"/>
  <c r="BZ30" i="10"/>
  <c r="BY171" i="10"/>
  <c r="CD31" i="10"/>
  <c r="CD152" i="10" s="1"/>
  <c r="CC170" i="10"/>
  <c r="AE138" i="10"/>
  <c r="AE139" i="10" s="1"/>
  <c r="AE140" i="10" s="1"/>
  <c r="AE141" i="10" s="1"/>
  <c r="AE135" i="10" s="1"/>
  <c r="AE163" i="10"/>
  <c r="AE164" i="10" s="1"/>
  <c r="AE165" i="10" s="1"/>
  <c r="CD35" i="10"/>
  <c r="CC175" i="10"/>
  <c r="CA152" i="10"/>
  <c r="AE88" i="10"/>
  <c r="AE91" i="10" s="1"/>
  <c r="CJ86" i="12"/>
  <c r="CJ11" i="13"/>
  <c r="CJ26" i="10" s="1"/>
  <c r="CJ67" i="11"/>
  <c r="AE65" i="13"/>
  <c r="M88" i="10"/>
  <c r="M91" i="10" s="1"/>
  <c r="M92" i="10" s="1"/>
  <c r="CJ85" i="12"/>
  <c r="CF82" i="11"/>
  <c r="CI8" i="9"/>
  <c r="CJ8" i="9" s="1"/>
  <c r="CK8" i="9" s="1"/>
  <c r="CL8" i="9" s="1"/>
  <c r="CD8" i="9"/>
  <c r="CE8" i="9" s="1"/>
  <c r="CF8" i="9" s="1"/>
  <c r="CK10" i="40"/>
  <c r="CD24" i="40"/>
  <c r="CC23" i="10"/>
  <c r="BQ6" i="11"/>
  <c r="BL6" i="11"/>
  <c r="BM6" i="11" s="1"/>
  <c r="BN6" i="11" s="1"/>
  <c r="CK77" i="11"/>
  <c r="CL78" i="11"/>
  <c r="CD82" i="11"/>
  <c r="CL82" i="11"/>
  <c r="CJ78" i="11"/>
  <c r="CE78" i="11"/>
  <c r="CL77" i="11"/>
  <c r="CD77" i="11"/>
  <c r="BZ73" i="13"/>
  <c r="BZ32" i="13" s="1"/>
  <c r="CC74" i="13"/>
  <c r="BX8" i="10"/>
  <c r="BY8" i="10" s="1"/>
  <c r="BZ8" i="10" s="1"/>
  <c r="CC8" i="10"/>
  <c r="CF60" i="11"/>
  <c r="CF21" i="12"/>
  <c r="CE60" i="11"/>
  <c r="CE21" i="12"/>
  <c r="CL13" i="12"/>
  <c r="CL85" i="12" s="1"/>
  <c r="CJ125" i="12"/>
  <c r="CK11" i="13"/>
  <c r="CK129" i="12"/>
  <c r="CK86" i="12"/>
  <c r="CK124" i="12"/>
  <c r="CF11" i="13"/>
  <c r="CF129" i="12"/>
  <c r="CF86" i="12"/>
  <c r="CD26" i="10"/>
  <c r="CD59" i="13"/>
  <c r="CL124" i="12"/>
  <c r="CE59" i="13"/>
  <c r="CE26" i="10"/>
  <c r="CK63" i="11"/>
  <c r="CK29" i="12"/>
  <c r="CE125" i="12"/>
  <c r="CJ62" i="11"/>
  <c r="CJ26" i="12"/>
  <c r="CD124" i="12"/>
  <c r="CD60" i="11"/>
  <c r="CD21" i="12"/>
  <c r="CL71" i="12"/>
  <c r="CL72" i="12" s="1"/>
  <c r="CL73" i="12"/>
  <c r="CL125" i="12"/>
  <c r="CK85" i="12"/>
  <c r="CE32" i="10"/>
  <c r="W92" i="40"/>
  <c r="Y92" i="40" s="1"/>
  <c r="Y91" i="40" s="1"/>
  <c r="BI50" i="13"/>
  <c r="BI78" i="10"/>
  <c r="BC123" i="10"/>
  <c r="BG8" i="13"/>
  <c r="BF8" i="40"/>
  <c r="BA8" i="40"/>
  <c r="BB8" i="13"/>
  <c r="BB8" i="40" s="1"/>
  <c r="BW7" i="13"/>
  <c r="BQ7" i="40"/>
  <c r="BL8" i="13"/>
  <c r="BK8" i="40"/>
  <c r="BQ8" i="13"/>
  <c r="AW58" i="9"/>
  <c r="AW59" i="9"/>
  <c r="AJ59" i="9"/>
  <c r="BY68" i="9"/>
  <c r="BX69" i="9"/>
  <c r="BY75" i="11"/>
  <c r="BY122" i="12"/>
  <c r="I92" i="10"/>
  <c r="J86" i="10" s="1"/>
  <c r="J92" i="10" s="1"/>
  <c r="K86" i="10" s="1"/>
  <c r="K92" i="10" s="1"/>
  <c r="L86" i="10" s="1"/>
  <c r="L92" i="10" s="1"/>
  <c r="AK54" i="9"/>
  <c r="AJ55" i="9"/>
  <c r="AJ56" i="9" s="1"/>
  <c r="Q50" i="9"/>
  <c r="R48" i="9"/>
  <c r="R49" i="9" s="1"/>
  <c r="R50" i="9" s="1"/>
  <c r="AK47" i="9"/>
  <c r="AK76" i="10"/>
  <c r="AB48" i="9"/>
  <c r="AB49" i="9" s="1"/>
  <c r="AA50" i="9"/>
  <c r="AA118" i="10"/>
  <c r="AA119" i="10"/>
  <c r="AE119" i="10" s="1"/>
  <c r="AE120" i="10" s="1"/>
  <c r="AE50" i="9"/>
  <c r="AK48" i="9"/>
  <c r="W48" i="9"/>
  <c r="W49" i="9" s="1"/>
  <c r="V50" i="9"/>
  <c r="BG55" i="12"/>
  <c r="BG53" i="12"/>
  <c r="BG54" i="12" s="1"/>
  <c r="BZ75" i="11"/>
  <c r="BM52" i="12"/>
  <c r="BS49" i="12"/>
  <c r="AU80" i="11"/>
  <c r="BZ122" i="12"/>
  <c r="BA65" i="11"/>
  <c r="BA37" i="11"/>
  <c r="BA50" i="11" s="1"/>
  <c r="AP59" i="11"/>
  <c r="BR52" i="12"/>
  <c r="BX49" i="12"/>
  <c r="AQ43" i="12"/>
  <c r="BF37" i="11"/>
  <c r="BF50" i="11" s="1"/>
  <c r="BF65" i="11"/>
  <c r="J84" i="40"/>
  <c r="J89" i="40" s="1"/>
  <c r="I90" i="40"/>
  <c r="I91" i="40" s="1"/>
  <c r="I80" i="40"/>
  <c r="AZ80" i="11"/>
  <c r="BL53" i="12"/>
  <c r="BL54" i="12" s="1"/>
  <c r="AJ75" i="10"/>
  <c r="AJ58" i="9"/>
  <c r="AJ77" i="10"/>
  <c r="AH57" i="9"/>
  <c r="AH78" i="10"/>
  <c r="AH56" i="9"/>
  <c r="AI56" i="9"/>
  <c r="AI57" i="9"/>
  <c r="AI78" i="10"/>
  <c r="AO57" i="9"/>
  <c r="BY32" i="13"/>
  <c r="AU92" i="40"/>
  <c r="AU89" i="40"/>
  <c r="BC64" i="11"/>
  <c r="AW126" i="12"/>
  <c r="AW33" i="12"/>
  <c r="AW35" i="12"/>
  <c r="BB79" i="11"/>
  <c r="AW79" i="11"/>
  <c r="AI74" i="11"/>
  <c r="AN74" i="11"/>
  <c r="AO59" i="11"/>
  <c r="AY76" i="11"/>
  <c r="AS74" i="11"/>
  <c r="BA80" i="12"/>
  <c r="BA41" i="12"/>
  <c r="BA79" i="12"/>
  <c r="BA36" i="12"/>
  <c r="BA37" i="12" s="1"/>
  <c r="BA38" i="12"/>
  <c r="BA123" i="12"/>
  <c r="BG79" i="11"/>
  <c r="BG126" i="12"/>
  <c r="BM32" i="12"/>
  <c r="BM64" i="11"/>
  <c r="BG35" i="12"/>
  <c r="BQ79" i="11"/>
  <c r="AY74" i="11"/>
  <c r="AZ61" i="11"/>
  <c r="AU61" i="11"/>
  <c r="BH64" i="11"/>
  <c r="BH32" i="12"/>
  <c r="BC32" i="12"/>
  <c r="BB126" i="12"/>
  <c r="BB35" i="12"/>
  <c r="AV38" i="12"/>
  <c r="AV80" i="12"/>
  <c r="AV79" i="12"/>
  <c r="AV81" i="12"/>
  <c r="AV123" i="12"/>
  <c r="AV36" i="12"/>
  <c r="AV37" i="12" s="1"/>
  <c r="AV41" i="12"/>
  <c r="AV42" i="12" s="1"/>
  <c r="AV43" i="12" s="1"/>
  <c r="AQ38" i="12"/>
  <c r="AQ123" i="12"/>
  <c r="AQ41" i="12"/>
  <c r="AQ42" i="12" s="1"/>
  <c r="AQ81" i="12"/>
  <c r="AQ36" i="12"/>
  <c r="AQ37" i="12" s="1"/>
  <c r="AQ79" i="12"/>
  <c r="AQ80" i="12"/>
  <c r="AO76" i="11"/>
  <c r="BL126" i="12"/>
  <c r="BR64" i="11"/>
  <c r="BR32" i="12"/>
  <c r="BL35" i="12"/>
  <c r="BF80" i="12"/>
  <c r="BF41" i="12"/>
  <c r="BF123" i="12"/>
  <c r="BF38" i="12"/>
  <c r="BF36" i="12"/>
  <c r="BF37" i="12" s="1"/>
  <c r="BF79" i="12"/>
  <c r="BL79" i="11"/>
  <c r="BA81" i="12"/>
  <c r="AT76" i="11"/>
  <c r="AP61" i="11"/>
  <c r="BW64" i="11"/>
  <c r="BQ126" i="12"/>
  <c r="BW32" i="12"/>
  <c r="AZ42" i="12"/>
  <c r="AZ43" i="12" s="1"/>
  <c r="AK61" i="11"/>
  <c r="AJ76" i="11"/>
  <c r="AE76" i="11"/>
  <c r="AU42" i="12"/>
  <c r="AU43" i="12" s="1"/>
  <c r="AT59" i="11"/>
  <c r="AV57" i="9"/>
  <c r="BB57" i="9"/>
  <c r="AU57" i="9"/>
  <c r="BA57" i="9"/>
  <c r="BX75" i="11"/>
  <c r="BX122" i="12"/>
  <c r="BY28" i="40"/>
  <c r="BC59" i="40"/>
  <c r="AN67" i="40"/>
  <c r="AN79" i="40" s="1"/>
  <c r="AN57" i="40"/>
  <c r="AN60" i="40" s="1"/>
  <c r="AO61" i="40"/>
  <c r="AM79" i="40"/>
  <c r="AC59" i="40"/>
  <c r="AC60" i="40"/>
  <c r="AD60" i="40"/>
  <c r="BH61" i="40"/>
  <c r="BE61" i="40" s="1"/>
  <c r="BO61" i="40"/>
  <c r="BI57" i="40"/>
  <c r="BI62" i="40"/>
  <c r="BI58" i="40" s="1"/>
  <c r="AV57" i="10"/>
  <c r="AV56" i="10"/>
  <c r="AI79" i="40"/>
  <c r="AK67" i="40"/>
  <c r="BZ23" i="10"/>
  <c r="BZ45" i="40"/>
  <c r="CA24" i="40"/>
  <c r="CA45" i="40" s="1"/>
  <c r="AC79" i="40"/>
  <c r="AE67" i="40"/>
  <c r="BB57" i="40"/>
  <c r="BB67" i="40"/>
  <c r="BB79" i="40" s="1"/>
  <c r="AY61" i="40"/>
  <c r="AT61" i="40"/>
  <c r="AS57" i="40"/>
  <c r="AS60" i="40" s="1"/>
  <c r="AS67" i="40"/>
  <c r="AI59" i="40"/>
  <c r="AI60" i="40"/>
  <c r="AJ60" i="40"/>
  <c r="AP84" i="40"/>
  <c r="AO90" i="40"/>
  <c r="AV78" i="10"/>
  <c r="AV56" i="9"/>
  <c r="AW55" i="9"/>
  <c r="AW78" i="10" s="1"/>
  <c r="AJ89" i="40"/>
  <c r="AJ90" i="40" s="1"/>
  <c r="AK90" i="40" s="1"/>
  <c r="AJ92" i="40"/>
  <c r="AK92" i="40" s="1"/>
  <c r="AU78" i="10"/>
  <c r="AU56" i="9"/>
  <c r="AK37" i="11"/>
  <c r="AK50" i="11" s="1"/>
  <c r="AK65" i="11"/>
  <c r="V157" i="12"/>
  <c r="CA26" i="10"/>
  <c r="BZ23" i="9"/>
  <c r="AQ55" i="12"/>
  <c r="AQ53" i="12"/>
  <c r="AE80" i="11"/>
  <c r="U147" i="12"/>
  <c r="AD84" i="40"/>
  <c r="AC90" i="40"/>
  <c r="AV55" i="12"/>
  <c r="AV53" i="12"/>
  <c r="AV54" i="12" s="1"/>
  <c r="AW52" i="12"/>
  <c r="AY37" i="11"/>
  <c r="AY50" i="11" s="1"/>
  <c r="AY65" i="11"/>
  <c r="AJ80" i="11"/>
  <c r="AP37" i="11"/>
  <c r="AP50" i="11" s="1"/>
  <c r="AP65" i="11"/>
  <c r="AQ54" i="12"/>
  <c r="BH49" i="12"/>
  <c r="BB52" i="12"/>
  <c r="BC49" i="12"/>
  <c r="BI51" i="12"/>
  <c r="BI50" i="12" s="1"/>
  <c r="AA157" i="12"/>
  <c r="AS80" i="11"/>
  <c r="U142" i="12"/>
  <c r="O106" i="10"/>
  <c r="O112" i="10"/>
  <c r="P103" i="10"/>
  <c r="P105" i="10"/>
  <c r="P101" i="10"/>
  <c r="AG71" i="9"/>
  <c r="AG67" i="9"/>
  <c r="AH63" i="9" s="1"/>
  <c r="AG72" i="9"/>
  <c r="AC67" i="9"/>
  <c r="AD63" i="9" s="1"/>
  <c r="AC71" i="9"/>
  <c r="AC72" i="9"/>
  <c r="AK67" i="9"/>
  <c r="AK72" i="9"/>
  <c r="AK71" i="9"/>
  <c r="BM66" i="40"/>
  <c r="BU34" i="40"/>
  <c r="BW13" i="40"/>
  <c r="BS46" i="10"/>
  <c r="CA21" i="40"/>
  <c r="BW17" i="40"/>
  <c r="BU38" i="40"/>
  <c r="BU23" i="40"/>
  <c r="BS26" i="40"/>
  <c r="BT25" i="40"/>
  <c r="BT46" i="40" s="1"/>
  <c r="BT29" i="10"/>
  <c r="CA11" i="40"/>
  <c r="CC11" i="40" s="1"/>
  <c r="BX146" i="10"/>
  <c r="BY20" i="10"/>
  <c r="BY90" i="10"/>
  <c r="BZ38" i="10"/>
  <c r="CC38" i="10" s="1"/>
  <c r="BK81" i="11"/>
  <c r="BE41" i="12"/>
  <c r="BQ60" i="11"/>
  <c r="BK122" i="12"/>
  <c r="BQ21" i="12"/>
  <c r="BO21" i="12"/>
  <c r="BQ49" i="12"/>
  <c r="BK52" i="12"/>
  <c r="BK55" i="12" s="1"/>
  <c r="BE79" i="12"/>
  <c r="BO62" i="11"/>
  <c r="BI124" i="12"/>
  <c r="BI27" i="12"/>
  <c r="BQ67" i="12"/>
  <c r="BQ69" i="11"/>
  <c r="BI82" i="11"/>
  <c r="BI85" i="11"/>
  <c r="BU60" i="12"/>
  <c r="BQ58" i="12"/>
  <c r="CA60" i="12" s="1"/>
  <c r="BQ68" i="11"/>
  <c r="BO58" i="12"/>
  <c r="BK83" i="11"/>
  <c r="BI36" i="11"/>
  <c r="BQ63" i="11"/>
  <c r="BQ29" i="12"/>
  <c r="BK125" i="12"/>
  <c r="BO29" i="12"/>
  <c r="BO63" i="11"/>
  <c r="BI30" i="12"/>
  <c r="BI125" i="12"/>
  <c r="BI73" i="11"/>
  <c r="BE71" i="12"/>
  <c r="BE72" i="12" s="1"/>
  <c r="BI72" i="12" s="1"/>
  <c r="BE73" i="12"/>
  <c r="BQ66" i="11"/>
  <c r="BQ64" i="12"/>
  <c r="BK70" i="12"/>
  <c r="BI78" i="12"/>
  <c r="BI22" i="12"/>
  <c r="BI23" i="12" s="1"/>
  <c r="BI122" i="12"/>
  <c r="BK75" i="11"/>
  <c r="BE55" i="12"/>
  <c r="BE53" i="12"/>
  <c r="BE54" i="12" s="1"/>
  <c r="BE81" i="12"/>
  <c r="BE123" i="12"/>
  <c r="BE38" i="12"/>
  <c r="BE36" i="12"/>
  <c r="BE37" i="12" s="1"/>
  <c r="BK77" i="11"/>
  <c r="BQ26" i="12"/>
  <c r="BQ62" i="11"/>
  <c r="BK124" i="12"/>
  <c r="BO26" i="12"/>
  <c r="BK35" i="12"/>
  <c r="BK84" i="11"/>
  <c r="BO68" i="11"/>
  <c r="BI59" i="12"/>
  <c r="BO38" i="11"/>
  <c r="BO51" i="11" s="1"/>
  <c r="BE79" i="11"/>
  <c r="BK79" i="11"/>
  <c r="BE33" i="11"/>
  <c r="BE49" i="11"/>
  <c r="BK49" i="11"/>
  <c r="BK78" i="11"/>
  <c r="BQ8" i="12"/>
  <c r="BL8" i="12"/>
  <c r="BM8" i="12" s="1"/>
  <c r="BN8" i="12" s="1"/>
  <c r="AK74" i="11"/>
  <c r="BX81" i="9"/>
  <c r="BX78" i="9"/>
  <c r="CC39" i="13"/>
  <c r="BY80" i="9"/>
  <c r="BY39" i="13"/>
  <c r="BS36" i="13"/>
  <c r="BS40" i="13"/>
  <c r="BT37" i="13"/>
  <c r="BU37" i="13" s="1"/>
  <c r="BC56" i="9" l="1"/>
  <c r="BI57" i="9"/>
  <c r="AQ78" i="10"/>
  <c r="BT26" i="40"/>
  <c r="BT169" i="10"/>
  <c r="CE31" i="10"/>
  <c r="CE152" i="10" s="1"/>
  <c r="CD170" i="10"/>
  <c r="BZ171" i="10"/>
  <c r="CC30" i="10"/>
  <c r="CA30" i="10"/>
  <c r="CA171" i="10" s="1"/>
  <c r="AE166" i="10"/>
  <c r="AE185" i="10"/>
  <c r="AE186" i="10"/>
  <c r="AE53" i="10" s="1"/>
  <c r="CE35" i="10"/>
  <c r="CD175" i="10"/>
  <c r="CJ82" i="11"/>
  <c r="CJ59" i="13"/>
  <c r="AP74" i="11"/>
  <c r="CA73" i="13"/>
  <c r="CA32" i="13" s="1"/>
  <c r="CD11" i="40"/>
  <c r="CA42" i="40"/>
  <c r="CC21" i="40"/>
  <c r="CD21" i="40" s="1"/>
  <c r="CE21" i="40" s="1"/>
  <c r="CF21" i="40" s="1"/>
  <c r="CG21" i="40" s="1"/>
  <c r="CC45" i="40"/>
  <c r="CD45" i="40"/>
  <c r="CD23" i="10"/>
  <c r="CE24" i="40"/>
  <c r="CL10" i="40"/>
  <c r="BR6" i="11"/>
  <c r="BS6" i="11" s="1"/>
  <c r="BT6" i="11" s="1"/>
  <c r="BW6" i="11"/>
  <c r="CC32" i="12"/>
  <c r="CC64" i="11"/>
  <c r="CD75" i="11"/>
  <c r="CJ77" i="11"/>
  <c r="CK78" i="11"/>
  <c r="CE75" i="11"/>
  <c r="CF75" i="11"/>
  <c r="BW7" i="40"/>
  <c r="CC7" i="13"/>
  <c r="CD74" i="13"/>
  <c r="CC73" i="13"/>
  <c r="CC32" i="13" s="1"/>
  <c r="CD8" i="10"/>
  <c r="CE8" i="10" s="1"/>
  <c r="CF8" i="10" s="1"/>
  <c r="CI8" i="10"/>
  <c r="CJ8" i="10" s="1"/>
  <c r="CK8" i="10" s="1"/>
  <c r="CL8" i="10" s="1"/>
  <c r="CK60" i="11"/>
  <c r="CE122" i="12"/>
  <c r="CK21" i="12"/>
  <c r="BX52" i="12"/>
  <c r="BX11" i="12" s="1"/>
  <c r="BX55" i="12" s="1"/>
  <c r="CD49" i="12"/>
  <c r="CJ60" i="11"/>
  <c r="CJ21" i="12"/>
  <c r="CD122" i="12"/>
  <c r="CE23" i="9"/>
  <c r="CF26" i="10"/>
  <c r="CF14" i="13"/>
  <c r="CF59" i="13"/>
  <c r="CJ124" i="12"/>
  <c r="CK125" i="12"/>
  <c r="CL60" i="11"/>
  <c r="CL21" i="12"/>
  <c r="CF122" i="12"/>
  <c r="CK59" i="13"/>
  <c r="CK26" i="10"/>
  <c r="CK23" i="9" s="1"/>
  <c r="CL11" i="13"/>
  <c r="CL129" i="12"/>
  <c r="CL86" i="12"/>
  <c r="CD38" i="10"/>
  <c r="CF32" i="10"/>
  <c r="CD39" i="13"/>
  <c r="CC80" i="9"/>
  <c r="AY123" i="10"/>
  <c r="AY125" i="10" s="1"/>
  <c r="BC125" i="10" s="1"/>
  <c r="BC126" i="10" s="1"/>
  <c r="BE123" i="10" s="1"/>
  <c r="BE125" i="10" s="1"/>
  <c r="BI125" i="10" s="1"/>
  <c r="AJ57" i="9"/>
  <c r="BL81" i="12"/>
  <c r="BL38" i="12"/>
  <c r="AQ59" i="11"/>
  <c r="AQ74" i="11" s="1"/>
  <c r="BR8" i="13"/>
  <c r="BW8" i="13"/>
  <c r="CC8" i="13" s="1"/>
  <c r="BQ8" i="40"/>
  <c r="BM8" i="13"/>
  <c r="BL8" i="40"/>
  <c r="BG8" i="40"/>
  <c r="BH8" i="13"/>
  <c r="BH8" i="40" s="1"/>
  <c r="AK55" i="9"/>
  <c r="AK56" i="9" s="1"/>
  <c r="AK59" i="9"/>
  <c r="BY69" i="9"/>
  <c r="BZ68" i="9"/>
  <c r="CC68" i="9" s="1"/>
  <c r="AJ78" i="10"/>
  <c r="AK75" i="10"/>
  <c r="AP57" i="9"/>
  <c r="AK77" i="10"/>
  <c r="AK58" i="9"/>
  <c r="AB50" i="9"/>
  <c r="AC48" i="9"/>
  <c r="AC49" i="9" s="1"/>
  <c r="W50" i="9"/>
  <c r="X48" i="9"/>
  <c r="X49" i="9" s="1"/>
  <c r="X50" i="9" s="1"/>
  <c r="AG115" i="10"/>
  <c r="AK115" i="10"/>
  <c r="AK118" i="10" s="1"/>
  <c r="AK49" i="9"/>
  <c r="AV59" i="11"/>
  <c r="BA80" i="11"/>
  <c r="BS52" i="12"/>
  <c r="BY49" i="12"/>
  <c r="BM53" i="12"/>
  <c r="BM54" i="12" s="1"/>
  <c r="BG37" i="11"/>
  <c r="BG50" i="11" s="1"/>
  <c r="BG65" i="11"/>
  <c r="BK14" i="12"/>
  <c r="BO14" i="12" s="1"/>
  <c r="BK12" i="12"/>
  <c r="BK10" i="12" s="1"/>
  <c r="BF80" i="11"/>
  <c r="BL55" i="12"/>
  <c r="BL130" i="12"/>
  <c r="BL9" i="11"/>
  <c r="BL127" i="12"/>
  <c r="K84" i="40"/>
  <c r="K89" i="40" s="1"/>
  <c r="J80" i="40"/>
  <c r="J90" i="40"/>
  <c r="J91" i="40" s="1"/>
  <c r="BL37" i="11"/>
  <c r="BL50" i="11" s="1"/>
  <c r="BL65" i="11"/>
  <c r="BR53" i="12"/>
  <c r="BR54" i="12" s="1"/>
  <c r="BR11" i="12"/>
  <c r="AU90" i="40"/>
  <c r="AV84" i="40"/>
  <c r="AU59" i="11"/>
  <c r="AK76" i="11"/>
  <c r="BW126" i="12"/>
  <c r="AP76" i="11"/>
  <c r="BF42" i="12"/>
  <c r="BF43" i="12" s="1"/>
  <c r="BX32" i="12"/>
  <c r="BR126" i="12"/>
  <c r="BX64" i="11"/>
  <c r="BR35" i="12"/>
  <c r="BR81" i="12" s="1"/>
  <c r="AV61" i="11"/>
  <c r="BC33" i="12"/>
  <c r="BI64" i="11"/>
  <c r="BC126" i="12"/>
  <c r="BC35" i="12"/>
  <c r="BH79" i="11"/>
  <c r="AZ76" i="11"/>
  <c r="BG38" i="12"/>
  <c r="BG36" i="12"/>
  <c r="BG37" i="12" s="1"/>
  <c r="BG41" i="12"/>
  <c r="BG80" i="12"/>
  <c r="BG79" i="12"/>
  <c r="BG123" i="12"/>
  <c r="BS32" i="12"/>
  <c r="BS64" i="11"/>
  <c r="BM126" i="12"/>
  <c r="BM35" i="12"/>
  <c r="AT74" i="11"/>
  <c r="AZ59" i="11"/>
  <c r="BW79" i="11"/>
  <c r="BF61" i="11"/>
  <c r="BL123" i="12"/>
  <c r="BL41" i="12"/>
  <c r="BL79" i="12"/>
  <c r="BL80" i="12"/>
  <c r="BL36" i="12"/>
  <c r="BL37" i="12" s="1"/>
  <c r="BR79" i="11"/>
  <c r="AQ61" i="11"/>
  <c r="BB36" i="12"/>
  <c r="BB37" i="12" s="1"/>
  <c r="BB123" i="12"/>
  <c r="BB41" i="12"/>
  <c r="BB42" i="12" s="1"/>
  <c r="BB43" i="12" s="1"/>
  <c r="BB38" i="12"/>
  <c r="BB80" i="12"/>
  <c r="BB79" i="12"/>
  <c r="BB81" i="12"/>
  <c r="BN64" i="11"/>
  <c r="BI32" i="12"/>
  <c r="BH126" i="12"/>
  <c r="BN32" i="12"/>
  <c r="BH35" i="12"/>
  <c r="AU76" i="11"/>
  <c r="BG81" i="12"/>
  <c r="BM79" i="11"/>
  <c r="BA61" i="11"/>
  <c r="BA42" i="12"/>
  <c r="BA43" i="12" s="1"/>
  <c r="AO74" i="11"/>
  <c r="AW81" i="12"/>
  <c r="AW123" i="12"/>
  <c r="AW80" i="12"/>
  <c r="AW36" i="12"/>
  <c r="AW37" i="12" s="1"/>
  <c r="AW38" i="12"/>
  <c r="AW79" i="12"/>
  <c r="AW41" i="12"/>
  <c r="AW42" i="12" s="1"/>
  <c r="AW43" i="12" s="1"/>
  <c r="BC79" i="11"/>
  <c r="AW57" i="9"/>
  <c r="BC57" i="9"/>
  <c r="CA23" i="10"/>
  <c r="BZ28" i="40"/>
  <c r="BI59" i="40"/>
  <c r="AY57" i="40"/>
  <c r="AY60" i="40" s="1"/>
  <c r="AZ61" i="40"/>
  <c r="AY67" i="40"/>
  <c r="AI56" i="10"/>
  <c r="AI57" i="10"/>
  <c r="AK79" i="40"/>
  <c r="BN61" i="40"/>
  <c r="BO57" i="40"/>
  <c r="BU61" i="40"/>
  <c r="BO62" i="40"/>
  <c r="BO58" i="40" s="1"/>
  <c r="AM56" i="10"/>
  <c r="AM57" i="10"/>
  <c r="AS79" i="40"/>
  <c r="AU61" i="40"/>
  <c r="AT67" i="40"/>
  <c r="AT79" i="40" s="1"/>
  <c r="AT57" i="40"/>
  <c r="AT60" i="40" s="1"/>
  <c r="BB57" i="10"/>
  <c r="BB56" i="10"/>
  <c r="BE57" i="40"/>
  <c r="BE60" i="40" s="1"/>
  <c r="BF61" i="40"/>
  <c r="BE67" i="40"/>
  <c r="AC56" i="10"/>
  <c r="AC57" i="10"/>
  <c r="AE79" i="40"/>
  <c r="BH57" i="40"/>
  <c r="BH67" i="40"/>
  <c r="BH79" i="40" s="1"/>
  <c r="AO67" i="40"/>
  <c r="AO57" i="40"/>
  <c r="AN57" i="10"/>
  <c r="AN56" i="10"/>
  <c r="AW56" i="9"/>
  <c r="AK91" i="40"/>
  <c r="AP89" i="40"/>
  <c r="AP90" i="40" s="1"/>
  <c r="AQ90" i="40" s="1"/>
  <c r="AP92" i="40"/>
  <c r="AQ92" i="40" s="1"/>
  <c r="BK79" i="12"/>
  <c r="BN49" i="12"/>
  <c r="BU51" i="12" s="1"/>
  <c r="BH52" i="12"/>
  <c r="BH55" i="12" s="1"/>
  <c r="BI49" i="12"/>
  <c r="BO51" i="12"/>
  <c r="BO50" i="12" s="1"/>
  <c r="AP80" i="11"/>
  <c r="AY80" i="11"/>
  <c r="AV37" i="11"/>
  <c r="AV50" i="11" s="1"/>
  <c r="AW54" i="12"/>
  <c r="AV65" i="11"/>
  <c r="AD89" i="40"/>
  <c r="AD90" i="40" s="1"/>
  <c r="AE90" i="40" s="1"/>
  <c r="AD92" i="40"/>
  <c r="AE92" i="40" s="1"/>
  <c r="U157" i="12"/>
  <c r="BB53" i="12"/>
  <c r="BB54" i="12" s="1"/>
  <c r="BB55" i="12"/>
  <c r="BC52" i="12"/>
  <c r="AQ37" i="11"/>
  <c r="AQ50" i="11" s="1"/>
  <c r="AQ65" i="11"/>
  <c r="AW55" i="12"/>
  <c r="AW53" i="12"/>
  <c r="AK80" i="11"/>
  <c r="P111" i="10"/>
  <c r="Q96" i="10"/>
  <c r="P107" i="10"/>
  <c r="AD71" i="9"/>
  <c r="AD72" i="9"/>
  <c r="AD67" i="9"/>
  <c r="AH67" i="9"/>
  <c r="AI63" i="9" s="1"/>
  <c r="AH71" i="9"/>
  <c r="AH72" i="9"/>
  <c r="AQ63" i="9"/>
  <c r="AM63" i="9"/>
  <c r="BN66" i="40"/>
  <c r="BU44" i="40"/>
  <c r="BX13" i="40"/>
  <c r="BU25" i="40"/>
  <c r="BU46" i="40" s="1"/>
  <c r="BX17" i="40"/>
  <c r="BW23" i="40"/>
  <c r="BW47" i="40" s="1"/>
  <c r="CA32" i="40"/>
  <c r="BU29" i="10"/>
  <c r="BU169" i="10" s="1"/>
  <c r="BT46" i="10"/>
  <c r="BZ20" i="10"/>
  <c r="BY146" i="10"/>
  <c r="CA38" i="10"/>
  <c r="CA90" i="10" s="1"/>
  <c r="BZ90" i="10"/>
  <c r="BK46" i="11"/>
  <c r="BE46" i="11"/>
  <c r="BO83" i="11"/>
  <c r="BU62" i="11"/>
  <c r="BO27" i="12"/>
  <c r="BO124" i="12"/>
  <c r="BQ77" i="11"/>
  <c r="BE61" i="11"/>
  <c r="BE65" i="11"/>
  <c r="BE37" i="11"/>
  <c r="BE50" i="11" s="1"/>
  <c r="BK71" i="12"/>
  <c r="BK72" i="12" s="1"/>
  <c r="BO72" i="12" s="1"/>
  <c r="BQ81" i="11"/>
  <c r="BK80" i="12"/>
  <c r="BQ125" i="12"/>
  <c r="BW29" i="12"/>
  <c r="BW63" i="11"/>
  <c r="BU29" i="12"/>
  <c r="BO49" i="11"/>
  <c r="BI49" i="11"/>
  <c r="BI33" i="11"/>
  <c r="BU68" i="11"/>
  <c r="BO59" i="12"/>
  <c r="BQ12" i="12"/>
  <c r="BU58" i="12"/>
  <c r="BW68" i="11"/>
  <c r="BW58" i="12"/>
  <c r="CG60" i="12" s="1"/>
  <c r="BU38" i="11"/>
  <c r="BU51" i="11" s="1"/>
  <c r="BW67" i="12"/>
  <c r="BW69" i="11"/>
  <c r="BQ15" i="12"/>
  <c r="BO77" i="11"/>
  <c r="BK53" i="12"/>
  <c r="BK54" i="12" s="1"/>
  <c r="BE42" i="12"/>
  <c r="BE43" i="12" s="1"/>
  <c r="BK81" i="12"/>
  <c r="BK36" i="12"/>
  <c r="BK37" i="12" s="1"/>
  <c r="BK123" i="12"/>
  <c r="BW26" i="12"/>
  <c r="BW62" i="11"/>
  <c r="BQ124" i="12"/>
  <c r="BQ35" i="12"/>
  <c r="BQ80" i="12" s="1"/>
  <c r="BU26" i="12"/>
  <c r="BI60" i="11"/>
  <c r="BI32" i="11"/>
  <c r="BI45" i="11" s="1"/>
  <c r="BQ14" i="12"/>
  <c r="BW64" i="12"/>
  <c r="BW66" i="11"/>
  <c r="BQ70" i="12"/>
  <c r="BO78" i="11"/>
  <c r="BU63" i="11"/>
  <c r="BO30" i="12"/>
  <c r="BO125" i="12"/>
  <c r="BQ78" i="11"/>
  <c r="BQ83" i="11"/>
  <c r="BQ84" i="11"/>
  <c r="BO15" i="12"/>
  <c r="BQ52" i="12"/>
  <c r="BW49" i="12"/>
  <c r="BK41" i="12"/>
  <c r="BO122" i="12"/>
  <c r="BO22" i="12"/>
  <c r="BO23" i="12" s="1"/>
  <c r="BW21" i="12"/>
  <c r="BW60" i="11"/>
  <c r="BQ122" i="12"/>
  <c r="BU21" i="12"/>
  <c r="BQ75" i="11"/>
  <c r="S86" i="10"/>
  <c r="S92" i="10" s="1"/>
  <c r="O86" i="10"/>
  <c r="O92" i="10" s="1"/>
  <c r="P86" i="10" s="1"/>
  <c r="P92" i="10" s="1"/>
  <c r="Q86" i="10" s="1"/>
  <c r="Q92" i="10" s="1"/>
  <c r="R86" i="10" s="1"/>
  <c r="R92" i="10" s="1"/>
  <c r="BR8" i="12"/>
  <c r="BS8" i="12" s="1"/>
  <c r="BT8" i="12" s="1"/>
  <c r="BW8" i="12"/>
  <c r="BZ39" i="13"/>
  <c r="CA60" i="9"/>
  <c r="BZ80" i="9"/>
  <c r="BY81" i="9"/>
  <c r="BY78" i="9"/>
  <c r="BT36" i="13"/>
  <c r="BU36" i="13" s="1"/>
  <c r="BT40" i="13"/>
  <c r="BU40" i="13" s="1"/>
  <c r="BW37" i="13"/>
  <c r="CD30" i="10" l="1"/>
  <c r="CC171" i="10"/>
  <c r="CF31" i="10"/>
  <c r="CE170" i="10"/>
  <c r="CF35" i="10"/>
  <c r="CE175" i="10"/>
  <c r="BU26" i="40"/>
  <c r="CC20" i="10"/>
  <c r="CC146" i="10" s="1"/>
  <c r="BX53" i="12"/>
  <c r="BX54" i="12" s="1"/>
  <c r="BX37" i="11" s="1"/>
  <c r="CE23" i="10"/>
  <c r="CF24" i="40"/>
  <c r="CE45" i="40"/>
  <c r="CG42" i="40"/>
  <c r="CI21" i="40"/>
  <c r="CJ21" i="40" s="1"/>
  <c r="CK21" i="40" s="1"/>
  <c r="CL21" i="40" s="1"/>
  <c r="CM21" i="40" s="1"/>
  <c r="CM42" i="40" s="1"/>
  <c r="CM10" i="40"/>
  <c r="CE11" i="40"/>
  <c r="CC6" i="11"/>
  <c r="BX6" i="11"/>
  <c r="BY6" i="11" s="1"/>
  <c r="BZ6" i="11" s="1"/>
  <c r="CC69" i="9"/>
  <c r="CD68" i="9"/>
  <c r="CD32" i="12"/>
  <c r="CD64" i="11"/>
  <c r="CL75" i="11"/>
  <c r="CJ75" i="11"/>
  <c r="CK75" i="11"/>
  <c r="BX8" i="12"/>
  <c r="BY8" i="12" s="1"/>
  <c r="BZ8" i="12" s="1"/>
  <c r="CC8" i="12"/>
  <c r="CC79" i="11"/>
  <c r="CI32" i="12"/>
  <c r="CI64" i="11"/>
  <c r="CC126" i="12"/>
  <c r="CE74" i="13"/>
  <c r="CD73" i="13"/>
  <c r="CD32" i="13" s="1"/>
  <c r="CD8" i="13"/>
  <c r="CC8" i="40"/>
  <c r="CI8" i="13"/>
  <c r="CI7" i="13"/>
  <c r="CI7" i="40" s="1"/>
  <c r="CC7" i="40"/>
  <c r="BO59" i="40"/>
  <c r="CC69" i="11"/>
  <c r="CC67" i="12"/>
  <c r="CJ122" i="12"/>
  <c r="CC66" i="11"/>
  <c r="CC64" i="12"/>
  <c r="CC63" i="11"/>
  <c r="CC29" i="12"/>
  <c r="CC60" i="11"/>
  <c r="CC21" i="12"/>
  <c r="CF23" i="9"/>
  <c r="CG26" i="10"/>
  <c r="CJ49" i="12"/>
  <c r="CJ52" i="12" s="1"/>
  <c r="CD52" i="12"/>
  <c r="CC49" i="12"/>
  <c r="CC62" i="11"/>
  <c r="CC26" i="12"/>
  <c r="CC68" i="11"/>
  <c r="CC58" i="12"/>
  <c r="CM60" i="12" s="1"/>
  <c r="BY52" i="12"/>
  <c r="BY53" i="12" s="1"/>
  <c r="BY54" i="12" s="1"/>
  <c r="CE49" i="12"/>
  <c r="CL26" i="10"/>
  <c r="CL59" i="13"/>
  <c r="CL14" i="13"/>
  <c r="CL122" i="12"/>
  <c r="CK122" i="12"/>
  <c r="CC81" i="9"/>
  <c r="CC78" i="9"/>
  <c r="CG32" i="10"/>
  <c r="CI32" i="10"/>
  <c r="CE39" i="13"/>
  <c r="CD80" i="9"/>
  <c r="CD90" i="10"/>
  <c r="CE38" i="10"/>
  <c r="CC90" i="10"/>
  <c r="BI123" i="10"/>
  <c r="BI126" i="10" s="1"/>
  <c r="BO123" i="10" s="1"/>
  <c r="BK13" i="12"/>
  <c r="BK85" i="12" s="1"/>
  <c r="BK121" i="12"/>
  <c r="AQ57" i="9"/>
  <c r="AK57" i="9"/>
  <c r="AK78" i="10"/>
  <c r="BM8" i="40"/>
  <c r="BN8" i="13"/>
  <c r="BX8" i="13"/>
  <c r="BW8" i="40"/>
  <c r="BS8" i="13"/>
  <c r="BR8" i="40"/>
  <c r="BZ69" i="9"/>
  <c r="CA68" i="9"/>
  <c r="CA69" i="9" s="1"/>
  <c r="BK10" i="11"/>
  <c r="AV74" i="11"/>
  <c r="AK50" i="9"/>
  <c r="AQ48" i="9"/>
  <c r="AQ49" i="9" s="1"/>
  <c r="AD48" i="9"/>
  <c r="AD49" i="9" s="1"/>
  <c r="AC50" i="9"/>
  <c r="AG119" i="10"/>
  <c r="AK119" i="10" s="1"/>
  <c r="AK120" i="10" s="1"/>
  <c r="AG118" i="10"/>
  <c r="BG80" i="11"/>
  <c r="BS53" i="12"/>
  <c r="BS54" i="12" s="1"/>
  <c r="BS11" i="12"/>
  <c r="BC43" i="12"/>
  <c r="BM37" i="11"/>
  <c r="BM50" i="11" s="1"/>
  <c r="BM65" i="11"/>
  <c r="BM55" i="12"/>
  <c r="BM130" i="12"/>
  <c r="BM9" i="11"/>
  <c r="BM127" i="12"/>
  <c r="BK73" i="12"/>
  <c r="BO12" i="12"/>
  <c r="BK61" i="12"/>
  <c r="BK78" i="12"/>
  <c r="BK128" i="12"/>
  <c r="BK38" i="12"/>
  <c r="BK133" i="12"/>
  <c r="BK8" i="11"/>
  <c r="BK21" i="11" s="1"/>
  <c r="DJ22" i="11" s="1"/>
  <c r="BK134" i="12"/>
  <c r="BQ79" i="12"/>
  <c r="BR37" i="11"/>
  <c r="BR50" i="11" s="1"/>
  <c r="BR65" i="11"/>
  <c r="BR9" i="11"/>
  <c r="BR127" i="12"/>
  <c r="BR130" i="12"/>
  <c r="BL80" i="11"/>
  <c r="DK9" i="11"/>
  <c r="BL22" i="11"/>
  <c r="DK23" i="11" s="1"/>
  <c r="BR55" i="12"/>
  <c r="BX127" i="12"/>
  <c r="BX130" i="12"/>
  <c r="BX9" i="11"/>
  <c r="K80" i="40"/>
  <c r="L84" i="40"/>
  <c r="L89" i="40" s="1"/>
  <c r="K90" i="40"/>
  <c r="K91" i="40" s="1"/>
  <c r="BB59" i="11"/>
  <c r="AW59" i="11"/>
  <c r="AW74" i="11" s="1"/>
  <c r="AV92" i="40"/>
  <c r="AW92" i="40" s="1"/>
  <c r="AV89" i="40"/>
  <c r="BA59" i="11"/>
  <c r="BN126" i="12"/>
  <c r="BO32" i="12"/>
  <c r="BT64" i="11"/>
  <c r="BT32" i="12"/>
  <c r="BN35" i="12"/>
  <c r="BI126" i="12"/>
  <c r="BI35" i="12"/>
  <c r="BO64" i="11"/>
  <c r="BB61" i="11"/>
  <c r="BL61" i="11"/>
  <c r="BL42" i="12"/>
  <c r="BL43" i="12" s="1"/>
  <c r="BF76" i="11"/>
  <c r="BM80" i="12"/>
  <c r="BM79" i="12"/>
  <c r="BM36" i="12"/>
  <c r="BM37" i="12" s="1"/>
  <c r="BM41" i="12"/>
  <c r="BM123" i="12"/>
  <c r="BS79" i="11"/>
  <c r="BG61" i="11"/>
  <c r="BC81" i="12"/>
  <c r="BC123" i="12"/>
  <c r="BC80" i="12"/>
  <c r="BC38" i="12"/>
  <c r="BC36" i="12"/>
  <c r="BC37" i="12" s="1"/>
  <c r="BC79" i="12"/>
  <c r="BC41" i="12"/>
  <c r="BC42" i="12" s="1"/>
  <c r="BI79" i="11"/>
  <c r="BX79" i="11"/>
  <c r="AU74" i="11"/>
  <c r="AW61" i="11"/>
  <c r="BA76" i="11"/>
  <c r="BH38" i="12"/>
  <c r="BH36" i="12"/>
  <c r="BH37" i="12" s="1"/>
  <c r="BH79" i="12"/>
  <c r="BH81" i="12"/>
  <c r="BH123" i="12"/>
  <c r="BH80" i="12"/>
  <c r="BH41" i="12"/>
  <c r="BH42" i="12" s="1"/>
  <c r="BH43" i="12" s="1"/>
  <c r="BN79" i="11"/>
  <c r="AQ76" i="11"/>
  <c r="BL121" i="12"/>
  <c r="BL7" i="11"/>
  <c r="BL9" i="12"/>
  <c r="BL8" i="11"/>
  <c r="BL133" i="12"/>
  <c r="BL78" i="12"/>
  <c r="AZ74" i="11"/>
  <c r="BM81" i="12"/>
  <c r="BS126" i="12"/>
  <c r="BY32" i="12"/>
  <c r="BY64" i="11"/>
  <c r="BS35" i="12"/>
  <c r="BS81" i="12" s="1"/>
  <c r="BG42" i="12"/>
  <c r="BG43" i="12" s="1"/>
  <c r="AV76" i="11"/>
  <c r="BR80" i="12"/>
  <c r="BR123" i="12"/>
  <c r="BR36" i="12"/>
  <c r="BR37" i="12" s="1"/>
  <c r="BR41" i="12"/>
  <c r="BR79" i="12"/>
  <c r="BR10" i="12"/>
  <c r="BR38" i="12" s="1"/>
  <c r="BX126" i="12"/>
  <c r="BX35" i="12"/>
  <c r="BF59" i="11"/>
  <c r="BQ41" i="12"/>
  <c r="BQ42" i="12" s="1"/>
  <c r="BQ43" i="12" s="1"/>
  <c r="BW75" i="11"/>
  <c r="BK86" i="12"/>
  <c r="BW77" i="11"/>
  <c r="BW78" i="11"/>
  <c r="BW15" i="12"/>
  <c r="CA15" i="12" s="1"/>
  <c r="BW84" i="11"/>
  <c r="BW81" i="11"/>
  <c r="BW83" i="11"/>
  <c r="CA38" i="11"/>
  <c r="CA51" i="11" s="1"/>
  <c r="CA28" i="40"/>
  <c r="CC28" i="40" s="1"/>
  <c r="CD28" i="40" s="1"/>
  <c r="CE28" i="40" s="1"/>
  <c r="CF28" i="40" s="1"/>
  <c r="CG28" i="40" s="1"/>
  <c r="CI28" i="40" s="1"/>
  <c r="CJ28" i="40" s="1"/>
  <c r="CK28" i="40" s="1"/>
  <c r="CL28" i="40" s="1"/>
  <c r="CM28" i="40" s="1"/>
  <c r="AO60" i="40"/>
  <c r="AP60" i="40"/>
  <c r="BH57" i="10"/>
  <c r="BH56" i="10"/>
  <c r="BE79" i="40"/>
  <c r="AT57" i="10"/>
  <c r="AT56" i="10"/>
  <c r="BU57" i="40"/>
  <c r="BT61" i="40"/>
  <c r="BT57" i="40" s="1"/>
  <c r="CA61" i="40"/>
  <c r="CG61" i="40" s="1"/>
  <c r="BU62" i="40"/>
  <c r="BU58" i="40" s="1"/>
  <c r="BN57" i="40"/>
  <c r="BQ61" i="40"/>
  <c r="AZ57" i="40"/>
  <c r="AZ60" i="40" s="1"/>
  <c r="BA61" i="40"/>
  <c r="AZ67" i="40"/>
  <c r="AZ79" i="40" s="1"/>
  <c r="AO79" i="40"/>
  <c r="AQ67" i="40"/>
  <c r="BK61" i="40"/>
  <c r="AE81" i="40"/>
  <c r="AE57" i="10"/>
  <c r="AE56" i="10"/>
  <c r="BF57" i="40"/>
  <c r="BF60" i="40" s="1"/>
  <c r="BG61" i="40"/>
  <c r="BF67" i="40"/>
  <c r="BF79" i="40" s="1"/>
  <c r="AU57" i="40"/>
  <c r="AU67" i="40"/>
  <c r="AU79" i="40" s="1"/>
  <c r="AS57" i="10"/>
  <c r="AS56" i="10"/>
  <c r="AK57" i="10"/>
  <c r="AK81" i="40"/>
  <c r="AK56" i="10"/>
  <c r="AY79" i="40"/>
  <c r="AQ91" i="40"/>
  <c r="AQ80" i="11"/>
  <c r="BC55" i="12"/>
  <c r="BC53" i="12"/>
  <c r="AW37" i="11"/>
  <c r="AW50" i="11" s="1"/>
  <c r="AW65" i="11"/>
  <c r="BH53" i="12"/>
  <c r="BH54" i="12" s="1"/>
  <c r="BI52" i="12"/>
  <c r="BQ10" i="12"/>
  <c r="BB37" i="11"/>
  <c r="BB50" i="11" s="1"/>
  <c r="BB65" i="11"/>
  <c r="BC54" i="12"/>
  <c r="AE91" i="40"/>
  <c r="AV80" i="11"/>
  <c r="BN52" i="12"/>
  <c r="BT49" i="12"/>
  <c r="CA51" i="12" s="1"/>
  <c r="CA50" i="12" s="1"/>
  <c r="BO49" i="12"/>
  <c r="Q105" i="10"/>
  <c r="Q101" i="10"/>
  <c r="P112" i="10"/>
  <c r="P106" i="10"/>
  <c r="Q103" i="10"/>
  <c r="AQ67" i="9"/>
  <c r="AQ71" i="9"/>
  <c r="AQ72" i="9"/>
  <c r="AM67" i="9"/>
  <c r="AN63" i="9" s="1"/>
  <c r="AM72" i="9"/>
  <c r="AM71" i="9"/>
  <c r="AI72" i="9"/>
  <c r="AI67" i="9"/>
  <c r="AJ63" i="9" s="1"/>
  <c r="AI71" i="9"/>
  <c r="BO66" i="40"/>
  <c r="BQ66" i="40"/>
  <c r="BN67" i="40"/>
  <c r="BN79" i="40" s="1"/>
  <c r="BY13" i="40"/>
  <c r="BW29" i="10"/>
  <c r="BW169" i="10" s="1"/>
  <c r="BW25" i="40"/>
  <c r="BW46" i="40" s="1"/>
  <c r="BU46" i="10"/>
  <c r="BY17" i="40"/>
  <c r="BX23" i="40"/>
  <c r="BX47" i="40" s="1"/>
  <c r="CA20" i="10"/>
  <c r="BZ146" i="10"/>
  <c r="BU22" i="12"/>
  <c r="BU23" i="12" s="1"/>
  <c r="BU122" i="12"/>
  <c r="BW122" i="12"/>
  <c r="CA21" i="12"/>
  <c r="BO32" i="11"/>
  <c r="BO45" i="11" s="1"/>
  <c r="BO60" i="11"/>
  <c r="BW52" i="12"/>
  <c r="BU78" i="11"/>
  <c r="BK11" i="13"/>
  <c r="BQ71" i="12"/>
  <c r="BQ72" i="12" s="1"/>
  <c r="BU72" i="12" s="1"/>
  <c r="BQ73" i="12"/>
  <c r="BW70" i="12"/>
  <c r="BW14" i="12"/>
  <c r="BU14" i="12"/>
  <c r="BQ13" i="12"/>
  <c r="BQ86" i="12" s="1"/>
  <c r="BU124" i="12"/>
  <c r="BU27" i="12"/>
  <c r="CA62" i="11"/>
  <c r="BW124" i="12"/>
  <c r="CA26" i="12"/>
  <c r="BW35" i="12"/>
  <c r="BK61" i="11"/>
  <c r="BE59" i="11"/>
  <c r="BK37" i="11"/>
  <c r="BK50" i="11" s="1"/>
  <c r="BK65" i="11"/>
  <c r="BU15" i="12"/>
  <c r="BU59" i="12"/>
  <c r="CA68" i="11"/>
  <c r="BI46" i="11"/>
  <c r="BO46" i="11"/>
  <c r="BK9" i="12"/>
  <c r="BK82" i="12" s="1"/>
  <c r="BK42" i="12"/>
  <c r="BK43" i="12" s="1"/>
  <c r="BQ11" i="12"/>
  <c r="BQ55" i="12" s="1"/>
  <c r="BQ53" i="12"/>
  <c r="BQ54" i="12" s="1"/>
  <c r="BO67" i="12"/>
  <c r="BO64" i="12"/>
  <c r="BI75" i="11"/>
  <c r="BQ81" i="12"/>
  <c r="BQ36" i="12"/>
  <c r="BQ37" i="12" s="1"/>
  <c r="BQ123" i="12"/>
  <c r="BK9" i="11"/>
  <c r="BK127" i="12"/>
  <c r="BW12" i="12"/>
  <c r="CA58" i="12"/>
  <c r="BQ128" i="12"/>
  <c r="BQ134" i="12"/>
  <c r="BQ61" i="12"/>
  <c r="BU12" i="12"/>
  <c r="BQ10" i="11"/>
  <c r="DN10" i="11" s="1"/>
  <c r="BU83" i="11"/>
  <c r="BU30" i="12"/>
  <c r="BU125" i="12"/>
  <c r="CA63" i="11"/>
  <c r="CA29" i="12"/>
  <c r="BW125" i="12"/>
  <c r="BE80" i="11"/>
  <c r="BE76" i="11"/>
  <c r="BU77" i="11"/>
  <c r="BK7" i="11"/>
  <c r="Y86" i="10"/>
  <c r="Y92" i="10" s="1"/>
  <c r="U86" i="10"/>
  <c r="U92" i="10" s="1"/>
  <c r="V86" i="10" s="1"/>
  <c r="V92" i="10" s="1"/>
  <c r="W86" i="10" s="1"/>
  <c r="W92" i="10" s="1"/>
  <c r="X86" i="10" s="1"/>
  <c r="X92" i="10" s="1"/>
  <c r="BZ81" i="9"/>
  <c r="BZ78" i="9"/>
  <c r="CA80" i="9"/>
  <c r="CA39" i="13"/>
  <c r="BU41" i="13"/>
  <c r="BW40" i="13"/>
  <c r="BW36" i="13"/>
  <c r="BX37" i="13"/>
  <c r="BQ78" i="12" l="1"/>
  <c r="DJ10" i="11"/>
  <c r="BN8" i="40"/>
  <c r="CD20" i="10"/>
  <c r="CD146" i="10" s="1"/>
  <c r="CF170" i="10"/>
  <c r="CG31" i="10"/>
  <c r="CG170" i="10" s="1"/>
  <c r="CI31" i="10"/>
  <c r="CE30" i="10"/>
  <c r="CD171" i="10"/>
  <c r="CF152" i="10"/>
  <c r="CF175" i="10"/>
  <c r="CI35" i="10"/>
  <c r="CG35" i="10"/>
  <c r="CG175" i="10" s="1"/>
  <c r="CA146" i="10"/>
  <c r="BX65" i="11"/>
  <c r="BR22" i="11"/>
  <c r="DO23" i="11" s="1"/>
  <c r="DO9" i="11"/>
  <c r="BK67" i="11"/>
  <c r="CF11" i="40"/>
  <c r="CM31" i="40"/>
  <c r="CI24" i="40"/>
  <c r="CF23" i="10"/>
  <c r="CF45" i="40"/>
  <c r="CG24" i="40"/>
  <c r="CG45" i="40" s="1"/>
  <c r="CD6" i="11"/>
  <c r="CE6" i="11" s="1"/>
  <c r="CF6" i="11" s="1"/>
  <c r="CI6" i="11"/>
  <c r="CJ6" i="11" s="1"/>
  <c r="CK6" i="11" s="1"/>
  <c r="CL6" i="11" s="1"/>
  <c r="CD69" i="9"/>
  <c r="CE68" i="9"/>
  <c r="BY11" i="12"/>
  <c r="CC83" i="11"/>
  <c r="CC77" i="11"/>
  <c r="CC75" i="11"/>
  <c r="CC81" i="11"/>
  <c r="CC84" i="11"/>
  <c r="CI79" i="11"/>
  <c r="CI126" i="12"/>
  <c r="CD8" i="12"/>
  <c r="CE8" i="12" s="1"/>
  <c r="CF8" i="12" s="1"/>
  <c r="CI8" i="12"/>
  <c r="CJ8" i="12" s="1"/>
  <c r="CK8" i="12" s="1"/>
  <c r="CL8" i="12" s="1"/>
  <c r="BK130" i="12"/>
  <c r="BK129" i="12"/>
  <c r="BO13" i="12"/>
  <c r="BO85" i="12" s="1"/>
  <c r="CE32" i="12"/>
  <c r="CE64" i="11"/>
  <c r="CG38" i="11"/>
  <c r="CG51" i="11" s="1"/>
  <c r="CC78" i="11"/>
  <c r="CD79" i="11"/>
  <c r="CJ32" i="12"/>
  <c r="CD126" i="12"/>
  <c r="CJ64" i="11"/>
  <c r="CD35" i="12"/>
  <c r="CD81" i="12" s="1"/>
  <c r="CE8" i="13"/>
  <c r="CD8" i="40"/>
  <c r="CI8" i="40"/>
  <c r="CJ8" i="13"/>
  <c r="CF74" i="13"/>
  <c r="CE73" i="13"/>
  <c r="CM61" i="40"/>
  <c r="CF61" i="40"/>
  <c r="CG62" i="40"/>
  <c r="CG58" i="40" s="1"/>
  <c r="CG57" i="40"/>
  <c r="CM26" i="10"/>
  <c r="CL23" i="9"/>
  <c r="CI63" i="11"/>
  <c r="CC125" i="12"/>
  <c r="CI29" i="12"/>
  <c r="CG29" i="12"/>
  <c r="BC59" i="11"/>
  <c r="BC74" i="11" s="1"/>
  <c r="CG63" i="11"/>
  <c r="CG62" i="11"/>
  <c r="CE52" i="12"/>
  <c r="CK49" i="12"/>
  <c r="CK52" i="12" s="1"/>
  <c r="CC52" i="12"/>
  <c r="CI49" i="12"/>
  <c r="CD53" i="12"/>
  <c r="CD54" i="12" s="1"/>
  <c r="CD11" i="12"/>
  <c r="CA59" i="12"/>
  <c r="CG68" i="11"/>
  <c r="CI62" i="11"/>
  <c r="CC124" i="12"/>
  <c r="CI26" i="12"/>
  <c r="CC35" i="12"/>
  <c r="CC10" i="12" s="1"/>
  <c r="CG26" i="12"/>
  <c r="CJ53" i="12"/>
  <c r="CJ54" i="12" s="1"/>
  <c r="CJ11" i="12"/>
  <c r="CC15" i="12"/>
  <c r="CI69" i="11"/>
  <c r="CI67" i="12"/>
  <c r="CI68" i="11"/>
  <c r="CI58" i="12"/>
  <c r="CC12" i="12"/>
  <c r="CG58" i="12"/>
  <c r="CI60" i="11"/>
  <c r="CC122" i="12"/>
  <c r="CI21" i="12"/>
  <c r="CG21" i="12"/>
  <c r="CI66" i="11"/>
  <c r="CI64" i="12"/>
  <c r="CC70" i="12"/>
  <c r="CC14" i="12"/>
  <c r="CD81" i="9"/>
  <c r="CD78" i="9"/>
  <c r="CJ32" i="10"/>
  <c r="CF38" i="10"/>
  <c r="CE90" i="10"/>
  <c r="CF39" i="13"/>
  <c r="CE80" i="9"/>
  <c r="BK23" i="11"/>
  <c r="DJ24" i="11" s="1"/>
  <c r="BK123" i="10"/>
  <c r="BK125" i="10" s="1"/>
  <c r="BO125" i="10" s="1"/>
  <c r="BO126" i="10" s="1"/>
  <c r="BS8" i="40"/>
  <c r="BT8" i="13"/>
  <c r="BT8" i="40" s="1"/>
  <c r="BY8" i="13"/>
  <c r="BX8" i="40"/>
  <c r="BK46" i="13"/>
  <c r="BO46" i="13" s="1"/>
  <c r="BK81" i="10"/>
  <c r="BQ81" i="10" s="1"/>
  <c r="BW81" i="10" s="1"/>
  <c r="CC81" i="10" s="1"/>
  <c r="CI81" i="10" s="1"/>
  <c r="BK59" i="13"/>
  <c r="AG48" i="9"/>
  <c r="AG49" i="9" s="1"/>
  <c r="AD50" i="9"/>
  <c r="AQ50" i="9"/>
  <c r="AW48" i="9"/>
  <c r="AW49" i="9" s="1"/>
  <c r="AM115" i="10"/>
  <c r="AQ115" i="10"/>
  <c r="AQ118" i="10" s="1"/>
  <c r="BB74" i="11"/>
  <c r="DJ8" i="11"/>
  <c r="BX22" i="11"/>
  <c r="DL9" i="11"/>
  <c r="BM22" i="11"/>
  <c r="DL23" i="11" s="1"/>
  <c r="BY37" i="11"/>
  <c r="BY65" i="11"/>
  <c r="BS65" i="11"/>
  <c r="BS37" i="11"/>
  <c r="BS50" i="11" s="1"/>
  <c r="BM80" i="11"/>
  <c r="BS130" i="12"/>
  <c r="BS9" i="11"/>
  <c r="BS55" i="12"/>
  <c r="BS127" i="12"/>
  <c r="BO128" i="12"/>
  <c r="BO134" i="12"/>
  <c r="BO61" i="12"/>
  <c r="BO10" i="11"/>
  <c r="BO23" i="11" s="1"/>
  <c r="BK135" i="12"/>
  <c r="BW80" i="12"/>
  <c r="BQ38" i="12"/>
  <c r="L90" i="40"/>
  <c r="L91" i="40" s="1"/>
  <c r="L80" i="40"/>
  <c r="BR80" i="11"/>
  <c r="BX50" i="11"/>
  <c r="BH59" i="11"/>
  <c r="BQ8" i="11"/>
  <c r="BI43" i="12"/>
  <c r="AV90" i="40"/>
  <c r="AW90" i="40" s="1"/>
  <c r="AW91" i="40" s="1"/>
  <c r="AY84" i="40"/>
  <c r="BX123" i="12"/>
  <c r="BX10" i="12"/>
  <c r="BX80" i="12"/>
  <c r="BX36" i="12"/>
  <c r="BX37" i="12" s="1"/>
  <c r="BX41" i="12"/>
  <c r="BX79" i="12"/>
  <c r="BG59" i="11"/>
  <c r="BY126" i="12"/>
  <c r="BY35" i="12"/>
  <c r="BL135" i="12"/>
  <c r="BL77" i="12"/>
  <c r="BL83" i="12"/>
  <c r="BL76" i="12"/>
  <c r="BL16" i="12"/>
  <c r="BL82" i="12"/>
  <c r="BL10" i="13"/>
  <c r="BL118" i="12"/>
  <c r="BL119" i="12" s="1"/>
  <c r="BL120" i="12"/>
  <c r="BL84" i="12"/>
  <c r="BM42" i="12"/>
  <c r="BM43" i="12" s="1"/>
  <c r="BL59" i="11"/>
  <c r="BZ32" i="12"/>
  <c r="BT35" i="12"/>
  <c r="BZ64" i="11"/>
  <c r="BT126" i="12"/>
  <c r="BU32" i="12"/>
  <c r="BU64" i="11"/>
  <c r="BO126" i="12"/>
  <c r="BO35" i="12"/>
  <c r="BF74" i="11"/>
  <c r="BX81" i="12"/>
  <c r="BR133" i="12"/>
  <c r="BR121" i="12"/>
  <c r="BR9" i="12"/>
  <c r="BR8" i="11"/>
  <c r="BR7" i="11"/>
  <c r="DO7" i="11" s="1"/>
  <c r="BR78" i="12"/>
  <c r="BR42" i="12"/>
  <c r="BR43" i="12" s="1"/>
  <c r="BR61" i="11"/>
  <c r="BS80" i="12"/>
  <c r="BS123" i="12"/>
  <c r="BS41" i="12"/>
  <c r="BS36" i="12"/>
  <c r="BS37" i="12" s="1"/>
  <c r="BS79" i="12"/>
  <c r="BS10" i="12"/>
  <c r="BY79" i="11"/>
  <c r="BL21" i="11"/>
  <c r="DK22" i="11" s="1"/>
  <c r="DK8" i="11"/>
  <c r="BL20" i="11"/>
  <c r="DK21" i="11" s="1"/>
  <c r="BL58" i="11"/>
  <c r="DK7" i="11"/>
  <c r="BH61" i="11"/>
  <c r="AW76" i="11"/>
  <c r="BC61" i="11"/>
  <c r="BG76" i="11"/>
  <c r="BM38" i="12"/>
  <c r="BM8" i="11"/>
  <c r="BM78" i="12"/>
  <c r="BM121" i="12"/>
  <c r="BM133" i="12"/>
  <c r="BM9" i="12"/>
  <c r="BM77" i="12" s="1"/>
  <c r="BM7" i="11"/>
  <c r="BM61" i="11"/>
  <c r="BL76" i="11"/>
  <c r="BB76" i="11"/>
  <c r="BO79" i="11"/>
  <c r="BI38" i="12"/>
  <c r="BI36" i="12"/>
  <c r="BI37" i="12" s="1"/>
  <c r="BI80" i="12"/>
  <c r="BI81" i="12"/>
  <c r="BI123" i="12"/>
  <c r="BI79" i="12"/>
  <c r="BI41" i="12"/>
  <c r="BI42" i="12" s="1"/>
  <c r="BN80" i="12"/>
  <c r="BN81" i="12"/>
  <c r="BN123" i="12"/>
  <c r="BN36" i="12"/>
  <c r="BN37" i="12" s="1"/>
  <c r="BN79" i="12"/>
  <c r="BN41" i="12"/>
  <c r="BN42" i="12" s="1"/>
  <c r="BN43" i="12" s="1"/>
  <c r="BT79" i="11"/>
  <c r="BA74" i="11"/>
  <c r="BW46" i="10"/>
  <c r="CA78" i="11"/>
  <c r="CA77" i="11"/>
  <c r="BQ121" i="12"/>
  <c r="CA83" i="11"/>
  <c r="BU59" i="40"/>
  <c r="AU56" i="10"/>
  <c r="AU57" i="10"/>
  <c r="BF56" i="10"/>
  <c r="BF57" i="10"/>
  <c r="BL61" i="40"/>
  <c r="BK57" i="40"/>
  <c r="BK60" i="40" s="1"/>
  <c r="BK67" i="40"/>
  <c r="BK79" i="40" s="1"/>
  <c r="AO57" i="10"/>
  <c r="AO56" i="10"/>
  <c r="AQ79" i="40"/>
  <c r="BA67" i="40"/>
  <c r="BA57" i="40"/>
  <c r="BR61" i="40"/>
  <c r="BQ57" i="40"/>
  <c r="BQ60" i="40" s="1"/>
  <c r="AW67" i="40"/>
  <c r="BE56" i="10"/>
  <c r="BE57" i="10"/>
  <c r="AY56" i="10"/>
  <c r="AY57" i="10"/>
  <c r="AW79" i="40"/>
  <c r="AU60" i="40"/>
  <c r="AV60" i="40"/>
  <c r="BG57" i="40"/>
  <c r="BG67" i="40"/>
  <c r="BG79" i="40" s="1"/>
  <c r="AZ56" i="10"/>
  <c r="AZ57" i="10"/>
  <c r="CA57" i="40"/>
  <c r="BZ61" i="40"/>
  <c r="CC61" i="40" s="1"/>
  <c r="CA62" i="40"/>
  <c r="CA58" i="40" s="1"/>
  <c r="BZ49" i="12"/>
  <c r="CG51" i="12" s="1"/>
  <c r="CG50" i="12" s="1"/>
  <c r="BT52" i="12"/>
  <c r="BU49" i="12"/>
  <c r="BB80" i="11"/>
  <c r="BH37" i="11"/>
  <c r="BH50" i="11" s="1"/>
  <c r="BI54" i="12"/>
  <c r="BH65" i="11"/>
  <c r="BN55" i="12"/>
  <c r="BN53" i="12"/>
  <c r="BN54" i="12" s="1"/>
  <c r="BO52" i="12"/>
  <c r="BO53" i="12" s="1"/>
  <c r="BC37" i="11"/>
  <c r="BC50" i="11" s="1"/>
  <c r="BC65" i="11"/>
  <c r="BI53" i="12"/>
  <c r="BI55" i="12"/>
  <c r="AW80" i="11"/>
  <c r="Q107" i="10"/>
  <c r="R96" i="10"/>
  <c r="Q111" i="10"/>
  <c r="AJ67" i="9"/>
  <c r="AJ71" i="9"/>
  <c r="AJ72" i="9"/>
  <c r="AN72" i="9"/>
  <c r="AN67" i="9"/>
  <c r="AO63" i="9" s="1"/>
  <c r="AN71" i="9"/>
  <c r="AS63" i="9"/>
  <c r="AW63" i="9"/>
  <c r="BR66" i="40"/>
  <c r="BQ67" i="40"/>
  <c r="BW26" i="40"/>
  <c r="BZ13" i="40"/>
  <c r="BX29" i="10"/>
  <c r="BX169" i="10" s="1"/>
  <c r="BX25" i="40"/>
  <c r="BX46" i="40" s="1"/>
  <c r="BZ17" i="40"/>
  <c r="BY23" i="40"/>
  <c r="BY47" i="40" s="1"/>
  <c r="CA125" i="12"/>
  <c r="CA30" i="12"/>
  <c r="BQ23" i="11"/>
  <c r="DN24" i="11" s="1"/>
  <c r="DJ9" i="11"/>
  <c r="BK22" i="11"/>
  <c r="DJ23" i="11" s="1"/>
  <c r="BQ67" i="11"/>
  <c r="BU69" i="11"/>
  <c r="BO68" i="12"/>
  <c r="BQ9" i="11"/>
  <c r="BQ127" i="12"/>
  <c r="BQ130" i="12"/>
  <c r="BK59" i="11"/>
  <c r="BK76" i="12"/>
  <c r="BK118" i="12"/>
  <c r="BK119" i="12" s="1"/>
  <c r="BK10" i="13"/>
  <c r="BK120" i="12"/>
  <c r="BK77" i="12"/>
  <c r="BK83" i="12"/>
  <c r="CA67" i="12"/>
  <c r="BK80" i="11"/>
  <c r="BK76" i="11"/>
  <c r="BW36" i="12"/>
  <c r="BW37" i="12" s="1"/>
  <c r="BW123" i="12"/>
  <c r="BW81" i="12"/>
  <c r="BQ11" i="13"/>
  <c r="BQ129" i="12"/>
  <c r="BU13" i="12"/>
  <c r="BU85" i="12" s="1"/>
  <c r="CA14" i="12"/>
  <c r="BW13" i="12"/>
  <c r="BK84" i="12"/>
  <c r="BW11" i="12"/>
  <c r="BW53" i="12"/>
  <c r="BW54" i="12" s="1"/>
  <c r="CA122" i="12"/>
  <c r="CA22" i="12"/>
  <c r="CA23" i="12" s="1"/>
  <c r="BW41" i="12"/>
  <c r="BW42" i="12" s="1"/>
  <c r="BW43" i="12" s="1"/>
  <c r="BQ133" i="12"/>
  <c r="BQ7" i="11"/>
  <c r="DN7" i="11" s="1"/>
  <c r="BU32" i="11"/>
  <c r="BU45" i="11" s="1"/>
  <c r="BU60" i="11"/>
  <c r="BK58" i="11"/>
  <c r="DJ7" i="11"/>
  <c r="BK20" i="11"/>
  <c r="DJ21" i="11" s="1"/>
  <c r="BU10" i="11"/>
  <c r="BU61" i="12"/>
  <c r="BU128" i="12"/>
  <c r="BU134" i="12"/>
  <c r="BW128" i="12"/>
  <c r="BW61" i="12"/>
  <c r="BW134" i="12"/>
  <c r="BW10" i="11"/>
  <c r="CA12" i="12"/>
  <c r="BQ61" i="11"/>
  <c r="BU66" i="11"/>
  <c r="BO65" i="12"/>
  <c r="BO70" i="12"/>
  <c r="BQ37" i="11"/>
  <c r="BQ50" i="11" s="1"/>
  <c r="BQ65" i="11"/>
  <c r="BQ59" i="11"/>
  <c r="BU67" i="12"/>
  <c r="BE74" i="11"/>
  <c r="BW79" i="12"/>
  <c r="CA27" i="12"/>
  <c r="CA124" i="12"/>
  <c r="BQ85" i="12"/>
  <c r="BU64" i="12"/>
  <c r="BW73" i="12"/>
  <c r="BW71" i="12"/>
  <c r="BW72" i="12" s="1"/>
  <c r="CA72" i="12" s="1"/>
  <c r="BK16" i="12"/>
  <c r="BO75" i="11"/>
  <c r="BW10" i="12"/>
  <c r="BQ9" i="12"/>
  <c r="BQ84" i="12" s="1"/>
  <c r="AA86" i="10"/>
  <c r="AA92" i="10" s="1"/>
  <c r="AB86" i="10" s="1"/>
  <c r="AB92" i="10" s="1"/>
  <c r="AC86" i="10" s="1"/>
  <c r="AC92" i="10" s="1"/>
  <c r="AD86" i="10" s="1"/>
  <c r="AD92" i="10" s="1"/>
  <c r="AE86" i="10"/>
  <c r="AE92" i="10" s="1"/>
  <c r="CA81" i="9"/>
  <c r="CA78" i="9"/>
  <c r="BX40" i="13"/>
  <c r="BX36" i="13"/>
  <c r="BY37" i="13"/>
  <c r="CA59" i="40" l="1"/>
  <c r="BK87" i="12"/>
  <c r="BK88" i="12" s="1"/>
  <c r="BL87" i="12"/>
  <c r="BL88" i="12" s="1"/>
  <c r="BX80" i="11"/>
  <c r="BO129" i="12"/>
  <c r="CG152" i="10"/>
  <c r="AW57" i="10"/>
  <c r="AW56" i="10"/>
  <c r="CE20" i="10"/>
  <c r="CF20" i="10" s="1"/>
  <c r="CJ31" i="10"/>
  <c r="CJ152" i="10" s="1"/>
  <c r="CI170" i="10"/>
  <c r="CI152" i="10"/>
  <c r="CF30" i="10"/>
  <c r="CE171" i="10"/>
  <c r="CJ35" i="10"/>
  <c r="CI175" i="10"/>
  <c r="BK82" i="11"/>
  <c r="BY127" i="12"/>
  <c r="BY130" i="12"/>
  <c r="BO86" i="12"/>
  <c r="BO11" i="13"/>
  <c r="CD36" i="12"/>
  <c r="CD37" i="12" s="1"/>
  <c r="BQ21" i="11"/>
  <c r="DN22" i="11" s="1"/>
  <c r="DN8" i="11"/>
  <c r="CD123" i="12"/>
  <c r="BQ22" i="11"/>
  <c r="DN23" i="11" s="1"/>
  <c r="DN9" i="11"/>
  <c r="BR21" i="11"/>
  <c r="DO22" i="11" s="1"/>
  <c r="DO8" i="11"/>
  <c r="BS22" i="11"/>
  <c r="DP23" i="11" s="1"/>
  <c r="DP9" i="11"/>
  <c r="CG23" i="10"/>
  <c r="CG59" i="40"/>
  <c r="CJ24" i="40"/>
  <c r="CI23" i="10"/>
  <c r="CI45" i="40"/>
  <c r="CG11" i="40"/>
  <c r="BY55" i="12"/>
  <c r="BY9" i="11"/>
  <c r="BY22" i="11" s="1"/>
  <c r="CF68" i="9"/>
  <c r="CG68" i="9" s="1"/>
  <c r="CG69" i="9" s="1"/>
  <c r="CE69" i="9"/>
  <c r="BL45" i="13"/>
  <c r="BL58" i="13"/>
  <c r="BL94" i="13"/>
  <c r="BL156" i="12"/>
  <c r="BL154" i="12"/>
  <c r="BL151" i="12"/>
  <c r="BL155" i="12"/>
  <c r="BL153" i="12"/>
  <c r="BL150" i="12"/>
  <c r="BL152" i="12"/>
  <c r="BL157" i="12"/>
  <c r="CI81" i="11"/>
  <c r="CI83" i="11"/>
  <c r="CI84" i="11"/>
  <c r="CJ37" i="11"/>
  <c r="CC80" i="12"/>
  <c r="CG83" i="11"/>
  <c r="CG77" i="11"/>
  <c r="CG78" i="11"/>
  <c r="CI78" i="11"/>
  <c r="CJ79" i="11"/>
  <c r="CJ126" i="12"/>
  <c r="CJ35" i="12"/>
  <c r="CJ81" i="12" s="1"/>
  <c r="CE126" i="12"/>
  <c r="CK32" i="12"/>
  <c r="CK64" i="11"/>
  <c r="CE35" i="12"/>
  <c r="CE81" i="12" s="1"/>
  <c r="CF32" i="12"/>
  <c r="CF64" i="11"/>
  <c r="CC78" i="12"/>
  <c r="CC41" i="12"/>
  <c r="CC42" i="12" s="1"/>
  <c r="CC43" i="12" s="1"/>
  <c r="CI75" i="11"/>
  <c r="CM38" i="11"/>
  <c r="CM51" i="11" s="1"/>
  <c r="CI15" i="12"/>
  <c r="CM15" i="12" s="1"/>
  <c r="CJ55" i="12"/>
  <c r="CI77" i="11"/>
  <c r="CD41" i="12"/>
  <c r="CD42" i="12" s="1"/>
  <c r="CD43" i="12" s="1"/>
  <c r="CD80" i="12"/>
  <c r="CD10" i="12"/>
  <c r="CD9" i="12" s="1"/>
  <c r="CD79" i="12"/>
  <c r="CE79" i="11"/>
  <c r="CJ8" i="40"/>
  <c r="CK8" i="13"/>
  <c r="CE32" i="13"/>
  <c r="CI74" i="13"/>
  <c r="CF73" i="13"/>
  <c r="CF32" i="13" s="1"/>
  <c r="CF8" i="13"/>
  <c r="CF8" i="40" s="1"/>
  <c r="CE8" i="40"/>
  <c r="CC57" i="40"/>
  <c r="CD61" i="40"/>
  <c r="CF57" i="40"/>
  <c r="CL61" i="40"/>
  <c r="CI61" i="40" s="1"/>
  <c r="CM62" i="40"/>
  <c r="CM58" i="40" s="1"/>
  <c r="CM57" i="40"/>
  <c r="CG14" i="12"/>
  <c r="CC13" i="12"/>
  <c r="CC85" i="12" s="1"/>
  <c r="CI122" i="12"/>
  <c r="CM21" i="12"/>
  <c r="CD9" i="11"/>
  <c r="CD22" i="11" s="1"/>
  <c r="CD127" i="12"/>
  <c r="CD130" i="12"/>
  <c r="CI125" i="12"/>
  <c r="CM29" i="12"/>
  <c r="CG69" i="11"/>
  <c r="CC8" i="11"/>
  <c r="CC121" i="12"/>
  <c r="CD37" i="11"/>
  <c r="CD50" i="11" s="1"/>
  <c r="CD65" i="11"/>
  <c r="BX42" i="12"/>
  <c r="BX43" i="12" s="1"/>
  <c r="CI14" i="12"/>
  <c r="CI70" i="12"/>
  <c r="CM58" i="12"/>
  <c r="CM59" i="12" s="1"/>
  <c r="CI12" i="12"/>
  <c r="CG15" i="12"/>
  <c r="CM62" i="11"/>
  <c r="CG124" i="12"/>
  <c r="CG27" i="12"/>
  <c r="CC79" i="12"/>
  <c r="CJ65" i="11"/>
  <c r="CK11" i="12"/>
  <c r="CK53" i="12"/>
  <c r="CK54" i="12" s="1"/>
  <c r="CF49" i="12"/>
  <c r="CM51" i="12" s="1"/>
  <c r="CM50" i="12" s="1"/>
  <c r="CM26" i="12"/>
  <c r="CI35" i="12"/>
  <c r="CI79" i="12" s="1"/>
  <c r="CI124" i="12"/>
  <c r="BX38" i="12"/>
  <c r="CC73" i="12"/>
  <c r="CC71" i="12"/>
  <c r="CC72" i="12" s="1"/>
  <c r="CG72" i="12" s="1"/>
  <c r="CC10" i="11"/>
  <c r="CG12" i="12"/>
  <c r="CC61" i="12"/>
  <c r="CC134" i="12"/>
  <c r="CC128" i="12"/>
  <c r="CC53" i="12"/>
  <c r="CC54" i="12" s="1"/>
  <c r="CC11" i="12"/>
  <c r="CG22" i="12"/>
  <c r="CG23" i="12" s="1"/>
  <c r="CG122" i="12"/>
  <c r="CG59" i="12"/>
  <c r="CM68" i="11"/>
  <c r="CJ127" i="12"/>
  <c r="CJ9" i="11"/>
  <c r="CJ130" i="12"/>
  <c r="CC81" i="12"/>
  <c r="CC123" i="12"/>
  <c r="CC36" i="12"/>
  <c r="CC37" i="12" s="1"/>
  <c r="CC38" i="12"/>
  <c r="CD55" i="12"/>
  <c r="CI52" i="12"/>
  <c r="CE53" i="12"/>
  <c r="CE54" i="12" s="1"/>
  <c r="CE11" i="12"/>
  <c r="CM63" i="11"/>
  <c r="CG125" i="12"/>
  <c r="CG30" i="12"/>
  <c r="CI39" i="13"/>
  <c r="CF80" i="9"/>
  <c r="CG60" i="9"/>
  <c r="CK32" i="10"/>
  <c r="CE78" i="9"/>
  <c r="CE81" i="9"/>
  <c r="CI38" i="10"/>
  <c r="CG38" i="10"/>
  <c r="CG90" i="10" s="1"/>
  <c r="CF90" i="10"/>
  <c r="BN59" i="11"/>
  <c r="BK156" i="12"/>
  <c r="BK154" i="12"/>
  <c r="BK150" i="12"/>
  <c r="BK155" i="12"/>
  <c r="BK153" i="12"/>
  <c r="BK151" i="12"/>
  <c r="BK157" i="12"/>
  <c r="BK152" i="12"/>
  <c r="BY8" i="40"/>
  <c r="BZ8" i="13"/>
  <c r="BZ8" i="40" s="1"/>
  <c r="BK58" i="13"/>
  <c r="BK45" i="13"/>
  <c r="AW50" i="9"/>
  <c r="BC48" i="9"/>
  <c r="BC49" i="9" s="1"/>
  <c r="AM119" i="10"/>
  <c r="AQ119" i="10" s="1"/>
  <c r="AQ120" i="10" s="1"/>
  <c r="AW115" i="10" s="1"/>
  <c r="AM118" i="10"/>
  <c r="AH48" i="9"/>
  <c r="AH49" i="9" s="1"/>
  <c r="AG50" i="9"/>
  <c r="BU67" i="11"/>
  <c r="BY50" i="11"/>
  <c r="BO43" i="12"/>
  <c r="BO59" i="11" s="1"/>
  <c r="BS80" i="11"/>
  <c r="BY80" i="11"/>
  <c r="BU86" i="12"/>
  <c r="BO67" i="11"/>
  <c r="BI59" i="11"/>
  <c r="BH74" i="11"/>
  <c r="AY89" i="40"/>
  <c r="AY92" i="40"/>
  <c r="BN61" i="11"/>
  <c r="BM82" i="12"/>
  <c r="BM120" i="12"/>
  <c r="BM118" i="12"/>
  <c r="BM119" i="12" s="1"/>
  <c r="BM76" i="12"/>
  <c r="BM16" i="12"/>
  <c r="BM87" i="12" s="1"/>
  <c r="BM88" i="12" s="1"/>
  <c r="BM83" i="12"/>
  <c r="BM84" i="12"/>
  <c r="BM10" i="13"/>
  <c r="BC76" i="11"/>
  <c r="BH76" i="11"/>
  <c r="BL73" i="11"/>
  <c r="BS8" i="11"/>
  <c r="BS78" i="12"/>
  <c r="BS121" i="12"/>
  <c r="BS133" i="12"/>
  <c r="BS7" i="11"/>
  <c r="BS9" i="12"/>
  <c r="BS77" i="12" s="1"/>
  <c r="BS61" i="11"/>
  <c r="BR59" i="11"/>
  <c r="BR120" i="12"/>
  <c r="BR118" i="12"/>
  <c r="BR119" i="12" s="1"/>
  <c r="BR83" i="12"/>
  <c r="BR84" i="12"/>
  <c r="BR76" i="12"/>
  <c r="BR10" i="13"/>
  <c r="BR16" i="12"/>
  <c r="BR82" i="12"/>
  <c r="BR135" i="12"/>
  <c r="BT81" i="12"/>
  <c r="BT123" i="12"/>
  <c r="BT79" i="12"/>
  <c r="BT41" i="12"/>
  <c r="BT36" i="12"/>
  <c r="BT37" i="12" s="1"/>
  <c r="BT80" i="12"/>
  <c r="BT10" i="12"/>
  <c r="BY80" i="12"/>
  <c r="BY123" i="12"/>
  <c r="BY10" i="12"/>
  <c r="BY36" i="12"/>
  <c r="BY37" i="12" s="1"/>
  <c r="BY79" i="12"/>
  <c r="BY41" i="12"/>
  <c r="BG74" i="11"/>
  <c r="BN121" i="12"/>
  <c r="BN78" i="12"/>
  <c r="BN38" i="12"/>
  <c r="BN8" i="11"/>
  <c r="BO10" i="12"/>
  <c r="BI61" i="11"/>
  <c r="BM76" i="11"/>
  <c r="DL7" i="11"/>
  <c r="BM58" i="11"/>
  <c r="BM20" i="11"/>
  <c r="DL21" i="11" s="1"/>
  <c r="BM135" i="12"/>
  <c r="DL8" i="11"/>
  <c r="BM21" i="11"/>
  <c r="DL22" i="11" s="1"/>
  <c r="BS38" i="12"/>
  <c r="BS42" i="12"/>
  <c r="BS43" i="12" s="1"/>
  <c r="BR76" i="11"/>
  <c r="BR77" i="12"/>
  <c r="BR20" i="11"/>
  <c r="DO21" i="11" s="1"/>
  <c r="BO81" i="12"/>
  <c r="BO36" i="12"/>
  <c r="BO37" i="12" s="1"/>
  <c r="BO79" i="12"/>
  <c r="BO41" i="12"/>
  <c r="BO42" i="12" s="1"/>
  <c r="BO123" i="12"/>
  <c r="BO80" i="12"/>
  <c r="BU79" i="11"/>
  <c r="CA64" i="11"/>
  <c r="BU35" i="12"/>
  <c r="BU126" i="12"/>
  <c r="BZ79" i="11"/>
  <c r="BZ35" i="12"/>
  <c r="BZ126" i="12"/>
  <c r="CA32" i="12"/>
  <c r="CG64" i="11" s="1"/>
  <c r="BL74" i="11"/>
  <c r="BM59" i="11"/>
  <c r="BL17" i="12"/>
  <c r="BR58" i="11"/>
  <c r="BY81" i="12"/>
  <c r="BX61" i="11"/>
  <c r="BX121" i="12"/>
  <c r="BX133" i="12"/>
  <c r="BX9" i="12"/>
  <c r="BX7" i="11"/>
  <c r="BX8" i="11"/>
  <c r="BX21" i="11" s="1"/>
  <c r="BX78" i="12"/>
  <c r="BX46" i="10"/>
  <c r="BW59" i="11"/>
  <c r="BW55" i="12"/>
  <c r="BW61" i="11"/>
  <c r="BW23" i="11"/>
  <c r="BG56" i="10"/>
  <c r="BG57" i="10"/>
  <c r="AW81" i="40"/>
  <c r="BI79" i="40"/>
  <c r="BS61" i="40"/>
  <c r="BS57" i="40" s="1"/>
  <c r="BR57" i="40"/>
  <c r="BR60" i="40" s="1"/>
  <c r="BA79" i="40"/>
  <c r="BC67" i="40"/>
  <c r="BL57" i="40"/>
  <c r="BL60" i="40" s="1"/>
  <c r="BM61" i="40"/>
  <c r="BL67" i="40"/>
  <c r="BI67" i="40"/>
  <c r="BW61" i="40"/>
  <c r="BZ57" i="40"/>
  <c r="BG60" i="40"/>
  <c r="BH60" i="40"/>
  <c r="BA60" i="40"/>
  <c r="BB60" i="40"/>
  <c r="AQ57" i="10"/>
  <c r="AQ56" i="10"/>
  <c r="AQ81" i="40"/>
  <c r="BN9" i="11"/>
  <c r="BN127" i="12"/>
  <c r="BN130" i="12"/>
  <c r="BO11" i="12"/>
  <c r="BN7" i="11"/>
  <c r="BN133" i="12"/>
  <c r="BN9" i="12"/>
  <c r="BH80" i="11"/>
  <c r="BZ52" i="12"/>
  <c r="CA49" i="12"/>
  <c r="BC80" i="11"/>
  <c r="BN37" i="11"/>
  <c r="BN50" i="11" s="1"/>
  <c r="BN65" i="11"/>
  <c r="BO54" i="12"/>
  <c r="BI37" i="11"/>
  <c r="BI50" i="11" s="1"/>
  <c r="BI65" i="11"/>
  <c r="BT11" i="12"/>
  <c r="BT55" i="12" s="1"/>
  <c r="BT53" i="12"/>
  <c r="BT54" i="12" s="1"/>
  <c r="BU52" i="12"/>
  <c r="Q112" i="10"/>
  <c r="Q106" i="10"/>
  <c r="R103" i="10"/>
  <c r="R106" i="10" s="1"/>
  <c r="R100" i="10"/>
  <c r="S100" i="10" s="1"/>
  <c r="S101" i="10" s="1"/>
  <c r="R105" i="10"/>
  <c r="AS67" i="9"/>
  <c r="AT63" i="9" s="1"/>
  <c r="AS71" i="9"/>
  <c r="AS72" i="9"/>
  <c r="AO71" i="9"/>
  <c r="AO72" i="9"/>
  <c r="AO67" i="9"/>
  <c r="AP63" i="9" s="1"/>
  <c r="AW67" i="9"/>
  <c r="BC63" i="9" s="1"/>
  <c r="AW72" i="9"/>
  <c r="AW71" i="9"/>
  <c r="BS66" i="40"/>
  <c r="BR67" i="40"/>
  <c r="BR79" i="40" s="1"/>
  <c r="BQ79" i="40"/>
  <c r="CA13" i="40"/>
  <c r="CA17" i="40"/>
  <c r="CC17" i="40" s="1"/>
  <c r="CD17" i="40" s="1"/>
  <c r="CE17" i="40" s="1"/>
  <c r="CF17" i="40" s="1"/>
  <c r="CG17" i="40" s="1"/>
  <c r="BZ23" i="40"/>
  <c r="BZ47" i="40" s="1"/>
  <c r="CA47" i="40" s="1"/>
  <c r="BY29" i="10"/>
  <c r="BY169" i="10" s="1"/>
  <c r="BY25" i="40"/>
  <c r="BY46" i="40" s="1"/>
  <c r="BX26" i="40"/>
  <c r="BW133" i="12"/>
  <c r="BW7" i="11"/>
  <c r="BW58" i="11" s="1"/>
  <c r="BW9" i="12"/>
  <c r="BW77" i="12" s="1"/>
  <c r="BW8" i="11"/>
  <c r="BW21" i="11" s="1"/>
  <c r="BW121" i="12"/>
  <c r="BW78" i="12"/>
  <c r="BU68" i="12"/>
  <c r="CA69" i="11"/>
  <c r="BQ80" i="11"/>
  <c r="BO73" i="12"/>
  <c r="BO71" i="12"/>
  <c r="BQ76" i="11"/>
  <c r="CA10" i="11"/>
  <c r="CA67" i="11" s="1"/>
  <c r="CA128" i="12"/>
  <c r="CA61" i="12"/>
  <c r="CA134" i="12"/>
  <c r="BW67" i="11"/>
  <c r="BU23" i="11"/>
  <c r="BK73" i="11"/>
  <c r="BQ20" i="11"/>
  <c r="DN21" i="11" s="1"/>
  <c r="BQ58" i="11"/>
  <c r="BW37" i="11"/>
  <c r="BW50" i="11" s="1"/>
  <c r="BW65" i="11"/>
  <c r="BW85" i="12"/>
  <c r="BW11" i="13"/>
  <c r="BW129" i="12"/>
  <c r="CA13" i="12"/>
  <c r="CA85" i="12" s="1"/>
  <c r="BW86" i="12"/>
  <c r="BU11" i="13"/>
  <c r="BU129" i="12"/>
  <c r="BQ59" i="13"/>
  <c r="BQ26" i="10"/>
  <c r="BK74" i="11"/>
  <c r="BQ120" i="12"/>
  <c r="BQ118" i="12"/>
  <c r="BQ119" i="12" s="1"/>
  <c r="BQ76" i="12"/>
  <c r="BQ10" i="13"/>
  <c r="BQ83" i="12"/>
  <c r="BQ77" i="12"/>
  <c r="BK94" i="13"/>
  <c r="BK17" i="12"/>
  <c r="BU65" i="12"/>
  <c r="CA66" i="11"/>
  <c r="BU70" i="12"/>
  <c r="BQ74" i="11"/>
  <c r="BU81" i="11"/>
  <c r="BU75" i="11"/>
  <c r="BQ135" i="12"/>
  <c r="BW9" i="11"/>
  <c r="BW22" i="11" s="1"/>
  <c r="BW127" i="12"/>
  <c r="BW130" i="12"/>
  <c r="CA64" i="12"/>
  <c r="BQ16" i="12"/>
  <c r="BW38" i="12"/>
  <c r="CA68" i="12"/>
  <c r="BQ82" i="12"/>
  <c r="BU84" i="11"/>
  <c r="BQ82" i="11"/>
  <c r="AG86" i="10"/>
  <c r="AG92" i="10" s="1"/>
  <c r="AH86" i="10" s="1"/>
  <c r="AH92" i="10" s="1"/>
  <c r="AI86" i="10" s="1"/>
  <c r="AI92" i="10" s="1"/>
  <c r="AJ86" i="10" s="1"/>
  <c r="AJ92" i="10" s="1"/>
  <c r="AK86" i="10"/>
  <c r="AK92" i="10" s="1"/>
  <c r="BY36" i="13"/>
  <c r="BY40" i="13"/>
  <c r="BZ37" i="13"/>
  <c r="CC37" i="13" s="1"/>
  <c r="BO59" i="13" l="1"/>
  <c r="BO81" i="10"/>
  <c r="BO38" i="12"/>
  <c r="CA32" i="11"/>
  <c r="CA45" i="11" s="1"/>
  <c r="CA60" i="11"/>
  <c r="CA75" i="11" s="1"/>
  <c r="BM156" i="12"/>
  <c r="BM154" i="12"/>
  <c r="BM151" i="12"/>
  <c r="BM155" i="12"/>
  <c r="BM153" i="12"/>
  <c r="BM150" i="12"/>
  <c r="BM152" i="12"/>
  <c r="BM157" i="12"/>
  <c r="CE146" i="10"/>
  <c r="BM58" i="13"/>
  <c r="BM45" i="13"/>
  <c r="CK31" i="10"/>
  <c r="CK152" i="10" s="1"/>
  <c r="CJ170" i="10"/>
  <c r="CF171" i="10"/>
  <c r="CI30" i="10"/>
  <c r="CG30" i="10"/>
  <c r="CG171" i="10" s="1"/>
  <c r="AW118" i="10"/>
  <c r="CK35" i="10"/>
  <c r="CJ175" i="10"/>
  <c r="CD61" i="11"/>
  <c r="CK55" i="12"/>
  <c r="CC55" i="12"/>
  <c r="CD8" i="11"/>
  <c r="CD21" i="11" s="1"/>
  <c r="BS58" i="11"/>
  <c r="DP7" i="11"/>
  <c r="BS21" i="11"/>
  <c r="DP22" i="11" s="1"/>
  <c r="DP8" i="11"/>
  <c r="CE36" i="12"/>
  <c r="CE37" i="12" s="1"/>
  <c r="CM59" i="40"/>
  <c r="CG38" i="40"/>
  <c r="CI17" i="40"/>
  <c r="CJ17" i="40" s="1"/>
  <c r="CK17" i="40" s="1"/>
  <c r="CL17" i="40" s="1"/>
  <c r="CM17" i="40" s="1"/>
  <c r="CM38" i="40" s="1"/>
  <c r="CG32" i="40"/>
  <c r="CI11" i="40"/>
  <c r="CA34" i="40"/>
  <c r="CC13" i="40"/>
  <c r="CJ45" i="40"/>
  <c r="CJ23" i="10"/>
  <c r="CK24" i="40"/>
  <c r="BX59" i="11"/>
  <c r="CE55" i="12"/>
  <c r="CF69" i="9"/>
  <c r="CI68" i="9"/>
  <c r="CG80" i="9"/>
  <c r="CG78" i="9" s="1"/>
  <c r="CG39" i="13"/>
  <c r="CE123" i="12"/>
  <c r="CM78" i="11"/>
  <c r="CC61" i="11"/>
  <c r="CC23" i="11"/>
  <c r="CK37" i="11"/>
  <c r="CJ80" i="11"/>
  <c r="CM77" i="11"/>
  <c r="CD59" i="11"/>
  <c r="CD78" i="12"/>
  <c r="CF79" i="11"/>
  <c r="CK79" i="11"/>
  <c r="BN74" i="11"/>
  <c r="CG79" i="11"/>
  <c r="CK65" i="11"/>
  <c r="CM83" i="11"/>
  <c r="CJ50" i="11"/>
  <c r="CD121" i="12"/>
  <c r="CI80" i="12"/>
  <c r="CC86" i="12"/>
  <c r="CD80" i="11"/>
  <c r="CC7" i="11"/>
  <c r="CC58" i="11" s="1"/>
  <c r="CD7" i="11"/>
  <c r="CD133" i="12"/>
  <c r="CD38" i="12"/>
  <c r="CF126" i="12"/>
  <c r="CL32" i="12"/>
  <c r="CL64" i="11"/>
  <c r="CF35" i="12"/>
  <c r="CF36" i="12" s="1"/>
  <c r="CF37" i="12" s="1"/>
  <c r="CG32" i="12"/>
  <c r="CE80" i="12"/>
  <c r="CE10" i="12"/>
  <c r="CE38" i="12" s="1"/>
  <c r="CE79" i="12"/>
  <c r="CE41" i="12"/>
  <c r="CE42" i="12" s="1"/>
  <c r="CE43" i="12" s="1"/>
  <c r="CK126" i="12"/>
  <c r="CK35" i="12"/>
  <c r="CK81" i="12" s="1"/>
  <c r="CJ79" i="12"/>
  <c r="CJ41" i="12"/>
  <c r="CJ42" i="12" s="1"/>
  <c r="CJ43" i="12" s="1"/>
  <c r="CJ36" i="12"/>
  <c r="CJ37" i="12" s="1"/>
  <c r="CJ10" i="12"/>
  <c r="CJ123" i="12"/>
  <c r="CJ80" i="12"/>
  <c r="CG73" i="13"/>
  <c r="CG32" i="13" s="1"/>
  <c r="CL8" i="13"/>
  <c r="CL8" i="40" s="1"/>
  <c r="CK8" i="40"/>
  <c r="CD37" i="13"/>
  <c r="CC36" i="13"/>
  <c r="CC40" i="13"/>
  <c r="CJ74" i="13"/>
  <c r="CI73" i="13"/>
  <c r="CJ22" i="11"/>
  <c r="CL57" i="40"/>
  <c r="CE61" i="40"/>
  <c r="CD57" i="40"/>
  <c r="CD60" i="40" s="1"/>
  <c r="CJ61" i="40"/>
  <c r="CI57" i="40"/>
  <c r="CI60" i="40" s="1"/>
  <c r="CC60" i="40"/>
  <c r="CE37" i="11"/>
  <c r="CE50" i="11" s="1"/>
  <c r="CE65" i="11"/>
  <c r="CG66" i="11"/>
  <c r="CC9" i="11"/>
  <c r="CC22" i="11" s="1"/>
  <c r="CC127" i="12"/>
  <c r="CC130" i="12"/>
  <c r="CG10" i="11"/>
  <c r="CG67" i="11" s="1"/>
  <c r="CG61" i="12"/>
  <c r="CG134" i="12"/>
  <c r="CG128" i="12"/>
  <c r="CG67" i="12"/>
  <c r="CC59" i="11"/>
  <c r="CC9" i="12"/>
  <c r="CC16" i="12" s="1"/>
  <c r="CD10" i="13"/>
  <c r="CD120" i="12"/>
  <c r="CD118" i="12"/>
  <c r="CD119" i="12" s="1"/>
  <c r="CD76" i="12"/>
  <c r="CD83" i="12"/>
  <c r="CD84" i="12"/>
  <c r="CD16" i="12"/>
  <c r="CD77" i="12"/>
  <c r="CM22" i="12"/>
  <c r="CM23" i="12" s="1"/>
  <c r="CM122" i="12"/>
  <c r="CM124" i="12"/>
  <c r="CM67" i="12"/>
  <c r="CI11" i="12"/>
  <c r="CI53" i="12"/>
  <c r="CI54" i="12" s="1"/>
  <c r="CC37" i="11"/>
  <c r="CC50" i="11" s="1"/>
  <c r="CC65" i="11"/>
  <c r="CF52" i="12"/>
  <c r="CL49" i="12"/>
  <c r="CG49" i="12"/>
  <c r="CI73" i="12"/>
  <c r="CI71" i="12"/>
  <c r="CI72" i="12" s="1"/>
  <c r="CM72" i="12" s="1"/>
  <c r="CC67" i="11"/>
  <c r="CC21" i="11"/>
  <c r="CM30" i="12"/>
  <c r="CM125" i="12"/>
  <c r="CC11" i="13"/>
  <c r="CC129" i="12"/>
  <c r="CG13" i="12"/>
  <c r="CG85" i="12" s="1"/>
  <c r="BY42" i="12"/>
  <c r="BY43" i="12" s="1"/>
  <c r="CE127" i="12"/>
  <c r="CE130" i="12"/>
  <c r="CE9" i="11"/>
  <c r="CE22" i="11" s="1"/>
  <c r="CI10" i="12"/>
  <c r="CI36" i="12"/>
  <c r="CI37" i="12" s="1"/>
  <c r="CI123" i="12"/>
  <c r="CI81" i="12"/>
  <c r="CK9" i="11"/>
  <c r="CK127" i="12"/>
  <c r="CK130" i="12"/>
  <c r="CM27" i="12"/>
  <c r="CI10" i="11"/>
  <c r="CI134" i="12"/>
  <c r="CI128" i="12"/>
  <c r="CI61" i="12"/>
  <c r="CM12" i="12"/>
  <c r="CM14" i="12"/>
  <c r="CI13" i="12"/>
  <c r="CI85" i="12" s="1"/>
  <c r="CC133" i="12"/>
  <c r="CG84" i="11"/>
  <c r="CD82" i="12"/>
  <c r="CI41" i="12"/>
  <c r="CI42" i="12" s="1"/>
  <c r="CI43" i="12" s="1"/>
  <c r="CG64" i="12"/>
  <c r="CJ38" i="10"/>
  <c r="CI90" i="10"/>
  <c r="CF81" i="9"/>
  <c r="CF78" i="9"/>
  <c r="CI80" i="9"/>
  <c r="CJ39" i="13"/>
  <c r="CL32" i="10"/>
  <c r="CI20" i="10"/>
  <c r="CF146" i="10"/>
  <c r="CG20" i="10"/>
  <c r="BQ123" i="10"/>
  <c r="BQ126" i="10" s="1"/>
  <c r="BU123" i="10"/>
  <c r="BU126" i="10" s="1"/>
  <c r="BO82" i="11"/>
  <c r="AS115" i="10"/>
  <c r="BC50" i="9"/>
  <c r="BI48" i="9"/>
  <c r="BI49" i="9" s="1"/>
  <c r="BO48" i="9" s="1"/>
  <c r="AH50" i="9"/>
  <c r="AI48" i="9"/>
  <c r="AI49" i="9" s="1"/>
  <c r="BU82" i="11"/>
  <c r="BI74" i="11"/>
  <c r="BW76" i="11"/>
  <c r="AZ84" i="40"/>
  <c r="AY90" i="40"/>
  <c r="BX20" i="11"/>
  <c r="BX83" i="12"/>
  <c r="BX76" i="12"/>
  <c r="BX16" i="12"/>
  <c r="BX82" i="12"/>
  <c r="BX118" i="12"/>
  <c r="BX119" i="12" s="1"/>
  <c r="BX120" i="12"/>
  <c r="BX10" i="13"/>
  <c r="BX84" i="12"/>
  <c r="BR73" i="11"/>
  <c r="BL136" i="10"/>
  <c r="BL15" i="13"/>
  <c r="BL52" i="13" s="1"/>
  <c r="BM74" i="11"/>
  <c r="CA126" i="12"/>
  <c r="CA35" i="12"/>
  <c r="BZ123" i="12"/>
  <c r="BZ80" i="12"/>
  <c r="BZ41" i="12"/>
  <c r="BZ81" i="12"/>
  <c r="BZ36" i="12"/>
  <c r="BZ37" i="12" s="1"/>
  <c r="BZ79" i="12"/>
  <c r="BZ10" i="12"/>
  <c r="BU36" i="12"/>
  <c r="BU37" i="12" s="1"/>
  <c r="BU79" i="12"/>
  <c r="BU41" i="12"/>
  <c r="BU123" i="12"/>
  <c r="BU80" i="12"/>
  <c r="BU81" i="12"/>
  <c r="BM73" i="11"/>
  <c r="BI76" i="11"/>
  <c r="BO8" i="11"/>
  <c r="BO21" i="11" s="1"/>
  <c r="BO78" i="12"/>
  <c r="BO121" i="12"/>
  <c r="BN21" i="11"/>
  <c r="DM22" i="11" s="1"/>
  <c r="DM8" i="11"/>
  <c r="BY61" i="11"/>
  <c r="BY8" i="11"/>
  <c r="BY21" i="11" s="1"/>
  <c r="BY78" i="12"/>
  <c r="BY121" i="12"/>
  <c r="BY7" i="11"/>
  <c r="BY58" i="11" s="1"/>
  <c r="BY9" i="12"/>
  <c r="BY77" i="12" s="1"/>
  <c r="BY133" i="12"/>
  <c r="BT42" i="12"/>
  <c r="BT43" i="12" s="1"/>
  <c r="BR58" i="13"/>
  <c r="BR9" i="13"/>
  <c r="BR74" i="11"/>
  <c r="BS76" i="11"/>
  <c r="BS20" i="11"/>
  <c r="DP21" i="11" s="1"/>
  <c r="BM94" i="13"/>
  <c r="BM17" i="12"/>
  <c r="BX77" i="12"/>
  <c r="BX135" i="12"/>
  <c r="BX76" i="11"/>
  <c r="CA79" i="11"/>
  <c r="BO61" i="11"/>
  <c r="BS59" i="11"/>
  <c r="BY38" i="12"/>
  <c r="BT8" i="11"/>
  <c r="BU10" i="12"/>
  <c r="BT121" i="12"/>
  <c r="BT78" i="12"/>
  <c r="BT38" i="12"/>
  <c r="BT61" i="11"/>
  <c r="BX58" i="11"/>
  <c r="BR94" i="13"/>
  <c r="BR17" i="12"/>
  <c r="BS82" i="12"/>
  <c r="BS10" i="13"/>
  <c r="BS83" i="12"/>
  <c r="BS118" i="12"/>
  <c r="BS119" i="12" s="1"/>
  <c r="BS84" i="12"/>
  <c r="BS76" i="12"/>
  <c r="BS16" i="12"/>
  <c r="BS120" i="12"/>
  <c r="BS135" i="12"/>
  <c r="BN76" i="11"/>
  <c r="BY46" i="10"/>
  <c r="CA37" i="13"/>
  <c r="BW80" i="11"/>
  <c r="BW74" i="11"/>
  <c r="CA84" i="11"/>
  <c r="BW20" i="11"/>
  <c r="BW73" i="11"/>
  <c r="CA81" i="11"/>
  <c r="BW135" i="12"/>
  <c r="BW16" i="12"/>
  <c r="BW82" i="12"/>
  <c r="BW82" i="11"/>
  <c r="CA23" i="11"/>
  <c r="CA82" i="11"/>
  <c r="BW84" i="12"/>
  <c r="BY26" i="40"/>
  <c r="BX61" i="40"/>
  <c r="BW57" i="40"/>
  <c r="BW60" i="40" s="1"/>
  <c r="BL79" i="40"/>
  <c r="BA56" i="10"/>
  <c r="BA57" i="10"/>
  <c r="BC79" i="40"/>
  <c r="BS60" i="40"/>
  <c r="BT60" i="40"/>
  <c r="BM57" i="40"/>
  <c r="BM67" i="40"/>
  <c r="BM79" i="40" s="1"/>
  <c r="BI57" i="10"/>
  <c r="BI81" i="40"/>
  <c r="BI56" i="10"/>
  <c r="BT37" i="11"/>
  <c r="BT50" i="11" s="1"/>
  <c r="BU54" i="12"/>
  <c r="BT65" i="11"/>
  <c r="BO65" i="11"/>
  <c r="BO37" i="11"/>
  <c r="BO50" i="11" s="1"/>
  <c r="BZ11" i="12"/>
  <c r="BZ53" i="12"/>
  <c r="BZ54" i="12" s="1"/>
  <c r="CA52" i="12"/>
  <c r="BN77" i="12"/>
  <c r="BN10" i="13"/>
  <c r="BN118" i="12"/>
  <c r="BN119" i="12" s="1"/>
  <c r="BN76" i="12"/>
  <c r="BN82" i="12"/>
  <c r="BO9" i="12"/>
  <c r="BN120" i="12"/>
  <c r="BN16" i="12"/>
  <c r="BN84" i="12"/>
  <c r="BN83" i="12"/>
  <c r="BN58" i="11"/>
  <c r="DM7" i="11"/>
  <c r="BN20" i="11"/>
  <c r="DM21" i="11" s="1"/>
  <c r="DM9" i="11"/>
  <c r="BN22" i="11"/>
  <c r="DM23" i="11" s="1"/>
  <c r="BU53" i="12"/>
  <c r="BT9" i="11"/>
  <c r="BT127" i="12"/>
  <c r="BT130" i="12"/>
  <c r="BU11" i="12"/>
  <c r="BT7" i="11"/>
  <c r="BT133" i="12"/>
  <c r="BT9" i="12"/>
  <c r="BI80" i="11"/>
  <c r="BN80" i="11"/>
  <c r="BN135" i="12"/>
  <c r="BO55" i="12"/>
  <c r="BO130" i="12"/>
  <c r="BO7" i="11"/>
  <c r="BO9" i="11"/>
  <c r="BO22" i="11" s="1"/>
  <c r="BO127" i="12"/>
  <c r="BO133" i="12"/>
  <c r="Y96" i="10"/>
  <c r="Y105" i="10" s="1"/>
  <c r="S111" i="10"/>
  <c r="U96" i="10"/>
  <c r="S106" i="10"/>
  <c r="S107" i="10" s="1"/>
  <c r="BM181" i="10"/>
  <c r="BN181" i="10"/>
  <c r="AP72" i="9"/>
  <c r="AP67" i="9"/>
  <c r="AP71" i="9"/>
  <c r="BC71" i="9"/>
  <c r="BC72" i="9"/>
  <c r="BC67" i="9"/>
  <c r="BI63" i="9" s="1"/>
  <c r="AT67" i="9"/>
  <c r="AU63" i="9" s="1"/>
  <c r="AT72" i="9"/>
  <c r="AT71" i="9"/>
  <c r="BT66" i="40"/>
  <c r="BS67" i="40"/>
  <c r="BZ25" i="40"/>
  <c r="BZ46" i="40" s="1"/>
  <c r="BZ29" i="10"/>
  <c r="CA38" i="40"/>
  <c r="CA23" i="40"/>
  <c r="BQ17" i="12"/>
  <c r="BQ94" i="13"/>
  <c r="BQ23" i="9"/>
  <c r="BR23" i="9"/>
  <c r="BK136" i="10"/>
  <c r="BK15" i="13"/>
  <c r="CA65" i="12"/>
  <c r="CA70" i="12"/>
  <c r="BU73" i="12"/>
  <c r="BU71" i="12"/>
  <c r="BQ9" i="13"/>
  <c r="BQ58" i="13"/>
  <c r="BU81" i="10"/>
  <c r="BU59" i="13"/>
  <c r="CA129" i="12"/>
  <c r="CA11" i="13"/>
  <c r="CA81" i="10" s="1"/>
  <c r="CA86" i="12"/>
  <c r="BW26" i="10"/>
  <c r="BW59" i="13"/>
  <c r="BQ73" i="11"/>
  <c r="BO23" i="9"/>
  <c r="BW10" i="13"/>
  <c r="BW76" i="12"/>
  <c r="BW120" i="12"/>
  <c r="BW118" i="12"/>
  <c r="BW119" i="12" s="1"/>
  <c r="BW83" i="12"/>
  <c r="BO74" i="11"/>
  <c r="AM86" i="10"/>
  <c r="AM92" i="10" s="1"/>
  <c r="AN86" i="10" s="1"/>
  <c r="AN92" i="10" s="1"/>
  <c r="AO86" i="10" s="1"/>
  <c r="AO92" i="10" s="1"/>
  <c r="AP86" i="10" s="1"/>
  <c r="AP92" i="10" s="1"/>
  <c r="AQ86" i="10"/>
  <c r="AQ92" i="10" s="1"/>
  <c r="AW86" i="10" s="1"/>
  <c r="AW92" i="10" s="1"/>
  <c r="BZ36" i="13"/>
  <c r="CA36" i="13" s="1"/>
  <c r="BZ40" i="13"/>
  <c r="BK52" i="13" l="1"/>
  <c r="BN151" i="12"/>
  <c r="BN156" i="12"/>
  <c r="BN155" i="12"/>
  <c r="BN152" i="12"/>
  <c r="BN150" i="12"/>
  <c r="BN154" i="12"/>
  <c r="BN153" i="12"/>
  <c r="BN157" i="12"/>
  <c r="BN87" i="12"/>
  <c r="BN88" i="12" s="1"/>
  <c r="BN58" i="13"/>
  <c r="BN45" i="13"/>
  <c r="BT45" i="13" s="1"/>
  <c r="BZ45" i="13" s="1"/>
  <c r="CF45" i="13" s="1"/>
  <c r="CL45" i="13" s="1"/>
  <c r="BW100" i="13"/>
  <c r="BX100" i="13"/>
  <c r="CG32" i="11"/>
  <c r="CG45" i="11" s="1"/>
  <c r="CC84" i="12"/>
  <c r="CA44" i="40"/>
  <c r="BZ169" i="10"/>
  <c r="CJ30" i="10"/>
  <c r="CI171" i="10"/>
  <c r="CL31" i="10"/>
  <c r="CK170" i="10"/>
  <c r="CL35" i="10"/>
  <c r="CK175" i="10"/>
  <c r="CG146" i="10"/>
  <c r="CG60" i="11"/>
  <c r="CG75" i="11" s="1"/>
  <c r="CD76" i="11"/>
  <c r="BS73" i="11"/>
  <c r="CE61" i="11"/>
  <c r="CD74" i="11"/>
  <c r="CI38" i="12"/>
  <c r="CI55" i="12"/>
  <c r="CC76" i="11"/>
  <c r="BX74" i="11"/>
  <c r="BT58" i="11"/>
  <c r="DQ7" i="11"/>
  <c r="BT22" i="11"/>
  <c r="DQ23" i="11" s="1"/>
  <c r="DQ9" i="11"/>
  <c r="BT21" i="11"/>
  <c r="DQ22" i="11" s="1"/>
  <c r="DQ8" i="11"/>
  <c r="CK80" i="11"/>
  <c r="CG81" i="9"/>
  <c r="CD13" i="40"/>
  <c r="CC23" i="40"/>
  <c r="CK23" i="10"/>
  <c r="CL24" i="40"/>
  <c r="CK45" i="40"/>
  <c r="CJ11" i="40"/>
  <c r="CE7" i="11"/>
  <c r="CE121" i="12"/>
  <c r="CK50" i="11"/>
  <c r="CI69" i="9"/>
  <c r="CJ68" i="9"/>
  <c r="CK22" i="11"/>
  <c r="CE133" i="12"/>
  <c r="CE9" i="12"/>
  <c r="CE82" i="12" s="1"/>
  <c r="CE8" i="11"/>
  <c r="CE21" i="11" s="1"/>
  <c r="CI23" i="11"/>
  <c r="CI61" i="11"/>
  <c r="CF61" i="11"/>
  <c r="CC80" i="11"/>
  <c r="CC73" i="11"/>
  <c r="CJ78" i="12"/>
  <c r="CJ7" i="11"/>
  <c r="CJ8" i="11"/>
  <c r="CJ21" i="11" s="1"/>
  <c r="CJ121" i="12"/>
  <c r="CJ133" i="12"/>
  <c r="CJ9" i="12"/>
  <c r="CJ61" i="11"/>
  <c r="CG126" i="12"/>
  <c r="CM64" i="11"/>
  <c r="CG35" i="12"/>
  <c r="CG123" i="12" s="1"/>
  <c r="CF79" i="12"/>
  <c r="CF80" i="12"/>
  <c r="CF41" i="12"/>
  <c r="CF42" i="12" s="1"/>
  <c r="CF43" i="12" s="1"/>
  <c r="CF10" i="12"/>
  <c r="CF8" i="11" s="1"/>
  <c r="CL126" i="12"/>
  <c r="CL35" i="12"/>
  <c r="CM32" i="12"/>
  <c r="CC20" i="11"/>
  <c r="BY59" i="11"/>
  <c r="CE59" i="11"/>
  <c r="CF123" i="12"/>
  <c r="CD135" i="12"/>
  <c r="CC82" i="11"/>
  <c r="CG82" i="11"/>
  <c r="CC74" i="11"/>
  <c r="CG23" i="11"/>
  <c r="CG81" i="11"/>
  <c r="CE80" i="11"/>
  <c r="CJ38" i="12"/>
  <c r="CJ59" i="11"/>
  <c r="CK36" i="12"/>
  <c r="CK37" i="12" s="1"/>
  <c r="CK80" i="12"/>
  <c r="CK79" i="12"/>
  <c r="CK41" i="12"/>
  <c r="CK42" i="12" s="1"/>
  <c r="CK43" i="12" s="1"/>
  <c r="CK10" i="12"/>
  <c r="CK38" i="12" s="1"/>
  <c r="CK123" i="12"/>
  <c r="CE78" i="12"/>
  <c r="CF81" i="12"/>
  <c r="CL79" i="11"/>
  <c r="CD20" i="11"/>
  <c r="CD58" i="11"/>
  <c r="CI32" i="13"/>
  <c r="CD36" i="13"/>
  <c r="CD40" i="13"/>
  <c r="CE37" i="13"/>
  <c r="CK74" i="13"/>
  <c r="CJ73" i="13"/>
  <c r="CJ32" i="13" s="1"/>
  <c r="CE57" i="40"/>
  <c r="CK61" i="40"/>
  <c r="CJ57" i="40"/>
  <c r="CJ60" i="40" s="1"/>
  <c r="CC94" i="13"/>
  <c r="CC17" i="12"/>
  <c r="CC135" i="12"/>
  <c r="CG68" i="12"/>
  <c r="CM69" i="11"/>
  <c r="BZ42" i="12"/>
  <c r="BZ43" i="12" s="1"/>
  <c r="BZ59" i="11" s="1"/>
  <c r="CI59" i="11"/>
  <c r="CM10" i="11"/>
  <c r="CM61" i="12"/>
  <c r="CM134" i="12"/>
  <c r="CM128" i="12"/>
  <c r="CI37" i="11"/>
  <c r="CI50" i="11" s="1"/>
  <c r="CI65" i="11"/>
  <c r="CM68" i="12"/>
  <c r="CD94" i="13"/>
  <c r="CD17" i="12"/>
  <c r="CM66" i="11"/>
  <c r="CG70" i="12"/>
  <c r="CG65" i="12"/>
  <c r="CC59" i="13"/>
  <c r="CC26" i="10"/>
  <c r="CC10" i="13"/>
  <c r="CC118" i="12"/>
  <c r="CC119" i="12" s="1"/>
  <c r="CC76" i="12"/>
  <c r="CC120" i="12"/>
  <c r="CC77" i="12"/>
  <c r="CC83" i="12"/>
  <c r="CI11" i="13"/>
  <c r="CM13" i="12"/>
  <c r="CM85" i="12" s="1"/>
  <c r="CI129" i="12"/>
  <c r="CI86" i="12"/>
  <c r="CI8" i="11"/>
  <c r="CI21" i="11" s="1"/>
  <c r="CI7" i="11"/>
  <c r="CI9" i="12"/>
  <c r="CI77" i="12" s="1"/>
  <c r="CI121" i="12"/>
  <c r="CI133" i="12"/>
  <c r="CI78" i="12"/>
  <c r="CG11" i="13"/>
  <c r="CG129" i="12"/>
  <c r="CL52" i="12"/>
  <c r="CM49" i="12"/>
  <c r="CI9" i="11"/>
  <c r="CI22" i="11" s="1"/>
  <c r="CI127" i="12"/>
  <c r="CI130" i="12"/>
  <c r="CC82" i="12"/>
  <c r="CM64" i="12"/>
  <c r="CI67" i="11"/>
  <c r="CF53" i="12"/>
  <c r="CF54" i="12" s="1"/>
  <c r="CF11" i="12"/>
  <c r="CG52" i="12"/>
  <c r="CD58" i="13"/>
  <c r="CD9" i="13"/>
  <c r="CJ100" i="13" s="1"/>
  <c r="CG86" i="12"/>
  <c r="CJ20" i="10"/>
  <c r="CI146" i="10"/>
  <c r="CK39" i="13"/>
  <c r="CJ80" i="9"/>
  <c r="CI78" i="9"/>
  <c r="CI81" i="9"/>
  <c r="CM32" i="10"/>
  <c r="CK38" i="10"/>
  <c r="CJ90" i="10"/>
  <c r="CA123" i="10"/>
  <c r="CA126" i="10" s="1"/>
  <c r="BW123" i="10"/>
  <c r="BW126" i="10" s="1"/>
  <c r="BR123" i="10"/>
  <c r="BR126" i="10" s="1"/>
  <c r="BQ18" i="10"/>
  <c r="AI50" i="9"/>
  <c r="AJ48" i="9"/>
  <c r="AJ49" i="9" s="1"/>
  <c r="AS118" i="10"/>
  <c r="AS119" i="10"/>
  <c r="AW119" i="10" s="1"/>
  <c r="AW120" i="10" s="1"/>
  <c r="BW94" i="13"/>
  <c r="BW17" i="12"/>
  <c r="BZ55" i="12"/>
  <c r="AZ89" i="40"/>
  <c r="AZ92" i="40"/>
  <c r="BM15" i="13"/>
  <c r="BM136" i="10"/>
  <c r="BS94" i="13"/>
  <c r="BS17" i="12"/>
  <c r="BX73" i="11"/>
  <c r="BU38" i="12"/>
  <c r="BU78" i="12"/>
  <c r="BU8" i="11"/>
  <c r="BU21" i="11" s="1"/>
  <c r="BU121" i="12"/>
  <c r="BS74" i="11"/>
  <c r="BL150" i="10"/>
  <c r="BR57" i="13"/>
  <c r="BR97" i="10"/>
  <c r="BR28" i="9" s="1"/>
  <c r="BR16" i="13"/>
  <c r="BR13" i="10"/>
  <c r="BR17" i="13"/>
  <c r="BR15" i="10"/>
  <c r="BR136" i="10"/>
  <c r="BT59" i="11"/>
  <c r="BU43" i="12"/>
  <c r="BY135" i="12"/>
  <c r="BY20" i="11"/>
  <c r="BZ121" i="12"/>
  <c r="BZ78" i="12"/>
  <c r="BZ38" i="12"/>
  <c r="BZ8" i="11"/>
  <c r="BZ21" i="11" s="1"/>
  <c r="CA10" i="12"/>
  <c r="BZ61" i="11"/>
  <c r="CA36" i="12"/>
  <c r="CA37" i="12" s="1"/>
  <c r="CA80" i="12"/>
  <c r="CA41" i="12"/>
  <c r="CA81" i="12"/>
  <c r="CA123" i="12"/>
  <c r="CA79" i="12"/>
  <c r="BL142" i="10"/>
  <c r="BL11" i="11"/>
  <c r="BL90" i="11"/>
  <c r="BL95" i="11" s="1"/>
  <c r="BL21" i="13"/>
  <c r="BL87" i="13"/>
  <c r="BY73" i="11"/>
  <c r="BS9" i="13"/>
  <c r="BS58" i="13"/>
  <c r="BT76" i="11"/>
  <c r="BO76" i="11"/>
  <c r="BL143" i="10"/>
  <c r="BY83" i="12"/>
  <c r="BY16" i="12"/>
  <c r="BY118" i="12"/>
  <c r="BY119" i="12" s="1"/>
  <c r="BY84" i="12"/>
  <c r="BY82" i="12"/>
  <c r="BY120" i="12"/>
  <c r="BY76" i="12"/>
  <c r="BY10" i="13"/>
  <c r="BY76" i="11"/>
  <c r="BU42" i="12"/>
  <c r="BU61" i="11"/>
  <c r="BL89" i="11"/>
  <c r="BL94" i="11" s="1"/>
  <c r="BL33" i="9"/>
  <c r="BL87" i="40"/>
  <c r="BL144" i="10"/>
  <c r="BX9" i="13"/>
  <c r="CD100" i="13" s="1"/>
  <c r="BX58" i="13"/>
  <c r="BX94" i="13"/>
  <c r="BX17" i="12"/>
  <c r="BO67" i="40"/>
  <c r="BM60" i="40"/>
  <c r="BN60" i="40"/>
  <c r="BC57" i="10"/>
  <c r="BC56" i="10"/>
  <c r="BC81" i="40"/>
  <c r="BO79" i="40"/>
  <c r="BX57" i="40"/>
  <c r="BX60" i="40" s="1"/>
  <c r="BY61" i="40"/>
  <c r="BY57" i="40" s="1"/>
  <c r="BO20" i="11"/>
  <c r="BO58" i="11"/>
  <c r="BT135" i="12"/>
  <c r="BU9" i="11"/>
  <c r="BU127" i="12"/>
  <c r="BU130" i="12"/>
  <c r="BU133" i="12"/>
  <c r="BU7" i="11"/>
  <c r="BN17" i="12"/>
  <c r="BN94" i="13"/>
  <c r="BO77" i="12"/>
  <c r="BO120" i="12"/>
  <c r="BO76" i="12"/>
  <c r="BO83" i="12"/>
  <c r="BO84" i="12"/>
  <c r="BO10" i="13"/>
  <c r="BO58" i="13" s="1"/>
  <c r="BO118" i="12"/>
  <c r="BO119" i="12" s="1"/>
  <c r="BO16" i="12"/>
  <c r="BO82" i="12"/>
  <c r="CA53" i="12"/>
  <c r="BZ37" i="11"/>
  <c r="BZ50" i="11" s="1"/>
  <c r="CA54" i="12"/>
  <c r="BZ65" i="11"/>
  <c r="BO80" i="11"/>
  <c r="BT80" i="11"/>
  <c r="BO135" i="12"/>
  <c r="BT77" i="12"/>
  <c r="BT120" i="12"/>
  <c r="BT82" i="12"/>
  <c r="BT76" i="12"/>
  <c r="BT16" i="12"/>
  <c r="BT118" i="12"/>
  <c r="BT119" i="12" s="1"/>
  <c r="BT83" i="12"/>
  <c r="BU9" i="12"/>
  <c r="BT10" i="13"/>
  <c r="BT84" i="12"/>
  <c r="BT20" i="11"/>
  <c r="DQ21" i="11" s="1"/>
  <c r="BU55" i="12"/>
  <c r="BN73" i="11"/>
  <c r="BZ127" i="12"/>
  <c r="BZ9" i="11"/>
  <c r="BZ22" i="11" s="1"/>
  <c r="BZ130" i="12"/>
  <c r="BZ7" i="11"/>
  <c r="CA11" i="12"/>
  <c r="BZ133" i="12"/>
  <c r="BZ9" i="12"/>
  <c r="BU65" i="11"/>
  <c r="BU37" i="11"/>
  <c r="BU50" i="11" s="1"/>
  <c r="BU23" i="9"/>
  <c r="U103" i="10"/>
  <c r="S112" i="10"/>
  <c r="Y103" i="10"/>
  <c r="U101" i="10"/>
  <c r="U105" i="10"/>
  <c r="BO18" i="10"/>
  <c r="BI67" i="9"/>
  <c r="BO63" i="9" s="1"/>
  <c r="BI71" i="9"/>
  <c r="BI72" i="9"/>
  <c r="AU67" i="9"/>
  <c r="AV63" i="9" s="1"/>
  <c r="AU72" i="9"/>
  <c r="AU71" i="9"/>
  <c r="BU66" i="40"/>
  <c r="BW66" i="40"/>
  <c r="BT67" i="40"/>
  <c r="BT79" i="40" s="1"/>
  <c r="BS79" i="40"/>
  <c r="CA29" i="10"/>
  <c r="CA169" i="10" s="1"/>
  <c r="BZ46" i="10"/>
  <c r="CA25" i="40"/>
  <c r="CA46" i="40" s="1"/>
  <c r="BZ26" i="40"/>
  <c r="BW58" i="13"/>
  <c r="BW9" i="13"/>
  <c r="CC100" i="13" s="1"/>
  <c r="BW23" i="9"/>
  <c r="BX23" i="9"/>
  <c r="CA59" i="13"/>
  <c r="BQ16" i="13"/>
  <c r="BQ136" i="10"/>
  <c r="BQ57" i="13"/>
  <c r="BQ13" i="10"/>
  <c r="BQ17" i="13"/>
  <c r="BQ97" i="10"/>
  <c r="BQ28" i="9" s="1"/>
  <c r="BQ15" i="10"/>
  <c r="BK144" i="10"/>
  <c r="BK11" i="11"/>
  <c r="BK89" i="11"/>
  <c r="BK94" i="11" s="1"/>
  <c r="CA73" i="12"/>
  <c r="CA71" i="12"/>
  <c r="BK96" i="13"/>
  <c r="BK87" i="13"/>
  <c r="BK21" i="13"/>
  <c r="BK90" i="11"/>
  <c r="BK95" i="11" s="1"/>
  <c r="BK142" i="10"/>
  <c r="BK156" i="10"/>
  <c r="BK143" i="10"/>
  <c r="BK150" i="10"/>
  <c r="AS86" i="10"/>
  <c r="AS92" i="10" s="1"/>
  <c r="AT86" i="10" s="1"/>
  <c r="AT92" i="10" s="1"/>
  <c r="AU86" i="10" s="1"/>
  <c r="AU92" i="10" s="1"/>
  <c r="AV86" i="10" s="1"/>
  <c r="AV92" i="10" s="1"/>
  <c r="CA40" i="13"/>
  <c r="BO67" i="9" l="1"/>
  <c r="BO72" i="9"/>
  <c r="BO71" i="9"/>
  <c r="BO181" i="10"/>
  <c r="BQ181" i="10"/>
  <c r="BO151" i="12"/>
  <c r="BO156" i="12"/>
  <c r="BO155" i="12"/>
  <c r="BO153" i="12"/>
  <c r="BO154" i="12"/>
  <c r="BO150" i="12"/>
  <c r="BO157" i="12"/>
  <c r="BO152" i="12"/>
  <c r="BO87" i="12"/>
  <c r="BO88" i="12" s="1"/>
  <c r="BO45" i="13"/>
  <c r="BY100" i="13"/>
  <c r="BT100" i="13"/>
  <c r="CM31" i="10"/>
  <c r="CM170" i="10" s="1"/>
  <c r="CL170" i="10"/>
  <c r="CK30" i="10"/>
  <c r="CJ171" i="10"/>
  <c r="CL152" i="10"/>
  <c r="CM35" i="10"/>
  <c r="CM175" i="10" s="1"/>
  <c r="CL175" i="10"/>
  <c r="CM60" i="11"/>
  <c r="CM32" i="11"/>
  <c r="CM45" i="11" s="1"/>
  <c r="BU22" i="11"/>
  <c r="BM52" i="13"/>
  <c r="CE118" i="12"/>
  <c r="CE119" i="12" s="1"/>
  <c r="CE84" i="12"/>
  <c r="CE77" i="12"/>
  <c r="CE76" i="12"/>
  <c r="CE16" i="12"/>
  <c r="CE120" i="12"/>
  <c r="CE83" i="12"/>
  <c r="CE10" i="13"/>
  <c r="CE76" i="11"/>
  <c r="BT73" i="11"/>
  <c r="CF76" i="11"/>
  <c r="CI82" i="12"/>
  <c r="BL82" i="10"/>
  <c r="BR82" i="10" s="1"/>
  <c r="BX82" i="10" s="1"/>
  <c r="CD82" i="10" s="1"/>
  <c r="CJ82" i="10" s="1"/>
  <c r="BL63" i="13"/>
  <c r="CK11" i="40"/>
  <c r="CL23" i="10"/>
  <c r="CL45" i="40"/>
  <c r="CM24" i="40"/>
  <c r="CM45" i="40" s="1"/>
  <c r="CE13" i="40"/>
  <c r="CD23" i="40"/>
  <c r="CC29" i="10"/>
  <c r="CC25" i="40"/>
  <c r="CC46" i="40" s="1"/>
  <c r="CC47" i="40"/>
  <c r="CG43" i="12"/>
  <c r="CG59" i="11" s="1"/>
  <c r="CF55" i="12"/>
  <c r="CE20" i="11"/>
  <c r="CE135" i="12"/>
  <c r="CE58" i="11"/>
  <c r="CJ69" i="9"/>
  <c r="CK68" i="9"/>
  <c r="CF59" i="11"/>
  <c r="CI135" i="12"/>
  <c r="CI80" i="11"/>
  <c r="CM23" i="11"/>
  <c r="CI74" i="11"/>
  <c r="CK59" i="11"/>
  <c r="CJ74" i="11"/>
  <c r="CM126" i="12"/>
  <c r="CM35" i="12"/>
  <c r="CL123" i="12"/>
  <c r="CL80" i="12"/>
  <c r="CL79" i="12"/>
  <c r="CL36" i="12"/>
  <c r="CL37" i="12" s="1"/>
  <c r="CL10" i="12"/>
  <c r="CL38" i="12" s="1"/>
  <c r="CL41" i="12"/>
  <c r="CL42" i="12" s="1"/>
  <c r="CL43" i="12" s="1"/>
  <c r="CM43" i="12" s="1"/>
  <c r="CF78" i="12"/>
  <c r="CM79" i="11"/>
  <c r="CJ76" i="11"/>
  <c r="CJ10" i="13"/>
  <c r="CJ83" i="12"/>
  <c r="CJ16" i="12"/>
  <c r="CJ82" i="12"/>
  <c r="CJ76" i="12"/>
  <c r="CJ84" i="12"/>
  <c r="CJ118" i="12"/>
  <c r="CJ119" i="12" s="1"/>
  <c r="CJ120" i="12"/>
  <c r="CJ20" i="11"/>
  <c r="CJ58" i="11"/>
  <c r="CI76" i="11"/>
  <c r="BY74" i="11"/>
  <c r="CM67" i="11"/>
  <c r="CI82" i="11"/>
  <c r="CE74" i="11"/>
  <c r="CI20" i="11"/>
  <c r="CM81" i="11"/>
  <c r="CF121" i="12"/>
  <c r="CM84" i="11"/>
  <c r="CG10" i="12"/>
  <c r="CG8" i="11" s="1"/>
  <c r="CK78" i="12"/>
  <c r="CK121" i="12"/>
  <c r="CK8" i="11"/>
  <c r="CK21" i="11" s="1"/>
  <c r="CK133" i="12"/>
  <c r="CK7" i="11"/>
  <c r="CK9" i="12"/>
  <c r="CK61" i="11"/>
  <c r="CL81" i="12"/>
  <c r="CF38" i="12"/>
  <c r="CG41" i="12"/>
  <c r="CG42" i="12" s="1"/>
  <c r="CG80" i="12"/>
  <c r="CG79" i="12"/>
  <c r="CG36" i="12"/>
  <c r="CG37" i="12" s="1"/>
  <c r="CG81" i="12"/>
  <c r="CJ77" i="12"/>
  <c r="CJ135" i="12"/>
  <c r="CD73" i="11"/>
  <c r="CL74" i="13"/>
  <c r="CL73" i="13" s="1"/>
  <c r="CL32" i="13" s="1"/>
  <c r="CK73" i="13"/>
  <c r="CK32" i="13" s="1"/>
  <c r="CF37" i="13"/>
  <c r="CE36" i="13"/>
  <c r="CE40" i="13"/>
  <c r="CK57" i="40"/>
  <c r="CE60" i="40"/>
  <c r="CF60" i="40"/>
  <c r="CF37" i="11"/>
  <c r="CF50" i="11" s="1"/>
  <c r="CG54" i="12"/>
  <c r="CF65" i="11"/>
  <c r="CA42" i="12"/>
  <c r="CA43" i="12"/>
  <c r="CL53" i="12"/>
  <c r="CL54" i="12" s="1"/>
  <c r="CL11" i="12"/>
  <c r="CM52" i="12"/>
  <c r="CG59" i="13"/>
  <c r="CG81" i="10"/>
  <c r="CM11" i="13"/>
  <c r="CM129" i="12"/>
  <c r="CM86" i="12"/>
  <c r="CC9" i="13"/>
  <c r="CI100" i="13" s="1"/>
  <c r="CC58" i="13"/>
  <c r="CF21" i="11"/>
  <c r="CD136" i="10"/>
  <c r="CD16" i="13"/>
  <c r="CD57" i="13"/>
  <c r="CD11" i="11" s="1"/>
  <c r="CD13" i="10"/>
  <c r="CD15" i="10"/>
  <c r="CD17" i="13"/>
  <c r="CD97" i="10"/>
  <c r="CD28" i="9" s="1"/>
  <c r="CM65" i="12"/>
  <c r="CM70" i="12"/>
  <c r="CI10" i="13"/>
  <c r="CI120" i="12"/>
  <c r="CI118" i="12"/>
  <c r="CI119" i="12" s="1"/>
  <c r="CI76" i="12"/>
  <c r="CI83" i="12"/>
  <c r="CI16" i="12"/>
  <c r="CI59" i="13"/>
  <c r="CI26" i="10"/>
  <c r="CG73" i="12"/>
  <c r="CG71" i="12"/>
  <c r="CG53" i="12"/>
  <c r="CF9" i="11"/>
  <c r="CF22" i="11" s="1"/>
  <c r="CF127" i="12"/>
  <c r="CF130" i="12"/>
  <c r="CF7" i="11"/>
  <c r="CF133" i="12"/>
  <c r="CF9" i="12"/>
  <c r="CF82" i="12" s="1"/>
  <c r="CG11" i="12"/>
  <c r="CI84" i="12"/>
  <c r="CC23" i="9"/>
  <c r="CD23" i="9"/>
  <c r="CI58" i="11"/>
  <c r="CL38" i="10"/>
  <c r="CK90" i="10"/>
  <c r="CK80" i="9"/>
  <c r="CG123" i="10"/>
  <c r="CG126" i="10" s="1"/>
  <c r="CC123" i="10"/>
  <c r="CC126" i="10" s="1"/>
  <c r="CJ146" i="10"/>
  <c r="CK20" i="10"/>
  <c r="CM152" i="10"/>
  <c r="CJ81" i="9"/>
  <c r="CJ78" i="9"/>
  <c r="BM162" i="12"/>
  <c r="BR18" i="10"/>
  <c r="BS123" i="10"/>
  <c r="BS126" i="10" s="1"/>
  <c r="BX123" i="10"/>
  <c r="BX126" i="10" s="1"/>
  <c r="BW18" i="10"/>
  <c r="BW181" i="10" s="1"/>
  <c r="BL22" i="13"/>
  <c r="BK82" i="10"/>
  <c r="BQ82" i="10" s="1"/>
  <c r="BW82" i="10" s="1"/>
  <c r="CC82" i="10" s="1"/>
  <c r="CI82" i="10" s="1"/>
  <c r="BK63" i="13"/>
  <c r="BC115" i="10"/>
  <c r="BC118" i="10" s="1"/>
  <c r="AY115" i="10"/>
  <c r="AJ50" i="9"/>
  <c r="AM48" i="9"/>
  <c r="AM49" i="9" s="1"/>
  <c r="AZ90" i="40"/>
  <c r="BA84" i="40"/>
  <c r="BU76" i="11"/>
  <c r="BY58" i="13"/>
  <c r="BY9" i="13"/>
  <c r="CE100" i="13" s="1"/>
  <c r="BY17" i="12"/>
  <c r="BY94" i="13"/>
  <c r="BS17" i="13"/>
  <c r="BS13" i="10"/>
  <c r="BS16" i="13"/>
  <c r="BS15" i="10"/>
  <c r="BS136" i="10"/>
  <c r="BS57" i="13"/>
  <c r="BS97" i="10"/>
  <c r="BS28" i="9" s="1"/>
  <c r="BM150" i="10"/>
  <c r="CA61" i="11"/>
  <c r="BZ76" i="11"/>
  <c r="CA8" i="11"/>
  <c r="CA21" i="11" s="1"/>
  <c r="CA38" i="12"/>
  <c r="CA121" i="12"/>
  <c r="CA78" i="12"/>
  <c r="BU59" i="11"/>
  <c r="BR98" i="13"/>
  <c r="BR89" i="11"/>
  <c r="BR94" i="11" s="1"/>
  <c r="BR62" i="13"/>
  <c r="BR97" i="13"/>
  <c r="BR99" i="13" s="1"/>
  <c r="BR21" i="13"/>
  <c r="BR61" i="13"/>
  <c r="BR90" i="11"/>
  <c r="BR95" i="11" s="1"/>
  <c r="BR11" i="11"/>
  <c r="BM89" i="11"/>
  <c r="BM94" i="11" s="1"/>
  <c r="BM142" i="10"/>
  <c r="BM87" i="13"/>
  <c r="BM144" i="10"/>
  <c r="BM11" i="11"/>
  <c r="BX136" i="10"/>
  <c r="BX17" i="13"/>
  <c r="BX16" i="13"/>
  <c r="BX13" i="10"/>
  <c r="BX97" i="10"/>
  <c r="BX28" i="9" s="1"/>
  <c r="BX15" i="10"/>
  <c r="BX57" i="13"/>
  <c r="BM143" i="10"/>
  <c r="BL69" i="13"/>
  <c r="BL24" i="11"/>
  <c r="DK25" i="11" s="1"/>
  <c r="DK11" i="11"/>
  <c r="BL17" i="11"/>
  <c r="BT74" i="11"/>
  <c r="BZ74" i="11"/>
  <c r="BR144" i="10"/>
  <c r="BR142" i="10"/>
  <c r="BR33" i="9"/>
  <c r="BR87" i="40"/>
  <c r="BM21" i="13"/>
  <c r="BM90" i="11"/>
  <c r="BM95" i="11" s="1"/>
  <c r="BM87" i="40"/>
  <c r="BM33" i="9"/>
  <c r="CA46" i="10"/>
  <c r="BK22" i="13"/>
  <c r="BZ135" i="12"/>
  <c r="BZ80" i="11"/>
  <c r="BU67" i="40"/>
  <c r="BY60" i="40"/>
  <c r="BZ60" i="40"/>
  <c r="BK102" i="13"/>
  <c r="BZ77" i="12"/>
  <c r="BZ76" i="12"/>
  <c r="BZ10" i="13"/>
  <c r="BZ120" i="12"/>
  <c r="BZ84" i="12"/>
  <c r="CA9" i="12"/>
  <c r="BZ83" i="12"/>
  <c r="BZ118" i="12"/>
  <c r="BZ119" i="12" s="1"/>
  <c r="BZ82" i="12"/>
  <c r="BZ16" i="12"/>
  <c r="CA9" i="11"/>
  <c r="CA22" i="11" s="1"/>
  <c r="CA130" i="12"/>
  <c r="CA133" i="12"/>
  <c r="CA127" i="12"/>
  <c r="CA7" i="11"/>
  <c r="BT58" i="13"/>
  <c r="BT9" i="13"/>
  <c r="BT13" i="13"/>
  <c r="BT94" i="13"/>
  <c r="BT17" i="12"/>
  <c r="CA65" i="11"/>
  <c r="CA37" i="11"/>
  <c r="CA50" i="11" s="1"/>
  <c r="BO9" i="13"/>
  <c r="BO17" i="12"/>
  <c r="BO94" i="13"/>
  <c r="BU20" i="11"/>
  <c r="BU58" i="11"/>
  <c r="BO73" i="11"/>
  <c r="BU80" i="11"/>
  <c r="BZ20" i="11"/>
  <c r="BZ58" i="11"/>
  <c r="BU76" i="12"/>
  <c r="BU120" i="12"/>
  <c r="BU83" i="12"/>
  <c r="BU84" i="12"/>
  <c r="BU10" i="13"/>
  <c r="BU58" i="13" s="1"/>
  <c r="BU118" i="12"/>
  <c r="BU119" i="12" s="1"/>
  <c r="BU16" i="12"/>
  <c r="BU82" i="12"/>
  <c r="BU77" i="12"/>
  <c r="CA55" i="12"/>
  <c r="BU135" i="12"/>
  <c r="V96" i="10"/>
  <c r="U111" i="10"/>
  <c r="U107" i="10"/>
  <c r="AV67" i="9"/>
  <c r="AY63" i="9" s="1"/>
  <c r="AV71" i="9"/>
  <c r="AV72" i="9"/>
  <c r="BU79" i="40"/>
  <c r="BX66" i="40"/>
  <c r="BW67" i="40"/>
  <c r="CA26" i="40"/>
  <c r="BK24" i="11"/>
  <c r="DJ25" i="11" s="1"/>
  <c r="DJ11" i="11"/>
  <c r="BK17" i="11"/>
  <c r="BQ33" i="9"/>
  <c r="BQ87" i="40"/>
  <c r="BQ142" i="10"/>
  <c r="BR18" i="9"/>
  <c r="CA23" i="9"/>
  <c r="BK69" i="13"/>
  <c r="BK87" i="40"/>
  <c r="BK33" i="9"/>
  <c r="BQ144" i="10"/>
  <c r="BR20" i="9"/>
  <c r="BQ62" i="13"/>
  <c r="BQ98" i="13"/>
  <c r="BQ89" i="11"/>
  <c r="BQ94" i="11" s="1"/>
  <c r="BQ11" i="11"/>
  <c r="BQ21" i="13"/>
  <c r="BQ61" i="13"/>
  <c r="BQ97" i="13"/>
  <c r="BQ90" i="11"/>
  <c r="BQ95" i="11" s="1"/>
  <c r="BW97" i="10"/>
  <c r="BW28" i="9" s="1"/>
  <c r="BW17" i="13"/>
  <c r="BW57" i="13"/>
  <c r="BW16" i="13"/>
  <c r="BW136" i="10"/>
  <c r="BW15" i="10"/>
  <c r="BW13" i="10"/>
  <c r="BC86" i="10"/>
  <c r="BC92" i="10" s="1"/>
  <c r="BI86" i="10" s="1"/>
  <c r="BI92" i="10" s="1"/>
  <c r="AY86" i="10"/>
  <c r="AY92" i="10" s="1"/>
  <c r="AZ86" i="10" s="1"/>
  <c r="AZ92" i="10" s="1"/>
  <c r="BA86" i="10" s="1"/>
  <c r="BA92" i="10" s="1"/>
  <c r="BB86" i="10" s="1"/>
  <c r="BB92" i="10" s="1"/>
  <c r="CA41" i="13"/>
  <c r="BK86" i="10" l="1"/>
  <c r="BO86" i="10"/>
  <c r="BO136" i="10"/>
  <c r="BO156" i="10" s="1"/>
  <c r="BO98" i="10"/>
  <c r="BO148" i="12"/>
  <c r="BS18" i="9"/>
  <c r="BS144" i="10"/>
  <c r="BR181" i="10"/>
  <c r="BZ100" i="13"/>
  <c r="BM82" i="10"/>
  <c r="BS82" i="10" s="1"/>
  <c r="BY82" i="10" s="1"/>
  <c r="CE82" i="10" s="1"/>
  <c r="CK82" i="10" s="1"/>
  <c r="CC26" i="40"/>
  <c r="CC169" i="10"/>
  <c r="CL30" i="10"/>
  <c r="CK171" i="10"/>
  <c r="DN11" i="11"/>
  <c r="DO11" i="11"/>
  <c r="CM75" i="11"/>
  <c r="BQ99" i="13"/>
  <c r="BM63" i="13"/>
  <c r="CE17" i="12"/>
  <c r="CE94" i="13"/>
  <c r="CE9" i="13"/>
  <c r="CK100" i="13" s="1"/>
  <c r="CE58" i="13"/>
  <c r="BM96" i="13"/>
  <c r="BL53" i="13"/>
  <c r="BL64" i="13"/>
  <c r="BL49" i="13"/>
  <c r="BL93" i="13" s="1"/>
  <c r="BL57" i="10"/>
  <c r="CM73" i="13"/>
  <c r="CM32" i="13" s="1"/>
  <c r="CD29" i="10"/>
  <c r="CD169" i="10" s="1"/>
  <c r="CD47" i="40"/>
  <c r="CD25" i="40"/>
  <c r="CD46" i="40" s="1"/>
  <c r="CM23" i="10"/>
  <c r="CL11" i="40"/>
  <c r="CC46" i="10"/>
  <c r="CF13" i="40"/>
  <c r="CE23" i="40"/>
  <c r="CF74" i="11"/>
  <c r="CE73" i="11"/>
  <c r="CL68" i="9"/>
  <c r="CK69" i="9"/>
  <c r="CL80" i="9"/>
  <c r="CL78" i="9" s="1"/>
  <c r="CL39" i="13"/>
  <c r="CL55" i="12"/>
  <c r="CF20" i="11"/>
  <c r="CF80" i="11"/>
  <c r="CG61" i="11"/>
  <c r="CK76" i="11"/>
  <c r="CK20" i="11"/>
  <c r="CK58" i="11"/>
  <c r="CG78" i="12"/>
  <c r="CM59" i="11"/>
  <c r="CM82" i="11"/>
  <c r="CJ73" i="11"/>
  <c r="CJ94" i="13"/>
  <c r="CJ17" i="12"/>
  <c r="CJ58" i="13"/>
  <c r="CJ9" i="13"/>
  <c r="CL59" i="11"/>
  <c r="CL61" i="11"/>
  <c r="CA59" i="11"/>
  <c r="CA74" i="11" s="1"/>
  <c r="CI73" i="11"/>
  <c r="CG55" i="12"/>
  <c r="CG121" i="12"/>
  <c r="CG38" i="12"/>
  <c r="CK82" i="12"/>
  <c r="CK10" i="13"/>
  <c r="CK120" i="12"/>
  <c r="CK83" i="12"/>
  <c r="CK16" i="12"/>
  <c r="CK76" i="12"/>
  <c r="CK118" i="12"/>
  <c r="CK119" i="12" s="1"/>
  <c r="CK84" i="12"/>
  <c r="CK77" i="12"/>
  <c r="CK135" i="12"/>
  <c r="CL78" i="12"/>
  <c r="CL8" i="11"/>
  <c r="CL21" i="11" s="1"/>
  <c r="CL121" i="12"/>
  <c r="CM10" i="12"/>
  <c r="CM79" i="12"/>
  <c r="CM80" i="12"/>
  <c r="CM123" i="12"/>
  <c r="CM41" i="12"/>
  <c r="CM42" i="12" s="1"/>
  <c r="CM81" i="12"/>
  <c r="CM36" i="12"/>
  <c r="CM37" i="12" s="1"/>
  <c r="CK74" i="11"/>
  <c r="CG37" i="13"/>
  <c r="CI37" i="13"/>
  <c r="CF36" i="13"/>
  <c r="CG36" i="13" s="1"/>
  <c r="CF40" i="13"/>
  <c r="CK60" i="40"/>
  <c r="CL60" i="40"/>
  <c r="CI94" i="13"/>
  <c r="CI17" i="12"/>
  <c r="CF58" i="11"/>
  <c r="CD144" i="10"/>
  <c r="CD21" i="13"/>
  <c r="CD90" i="11"/>
  <c r="CD61" i="13"/>
  <c r="CD97" i="13"/>
  <c r="CL37" i="11"/>
  <c r="CL50" i="11" s="1"/>
  <c r="CM54" i="12"/>
  <c r="CL65" i="11"/>
  <c r="CG21" i="11"/>
  <c r="CD87" i="40"/>
  <c r="CD33" i="9"/>
  <c r="CM53" i="12"/>
  <c r="CG23" i="9"/>
  <c r="CF10" i="13"/>
  <c r="CF120" i="12"/>
  <c r="CF118" i="12"/>
  <c r="CF119" i="12" s="1"/>
  <c r="CF76" i="12"/>
  <c r="CF83" i="12"/>
  <c r="CF84" i="12"/>
  <c r="CF16" i="12"/>
  <c r="CF77" i="12"/>
  <c r="CG9" i="12"/>
  <c r="CG82" i="12" s="1"/>
  <c r="CI23" i="9"/>
  <c r="CJ23" i="9"/>
  <c r="CI58" i="13"/>
  <c r="CI9" i="13"/>
  <c r="CD142" i="10"/>
  <c r="CC13" i="10"/>
  <c r="CC16" i="13"/>
  <c r="CC15" i="10"/>
  <c r="CC17" i="13"/>
  <c r="CC57" i="13"/>
  <c r="CC11" i="11" s="1"/>
  <c r="CC136" i="10"/>
  <c r="CC97" i="10"/>
  <c r="CM59" i="13"/>
  <c r="CM81" i="10"/>
  <c r="CG37" i="11"/>
  <c r="CG50" i="11" s="1"/>
  <c r="CG65" i="11"/>
  <c r="CG9" i="11"/>
  <c r="CG22" i="11" s="1"/>
  <c r="CG127" i="12"/>
  <c r="CG130" i="12"/>
  <c r="CG7" i="11"/>
  <c r="CG58" i="11" s="1"/>
  <c r="CG133" i="12"/>
  <c r="CM71" i="12"/>
  <c r="CM73" i="12"/>
  <c r="CF135" i="12"/>
  <c r="CD89" i="11"/>
  <c r="CD98" i="13"/>
  <c r="CD62" i="13"/>
  <c r="CD17" i="11"/>
  <c r="CL9" i="11"/>
  <c r="CL22" i="11" s="1"/>
  <c r="CL130" i="12"/>
  <c r="CL127" i="12"/>
  <c r="CL7" i="11"/>
  <c r="CL9" i="12"/>
  <c r="CL82" i="12" s="1"/>
  <c r="CL133" i="12"/>
  <c r="CM11" i="12"/>
  <c r="CK78" i="9"/>
  <c r="CK81" i="9"/>
  <c r="CL81" i="9"/>
  <c r="CM60" i="9"/>
  <c r="CC18" i="10"/>
  <c r="CC181" i="10" s="1"/>
  <c r="CD123" i="10"/>
  <c r="CD126" i="10" s="1"/>
  <c r="CL20" i="10"/>
  <c r="CK146" i="10"/>
  <c r="CI123" i="10"/>
  <c r="CI126" i="10" s="1"/>
  <c r="CM123" i="10"/>
  <c r="CM126" i="10" s="1"/>
  <c r="CM38" i="10"/>
  <c r="CM90" i="10" s="1"/>
  <c r="CL90" i="10"/>
  <c r="BL105" i="13"/>
  <c r="BS20" i="9"/>
  <c r="BL88" i="13"/>
  <c r="BL137" i="10"/>
  <c r="BL91" i="11"/>
  <c r="BL96" i="11" s="1"/>
  <c r="BY123" i="10"/>
  <c r="BY126" i="10" s="1"/>
  <c r="BX18" i="10"/>
  <c r="BX181" i="10" s="1"/>
  <c r="BS18" i="10"/>
  <c r="BT123" i="10"/>
  <c r="BT126" i="10" s="1"/>
  <c r="BT18" i="10" s="1"/>
  <c r="BK64" i="13"/>
  <c r="BK53" i="13"/>
  <c r="BK49" i="13"/>
  <c r="BK93" i="13" s="1"/>
  <c r="BK57" i="10"/>
  <c r="AN48" i="9"/>
  <c r="AN49" i="9" s="1"/>
  <c r="AM50" i="9"/>
  <c r="AY118" i="10"/>
  <c r="AY119" i="10"/>
  <c r="BC119" i="10" s="1"/>
  <c r="BC120" i="10" s="1"/>
  <c r="BU94" i="13"/>
  <c r="BK137" i="10"/>
  <c r="BK103" i="13"/>
  <c r="BK91" i="11"/>
  <c r="BK96" i="11" s="1"/>
  <c r="BK88" i="13"/>
  <c r="BA89" i="40"/>
  <c r="BA92" i="40"/>
  <c r="BM22" i="13"/>
  <c r="BM69" i="13"/>
  <c r="BL25" i="13"/>
  <c r="BX144" i="10"/>
  <c r="BX142" i="10"/>
  <c r="BX89" i="11"/>
  <c r="BX94" i="11" s="1"/>
  <c r="BX98" i="13"/>
  <c r="BX62" i="13"/>
  <c r="BR69" i="13"/>
  <c r="BR25" i="10"/>
  <c r="BR63" i="13"/>
  <c r="BU74" i="11"/>
  <c r="BS87" i="40"/>
  <c r="BS33" i="9"/>
  <c r="BS21" i="13"/>
  <c r="BS61" i="13"/>
  <c r="BS97" i="13"/>
  <c r="BS90" i="11"/>
  <c r="BS95" i="11" s="1"/>
  <c r="BS62" i="13"/>
  <c r="BS98" i="13"/>
  <c r="BS89" i="11"/>
  <c r="BS94" i="11" s="1"/>
  <c r="BL97" i="11"/>
  <c r="DK17" i="11"/>
  <c r="BL27" i="11"/>
  <c r="BL28" i="11"/>
  <c r="BL70" i="11"/>
  <c r="BL41" i="11"/>
  <c r="BL54" i="11" s="1"/>
  <c r="BL151" i="10"/>
  <c r="BL153" i="10" s="1"/>
  <c r="BL28" i="10"/>
  <c r="BM102" i="13"/>
  <c r="BX11" i="11"/>
  <c r="BX33" i="9"/>
  <c r="BX87" i="40"/>
  <c r="BX61" i="13"/>
  <c r="BX21" i="13"/>
  <c r="BX97" i="13"/>
  <c r="BX90" i="11"/>
  <c r="BX95" i="11" s="1"/>
  <c r="BM24" i="11"/>
  <c r="DL25" i="11" s="1"/>
  <c r="BM17" i="11"/>
  <c r="DL11" i="11"/>
  <c r="BR24" i="11"/>
  <c r="DO25" i="11" s="1"/>
  <c r="BR17" i="11"/>
  <c r="CA76" i="11"/>
  <c r="BS11" i="11"/>
  <c r="BS142" i="10"/>
  <c r="BY13" i="10"/>
  <c r="BY57" i="13"/>
  <c r="BY15" i="10"/>
  <c r="BY144" i="10" s="1"/>
  <c r="BY17" i="13"/>
  <c r="BY97" i="10"/>
  <c r="BY28" i="9" s="1"/>
  <c r="BY136" i="10"/>
  <c r="BY16" i="13"/>
  <c r="CA80" i="11"/>
  <c r="BZ73" i="11"/>
  <c r="CA135" i="12"/>
  <c r="BK105" i="13"/>
  <c r="BN15" i="13"/>
  <c r="BN44" i="13"/>
  <c r="BN95" i="13" s="1"/>
  <c r="BO12" i="13"/>
  <c r="BU17" i="12"/>
  <c r="BO17" i="13"/>
  <c r="BN89" i="11"/>
  <c r="BN94" i="11" s="1"/>
  <c r="BQ18" i="9"/>
  <c r="BO18" i="9"/>
  <c r="BO13" i="10"/>
  <c r="BO142" i="10" s="1"/>
  <c r="BN21" i="13"/>
  <c r="BN82" i="10" s="1"/>
  <c r="BT82" i="10" s="1"/>
  <c r="BZ82" i="10" s="1"/>
  <c r="CF82" i="10" s="1"/>
  <c r="CL82" i="10" s="1"/>
  <c r="BN90" i="11"/>
  <c r="BN95" i="11" s="1"/>
  <c r="BO16" i="13"/>
  <c r="BO20" i="9"/>
  <c r="BQ20" i="9"/>
  <c r="BO15" i="10"/>
  <c r="BO144" i="10" s="1"/>
  <c r="BT15" i="10"/>
  <c r="BT17" i="13"/>
  <c r="BT136" i="10"/>
  <c r="BT16" i="13"/>
  <c r="BU9" i="13"/>
  <c r="BT97" i="10"/>
  <c r="BT13" i="10"/>
  <c r="BT57" i="13"/>
  <c r="CA20" i="11"/>
  <c r="CA58" i="11"/>
  <c r="BZ58" i="13"/>
  <c r="BZ13" i="13"/>
  <c r="BZ9" i="13"/>
  <c r="CF100" i="13" s="1"/>
  <c r="BU73" i="11"/>
  <c r="BO100" i="13"/>
  <c r="BN11" i="11"/>
  <c r="BO57" i="13"/>
  <c r="BO11" i="11" s="1"/>
  <c r="BT12" i="13"/>
  <c r="BZ17" i="12"/>
  <c r="BZ94" i="13"/>
  <c r="CA76" i="12"/>
  <c r="CA120" i="12"/>
  <c r="CA16" i="12"/>
  <c r="CA82" i="12"/>
  <c r="CA10" i="13"/>
  <c r="CA58" i="13" s="1"/>
  <c r="CA118" i="12"/>
  <c r="CA119" i="12" s="1"/>
  <c r="CA84" i="12"/>
  <c r="CA83" i="12"/>
  <c r="CA77" i="12"/>
  <c r="U112" i="10"/>
  <c r="V103" i="10"/>
  <c r="U106" i="10"/>
  <c r="V101" i="10"/>
  <c r="V105" i="10"/>
  <c r="AY67" i="9"/>
  <c r="AZ63" i="9" s="1"/>
  <c r="AY72" i="9"/>
  <c r="AY71" i="9"/>
  <c r="BW79" i="40"/>
  <c r="BY66" i="40"/>
  <c r="BX67" i="40"/>
  <c r="BX79" i="40" s="1"/>
  <c r="BW142" i="10"/>
  <c r="BX18" i="9"/>
  <c r="BW98" i="13"/>
  <c r="BW89" i="11"/>
  <c r="BW94" i="11" s="1"/>
  <c r="BW62" i="13"/>
  <c r="BQ69" i="13"/>
  <c r="BQ63" i="13"/>
  <c r="BQ25" i="10"/>
  <c r="BK151" i="10"/>
  <c r="BK153" i="10" s="1"/>
  <c r="BK17" i="9"/>
  <c r="BL17" i="9"/>
  <c r="BW144" i="10"/>
  <c r="BX20" i="9"/>
  <c r="BW61" i="13"/>
  <c r="BW21" i="13"/>
  <c r="BW97" i="13"/>
  <c r="BW90" i="11"/>
  <c r="BW95" i="11" s="1"/>
  <c r="BW11" i="11"/>
  <c r="BW87" i="40"/>
  <c r="BW33" i="9"/>
  <c r="BQ17" i="11"/>
  <c r="BQ24" i="11"/>
  <c r="DN25" i="11" s="1"/>
  <c r="BK25" i="13"/>
  <c r="BK70" i="11"/>
  <c r="BK41" i="11"/>
  <c r="BK54" i="11" s="1"/>
  <c r="BK27" i="11"/>
  <c r="BK28" i="11"/>
  <c r="DJ17" i="11"/>
  <c r="BK97" i="11"/>
  <c r="BE86" i="10"/>
  <c r="BE92" i="10" s="1"/>
  <c r="BF86" i="10" s="1"/>
  <c r="BF92" i="10" s="1"/>
  <c r="BG86" i="10" s="1"/>
  <c r="BG92" i="10" s="1"/>
  <c r="BH86" i="10" s="1"/>
  <c r="BH92" i="10" s="1"/>
  <c r="CA100" i="13" l="1"/>
  <c r="BO83" i="10"/>
  <c r="BO69" i="10"/>
  <c r="BT181" i="10"/>
  <c r="BS181" i="10"/>
  <c r="BN52" i="13"/>
  <c r="BN63" i="13"/>
  <c r="BM57" i="10"/>
  <c r="CM30" i="10"/>
  <c r="CM171" i="10" s="1"/>
  <c r="CL171" i="10"/>
  <c r="BU18" i="10"/>
  <c r="BU181" i="10" s="1"/>
  <c r="DN17" i="11"/>
  <c r="DP11" i="11"/>
  <c r="CD24" i="11"/>
  <c r="DO17" i="11"/>
  <c r="BS99" i="13"/>
  <c r="BW99" i="13"/>
  <c r="BN99" i="13"/>
  <c r="BX99" i="13"/>
  <c r="CD99" i="13"/>
  <c r="BM53" i="13"/>
  <c r="BM64" i="13"/>
  <c r="BM49" i="13"/>
  <c r="CE16" i="13"/>
  <c r="CE13" i="10"/>
  <c r="CE15" i="10"/>
  <c r="CE20" i="9" s="1"/>
  <c r="CE97" i="10"/>
  <c r="CE28" i="9" s="1"/>
  <c r="CE87" i="40" s="1"/>
  <c r="CE136" i="10"/>
  <c r="CE17" i="13"/>
  <c r="CE57" i="13"/>
  <c r="CE11" i="11" s="1"/>
  <c r="BL106" i="13"/>
  <c r="BL50" i="13"/>
  <c r="CG100" i="13"/>
  <c r="CA94" i="13"/>
  <c r="CE29" i="10"/>
  <c r="CE169" i="10" s="1"/>
  <c r="CE25" i="40"/>
  <c r="CE46" i="40" s="1"/>
  <c r="CE47" i="40"/>
  <c r="CM11" i="40"/>
  <c r="CD46" i="10"/>
  <c r="CG13" i="40"/>
  <c r="CF23" i="40"/>
  <c r="CD26" i="40"/>
  <c r="CL69" i="9"/>
  <c r="CM68" i="9"/>
  <c r="CM69" i="9" s="1"/>
  <c r="CM80" i="9"/>
  <c r="CM78" i="9" s="1"/>
  <c r="CM39" i="13"/>
  <c r="CG20" i="11"/>
  <c r="CL80" i="11"/>
  <c r="CM38" i="12"/>
  <c r="CM121" i="12"/>
  <c r="CM8" i="11"/>
  <c r="CM21" i="11" s="1"/>
  <c r="CM78" i="12"/>
  <c r="CK9" i="13"/>
  <c r="CK58" i="13"/>
  <c r="CJ16" i="13"/>
  <c r="CJ13" i="10"/>
  <c r="CJ15" i="10"/>
  <c r="CJ144" i="10" s="1"/>
  <c r="CJ17" i="13"/>
  <c r="CJ136" i="10"/>
  <c r="CJ97" i="10"/>
  <c r="CJ28" i="9" s="1"/>
  <c r="CJ57" i="13"/>
  <c r="CJ11" i="11" s="1"/>
  <c r="CM74" i="11"/>
  <c r="CL135" i="12"/>
  <c r="CL20" i="11"/>
  <c r="CG80" i="11"/>
  <c r="CF73" i="11"/>
  <c r="CM61" i="11"/>
  <c r="CK17" i="12"/>
  <c r="CK94" i="13"/>
  <c r="CG74" i="11"/>
  <c r="CL76" i="11"/>
  <c r="CL74" i="11"/>
  <c r="CK73" i="11"/>
  <c r="CG76" i="11"/>
  <c r="CG40" i="13"/>
  <c r="CI40" i="13"/>
  <c r="CI36" i="13"/>
  <c r="CJ37" i="13"/>
  <c r="CM9" i="11"/>
  <c r="CM22" i="11" s="1"/>
  <c r="CM127" i="12"/>
  <c r="CM130" i="12"/>
  <c r="CM133" i="12"/>
  <c r="CM7" i="11"/>
  <c r="CM58" i="11" s="1"/>
  <c r="CG135" i="12"/>
  <c r="CC144" i="10"/>
  <c r="CD20" i="9"/>
  <c r="CD41" i="11"/>
  <c r="CD70" i="11"/>
  <c r="CC28" i="9"/>
  <c r="CC98" i="13"/>
  <c r="CC62" i="13"/>
  <c r="CC89" i="11"/>
  <c r="CC94" i="11" s="1"/>
  <c r="CG10" i="13"/>
  <c r="CG58" i="13" s="1"/>
  <c r="CG118" i="12"/>
  <c r="CG119" i="12" s="1"/>
  <c r="CG76" i="12"/>
  <c r="CG120" i="12"/>
  <c r="CG77" i="12"/>
  <c r="CG83" i="12"/>
  <c r="CG16" i="12"/>
  <c r="CG84" i="12"/>
  <c r="CF9" i="13"/>
  <c r="CL100" i="13" s="1"/>
  <c r="CF13" i="13"/>
  <c r="CF58" i="13"/>
  <c r="CG73" i="11"/>
  <c r="CC90" i="11"/>
  <c r="CC95" i="11" s="1"/>
  <c r="CC97" i="13"/>
  <c r="CC21" i="13"/>
  <c r="CC61" i="13"/>
  <c r="CI13" i="10"/>
  <c r="CI97" i="10"/>
  <c r="CI57" i="13"/>
  <c r="CI11" i="11" s="1"/>
  <c r="CI17" i="13"/>
  <c r="CI16" i="13"/>
  <c r="CI15" i="10"/>
  <c r="CI136" i="10"/>
  <c r="CM23" i="9"/>
  <c r="CF94" i="13"/>
  <c r="CF17" i="12"/>
  <c r="CD95" i="11"/>
  <c r="CL10" i="13"/>
  <c r="CL120" i="12"/>
  <c r="CL118" i="12"/>
  <c r="CL119" i="12" s="1"/>
  <c r="CL76" i="12"/>
  <c r="CL83" i="12"/>
  <c r="CL84" i="12"/>
  <c r="CL16" i="12"/>
  <c r="CL77" i="12"/>
  <c r="CM9" i="12"/>
  <c r="CD94" i="11"/>
  <c r="CL58" i="11"/>
  <c r="CC24" i="11"/>
  <c r="CC17" i="11"/>
  <c r="CC142" i="10"/>
  <c r="CD18" i="9"/>
  <c r="CM55" i="12"/>
  <c r="CM37" i="11"/>
  <c r="CM50" i="11" s="1"/>
  <c r="CM65" i="11"/>
  <c r="CD63" i="13"/>
  <c r="CD25" i="10"/>
  <c r="CD69" i="13"/>
  <c r="CD18" i="10"/>
  <c r="CD181" i="10" s="1"/>
  <c r="CE123" i="10"/>
  <c r="CE126" i="10" s="1"/>
  <c r="CI18" i="10"/>
  <c r="CI181" i="10" s="1"/>
  <c r="CJ123" i="10"/>
  <c r="CJ126" i="10" s="1"/>
  <c r="CM20" i="10"/>
  <c r="CL146" i="10"/>
  <c r="BK50" i="13"/>
  <c r="BQ152" i="12"/>
  <c r="BQ151" i="12"/>
  <c r="BQ155" i="12"/>
  <c r="BQ150" i="12"/>
  <c r="BQ157" i="12"/>
  <c r="BQ153" i="12"/>
  <c r="BQ154" i="12"/>
  <c r="BQ156" i="12"/>
  <c r="BZ123" i="10"/>
  <c r="BZ126" i="10" s="1"/>
  <c r="BZ18" i="10" s="1"/>
  <c r="BZ181" i="10" s="1"/>
  <c r="BY18" i="10"/>
  <c r="BY181" i="10" s="1"/>
  <c r="BE115" i="10"/>
  <c r="BI115" i="10"/>
  <c r="BI118" i="10" s="1"/>
  <c r="AO48" i="9"/>
  <c r="AO49" i="9" s="1"/>
  <c r="AN50" i="9"/>
  <c r="BK104" i="13"/>
  <c r="BK106" i="13"/>
  <c r="BB84" i="40"/>
  <c r="BA90" i="40"/>
  <c r="BY142" i="10"/>
  <c r="BS17" i="11"/>
  <c r="BS24" i="11"/>
  <c r="DP25" i="11" s="1"/>
  <c r="BM70" i="11"/>
  <c r="DL17" i="11"/>
  <c r="BM41" i="11"/>
  <c r="BM54" i="11" s="1"/>
  <c r="BM28" i="11"/>
  <c r="BM27" i="11"/>
  <c r="BM97" i="11"/>
  <c r="BL34" i="10"/>
  <c r="BR151" i="10"/>
  <c r="BY18" i="9"/>
  <c r="BM25" i="13"/>
  <c r="BY97" i="13"/>
  <c r="BY90" i="11"/>
  <c r="BY95" i="11" s="1"/>
  <c r="BY21" i="13"/>
  <c r="BY61" i="13"/>
  <c r="BY33" i="9"/>
  <c r="BY87" i="40"/>
  <c r="BY89" i="11"/>
  <c r="BY94" i="11" s="1"/>
  <c r="BY98" i="13"/>
  <c r="BY62" i="13"/>
  <c r="BY11" i="11"/>
  <c r="BR27" i="11"/>
  <c r="DO28" i="11" s="1"/>
  <c r="BR41" i="11"/>
  <c r="BR54" i="11" s="1"/>
  <c r="BR70" i="11"/>
  <c r="BX25" i="10"/>
  <c r="BX69" i="13"/>
  <c r="BX63" i="13"/>
  <c r="BX24" i="11"/>
  <c r="BX17" i="11"/>
  <c r="BM105" i="13"/>
  <c r="BM50" i="13" s="1"/>
  <c r="BM103" i="13"/>
  <c r="BL85" i="11"/>
  <c r="DK28" i="11"/>
  <c r="BR28" i="11"/>
  <c r="BS25" i="10"/>
  <c r="BS63" i="13"/>
  <c r="BS69" i="13"/>
  <c r="BR15" i="9"/>
  <c r="BR25" i="13"/>
  <c r="BY20" i="9"/>
  <c r="BM151" i="10"/>
  <c r="BM153" i="10" s="1"/>
  <c r="BM28" i="10"/>
  <c r="BM17" i="9"/>
  <c r="BM88" i="13"/>
  <c r="BM91" i="11"/>
  <c r="BM96" i="11" s="1"/>
  <c r="BM137" i="10"/>
  <c r="CA73" i="11"/>
  <c r="CA17" i="12"/>
  <c r="BO24" i="11"/>
  <c r="BO17" i="11"/>
  <c r="BN17" i="11"/>
  <c r="DM11" i="11"/>
  <c r="BN24" i="11"/>
  <c r="DM25" i="11" s="1"/>
  <c r="BZ57" i="13"/>
  <c r="BZ17" i="13"/>
  <c r="BZ15" i="10"/>
  <c r="CC20" i="9" s="1"/>
  <c r="CA9" i="13"/>
  <c r="BZ16" i="13"/>
  <c r="BZ97" i="10"/>
  <c r="BZ13" i="10"/>
  <c r="BZ136" i="10"/>
  <c r="BT142" i="10"/>
  <c r="BU13" i="10"/>
  <c r="BU69" i="10" s="1"/>
  <c r="BT18" i="9"/>
  <c r="BU18" i="9" s="1"/>
  <c r="BW18" i="9"/>
  <c r="BU136" i="10"/>
  <c r="BU57" i="13"/>
  <c r="BU11" i="11" s="1"/>
  <c r="BT144" i="10"/>
  <c r="BT20" i="9"/>
  <c r="BU20" i="9" s="1"/>
  <c r="BU15" i="10"/>
  <c r="BW20" i="9"/>
  <c r="BO90" i="11"/>
  <c r="BO95" i="11" s="1"/>
  <c r="BO47" i="13"/>
  <c r="BO61" i="13"/>
  <c r="BO21" i="13"/>
  <c r="BO62" i="13"/>
  <c r="BO48" i="13"/>
  <c r="BO89" i="11"/>
  <c r="BO94" i="11" s="1"/>
  <c r="BO44" i="13"/>
  <c r="BO60" i="13"/>
  <c r="BO15" i="13"/>
  <c r="BT15" i="13"/>
  <c r="BT24" i="10"/>
  <c r="BT60" i="13"/>
  <c r="BT14" i="10"/>
  <c r="BT44" i="13"/>
  <c r="BT95" i="13" s="1"/>
  <c r="BZ12" i="13"/>
  <c r="BT11" i="11"/>
  <c r="BU100" i="13"/>
  <c r="BU97" i="10"/>
  <c r="BU98" i="10" s="1"/>
  <c r="BT28" i="9"/>
  <c r="BT21" i="13"/>
  <c r="BT97" i="13"/>
  <c r="BU16" i="13"/>
  <c r="BT61" i="13"/>
  <c r="BT90" i="11"/>
  <c r="BT95" i="11" s="1"/>
  <c r="BT89" i="11"/>
  <c r="BT94" i="11" s="1"/>
  <c r="BU17" i="13"/>
  <c r="BT98" i="13"/>
  <c r="BT62" i="13"/>
  <c r="BO97" i="13"/>
  <c r="BN69" i="13"/>
  <c r="BO98" i="13"/>
  <c r="BO22" i="9"/>
  <c r="BO24" i="10"/>
  <c r="BO150" i="10" s="1"/>
  <c r="BO14" i="10"/>
  <c r="BO143" i="10" s="1"/>
  <c r="BN87" i="13"/>
  <c r="BN22" i="13"/>
  <c r="W96" i="10"/>
  <c r="V111" i="10"/>
  <c r="V107" i="10"/>
  <c r="AZ67" i="9"/>
  <c r="BA63" i="9" s="1"/>
  <c r="AZ72" i="9"/>
  <c r="AZ71" i="9"/>
  <c r="BZ66" i="40"/>
  <c r="CC66" i="40" s="1"/>
  <c r="BY67" i="40"/>
  <c r="BY79" i="40" s="1"/>
  <c r="DJ28" i="11"/>
  <c r="BQ28" i="11"/>
  <c r="BW25" i="10"/>
  <c r="BW63" i="13"/>
  <c r="BW69" i="13"/>
  <c r="BK85" i="11"/>
  <c r="BQ27" i="11"/>
  <c r="DN28" i="11" s="1"/>
  <c r="BQ41" i="11"/>
  <c r="BQ54" i="11" s="1"/>
  <c r="BQ70" i="11"/>
  <c r="BW17" i="11"/>
  <c r="BW24" i="11"/>
  <c r="BK34" i="10"/>
  <c r="BQ151" i="10"/>
  <c r="BR24" i="9"/>
  <c r="BQ25" i="13"/>
  <c r="BQ15" i="9"/>
  <c r="BO70" i="10" l="1"/>
  <c r="BO153" i="10"/>
  <c r="BO71" i="10"/>
  <c r="BO72" i="10" s="1"/>
  <c r="BN137" i="10"/>
  <c r="BN57" i="10"/>
  <c r="BN64" i="13"/>
  <c r="BN53" i="13"/>
  <c r="BN49" i="13"/>
  <c r="CA18" i="10"/>
  <c r="CA181" i="10" s="1"/>
  <c r="DQ11" i="11"/>
  <c r="DP17" i="11"/>
  <c r="CD27" i="11"/>
  <c r="CE17" i="11"/>
  <c r="CE41" i="11" s="1"/>
  <c r="CM146" i="10"/>
  <c r="BO99" i="13"/>
  <c r="CC99" i="13"/>
  <c r="BT99" i="13"/>
  <c r="BY99" i="13"/>
  <c r="CE24" i="11"/>
  <c r="BO95" i="13"/>
  <c r="BN102" i="13"/>
  <c r="CE90" i="11"/>
  <c r="CE95" i="11" s="1"/>
  <c r="BN96" i="13"/>
  <c r="CM81" i="9"/>
  <c r="CE97" i="13"/>
  <c r="CE61" i="13"/>
  <c r="CE142" i="10"/>
  <c r="CE18" i="9"/>
  <c r="CE144" i="10"/>
  <c r="CE89" i="11"/>
  <c r="CE94" i="11" s="1"/>
  <c r="CE33" i="9"/>
  <c r="CE21" i="13"/>
  <c r="CE98" i="13"/>
  <c r="CE62" i="13"/>
  <c r="BM93" i="13"/>
  <c r="CG94" i="13"/>
  <c r="CM100" i="13"/>
  <c r="CG34" i="40"/>
  <c r="CG44" i="40" s="1"/>
  <c r="CI13" i="40"/>
  <c r="CG23" i="40"/>
  <c r="CM32" i="40"/>
  <c r="CE46" i="10"/>
  <c r="CF29" i="10"/>
  <c r="CF169" i="10" s="1"/>
  <c r="CF47" i="40"/>
  <c r="CG47" i="40" s="1"/>
  <c r="CF25" i="40"/>
  <c r="CF46" i="40" s="1"/>
  <c r="CE26" i="40"/>
  <c r="CM73" i="11"/>
  <c r="CM135" i="12"/>
  <c r="CM76" i="11"/>
  <c r="CJ87" i="40"/>
  <c r="CJ33" i="9"/>
  <c r="CJ98" i="13"/>
  <c r="CJ62" i="13"/>
  <c r="CJ89" i="11"/>
  <c r="CJ94" i="11" s="1"/>
  <c r="CJ142" i="10"/>
  <c r="CK13" i="10"/>
  <c r="CK18" i="9" s="1"/>
  <c r="CK136" i="10"/>
  <c r="CK17" i="13"/>
  <c r="CK15" i="10"/>
  <c r="CK97" i="10"/>
  <c r="CK28" i="9" s="1"/>
  <c r="CK16" i="13"/>
  <c r="CK57" i="13"/>
  <c r="CK11" i="11" s="1"/>
  <c r="CM80" i="11"/>
  <c r="CL73" i="11"/>
  <c r="CM20" i="11"/>
  <c r="CJ24" i="11"/>
  <c r="CJ17" i="11"/>
  <c r="CJ97" i="13"/>
  <c r="CJ21" i="13"/>
  <c r="CJ90" i="11"/>
  <c r="CJ95" i="11" s="1"/>
  <c r="CJ61" i="13"/>
  <c r="CG41" i="13"/>
  <c r="CJ36" i="13"/>
  <c r="CJ40" i="13"/>
  <c r="CK37" i="13"/>
  <c r="CD66" i="40"/>
  <c r="CC67" i="40"/>
  <c r="CC27" i="11"/>
  <c r="CC41" i="11"/>
  <c r="CC70" i="11"/>
  <c r="CL94" i="13"/>
  <c r="CL17" i="12"/>
  <c r="CI89" i="11"/>
  <c r="CI94" i="11" s="1"/>
  <c r="CI62" i="13"/>
  <c r="CI98" i="13"/>
  <c r="CF17" i="13"/>
  <c r="CF16" i="13"/>
  <c r="CF13" i="10"/>
  <c r="CF136" i="10"/>
  <c r="CF15" i="10"/>
  <c r="CF97" i="10"/>
  <c r="CF57" i="13"/>
  <c r="CF11" i="11" s="1"/>
  <c r="CG9" i="13"/>
  <c r="CC18" i="9"/>
  <c r="CI17" i="11"/>
  <c r="CI24" i="11"/>
  <c r="CD25" i="13"/>
  <c r="CD15" i="9"/>
  <c r="CM10" i="13"/>
  <c r="CM58" i="13" s="1"/>
  <c r="CM120" i="12"/>
  <c r="CM118" i="12"/>
  <c r="CM119" i="12" s="1"/>
  <c r="CM76" i="12"/>
  <c r="CM83" i="12"/>
  <c r="CM84" i="12"/>
  <c r="CM16" i="12"/>
  <c r="CM77" i="12"/>
  <c r="CL58" i="13"/>
  <c r="CL13" i="13"/>
  <c r="CL9" i="13"/>
  <c r="CJ20" i="9"/>
  <c r="CI144" i="10"/>
  <c r="CI28" i="9"/>
  <c r="CC25" i="10"/>
  <c r="CD24" i="9" s="1"/>
  <c r="CC69" i="13"/>
  <c r="CC63" i="13"/>
  <c r="CG17" i="12"/>
  <c r="CM82" i="12"/>
  <c r="CD151" i="10"/>
  <c r="CI90" i="11"/>
  <c r="CI95" i="11" s="1"/>
  <c r="CI61" i="13"/>
  <c r="CI97" i="13"/>
  <c r="CI21" i="13"/>
  <c r="CI142" i="10"/>
  <c r="CJ18" i="9"/>
  <c r="CF12" i="13"/>
  <c r="CC33" i="9"/>
  <c r="CC87" i="40"/>
  <c r="CJ18" i="10"/>
  <c r="CJ181" i="10" s="1"/>
  <c r="CK123" i="10"/>
  <c r="CK126" i="10" s="1"/>
  <c r="CF123" i="10"/>
  <c r="CF126" i="10" s="1"/>
  <c r="CF18" i="10" s="1"/>
  <c r="CF181" i="10" s="1"/>
  <c r="CE18" i="10"/>
  <c r="CE181" i="10" s="1"/>
  <c r="BR154" i="12"/>
  <c r="BQ144" i="12"/>
  <c r="BR157" i="12"/>
  <c r="BR155" i="12"/>
  <c r="BQ145" i="12"/>
  <c r="BR156" i="12"/>
  <c r="BQ146" i="12"/>
  <c r="BR153" i="12"/>
  <c r="BQ143" i="12"/>
  <c r="BR150" i="12"/>
  <c r="BQ140" i="12"/>
  <c r="BR151" i="12"/>
  <c r="BQ141" i="12"/>
  <c r="BR152" i="12"/>
  <c r="AP48" i="9"/>
  <c r="AP49" i="9" s="1"/>
  <c r="AO50" i="9"/>
  <c r="BE119" i="10"/>
  <c r="BI119" i="10" s="1"/>
  <c r="BI120" i="10" s="1"/>
  <c r="BE118" i="10"/>
  <c r="BU97" i="13"/>
  <c r="BU98" i="13"/>
  <c r="BB92" i="40"/>
  <c r="BC92" i="40" s="1"/>
  <c r="BB89" i="40"/>
  <c r="BM34" i="10"/>
  <c r="BX27" i="11"/>
  <c r="CD28" i="11" s="1"/>
  <c r="BX41" i="11"/>
  <c r="BX54" i="11" s="1"/>
  <c r="BX70" i="11"/>
  <c r="CD85" i="11" s="1"/>
  <c r="BX151" i="10"/>
  <c r="BR85" i="11"/>
  <c r="BY17" i="11"/>
  <c r="BY24" i="11"/>
  <c r="BM85" i="11"/>
  <c r="BS27" i="11"/>
  <c r="DP28" i="11" s="1"/>
  <c r="BS41" i="11"/>
  <c r="BS54" i="11" s="1"/>
  <c r="BS70" i="11"/>
  <c r="BS15" i="9"/>
  <c r="BS25" i="13"/>
  <c r="BS151" i="10"/>
  <c r="BS24" i="9"/>
  <c r="BM104" i="13"/>
  <c r="BX15" i="9"/>
  <c r="BX25" i="13"/>
  <c r="BX28" i="11"/>
  <c r="BY25" i="10"/>
  <c r="BY63" i="13"/>
  <c r="BY69" i="13"/>
  <c r="BS28" i="11"/>
  <c r="DL28" i="11"/>
  <c r="BN88" i="13"/>
  <c r="BN91" i="11"/>
  <c r="BN96" i="11" s="1"/>
  <c r="BT69" i="13"/>
  <c r="BT63" i="13"/>
  <c r="BT25" i="10"/>
  <c r="BT24" i="11"/>
  <c r="DQ25" i="11" s="1"/>
  <c r="BT17" i="11"/>
  <c r="BT143" i="10"/>
  <c r="BU14" i="10"/>
  <c r="BU24" i="10"/>
  <c r="BT150" i="10"/>
  <c r="BO63" i="13"/>
  <c r="BU83" i="10"/>
  <c r="BU144" i="10"/>
  <c r="BZ142" i="10"/>
  <c r="BZ18" i="9"/>
  <c r="CA18" i="9" s="1"/>
  <c r="CA13" i="10"/>
  <c r="CA69" i="10" s="1"/>
  <c r="BZ21" i="13"/>
  <c r="BZ90" i="11"/>
  <c r="BZ95" i="11" s="1"/>
  <c r="CA16" i="13"/>
  <c r="CA47" i="13" s="1"/>
  <c r="BZ97" i="13"/>
  <c r="BZ61" i="13"/>
  <c r="CA15" i="10"/>
  <c r="CA83" i="10" s="1"/>
  <c r="BZ20" i="9"/>
  <c r="CA20" i="9" s="1"/>
  <c r="BZ144" i="10"/>
  <c r="BZ11" i="11"/>
  <c r="BO97" i="11"/>
  <c r="BO41" i="11"/>
  <c r="BO54" i="11" s="1"/>
  <c r="BO27" i="11"/>
  <c r="BO70" i="11"/>
  <c r="BO28" i="11"/>
  <c r="BW28" i="11"/>
  <c r="BO19" i="9"/>
  <c r="BO25" i="10"/>
  <c r="BO151" i="10" s="1"/>
  <c r="BO24" i="9"/>
  <c r="BN28" i="10"/>
  <c r="BQ24" i="9"/>
  <c r="BN25" i="13"/>
  <c r="BO69" i="13"/>
  <c r="BU62" i="13"/>
  <c r="BU89" i="11"/>
  <c r="BU94" i="11" s="1"/>
  <c r="BU48" i="13"/>
  <c r="BU47" i="13"/>
  <c r="BU90" i="11"/>
  <c r="BU95" i="11" s="1"/>
  <c r="BU61" i="13"/>
  <c r="BU21" i="13"/>
  <c r="BT33" i="9"/>
  <c r="BT87" i="40"/>
  <c r="BU28" i="9"/>
  <c r="BZ60" i="13"/>
  <c r="BZ24" i="10"/>
  <c r="BZ44" i="13"/>
  <c r="BZ95" i="13" s="1"/>
  <c r="BZ14" i="10"/>
  <c r="BZ15" i="13"/>
  <c r="BT96" i="13"/>
  <c r="BT102" i="13"/>
  <c r="BT22" i="13"/>
  <c r="BT52" i="13"/>
  <c r="BT87" i="13"/>
  <c r="BO87" i="13"/>
  <c r="BO52" i="13"/>
  <c r="BO22" i="13"/>
  <c r="BU24" i="11"/>
  <c r="BU17" i="11"/>
  <c r="BU142" i="10"/>
  <c r="BZ28" i="9"/>
  <c r="CA97" i="10"/>
  <c r="CA98" i="10" s="1"/>
  <c r="CA136" i="10"/>
  <c r="CA57" i="13"/>
  <c r="CA11" i="11" s="1"/>
  <c r="BZ98" i="13"/>
  <c r="CA17" i="13"/>
  <c r="CA48" i="13" s="1"/>
  <c r="BZ62" i="13"/>
  <c r="BZ89" i="11"/>
  <c r="BZ94" i="11" s="1"/>
  <c r="BN28" i="11"/>
  <c r="BN27" i="11"/>
  <c r="BN70" i="11"/>
  <c r="DM17" i="11"/>
  <c r="BN97" i="11"/>
  <c r="BN41" i="11"/>
  <c r="BN54" i="11" s="1"/>
  <c r="W103" i="10"/>
  <c r="V112" i="10"/>
  <c r="V106" i="10"/>
  <c r="W101" i="10"/>
  <c r="W105" i="10"/>
  <c r="BA67" i="9"/>
  <c r="BB63" i="9" s="1"/>
  <c r="BA71" i="9"/>
  <c r="BA72" i="9"/>
  <c r="CA66" i="40"/>
  <c r="BZ67" i="40"/>
  <c r="BW41" i="11"/>
  <c r="BW54" i="11" s="1"/>
  <c r="BW27" i="11"/>
  <c r="CC28" i="11" s="1"/>
  <c r="BW70" i="11"/>
  <c r="BQ85" i="11"/>
  <c r="BW15" i="9"/>
  <c r="BW25" i="13"/>
  <c r="BW151" i="10"/>
  <c r="BX24" i="9"/>
  <c r="BH47" i="10"/>
  <c r="BI50" i="9"/>
  <c r="BO17" i="9" l="1"/>
  <c r="BN65" i="10"/>
  <c r="BN62" i="10"/>
  <c r="BO82" i="10"/>
  <c r="BK115" i="10"/>
  <c r="BO115" i="10"/>
  <c r="BO137" i="10"/>
  <c r="BO57" i="10"/>
  <c r="BN93" i="13"/>
  <c r="CF26" i="40"/>
  <c r="CE70" i="11"/>
  <c r="BO102" i="13"/>
  <c r="BO96" i="13"/>
  <c r="CE27" i="11"/>
  <c r="DQ17" i="11"/>
  <c r="BN103" i="13"/>
  <c r="BN105" i="13"/>
  <c r="BZ99" i="13"/>
  <c r="CE99" i="13"/>
  <c r="BU99" i="13"/>
  <c r="CI99" i="13"/>
  <c r="CJ99" i="13"/>
  <c r="CE63" i="13"/>
  <c r="CE69" i="13"/>
  <c r="CE25" i="13" s="1"/>
  <c r="CE25" i="10"/>
  <c r="CE151" i="10" s="1"/>
  <c r="BH58" i="10"/>
  <c r="BM106" i="13"/>
  <c r="CA97" i="13"/>
  <c r="CA98" i="13"/>
  <c r="CM94" i="13"/>
  <c r="CG25" i="40"/>
  <c r="CG46" i="40" s="1"/>
  <c r="CF46" i="10"/>
  <c r="CG29" i="10"/>
  <c r="CG169" i="10" s="1"/>
  <c r="CJ13" i="40"/>
  <c r="CI23" i="40"/>
  <c r="CJ69" i="13"/>
  <c r="CJ25" i="10"/>
  <c r="CJ151" i="10" s="1"/>
  <c r="CJ63" i="13"/>
  <c r="CK17" i="11"/>
  <c r="CK24" i="11"/>
  <c r="CK90" i="11"/>
  <c r="CK95" i="11" s="1"/>
  <c r="CK97" i="13"/>
  <c r="CK21" i="13"/>
  <c r="CK61" i="13"/>
  <c r="CK144" i="10"/>
  <c r="CK20" i="9"/>
  <c r="CJ27" i="11"/>
  <c r="CJ70" i="11"/>
  <c r="CJ41" i="11"/>
  <c r="CJ54" i="11" s="1"/>
  <c r="CK87" i="40"/>
  <c r="CK33" i="9"/>
  <c r="CK89" i="11"/>
  <c r="CK94" i="11" s="1"/>
  <c r="CK62" i="13"/>
  <c r="CK98" i="13"/>
  <c r="CK142" i="10"/>
  <c r="CJ28" i="11"/>
  <c r="CK40" i="13"/>
  <c r="CL37" i="13"/>
  <c r="CK36" i="13"/>
  <c r="CC79" i="40"/>
  <c r="CE66" i="40"/>
  <c r="CD67" i="40"/>
  <c r="CD79" i="40" s="1"/>
  <c r="CI27" i="11"/>
  <c r="CI41" i="11"/>
  <c r="CI54" i="11" s="1"/>
  <c r="CI70" i="11"/>
  <c r="CF24" i="11"/>
  <c r="CF17" i="11"/>
  <c r="CC151" i="10"/>
  <c r="CG57" i="13"/>
  <c r="CG11" i="11" s="1"/>
  <c r="CG136" i="10"/>
  <c r="CF90" i="11"/>
  <c r="CF95" i="11" s="1"/>
  <c r="CF21" i="13"/>
  <c r="CF61" i="13"/>
  <c r="CF97" i="13"/>
  <c r="CG16" i="13"/>
  <c r="CG47" i="13" s="1"/>
  <c r="CC54" i="11"/>
  <c r="CL17" i="13"/>
  <c r="CL57" i="13"/>
  <c r="CL11" i="11" s="1"/>
  <c r="CL13" i="10"/>
  <c r="CL136" i="10"/>
  <c r="CL15" i="10"/>
  <c r="CL97" i="10"/>
  <c r="CL16" i="13"/>
  <c r="CM9" i="13"/>
  <c r="CF89" i="11"/>
  <c r="CF94" i="11" s="1"/>
  <c r="CF98" i="13"/>
  <c r="CF62" i="13"/>
  <c r="CG17" i="13"/>
  <c r="CG48" i="13" s="1"/>
  <c r="CI28" i="11"/>
  <c r="CF44" i="13"/>
  <c r="CF95" i="13" s="1"/>
  <c r="CF60" i="13"/>
  <c r="CF24" i="10"/>
  <c r="CF14" i="10"/>
  <c r="CI63" i="13"/>
  <c r="CI69" i="13"/>
  <c r="CI25" i="10"/>
  <c r="CI87" i="40"/>
  <c r="CI33" i="9"/>
  <c r="CL12" i="13"/>
  <c r="CD54" i="11"/>
  <c r="CF28" i="9"/>
  <c r="CG97" i="10"/>
  <c r="CG98" i="10" s="1"/>
  <c r="CM17" i="12"/>
  <c r="CI18" i="9"/>
  <c r="CG13" i="10"/>
  <c r="CG69" i="10" s="1"/>
  <c r="CF142" i="10"/>
  <c r="CF18" i="9"/>
  <c r="CG18" i="9" s="1"/>
  <c r="CC25" i="13"/>
  <c r="CC15" i="9"/>
  <c r="CG15" i="10"/>
  <c r="CF144" i="10"/>
  <c r="CI20" i="9"/>
  <c r="CF20" i="9"/>
  <c r="CG20" i="9" s="1"/>
  <c r="CF15" i="13"/>
  <c r="CC85" i="11"/>
  <c r="CG18" i="10"/>
  <c r="CG181" i="10" s="1"/>
  <c r="CK18" i="10"/>
  <c r="CK181" i="10" s="1"/>
  <c r="CL123" i="10"/>
  <c r="CL126" i="10" s="1"/>
  <c r="CL18" i="10" s="1"/>
  <c r="CL181" i="10" s="1"/>
  <c r="BS153" i="12"/>
  <c r="BR143" i="12"/>
  <c r="BS156" i="12"/>
  <c r="BR146" i="12"/>
  <c r="BS152" i="12"/>
  <c r="BS151" i="12"/>
  <c r="BR141" i="12"/>
  <c r="BS150" i="12"/>
  <c r="BR140" i="12"/>
  <c r="BQ142" i="12"/>
  <c r="BS155" i="12"/>
  <c r="BR145" i="12"/>
  <c r="BS157" i="12"/>
  <c r="BS154" i="12"/>
  <c r="BR144" i="12"/>
  <c r="BK118" i="10"/>
  <c r="BK119" i="10"/>
  <c r="BO119" i="10" s="1"/>
  <c r="AS48" i="9"/>
  <c r="AS49" i="9" s="1"/>
  <c r="AP50" i="9"/>
  <c r="BY28" i="11"/>
  <c r="BB90" i="40"/>
  <c r="BC90" i="40" s="1"/>
  <c r="BC91" i="40" s="1"/>
  <c r="BE84" i="40"/>
  <c r="BX85" i="11"/>
  <c r="BY25" i="13"/>
  <c r="BY15" i="9"/>
  <c r="BY24" i="9"/>
  <c r="BY151" i="10"/>
  <c r="BS85" i="11"/>
  <c r="BY41" i="11"/>
  <c r="BY54" i="11" s="1"/>
  <c r="BY27" i="11"/>
  <c r="CE28" i="11" s="1"/>
  <c r="BY70" i="11"/>
  <c r="BW85" i="11"/>
  <c r="BN85" i="11"/>
  <c r="BT28" i="11"/>
  <c r="DM28" i="11"/>
  <c r="CA62" i="13"/>
  <c r="CA89" i="11"/>
  <c r="CA94" i="11" s="1"/>
  <c r="CA24" i="11"/>
  <c r="CA17" i="11"/>
  <c r="BZ143" i="10"/>
  <c r="CA14" i="10"/>
  <c r="BU63" i="13"/>
  <c r="BO25" i="13"/>
  <c r="BO70" i="13"/>
  <c r="BO15" i="9"/>
  <c r="BN34" i="10"/>
  <c r="BO28" i="10"/>
  <c r="BU28" i="11"/>
  <c r="CA144" i="10"/>
  <c r="CA142" i="10"/>
  <c r="BU150" i="10"/>
  <c r="BT24" i="9"/>
  <c r="BU24" i="9" s="1"/>
  <c r="BU25" i="10"/>
  <c r="BT151" i="10"/>
  <c r="BT153" i="10" s="1"/>
  <c r="BW24" i="9"/>
  <c r="BT28" i="10"/>
  <c r="BT15" i="9"/>
  <c r="BT25" i="13"/>
  <c r="BU69" i="13"/>
  <c r="BZ87" i="40"/>
  <c r="BZ33" i="9"/>
  <c r="CA28" i="9"/>
  <c r="BU27" i="11"/>
  <c r="BU41" i="11"/>
  <c r="BU54" i="11" s="1"/>
  <c r="BU70" i="11"/>
  <c r="BO53" i="13"/>
  <c r="BO91" i="11"/>
  <c r="BO96" i="11" s="1"/>
  <c r="BO64" i="13"/>
  <c r="BO88" i="13"/>
  <c r="BO81" i="40"/>
  <c r="BO49" i="13"/>
  <c r="BT137" i="10"/>
  <c r="BT139" i="10" s="1"/>
  <c r="BT140" i="10" s="1"/>
  <c r="BT141" i="10" s="1"/>
  <c r="BT164" i="10"/>
  <c r="BT165" i="10" s="1"/>
  <c r="BT166" i="10" s="1"/>
  <c r="BT49" i="13"/>
  <c r="BT93" i="13" s="1"/>
  <c r="BT53" i="13"/>
  <c r="BT88" i="13"/>
  <c r="BT57" i="10"/>
  <c r="BT64" i="13"/>
  <c r="BT91" i="11"/>
  <c r="BT96" i="11" s="1"/>
  <c r="BT105" i="13"/>
  <c r="BT103" i="13"/>
  <c r="BZ87" i="13"/>
  <c r="BZ22" i="13"/>
  <c r="BZ52" i="13"/>
  <c r="BZ102" i="13"/>
  <c r="BZ96" i="13"/>
  <c r="BZ150" i="10"/>
  <c r="CA24" i="10"/>
  <c r="BU33" i="9"/>
  <c r="BO85" i="11"/>
  <c r="BZ17" i="11"/>
  <c r="BZ24" i="11"/>
  <c r="CA61" i="13"/>
  <c r="CA90" i="11"/>
  <c r="CA95" i="11" s="1"/>
  <c r="CA21" i="13"/>
  <c r="BZ69" i="13"/>
  <c r="BZ63" i="13"/>
  <c r="BZ25" i="10"/>
  <c r="CC24" i="9" s="1"/>
  <c r="BU143" i="10"/>
  <c r="BT41" i="11"/>
  <c r="BT54" i="11" s="1"/>
  <c r="BT70" i="11"/>
  <c r="BT27" i="11"/>
  <c r="DQ28" i="11" s="1"/>
  <c r="BT97" i="11"/>
  <c r="W111" i="10"/>
  <c r="X96" i="10"/>
  <c r="W107" i="10"/>
  <c r="BB67" i="9"/>
  <c r="BE63" i="9" s="1"/>
  <c r="BB71" i="9"/>
  <c r="BB72" i="9"/>
  <c r="BZ79" i="40"/>
  <c r="CA67" i="40"/>
  <c r="BL87" i="10"/>
  <c r="BH52" i="10"/>
  <c r="BH43" i="10"/>
  <c r="BH48" i="10"/>
  <c r="BK84" i="40"/>
  <c r="BK92" i="40" s="1"/>
  <c r="BI47" i="10"/>
  <c r="BO120" i="10" l="1"/>
  <c r="BO118" i="10"/>
  <c r="BN50" i="13"/>
  <c r="CE85" i="11"/>
  <c r="BO103" i="13"/>
  <c r="BO105" i="13"/>
  <c r="BN104" i="13"/>
  <c r="BN106" i="13"/>
  <c r="CA99" i="13"/>
  <c r="CF99" i="13"/>
  <c r="CK99" i="13"/>
  <c r="CE15" i="9"/>
  <c r="CE24" i="9"/>
  <c r="BI58" i="10"/>
  <c r="CF96" i="13"/>
  <c r="CG97" i="13"/>
  <c r="CK13" i="40"/>
  <c r="CJ23" i="40"/>
  <c r="CG46" i="10"/>
  <c r="CG26" i="40"/>
  <c r="CI29" i="10"/>
  <c r="CI25" i="40"/>
  <c r="CI46" i="40" s="1"/>
  <c r="CI47" i="40"/>
  <c r="CG142" i="10"/>
  <c r="CK25" i="10"/>
  <c r="CK69" i="13"/>
  <c r="CK63" i="13"/>
  <c r="CK41" i="11"/>
  <c r="CK54" i="11" s="1"/>
  <c r="CK27" i="11"/>
  <c r="CK70" i="11"/>
  <c r="CI85" i="11"/>
  <c r="CJ85" i="11"/>
  <c r="CK28" i="11"/>
  <c r="CJ25" i="13"/>
  <c r="CJ15" i="9"/>
  <c r="CL40" i="13"/>
  <c r="CL36" i="13"/>
  <c r="CM36" i="13" s="1"/>
  <c r="CM37" i="13"/>
  <c r="CF66" i="40"/>
  <c r="CE67" i="40"/>
  <c r="CE79" i="40" s="1"/>
  <c r="CM136" i="10"/>
  <c r="CM57" i="13"/>
  <c r="CM11" i="11" s="1"/>
  <c r="CL44" i="13"/>
  <c r="CL95" i="13" s="1"/>
  <c r="CL24" i="10"/>
  <c r="CL60" i="13"/>
  <c r="CL14" i="10"/>
  <c r="CI15" i="9"/>
  <c r="CI25" i="13"/>
  <c r="CL28" i="9"/>
  <c r="CM97" i="10"/>
  <c r="CM98" i="10" s="1"/>
  <c r="CL24" i="11"/>
  <c r="CL17" i="11"/>
  <c r="CG61" i="13"/>
  <c r="CG21" i="13"/>
  <c r="CG90" i="11"/>
  <c r="CG95" i="11" s="1"/>
  <c r="CF102" i="13"/>
  <c r="CG98" i="13"/>
  <c r="CM15" i="10"/>
  <c r="CL144" i="10"/>
  <c r="CL20" i="9"/>
  <c r="CM20" i="9" s="1"/>
  <c r="CF41" i="11"/>
  <c r="CF27" i="11"/>
  <c r="CF70" i="11"/>
  <c r="CE54" i="11"/>
  <c r="CF33" i="9"/>
  <c r="CF87" i="40"/>
  <c r="CG28" i="9"/>
  <c r="CF143" i="10"/>
  <c r="CG14" i="10"/>
  <c r="CL15" i="13"/>
  <c r="CL89" i="11"/>
  <c r="CL94" i="11" s="1"/>
  <c r="CL98" i="13"/>
  <c r="CL62" i="13"/>
  <c r="CM17" i="13"/>
  <c r="CM48" i="13" s="1"/>
  <c r="CF52" i="13"/>
  <c r="CF87" i="13"/>
  <c r="CF22" i="13"/>
  <c r="CG144" i="10"/>
  <c r="CG83" i="10"/>
  <c r="CI151" i="10"/>
  <c r="CJ24" i="9"/>
  <c r="CG24" i="10"/>
  <c r="CF150" i="10"/>
  <c r="CG62" i="13"/>
  <c r="CG89" i="11"/>
  <c r="CG94" i="11" s="1"/>
  <c r="CL90" i="11"/>
  <c r="CL95" i="11" s="1"/>
  <c r="CL21" i="13"/>
  <c r="CL97" i="13"/>
  <c r="CL61" i="13"/>
  <c r="CM16" i="13"/>
  <c r="CM47" i="13" s="1"/>
  <c r="CM13" i="10"/>
  <c r="CM69" i="10" s="1"/>
  <c r="CL142" i="10"/>
  <c r="CL18" i="9"/>
  <c r="CM18" i="9" s="1"/>
  <c r="CF25" i="10"/>
  <c r="CF69" i="13"/>
  <c r="CF63" i="13"/>
  <c r="CG24" i="11"/>
  <c r="CG17" i="11"/>
  <c r="CM18" i="10"/>
  <c r="CM181" i="10" s="1"/>
  <c r="BT50" i="13"/>
  <c r="BT154" i="12"/>
  <c r="BS144" i="12"/>
  <c r="BT157" i="12"/>
  <c r="BT150" i="12"/>
  <c r="BS140" i="12"/>
  <c r="BT151" i="12"/>
  <c r="BS141" i="12"/>
  <c r="BT152" i="12"/>
  <c r="BR142" i="12"/>
  <c r="BT155" i="12"/>
  <c r="BS145" i="12"/>
  <c r="BT156" i="12"/>
  <c r="BS146" i="12"/>
  <c r="BT153" i="12"/>
  <c r="BS143" i="12"/>
  <c r="AT48" i="9"/>
  <c r="AT49" i="9" s="1"/>
  <c r="AS50" i="9"/>
  <c r="BT104" i="13"/>
  <c r="BE92" i="40"/>
  <c r="BE89" i="40"/>
  <c r="BY85" i="11"/>
  <c r="BZ28" i="11"/>
  <c r="BO93" i="13"/>
  <c r="BZ164" i="10"/>
  <c r="BZ165" i="10" s="1"/>
  <c r="BZ166" i="10" s="1"/>
  <c r="CA143" i="10"/>
  <c r="CA63" i="13"/>
  <c r="CA28" i="11"/>
  <c r="BT85" i="11"/>
  <c r="BZ27" i="11"/>
  <c r="CF28" i="11" s="1"/>
  <c r="BZ70" i="11"/>
  <c r="BZ41" i="11"/>
  <c r="BZ54" i="11" s="1"/>
  <c r="BZ97" i="11"/>
  <c r="CA150" i="10"/>
  <c r="BZ103" i="13"/>
  <c r="BZ105" i="13"/>
  <c r="BZ91" i="11"/>
  <c r="BZ96" i="11" s="1"/>
  <c r="BZ53" i="13"/>
  <c r="BZ49" i="13"/>
  <c r="BZ93" i="13" s="1"/>
  <c r="BZ137" i="10"/>
  <c r="BZ139" i="10" s="1"/>
  <c r="BZ140" i="10" s="1"/>
  <c r="BZ141" i="10" s="1"/>
  <c r="BZ88" i="13"/>
  <c r="BZ64" i="13"/>
  <c r="BT106" i="13"/>
  <c r="BU85" i="11"/>
  <c r="BU25" i="13"/>
  <c r="BU70" i="13"/>
  <c r="BU15" i="9"/>
  <c r="BU28" i="10"/>
  <c r="BU82" i="10"/>
  <c r="BU151" i="10"/>
  <c r="BU153" i="10" s="1"/>
  <c r="BO34" i="10"/>
  <c r="BZ28" i="10"/>
  <c r="CA25" i="10"/>
  <c r="CA82" i="10" s="1"/>
  <c r="BZ24" i="9"/>
  <c r="BZ151" i="10"/>
  <c r="BZ153" i="10" s="1"/>
  <c r="BZ25" i="13"/>
  <c r="CA69" i="13"/>
  <c r="BZ15" i="9"/>
  <c r="CA33" i="9"/>
  <c r="BT34" i="10"/>
  <c r="CA41" i="11"/>
  <c r="CA54" i="11" s="1"/>
  <c r="CA27" i="11"/>
  <c r="CA70" i="11"/>
  <c r="X100" i="10"/>
  <c r="Y100" i="10" s="1"/>
  <c r="Y101" i="10" s="1"/>
  <c r="X105" i="10"/>
  <c r="X103" i="10"/>
  <c r="X106" i="10" s="1"/>
  <c r="W112" i="10"/>
  <c r="W106" i="10"/>
  <c r="BE67" i="9"/>
  <c r="BF63" i="9" s="1"/>
  <c r="BE71" i="9"/>
  <c r="BE72" i="9"/>
  <c r="CA79" i="40"/>
  <c r="BZ57" i="10"/>
  <c r="BI52" i="10"/>
  <c r="BI43" i="10"/>
  <c r="BI48" i="10"/>
  <c r="BO106" i="13" l="1"/>
  <c r="BO104" i="13"/>
  <c r="CI26" i="40"/>
  <c r="CI169" i="10"/>
  <c r="BO50" i="13"/>
  <c r="CL99" i="13"/>
  <c r="CG99" i="13"/>
  <c r="BZ50" i="13"/>
  <c r="BZ104" i="13"/>
  <c r="CM98" i="13"/>
  <c r="CM97" i="13"/>
  <c r="CL13" i="40"/>
  <c r="CK23" i="40"/>
  <c r="CI46" i="10"/>
  <c r="CJ29" i="10"/>
  <c r="CJ47" i="40"/>
  <c r="CJ25" i="40"/>
  <c r="CJ46" i="40" s="1"/>
  <c r="CF164" i="10"/>
  <c r="CF165" i="10" s="1"/>
  <c r="CF166" i="10" s="1"/>
  <c r="CG143" i="10"/>
  <c r="CG33" i="9"/>
  <c r="CK24" i="9"/>
  <c r="CK151" i="10"/>
  <c r="CM142" i="10"/>
  <c r="CK85" i="11"/>
  <c r="CK25" i="13"/>
  <c r="CK15" i="9"/>
  <c r="CG63" i="13"/>
  <c r="CM40" i="13"/>
  <c r="CM41" i="13" s="1"/>
  <c r="CL28" i="11"/>
  <c r="CG66" i="40"/>
  <c r="CI66" i="40"/>
  <c r="CF67" i="40"/>
  <c r="CF151" i="10"/>
  <c r="CF153" i="10" s="1"/>
  <c r="CG25" i="10"/>
  <c r="CG28" i="10" s="1"/>
  <c r="CF24" i="9"/>
  <c r="CG24" i="9" s="1"/>
  <c r="CM90" i="11"/>
  <c r="CM95" i="11" s="1"/>
  <c r="CM21" i="13"/>
  <c r="CM61" i="13"/>
  <c r="CF53" i="13"/>
  <c r="CF88" i="13"/>
  <c r="CF137" i="10"/>
  <c r="CF139" i="10" s="1"/>
  <c r="CF140" i="10" s="1"/>
  <c r="CF141" i="10" s="1"/>
  <c r="CF64" i="13"/>
  <c r="CF49" i="13"/>
  <c r="CF93" i="13" s="1"/>
  <c r="CF91" i="11"/>
  <c r="CF96" i="11" s="1"/>
  <c r="CF54" i="11"/>
  <c r="CG28" i="11"/>
  <c r="CF25" i="13"/>
  <c r="CF15" i="9"/>
  <c r="CG69" i="13"/>
  <c r="CL25" i="10"/>
  <c r="CL69" i="13"/>
  <c r="CL63" i="13"/>
  <c r="CG150" i="10"/>
  <c r="CM89" i="11"/>
  <c r="CM94" i="11" s="1"/>
  <c r="CM62" i="13"/>
  <c r="CM144" i="10"/>
  <c r="CM83" i="10"/>
  <c r="CL143" i="10"/>
  <c r="CM14" i="10"/>
  <c r="CG27" i="11"/>
  <c r="CG41" i="11"/>
  <c r="CG54" i="11" s="1"/>
  <c r="CG70" i="11"/>
  <c r="CF28" i="10"/>
  <c r="CI24" i="9"/>
  <c r="CL87" i="13"/>
  <c r="CL52" i="13"/>
  <c r="CL22" i="13"/>
  <c r="CF97" i="11"/>
  <c r="CF103" i="13"/>
  <c r="CF105" i="13"/>
  <c r="CL87" i="40"/>
  <c r="CL33" i="9"/>
  <c r="CM28" i="9"/>
  <c r="CL150" i="10"/>
  <c r="CM24" i="10"/>
  <c r="CF85" i="11"/>
  <c r="CL27" i="11"/>
  <c r="CL41" i="11"/>
  <c r="CL54" i="11" s="1"/>
  <c r="CL70" i="11"/>
  <c r="CL97" i="11"/>
  <c r="CL96" i="13"/>
  <c r="CL102" i="13"/>
  <c r="CM24" i="11"/>
  <c r="CM17" i="11"/>
  <c r="BZ106" i="13"/>
  <c r="BU155" i="12"/>
  <c r="BT145" i="12"/>
  <c r="BU152" i="12"/>
  <c r="BU151" i="12"/>
  <c r="BT141" i="12"/>
  <c r="BU150" i="12"/>
  <c r="BT140" i="12"/>
  <c r="BS142" i="12"/>
  <c r="BU153" i="12"/>
  <c r="BT143" i="12"/>
  <c r="BU156" i="12"/>
  <c r="BT146" i="12"/>
  <c r="BU157" i="12"/>
  <c r="BU154" i="12"/>
  <c r="BT144" i="12"/>
  <c r="Y106" i="10"/>
  <c r="Y107" i="10" s="1"/>
  <c r="Y112" i="10" s="1"/>
  <c r="BQ115" i="10"/>
  <c r="BU115" i="10"/>
  <c r="AU48" i="9"/>
  <c r="AU49" i="9" s="1"/>
  <c r="AT50" i="9"/>
  <c r="BF84" i="40"/>
  <c r="BE90" i="40"/>
  <c r="CA15" i="9"/>
  <c r="BZ85" i="11"/>
  <c r="BZ34" i="10"/>
  <c r="CA85" i="11"/>
  <c r="CA24" i="9"/>
  <c r="CA70" i="13"/>
  <c r="CA25" i="13"/>
  <c r="CA28" i="10"/>
  <c r="CA151" i="10"/>
  <c r="CA153" i="10" s="1"/>
  <c r="BU34" i="10"/>
  <c r="AE96" i="10"/>
  <c r="AE105" i="10" s="1"/>
  <c r="AA96" i="10"/>
  <c r="Y111" i="10"/>
  <c r="BF67" i="9"/>
  <c r="BG63" i="9" s="1"/>
  <c r="BF71" i="9"/>
  <c r="BF72" i="9"/>
  <c r="CJ26" i="40" l="1"/>
  <c r="CJ169" i="10"/>
  <c r="CM99" i="13"/>
  <c r="CF50" i="13"/>
  <c r="CF104" i="13"/>
  <c r="CM13" i="40"/>
  <c r="CL23" i="40"/>
  <c r="CJ46" i="10"/>
  <c r="CK29" i="10"/>
  <c r="CK47" i="40"/>
  <c r="CK25" i="40"/>
  <c r="CK46" i="40" s="1"/>
  <c r="CG34" i="10"/>
  <c r="CL85" i="11"/>
  <c r="CF34" i="10"/>
  <c r="CM143" i="10"/>
  <c r="CM33" i="9"/>
  <c r="CL164" i="10"/>
  <c r="CL165" i="10" s="1"/>
  <c r="CL166" i="10" s="1"/>
  <c r="CG85" i="11"/>
  <c r="CG15" i="9"/>
  <c r="CM63" i="13"/>
  <c r="CF106" i="13"/>
  <c r="CJ66" i="40"/>
  <c r="CI67" i="40"/>
  <c r="CF79" i="40"/>
  <c r="CG67" i="40"/>
  <c r="CM150" i="10"/>
  <c r="CL25" i="13"/>
  <c r="CL15" i="9"/>
  <c r="CM69" i="13"/>
  <c r="CL151" i="10"/>
  <c r="CL153" i="10" s="1"/>
  <c r="CM25" i="10"/>
  <c r="CM28" i="10" s="1"/>
  <c r="CL24" i="9"/>
  <c r="CM24" i="9" s="1"/>
  <c r="CL91" i="11"/>
  <c r="CL96" i="11" s="1"/>
  <c r="CL49" i="13"/>
  <c r="CL93" i="13" s="1"/>
  <c r="CL53" i="13"/>
  <c r="CL137" i="10"/>
  <c r="CL139" i="10" s="1"/>
  <c r="CL140" i="10" s="1"/>
  <c r="CL141" i="10" s="1"/>
  <c r="CL64" i="13"/>
  <c r="CL88" i="13"/>
  <c r="CM28" i="11"/>
  <c r="CG70" i="13"/>
  <c r="CG25" i="13"/>
  <c r="CL105" i="13"/>
  <c r="CL103" i="13"/>
  <c r="CM27" i="11"/>
  <c r="CM41" i="11"/>
  <c r="CM54" i="11" s="1"/>
  <c r="CM70" i="11"/>
  <c r="CL28" i="10"/>
  <c r="CG82" i="10"/>
  <c r="CG151" i="10"/>
  <c r="CG153" i="10" s="1"/>
  <c r="BW153" i="12"/>
  <c r="BU143" i="12"/>
  <c r="BW151" i="12"/>
  <c r="BU141" i="12"/>
  <c r="BW154" i="12"/>
  <c r="BU144" i="12"/>
  <c r="BW157" i="12"/>
  <c r="BW156" i="12"/>
  <c r="BU146" i="12"/>
  <c r="BT142" i="12"/>
  <c r="BW150" i="12"/>
  <c r="BU140" i="12"/>
  <c r="BW152" i="12"/>
  <c r="BW155" i="12"/>
  <c r="BU145" i="12"/>
  <c r="AE103" i="10"/>
  <c r="AA103" i="10"/>
  <c r="BK147" i="10"/>
  <c r="AV48" i="9"/>
  <c r="AV49" i="9" s="1"/>
  <c r="AU50" i="9"/>
  <c r="BU118" i="10"/>
  <c r="BU120" i="10"/>
  <c r="BQ120" i="10"/>
  <c r="BQ118" i="10"/>
  <c r="BF92" i="40"/>
  <c r="BF89" i="40"/>
  <c r="CA34" i="10"/>
  <c r="BK29" i="13"/>
  <c r="BK54" i="13" s="1"/>
  <c r="AA101" i="10"/>
  <c r="AA105" i="10"/>
  <c r="BG72" i="9"/>
  <c r="BG67" i="9"/>
  <c r="BH63" i="9" s="1"/>
  <c r="BG71" i="9"/>
  <c r="CK26" i="40" l="1"/>
  <c r="CK169" i="10"/>
  <c r="CL50" i="13"/>
  <c r="CL104" i="13"/>
  <c r="CL29" i="10"/>
  <c r="CL25" i="40"/>
  <c r="CL46" i="40" s="1"/>
  <c r="CL47" i="40"/>
  <c r="CM47" i="40" s="1"/>
  <c r="CK46" i="10"/>
  <c r="CM34" i="40"/>
  <c r="CM44" i="40" s="1"/>
  <c r="CM23" i="40"/>
  <c r="CM15" i="9"/>
  <c r="CM85" i="11"/>
  <c r="CG79" i="40"/>
  <c r="CF57" i="10"/>
  <c r="CI79" i="40"/>
  <c r="CK66" i="40"/>
  <c r="CJ67" i="40"/>
  <c r="CJ79" i="40" s="1"/>
  <c r="CL106" i="13"/>
  <c r="CM82" i="10"/>
  <c r="CM151" i="10"/>
  <c r="CM153" i="10" s="1"/>
  <c r="CM25" i="13"/>
  <c r="CM70" i="13"/>
  <c r="BX155" i="12"/>
  <c r="BW145" i="12"/>
  <c r="BX152" i="12"/>
  <c r="BX154" i="12"/>
  <c r="BW144" i="12"/>
  <c r="BX151" i="12"/>
  <c r="BW141" i="12"/>
  <c r="BX153" i="12"/>
  <c r="BW143" i="12"/>
  <c r="BX150" i="12"/>
  <c r="BW140" i="12"/>
  <c r="BX156" i="12"/>
  <c r="BW146" i="12"/>
  <c r="BX157" i="12"/>
  <c r="BU142" i="12"/>
  <c r="BR115" i="10"/>
  <c r="BQ19" i="10"/>
  <c r="AY48" i="9"/>
  <c r="AY49" i="9" s="1"/>
  <c r="AV50" i="9"/>
  <c r="BW115" i="10"/>
  <c r="CA115" i="10"/>
  <c r="BF90" i="40"/>
  <c r="BG84" i="40"/>
  <c r="BK31" i="13"/>
  <c r="AB96" i="10"/>
  <c r="AA111" i="10"/>
  <c r="AA107" i="10"/>
  <c r="BH67" i="9"/>
  <c r="BK63" i="9" s="1"/>
  <c r="BH72" i="9"/>
  <c r="BH71" i="9"/>
  <c r="BK71" i="9" l="1"/>
  <c r="BK72" i="9"/>
  <c r="CL34" i="10"/>
  <c r="CL169" i="10"/>
  <c r="CM29" i="10"/>
  <c r="CM169" i="10" s="1"/>
  <c r="CL46" i="10"/>
  <c r="CM25" i="40"/>
  <c r="CM46" i="40" s="1"/>
  <c r="CL26" i="40"/>
  <c r="CL66" i="40"/>
  <c r="CK67" i="40"/>
  <c r="BX140" i="12"/>
  <c r="BY150" i="12"/>
  <c r="BW142" i="12"/>
  <c r="BY151" i="12"/>
  <c r="BX141" i="12"/>
  <c r="BX145" i="12"/>
  <c r="BY155" i="12"/>
  <c r="BY157" i="12"/>
  <c r="BX146" i="12"/>
  <c r="BY156" i="12"/>
  <c r="BX143" i="12"/>
  <c r="BY153" i="12"/>
  <c r="BY154" i="12"/>
  <c r="BX144" i="12"/>
  <c r="BY152" i="12"/>
  <c r="BK67" i="9"/>
  <c r="BL63" i="9" s="1"/>
  <c r="BK33" i="13"/>
  <c r="BK88" i="10" s="1"/>
  <c r="BK91" i="10" s="1"/>
  <c r="BK55" i="13"/>
  <c r="BK77" i="13"/>
  <c r="BW118" i="10"/>
  <c r="BW120" i="10"/>
  <c r="CA120" i="10"/>
  <c r="CA118" i="10"/>
  <c r="BQ147" i="10"/>
  <c r="BL147" i="10"/>
  <c r="AZ48" i="9"/>
  <c r="AZ49" i="9" s="1"/>
  <c r="AY50" i="9"/>
  <c r="BR120" i="10"/>
  <c r="BR118" i="10"/>
  <c r="BK68" i="13"/>
  <c r="BK75" i="13" s="1"/>
  <c r="BK34" i="13" s="1"/>
  <c r="BK81" i="13"/>
  <c r="BK82" i="13" s="1"/>
  <c r="BG92" i="40"/>
  <c r="BG89" i="40"/>
  <c r="BK35" i="13"/>
  <c r="AB103" i="10"/>
  <c r="AA106" i="10"/>
  <c r="AA112" i="10"/>
  <c r="AB105" i="10"/>
  <c r="AB101" i="10"/>
  <c r="BL72" i="9" l="1"/>
  <c r="BL71" i="9"/>
  <c r="BK65" i="13"/>
  <c r="BK138" i="10"/>
  <c r="BK139" i="10" s="1"/>
  <c r="BK140" i="10" s="1"/>
  <c r="BK141" i="10" s="1"/>
  <c r="BK135" i="10" s="1"/>
  <c r="BK163" i="10"/>
  <c r="BK164" i="10" s="1"/>
  <c r="BK165" i="10" s="1"/>
  <c r="BK166" i="10" s="1"/>
  <c r="BL67" i="9"/>
  <c r="BM63" i="9" s="1"/>
  <c r="CM46" i="10"/>
  <c r="CM34" i="10"/>
  <c r="CM26" i="40"/>
  <c r="CK79" i="40"/>
  <c r="CM66" i="40"/>
  <c r="CL67" i="40"/>
  <c r="CL79" i="40" s="1"/>
  <c r="CL57" i="10" s="1"/>
  <c r="CG115" i="10"/>
  <c r="CC115" i="10"/>
  <c r="BZ152" i="12"/>
  <c r="BX142" i="12"/>
  <c r="BY146" i="12"/>
  <c r="BZ156" i="12"/>
  <c r="BZ157" i="12"/>
  <c r="BY144" i="12"/>
  <c r="BZ154" i="12"/>
  <c r="BY143" i="12"/>
  <c r="BZ153" i="12"/>
  <c r="BY145" i="12"/>
  <c r="BZ155" i="12"/>
  <c r="BY141" i="12"/>
  <c r="BZ151" i="12"/>
  <c r="BY140" i="12"/>
  <c r="BZ150" i="12"/>
  <c r="BK10" i="9"/>
  <c r="BK85" i="40"/>
  <c r="BK92" i="10"/>
  <c r="BR19" i="10"/>
  <c r="BS115" i="10"/>
  <c r="BX115" i="10"/>
  <c r="BW19" i="10"/>
  <c r="AZ50" i="9"/>
  <c r="BA48" i="9"/>
  <c r="BA49" i="9" s="1"/>
  <c r="BH84" i="40"/>
  <c r="BG90" i="40"/>
  <c r="AB111" i="10"/>
  <c r="AB107" i="10"/>
  <c r="AC96" i="10"/>
  <c r="BM72" i="9" l="1"/>
  <c r="BM71" i="9"/>
  <c r="BM67" i="9"/>
  <c r="BN63" i="9" s="1"/>
  <c r="CM67" i="40"/>
  <c r="CM79" i="40"/>
  <c r="CC120" i="10"/>
  <c r="CC118" i="10"/>
  <c r="CG120" i="10"/>
  <c r="CG118" i="10"/>
  <c r="BZ140" i="12"/>
  <c r="CA150" i="12"/>
  <c r="CC150" i="12" s="1"/>
  <c r="BZ145" i="12"/>
  <c r="CA155" i="12"/>
  <c r="CC155" i="12" s="1"/>
  <c r="BY142" i="12"/>
  <c r="BZ144" i="12"/>
  <c r="CA154" i="12"/>
  <c r="CC154" i="12" s="1"/>
  <c r="CA157" i="12"/>
  <c r="CA152" i="12"/>
  <c r="BZ141" i="12"/>
  <c r="CA151" i="12"/>
  <c r="CC151" i="12" s="1"/>
  <c r="BZ143" i="12"/>
  <c r="CA153" i="12"/>
  <c r="CC153" i="12" s="1"/>
  <c r="BZ146" i="12"/>
  <c r="CA156" i="12"/>
  <c r="CC156" i="12" s="1"/>
  <c r="BB48" i="9"/>
  <c r="BB49" i="9" s="1"/>
  <c r="BA50" i="9"/>
  <c r="BM147" i="10"/>
  <c r="BW147" i="10"/>
  <c r="BS120" i="10"/>
  <c r="BS118" i="10"/>
  <c r="BX118" i="10"/>
  <c r="BX120" i="10"/>
  <c r="BR147" i="10"/>
  <c r="BH89" i="40"/>
  <c r="BH90" i="40" s="1"/>
  <c r="BI90" i="40" s="1"/>
  <c r="BH92" i="40"/>
  <c r="BI92" i="40" s="1"/>
  <c r="AC101" i="10"/>
  <c r="AC105" i="10"/>
  <c r="AB106" i="10"/>
  <c r="AC103" i="10"/>
  <c r="AB112" i="10"/>
  <c r="BL86" i="10"/>
  <c r="BK41" i="10"/>
  <c r="BK176" i="10" s="1"/>
  <c r="BN67" i="9" l="1"/>
  <c r="BN72" i="9"/>
  <c r="BN71" i="9"/>
  <c r="BK183" i="10"/>
  <c r="BK186" i="10" s="1"/>
  <c r="BK53" i="10" s="1"/>
  <c r="BK182" i="10"/>
  <c r="BK185" i="10" s="1"/>
  <c r="CD156" i="12"/>
  <c r="CC146" i="12"/>
  <c r="CD151" i="12"/>
  <c r="CC141" i="12"/>
  <c r="CD155" i="12"/>
  <c r="CC145" i="12"/>
  <c r="CD153" i="12"/>
  <c r="CC143" i="12"/>
  <c r="CC152" i="12"/>
  <c r="CC157" i="12"/>
  <c r="CD154" i="12"/>
  <c r="CC144" i="12"/>
  <c r="CD150" i="12"/>
  <c r="CC140" i="12"/>
  <c r="CI115" i="10"/>
  <c r="CM115" i="10"/>
  <c r="CD115" i="10"/>
  <c r="CC19" i="10"/>
  <c r="BK59" i="10"/>
  <c r="BK51" i="10"/>
  <c r="CA146" i="12"/>
  <c r="BZ142" i="12"/>
  <c r="CA141" i="12"/>
  <c r="CA145" i="12"/>
  <c r="CA143" i="12"/>
  <c r="CA144" i="12"/>
  <c r="CA140" i="12"/>
  <c r="BO19" i="10"/>
  <c r="BO147" i="10" s="1"/>
  <c r="BX19" i="10"/>
  <c r="BY115" i="10"/>
  <c r="BS19" i="10"/>
  <c r="BT115" i="10"/>
  <c r="BE48" i="9"/>
  <c r="BE49" i="9" s="1"/>
  <c r="BB50" i="9"/>
  <c r="BI91" i="40"/>
  <c r="AC107" i="10"/>
  <c r="AC111" i="10"/>
  <c r="AD96" i="10"/>
  <c r="AD100" i="10" s="1"/>
  <c r="AE100" i="10" s="1"/>
  <c r="AE101" i="10" s="1"/>
  <c r="BK42" i="10"/>
  <c r="AE111" i="10" l="1"/>
  <c r="AK96" i="10"/>
  <c r="AK105" i="10" s="1"/>
  <c r="AG96" i="10"/>
  <c r="CC147" i="10"/>
  <c r="CE154" i="12"/>
  <c r="CD144" i="12"/>
  <c r="CE151" i="12"/>
  <c r="CD141" i="12"/>
  <c r="CE150" i="12"/>
  <c r="CD140" i="12"/>
  <c r="CD157" i="12"/>
  <c r="CD152" i="12"/>
  <c r="CC142" i="12"/>
  <c r="CE153" i="12"/>
  <c r="CD143" i="12"/>
  <c r="CE155" i="12"/>
  <c r="CD145" i="12"/>
  <c r="CE156" i="12"/>
  <c r="CD146" i="12"/>
  <c r="CD120" i="10"/>
  <c r="CD118" i="10"/>
  <c r="CM118" i="10"/>
  <c r="CM120" i="10"/>
  <c r="CI120" i="10"/>
  <c r="CI118" i="10"/>
  <c r="CA142" i="12"/>
  <c r="BM43" i="9"/>
  <c r="BY118" i="10"/>
  <c r="BY120" i="10"/>
  <c r="BS147" i="10"/>
  <c r="BF48" i="9"/>
  <c r="BF49" i="9" s="1"/>
  <c r="BE50" i="9"/>
  <c r="BX147" i="10"/>
  <c r="BT118" i="10"/>
  <c r="BT120" i="10"/>
  <c r="BT19" i="10" s="1"/>
  <c r="AD105" i="10"/>
  <c r="AD103" i="10"/>
  <c r="AC106" i="10"/>
  <c r="AC112" i="10"/>
  <c r="AG101" i="10" l="1"/>
  <c r="AG105" i="10"/>
  <c r="CF155" i="12"/>
  <c r="CE145" i="12"/>
  <c r="CF150" i="12"/>
  <c r="CE140" i="12"/>
  <c r="CD142" i="12"/>
  <c r="CF154" i="12"/>
  <c r="CE144" i="12"/>
  <c r="CF156" i="12"/>
  <c r="CE146" i="12"/>
  <c r="CF153" i="12"/>
  <c r="CE143" i="12"/>
  <c r="CE152" i="12"/>
  <c r="CE157" i="12"/>
  <c r="CF151" i="12"/>
  <c r="CE141" i="12"/>
  <c r="CJ115" i="10"/>
  <c r="CI19" i="10"/>
  <c r="CE115" i="10"/>
  <c r="CD19" i="10"/>
  <c r="BF50" i="9"/>
  <c r="BG48" i="9"/>
  <c r="BG49" i="9" s="1"/>
  <c r="BT147" i="10"/>
  <c r="BU19" i="10"/>
  <c r="BZ115" i="10"/>
  <c r="BY19" i="10"/>
  <c r="AD111" i="10"/>
  <c r="AD107" i="10"/>
  <c r="AG107" i="10" l="1"/>
  <c r="AG111" i="10"/>
  <c r="AH96" i="10"/>
  <c r="CD147" i="10"/>
  <c r="CI147" i="10"/>
  <c r="CE142" i="12"/>
  <c r="CG153" i="12"/>
  <c r="CF143" i="12"/>
  <c r="CG154" i="12"/>
  <c r="CF144" i="12"/>
  <c r="CG155" i="12"/>
  <c r="CF145" i="12"/>
  <c r="CG151" i="12"/>
  <c r="CF141" i="12"/>
  <c r="CF157" i="12"/>
  <c r="CF152" i="12"/>
  <c r="CG156" i="12"/>
  <c r="CF146" i="12"/>
  <c r="CG150" i="12"/>
  <c r="CF140" i="12"/>
  <c r="CE120" i="10"/>
  <c r="CE118" i="10"/>
  <c r="CJ118" i="10"/>
  <c r="CJ120" i="10"/>
  <c r="BQ63" i="9"/>
  <c r="BU63" i="9"/>
  <c r="BO37" i="10"/>
  <c r="BO87" i="10" s="1"/>
  <c r="BN43" i="9"/>
  <c r="BO38" i="9"/>
  <c r="BO43" i="9" s="1"/>
  <c r="BY147" i="10"/>
  <c r="BZ118" i="10"/>
  <c r="BZ120" i="10"/>
  <c r="BZ19" i="10" s="1"/>
  <c r="BG50" i="9"/>
  <c r="BH48" i="9"/>
  <c r="BH49" i="9" s="1"/>
  <c r="BU147" i="10"/>
  <c r="AD106" i="10"/>
  <c r="AE106" i="10" s="1"/>
  <c r="AE107" i="10" s="1"/>
  <c r="AD112" i="10"/>
  <c r="AH101" i="10" l="1"/>
  <c r="AH105" i="10"/>
  <c r="AH103" i="10"/>
  <c r="AG112" i="10"/>
  <c r="CI150" i="12"/>
  <c r="CG140" i="12"/>
  <c r="CI151" i="12"/>
  <c r="CG141" i="12"/>
  <c r="CI154" i="12"/>
  <c r="CG144" i="12"/>
  <c r="CI156" i="12"/>
  <c r="CG146" i="12"/>
  <c r="CG152" i="12"/>
  <c r="CG157" i="12"/>
  <c r="CI155" i="12"/>
  <c r="CG145" i="12"/>
  <c r="CF142" i="12"/>
  <c r="CI153" i="12"/>
  <c r="CG143" i="12"/>
  <c r="CK115" i="10"/>
  <c r="CJ19" i="10"/>
  <c r="CF115" i="10"/>
  <c r="CE19" i="10"/>
  <c r="BQ65" i="9"/>
  <c r="BQ66" i="9"/>
  <c r="BZ147" i="10"/>
  <c r="CA19" i="10"/>
  <c r="BH50" i="9"/>
  <c r="BK48" i="9"/>
  <c r="AG103" i="10"/>
  <c r="AG106" i="10" s="1"/>
  <c r="AE109" i="10"/>
  <c r="AK103" i="10"/>
  <c r="AE112" i="10"/>
  <c r="AJ111" i="10"/>
  <c r="AJ107" i="10"/>
  <c r="AI96" i="10" l="1"/>
  <c r="AH111" i="10"/>
  <c r="AH107" i="10"/>
  <c r="BQ67" i="9"/>
  <c r="BR63" i="9" s="1"/>
  <c r="BR66" i="9" s="1"/>
  <c r="CJ147" i="10"/>
  <c r="CE147" i="10"/>
  <c r="CG142" i="12"/>
  <c r="CJ154" i="12"/>
  <c r="CI144" i="12"/>
  <c r="CJ150" i="12"/>
  <c r="CI140" i="12"/>
  <c r="CJ153" i="12"/>
  <c r="CI143" i="12"/>
  <c r="CJ155" i="12"/>
  <c r="CI145" i="12"/>
  <c r="CI157" i="12"/>
  <c r="CI152" i="12"/>
  <c r="CJ156" i="12"/>
  <c r="CI146" i="12"/>
  <c r="CJ151" i="12"/>
  <c r="CI141" i="12"/>
  <c r="CF118" i="10"/>
  <c r="CF120" i="10"/>
  <c r="CF19" i="10" s="1"/>
  <c r="CK118" i="10"/>
  <c r="CK120" i="10"/>
  <c r="BQ75" i="9"/>
  <c r="CA147" i="10"/>
  <c r="AJ112" i="10"/>
  <c r="AI103" i="10" l="1"/>
  <c r="AH112" i="10"/>
  <c r="AH106" i="10"/>
  <c r="AI101" i="10"/>
  <c r="AI105" i="10"/>
  <c r="BR65" i="9"/>
  <c r="BR75" i="9" s="1"/>
  <c r="BR38" i="9" s="1"/>
  <c r="BR43" i="9" s="1"/>
  <c r="CJ152" i="12"/>
  <c r="CK150" i="12"/>
  <c r="CJ140" i="12"/>
  <c r="CK154" i="12"/>
  <c r="CJ144" i="12"/>
  <c r="CK151" i="12"/>
  <c r="CJ141" i="12"/>
  <c r="CK156" i="12"/>
  <c r="CJ146" i="12"/>
  <c r="CJ157" i="12"/>
  <c r="CK155" i="12"/>
  <c r="CJ145" i="12"/>
  <c r="CI142" i="12"/>
  <c r="CK153" i="12"/>
  <c r="CJ143" i="12"/>
  <c r="CL115" i="10"/>
  <c r="CK19" i="10"/>
  <c r="CG19" i="10"/>
  <c r="CF147" i="10"/>
  <c r="BQ38" i="9"/>
  <c r="AP111" i="10"/>
  <c r="AP107" i="10"/>
  <c r="AJ96" i="10" l="1"/>
  <c r="AI111" i="10"/>
  <c r="AI107" i="10"/>
  <c r="BR67" i="9"/>
  <c r="BS63" i="9" s="1"/>
  <c r="BS65" i="9" s="1"/>
  <c r="BS75" i="9" s="1"/>
  <c r="CK147" i="10"/>
  <c r="CG147" i="10"/>
  <c r="CL155" i="12"/>
  <c r="CK145" i="12"/>
  <c r="CL151" i="12"/>
  <c r="CK141" i="12"/>
  <c r="CL150" i="12"/>
  <c r="CK140" i="12"/>
  <c r="CK152" i="12"/>
  <c r="CJ142" i="12"/>
  <c r="CL153" i="12"/>
  <c r="CK143" i="12"/>
  <c r="CL156" i="12"/>
  <c r="CK146" i="12"/>
  <c r="CL154" i="12"/>
  <c r="CK144" i="12"/>
  <c r="CK157" i="12"/>
  <c r="CL118" i="10"/>
  <c r="CL120" i="10"/>
  <c r="CL19" i="10" s="1"/>
  <c r="BQ43" i="9"/>
  <c r="BQ37" i="10"/>
  <c r="AP112" i="10"/>
  <c r="AI106" i="10" l="1"/>
  <c r="AI112" i="10"/>
  <c r="AJ103" i="10"/>
  <c r="AJ106" i="10" s="1"/>
  <c r="AJ100" i="10"/>
  <c r="AK100" i="10" s="1"/>
  <c r="AK101" i="10" s="1"/>
  <c r="AJ105" i="10"/>
  <c r="BS66" i="9"/>
  <c r="BS67" i="9" s="1"/>
  <c r="BT63" i="9" s="1"/>
  <c r="BT65" i="9" s="1"/>
  <c r="CL157" i="12"/>
  <c r="CM156" i="12"/>
  <c r="CL146" i="12"/>
  <c r="CM150" i="12"/>
  <c r="CL140" i="12"/>
  <c r="CM155" i="12"/>
  <c r="CL145" i="12"/>
  <c r="CM154" i="12"/>
  <c r="CL144" i="12"/>
  <c r="CK142" i="12"/>
  <c r="CM153" i="12"/>
  <c r="CL143" i="12"/>
  <c r="CL152" i="12"/>
  <c r="CM151" i="12"/>
  <c r="CL141" i="12"/>
  <c r="CM19" i="10"/>
  <c r="CL147" i="10"/>
  <c r="BS38" i="9"/>
  <c r="BR37" i="10"/>
  <c r="BQ87" i="10"/>
  <c r="AV111" i="10"/>
  <c r="AV107" i="10"/>
  <c r="AK111" i="10" l="1"/>
  <c r="AM96" i="10"/>
  <c r="AQ96" i="10"/>
  <c r="AQ105" i="10" s="1"/>
  <c r="AK106" i="10"/>
  <c r="AK107" i="10" s="1"/>
  <c r="AK109" i="10" s="1"/>
  <c r="BT66" i="9"/>
  <c r="BU66" i="9" s="1"/>
  <c r="BU72" i="9" s="1"/>
  <c r="CM147" i="10"/>
  <c r="CL142" i="12"/>
  <c r="CM152" i="12"/>
  <c r="CM144" i="12"/>
  <c r="CM140" i="12"/>
  <c r="CM141" i="12"/>
  <c r="CM143" i="12"/>
  <c r="CM145" i="12"/>
  <c r="CM146" i="12"/>
  <c r="CM157" i="12"/>
  <c r="BR87" i="10"/>
  <c r="BS37" i="10"/>
  <c r="BS43" i="9"/>
  <c r="BT75" i="9"/>
  <c r="BU65" i="9"/>
  <c r="AV112" i="10"/>
  <c r="BK86" i="40"/>
  <c r="BK89" i="40" s="1"/>
  <c r="BK25" i="9"/>
  <c r="BK23" i="13"/>
  <c r="BL23" i="13"/>
  <c r="BL86" i="40"/>
  <c r="AM105" i="10" l="1"/>
  <c r="AM101" i="10"/>
  <c r="AK112" i="10"/>
  <c r="AQ103" i="10"/>
  <c r="AM103" i="10"/>
  <c r="BN111" i="10"/>
  <c r="BN107" i="10"/>
  <c r="BT67" i="9"/>
  <c r="CM142" i="12"/>
  <c r="BT38" i="9"/>
  <c r="BT37" i="10" s="1"/>
  <c r="BU75" i="9"/>
  <c r="BU71" i="9"/>
  <c r="BU67" i="9"/>
  <c r="BS87" i="10"/>
  <c r="BK76" i="10"/>
  <c r="BK54" i="9"/>
  <c r="BK47" i="9"/>
  <c r="BK75" i="10" s="1"/>
  <c r="BL26" i="13"/>
  <c r="BL27" i="13" s="1"/>
  <c r="BK26" i="13"/>
  <c r="BK27" i="13" s="1"/>
  <c r="BL84" i="40"/>
  <c r="BL92" i="40" s="1"/>
  <c r="BK90" i="40"/>
  <c r="BB111" i="10"/>
  <c r="BB107" i="10"/>
  <c r="AN96" i="10" l="1"/>
  <c r="AM107" i="10"/>
  <c r="AM106" i="10" s="1"/>
  <c r="AM111" i="10"/>
  <c r="BN112" i="10"/>
  <c r="BL51" i="13"/>
  <c r="BL56" i="10"/>
  <c r="BU37" i="10"/>
  <c r="BU87" i="10" s="1"/>
  <c r="BT87" i="10"/>
  <c r="BW63" i="9"/>
  <c r="CA63" i="9"/>
  <c r="BT43" i="9"/>
  <c r="BU38" i="9"/>
  <c r="BU43" i="9" s="1"/>
  <c r="BK59" i="9"/>
  <c r="BK77" i="10"/>
  <c r="BK55" i="9"/>
  <c r="BK58" i="9"/>
  <c r="BK51" i="13"/>
  <c r="BK56" i="10"/>
  <c r="BB112" i="10"/>
  <c r="BK49" i="9"/>
  <c r="AN103" i="10" l="1"/>
  <c r="AM112" i="10"/>
  <c r="AN101" i="10"/>
  <c r="AN105" i="10"/>
  <c r="BW66" i="9"/>
  <c r="BW65" i="9"/>
  <c r="BK78" i="10"/>
  <c r="BK57" i="9"/>
  <c r="BK56" i="9"/>
  <c r="BH111" i="10"/>
  <c r="BH107" i="10"/>
  <c r="BL48" i="9"/>
  <c r="AN111" i="10" l="1"/>
  <c r="AN107" i="10"/>
  <c r="AO96" i="10"/>
  <c r="BW67" i="9"/>
  <c r="BX63" i="9" s="1"/>
  <c r="BX65" i="9" s="1"/>
  <c r="BX75" i="9" s="1"/>
  <c r="BX38" i="9" s="1"/>
  <c r="BX43" i="9" s="1"/>
  <c r="BW75" i="9"/>
  <c r="BK50" i="9"/>
  <c r="BK16" i="10"/>
  <c r="BK10" i="10"/>
  <c r="BH112" i="10"/>
  <c r="AO105" i="10" l="1"/>
  <c r="AO101" i="10"/>
  <c r="AN112" i="10"/>
  <c r="AN106" i="10"/>
  <c r="AO103" i="10"/>
  <c r="BL50" i="40"/>
  <c r="BL52" i="40" s="1"/>
  <c r="BK65" i="10"/>
  <c r="BK62" i="10"/>
  <c r="BK63" i="10"/>
  <c r="BK64" i="10"/>
  <c r="BK47" i="10"/>
  <c r="BX66" i="9"/>
  <c r="BX67" i="9" s="1"/>
  <c r="BY63" i="9" s="1"/>
  <c r="BW38" i="9"/>
  <c r="AP96" i="10" l="1"/>
  <c r="AO107" i="10"/>
  <c r="AO111" i="10"/>
  <c r="BK48" i="10"/>
  <c r="BK58" i="10"/>
  <c r="BY65" i="9"/>
  <c r="BY66" i="9"/>
  <c r="BW43" i="9"/>
  <c r="BW37" i="10"/>
  <c r="AO112" i="10" l="1"/>
  <c r="AP103" i="10"/>
  <c r="AP106" i="10" s="1"/>
  <c r="AO106" i="10"/>
  <c r="AP100" i="10"/>
  <c r="AQ100" i="10" s="1"/>
  <c r="AQ101" i="10" s="1"/>
  <c r="AP105" i="10"/>
  <c r="BY75" i="9"/>
  <c r="BW87" i="10"/>
  <c r="BX37" i="10"/>
  <c r="BY67" i="9"/>
  <c r="BZ63" i="9" s="1"/>
  <c r="BK145" i="10"/>
  <c r="BK148" i="10" s="1"/>
  <c r="BK155" i="10" s="1"/>
  <c r="BL156" i="10" s="1"/>
  <c r="BK21" i="10"/>
  <c r="AW96" i="10" l="1"/>
  <c r="AW105" i="10" s="1"/>
  <c r="AQ111" i="10"/>
  <c r="AS96" i="10"/>
  <c r="AQ106" i="10"/>
  <c r="AQ107" i="10" s="1"/>
  <c r="AQ109" i="10" s="1"/>
  <c r="BK52" i="10"/>
  <c r="BY38" i="9"/>
  <c r="BX87" i="10"/>
  <c r="BZ65" i="9"/>
  <c r="BZ66" i="9"/>
  <c r="CA66" i="9" s="1"/>
  <c r="CA72" i="9" s="1"/>
  <c r="BL29" i="13"/>
  <c r="BL54" i="13" s="1"/>
  <c r="BL145" i="10"/>
  <c r="BL148" i="10" s="1"/>
  <c r="BL155" i="10" s="1"/>
  <c r="BM156" i="10" s="1"/>
  <c r="BK43" i="10"/>
  <c r="AS105" i="10" l="1"/>
  <c r="AS101" i="10"/>
  <c r="AW103" i="10"/>
  <c r="AQ112" i="10"/>
  <c r="AS103" i="10"/>
  <c r="BL77" i="13"/>
  <c r="BZ75" i="9"/>
  <c r="CA65" i="9"/>
  <c r="BY43" i="9"/>
  <c r="BZ67" i="9"/>
  <c r="BY37" i="10"/>
  <c r="AS111" i="10" l="1"/>
  <c r="AT96" i="10"/>
  <c r="AS107" i="10"/>
  <c r="AS106" i="10" s="1"/>
  <c r="BL138" i="10"/>
  <c r="BL139" i="10" s="1"/>
  <c r="BL140" i="10" s="1"/>
  <c r="BL141" i="10" s="1"/>
  <c r="BL135" i="10" s="1"/>
  <c r="BL163" i="10"/>
  <c r="BL164" i="10" s="1"/>
  <c r="BL165" i="10" s="1"/>
  <c r="BL166" i="10" s="1"/>
  <c r="BZ38" i="9"/>
  <c r="CA75" i="9"/>
  <c r="BY87" i="10"/>
  <c r="CA71" i="9"/>
  <c r="CA67" i="9"/>
  <c r="BL31" i="13"/>
  <c r="BL55" i="13" s="1"/>
  <c r="AS112" i="10" l="1"/>
  <c r="AT103" i="10"/>
  <c r="AT101" i="10"/>
  <c r="AT105" i="10"/>
  <c r="CG63" i="9"/>
  <c r="CC63" i="9"/>
  <c r="BZ43" i="9"/>
  <c r="CA38" i="9"/>
  <c r="CA43" i="9" s="1"/>
  <c r="BZ37" i="10"/>
  <c r="BL33" i="13"/>
  <c r="BL68" i="13"/>
  <c r="BL75" i="13" s="1"/>
  <c r="BL34" i="13" s="1"/>
  <c r="BL35" i="13"/>
  <c r="BL65" i="13" s="1"/>
  <c r="BL81" i="13"/>
  <c r="BL82" i="13" s="1"/>
  <c r="AT107" i="10" l="1"/>
  <c r="AU96" i="10"/>
  <c r="AT111" i="10"/>
  <c r="CC65" i="9"/>
  <c r="CC66" i="9"/>
  <c r="BZ87" i="10"/>
  <c r="CA37" i="10"/>
  <c r="CA87" i="10" s="1"/>
  <c r="BL85" i="40"/>
  <c r="BL89" i="40" s="1"/>
  <c r="BL10" i="9"/>
  <c r="BL88" i="10"/>
  <c r="AU101" i="10" l="1"/>
  <c r="AU105" i="10"/>
  <c r="AU103" i="10"/>
  <c r="AT106" i="10"/>
  <c r="AT112" i="10"/>
  <c r="CC67" i="9"/>
  <c r="CD63" i="9" s="1"/>
  <c r="CC75" i="9"/>
  <c r="BL25" i="9"/>
  <c r="BL90" i="40"/>
  <c r="BM84" i="40"/>
  <c r="BM92" i="40" s="1"/>
  <c r="AU111" i="10" l="1"/>
  <c r="AV96" i="10"/>
  <c r="AU107" i="10"/>
  <c r="BL76" i="10"/>
  <c r="BL54" i="9"/>
  <c r="CC38" i="9"/>
  <c r="CD66" i="9"/>
  <c r="CD65" i="9"/>
  <c r="BL41" i="10"/>
  <c r="BL91" i="10"/>
  <c r="BL92" i="10" s="1"/>
  <c r="BM86" i="10" s="1"/>
  <c r="BL47" i="9"/>
  <c r="BL75" i="10" s="1"/>
  <c r="AU112" i="10" l="1"/>
  <c r="AU106" i="10"/>
  <c r="AV103" i="10"/>
  <c r="AV106" i="10" s="1"/>
  <c r="AV100" i="10"/>
  <c r="AW100" i="10" s="1"/>
  <c r="AW101" i="10" s="1"/>
  <c r="AV105" i="10"/>
  <c r="BL176" i="10"/>
  <c r="BL183" i="10" s="1"/>
  <c r="BL186" i="10" s="1"/>
  <c r="BL53" i="10" s="1"/>
  <c r="BL59" i="10"/>
  <c r="BL51" i="10"/>
  <c r="BL59" i="9"/>
  <c r="BL77" i="10"/>
  <c r="BL58" i="9"/>
  <c r="BL55" i="9"/>
  <c r="CD75" i="9"/>
  <c r="CD67" i="9"/>
  <c r="CE63" i="9" s="1"/>
  <c r="CC43" i="9"/>
  <c r="CC37" i="10"/>
  <c r="BL49" i="9"/>
  <c r="BL42" i="10"/>
  <c r="AW106" i="10" l="1"/>
  <c r="AW107" i="10" s="1"/>
  <c r="AW112" i="10"/>
  <c r="AY103" i="10"/>
  <c r="BC103" i="10"/>
  <c r="AW111" i="10"/>
  <c r="BC96" i="10"/>
  <c r="BC105" i="10" s="1"/>
  <c r="AY96" i="10"/>
  <c r="AW109" i="10"/>
  <c r="BL182" i="10"/>
  <c r="BL185" i="10" s="1"/>
  <c r="BL78" i="10"/>
  <c r="BL57" i="9"/>
  <c r="BL56" i="9"/>
  <c r="CC87" i="10"/>
  <c r="CE65" i="9"/>
  <c r="CE66" i="9"/>
  <c r="CD38" i="9"/>
  <c r="CD37" i="10" s="1"/>
  <c r="BM48" i="9"/>
  <c r="AY105" i="10" l="1"/>
  <c r="AY101" i="10"/>
  <c r="CE67" i="9"/>
  <c r="CF63" i="9" s="1"/>
  <c r="CF65" i="9" s="1"/>
  <c r="CF75" i="9" s="1"/>
  <c r="CF38" i="9" s="1"/>
  <c r="CF43" i="9" s="1"/>
  <c r="CE75" i="9"/>
  <c r="CD43" i="9"/>
  <c r="CD87" i="10"/>
  <c r="BL50" i="9"/>
  <c r="BL10" i="10"/>
  <c r="BL16" i="10"/>
  <c r="AZ96" i="10" l="1"/>
  <c r="AY111" i="10"/>
  <c r="AY107" i="10"/>
  <c r="BL64" i="10"/>
  <c r="BL63" i="10"/>
  <c r="BL47" i="10"/>
  <c r="BL62" i="10"/>
  <c r="BL65" i="10"/>
  <c r="CF66" i="9"/>
  <c r="CG66" i="9" s="1"/>
  <c r="CG72" i="9" s="1"/>
  <c r="CG65" i="9"/>
  <c r="CG71" i="9" s="1"/>
  <c r="CE38" i="9"/>
  <c r="CG75" i="9"/>
  <c r="BM50" i="40"/>
  <c r="BM52" i="40" s="1"/>
  <c r="BL21" i="10"/>
  <c r="AZ103" i="10" l="1"/>
  <c r="AY112" i="10"/>
  <c r="AY106" i="10"/>
  <c r="AZ105" i="10"/>
  <c r="AZ101" i="10"/>
  <c r="BL52" i="10"/>
  <c r="CF67" i="9"/>
  <c r="BL48" i="10"/>
  <c r="BL58" i="10"/>
  <c r="CG67" i="9"/>
  <c r="CI63" i="9" s="1"/>
  <c r="CE43" i="9"/>
  <c r="CG38" i="9"/>
  <c r="CG43" i="9" s="1"/>
  <c r="CE37" i="10"/>
  <c r="BL43" i="10"/>
  <c r="AZ111" i="10" l="1"/>
  <c r="AZ107" i="10"/>
  <c r="BA96" i="10"/>
  <c r="CM63" i="9"/>
  <c r="CF37" i="10"/>
  <c r="CE87" i="10"/>
  <c r="CI65" i="9"/>
  <c r="CI66" i="9"/>
  <c r="BM29" i="13"/>
  <c r="BM54" i="13" s="1"/>
  <c r="AZ106" i="10" l="1"/>
  <c r="AZ112" i="10"/>
  <c r="BA103" i="10"/>
  <c r="BA101" i="10"/>
  <c r="BA105" i="10"/>
  <c r="BM77" i="13"/>
  <c r="CI67" i="9"/>
  <c r="CJ63" i="9" s="1"/>
  <c r="CJ65" i="9" s="1"/>
  <c r="CJ75" i="9" s="1"/>
  <c r="CJ38" i="9" s="1"/>
  <c r="CJ43" i="9" s="1"/>
  <c r="CI75" i="9"/>
  <c r="CF87" i="10"/>
  <c r="CG37" i="10"/>
  <c r="CG87" i="10" s="1"/>
  <c r="BA111" i="10" l="1"/>
  <c r="BB96" i="10"/>
  <c r="BA107" i="10"/>
  <c r="BM138" i="10"/>
  <c r="BM139" i="10" s="1"/>
  <c r="BM140" i="10" s="1"/>
  <c r="BM141" i="10" s="1"/>
  <c r="BM135" i="10" s="1"/>
  <c r="BM163" i="10"/>
  <c r="BM164" i="10" s="1"/>
  <c r="BM165" i="10" s="1"/>
  <c r="BM166" i="10" s="1"/>
  <c r="CJ66" i="9"/>
  <c r="CJ67" i="9" s="1"/>
  <c r="CK63" i="9" s="1"/>
  <c r="CK65" i="9" s="1"/>
  <c r="CK75" i="9" s="1"/>
  <c r="CK38" i="9" s="1"/>
  <c r="CK43" i="9" s="1"/>
  <c r="CI38" i="9"/>
  <c r="BM31" i="13"/>
  <c r="BA112" i="10" l="1"/>
  <c r="BB103" i="10"/>
  <c r="BB106" i="10" s="1"/>
  <c r="BA106" i="10"/>
  <c r="BB100" i="10"/>
  <c r="BC100" i="10" s="1"/>
  <c r="BC101" i="10" s="1"/>
  <c r="BB105" i="10"/>
  <c r="BM81" i="13"/>
  <c r="BM82" i="13" s="1"/>
  <c r="BM55" i="13"/>
  <c r="CK66" i="9"/>
  <c r="CK67" i="9" s="1"/>
  <c r="CL63" i="9" s="1"/>
  <c r="CI43" i="9"/>
  <c r="CI37" i="10"/>
  <c r="BM68" i="13"/>
  <c r="BM75" i="13" s="1"/>
  <c r="BM34" i="13" s="1"/>
  <c r="BM35" i="13"/>
  <c r="BM33" i="13"/>
  <c r="BM88" i="10" s="1"/>
  <c r="BI96" i="10" l="1"/>
  <c r="BI105" i="10" s="1"/>
  <c r="BC111" i="10"/>
  <c r="BE96" i="10"/>
  <c r="BC106" i="10"/>
  <c r="BC107" i="10" s="1"/>
  <c r="BC109" i="10" s="1"/>
  <c r="BM91" i="10"/>
  <c r="BM92" i="10" s="1"/>
  <c r="BN86" i="10" s="1"/>
  <c r="BM65" i="13"/>
  <c r="CI87" i="10"/>
  <c r="CJ37" i="10"/>
  <c r="CL65" i="9"/>
  <c r="CL66" i="9"/>
  <c r="CM66" i="9" s="1"/>
  <c r="CM72" i="9" s="1"/>
  <c r="BM10" i="9"/>
  <c r="BM85" i="40"/>
  <c r="BE101" i="10" l="1"/>
  <c r="BE105" i="10"/>
  <c r="BC112" i="10"/>
  <c r="BI103" i="10"/>
  <c r="BE103" i="10"/>
  <c r="CL67" i="9"/>
  <c r="CJ87" i="10"/>
  <c r="CK37" i="10"/>
  <c r="CL75" i="9"/>
  <c r="CM65" i="9"/>
  <c r="BE111" i="10" l="1"/>
  <c r="BE107" i="10"/>
  <c r="BF96" i="10"/>
  <c r="CL38" i="9"/>
  <c r="CL37" i="10" s="1"/>
  <c r="CM75" i="9"/>
  <c r="CM71" i="9"/>
  <c r="CM67" i="9"/>
  <c r="CK87" i="10"/>
  <c r="BM41" i="10"/>
  <c r="BF105" i="10" l="1"/>
  <c r="BF101" i="10"/>
  <c r="BF103" i="10"/>
  <c r="BE112" i="10"/>
  <c r="BE106" i="10"/>
  <c r="BM176" i="10"/>
  <c r="BM59" i="10"/>
  <c r="BM51" i="10"/>
  <c r="CL87" i="10"/>
  <c r="CM37" i="10"/>
  <c r="CM87" i="10" s="1"/>
  <c r="CL43" i="9"/>
  <c r="CM38" i="9"/>
  <c r="CM43" i="9" s="1"/>
  <c r="BM42" i="10"/>
  <c r="BF107" i="10" l="1"/>
  <c r="BF111" i="10"/>
  <c r="BG96" i="10"/>
  <c r="BG105" i="10" l="1"/>
  <c r="BG101" i="10"/>
  <c r="BF112" i="10"/>
  <c r="BF106" i="10"/>
  <c r="BG103" i="10"/>
  <c r="BH96" i="10" l="1"/>
  <c r="BG107" i="10"/>
  <c r="BG111" i="10"/>
  <c r="BQ46" i="13"/>
  <c r="BW46" i="13" s="1"/>
  <c r="CC46" i="13" s="1"/>
  <c r="BQ45" i="13"/>
  <c r="BW45" i="13" s="1"/>
  <c r="CC45" i="13" s="1"/>
  <c r="BG112" i="10" l="1"/>
  <c r="BG106" i="10"/>
  <c r="BH103" i="10"/>
  <c r="BH106" i="10" s="1"/>
  <c r="BH100" i="10"/>
  <c r="BI100" i="10" s="1"/>
  <c r="BI101" i="10" s="1"/>
  <c r="BH105" i="10"/>
  <c r="CI45" i="13"/>
  <c r="CI46" i="13"/>
  <c r="CC14" i="13"/>
  <c r="BW14" i="13"/>
  <c r="BQ13" i="13"/>
  <c r="BQ14" i="13"/>
  <c r="BI106" i="10" l="1"/>
  <c r="BI107" i="10" s="1"/>
  <c r="BO103" i="10" s="1"/>
  <c r="BO96" i="10"/>
  <c r="BO105" i="10" s="1"/>
  <c r="BK96" i="10"/>
  <c r="BI111" i="10"/>
  <c r="BK103" i="10"/>
  <c r="CC13" i="13"/>
  <c r="CI14" i="13"/>
  <c r="BW13" i="13"/>
  <c r="BQ12" i="13"/>
  <c r="BI112" i="10" l="1"/>
  <c r="BI109" i="10"/>
  <c r="BK101" i="10"/>
  <c r="BK105" i="10"/>
  <c r="CC12" i="13"/>
  <c r="CI13" i="13"/>
  <c r="BQ14" i="10"/>
  <c r="BQ60" i="13"/>
  <c r="BQ97" i="11"/>
  <c r="BQ24" i="10"/>
  <c r="BQ15" i="13"/>
  <c r="BQ44" i="13"/>
  <c r="BQ95" i="13" s="1"/>
  <c r="BW12" i="13"/>
  <c r="BL96" i="10" l="1"/>
  <c r="BK111" i="10"/>
  <c r="BK107" i="10"/>
  <c r="CI12" i="13"/>
  <c r="CC15" i="13"/>
  <c r="CC14" i="10"/>
  <c r="CC44" i="13"/>
  <c r="CC95" i="13" s="1"/>
  <c r="CC24" i="10"/>
  <c r="CC60" i="13"/>
  <c r="BW44" i="13"/>
  <c r="BW95" i="13" s="1"/>
  <c r="BW24" i="10"/>
  <c r="BW60" i="13"/>
  <c r="BW97" i="11"/>
  <c r="BW14" i="10"/>
  <c r="BW15" i="13"/>
  <c r="BQ87" i="13"/>
  <c r="BQ22" i="13"/>
  <c r="BQ52" i="13"/>
  <c r="BQ22" i="9"/>
  <c r="BQ28" i="10"/>
  <c r="BQ150" i="10"/>
  <c r="BQ153" i="10" s="1"/>
  <c r="BQ143" i="10"/>
  <c r="BQ19" i="9"/>
  <c r="BL103" i="10" l="1"/>
  <c r="BK112" i="10"/>
  <c r="BK106" i="10"/>
  <c r="BL105" i="10"/>
  <c r="BL101" i="10"/>
  <c r="BQ96" i="13"/>
  <c r="BQ102" i="13"/>
  <c r="CC22" i="13"/>
  <c r="CC49" i="13" s="1"/>
  <c r="CC93" i="13" s="1"/>
  <c r="CC143" i="10"/>
  <c r="CC19" i="9"/>
  <c r="CC150" i="10"/>
  <c r="CC153" i="10" s="1"/>
  <c r="CC28" i="10"/>
  <c r="CC22" i="9"/>
  <c r="CC102" i="13"/>
  <c r="CC96" i="13"/>
  <c r="CI24" i="10"/>
  <c r="CI44" i="13"/>
  <c r="CI95" i="13" s="1"/>
  <c r="CI15" i="13"/>
  <c r="CI14" i="10"/>
  <c r="CI60" i="13"/>
  <c r="CI97" i="11"/>
  <c r="CC97" i="11"/>
  <c r="CC52" i="13"/>
  <c r="CC87" i="13"/>
  <c r="BW102" i="13"/>
  <c r="BW96" i="13"/>
  <c r="BQ34" i="10"/>
  <c r="BQ17" i="9"/>
  <c r="BW87" i="13"/>
  <c r="BW52" i="13"/>
  <c r="BW22" i="13"/>
  <c r="BW19" i="9"/>
  <c r="BW143" i="10"/>
  <c r="BQ57" i="10"/>
  <c r="BQ91" i="11"/>
  <c r="BQ96" i="11" s="1"/>
  <c r="BQ64" i="13"/>
  <c r="BQ53" i="13"/>
  <c r="BQ137" i="10"/>
  <c r="BQ88" i="13"/>
  <c r="BQ49" i="13"/>
  <c r="BQ93" i="13" s="1"/>
  <c r="BW28" i="10"/>
  <c r="BW150" i="10"/>
  <c r="BW153" i="10" s="1"/>
  <c r="BW22" i="9"/>
  <c r="BM96" i="10" l="1"/>
  <c r="BL111" i="10"/>
  <c r="BL107" i="10"/>
  <c r="BQ105" i="13"/>
  <c r="BQ103" i="13"/>
  <c r="BQ164" i="10"/>
  <c r="BQ165" i="10" s="1"/>
  <c r="BQ166" i="10" s="1"/>
  <c r="CC137" i="10"/>
  <c r="CC139" i="10" s="1"/>
  <c r="CC140" i="10" s="1"/>
  <c r="CC141" i="10" s="1"/>
  <c r="CC103" i="13"/>
  <c r="CC57" i="10"/>
  <c r="CC34" i="10"/>
  <c r="CC164" i="10"/>
  <c r="CC165" i="10" s="1"/>
  <c r="CC166" i="10" s="1"/>
  <c r="CI22" i="13"/>
  <c r="CI87" i="13"/>
  <c r="CI52" i="13"/>
  <c r="CC17" i="9"/>
  <c r="CI143" i="10"/>
  <c r="CI19" i="9"/>
  <c r="CI102" i="13"/>
  <c r="CI96" i="13"/>
  <c r="CI150" i="10"/>
  <c r="CI153" i="10" s="1"/>
  <c r="CI22" i="9"/>
  <c r="CI28" i="10"/>
  <c r="CC88" i="13"/>
  <c r="CC64" i="13"/>
  <c r="CC91" i="11"/>
  <c r="CC53" i="13"/>
  <c r="CC105" i="13"/>
  <c r="BW88" i="13"/>
  <c r="BW53" i="13"/>
  <c r="BW49" i="13"/>
  <c r="BW93" i="13" s="1"/>
  <c r="BW64" i="13"/>
  <c r="BW57" i="10"/>
  <c r="BW137" i="10"/>
  <c r="BW91" i="11"/>
  <c r="BW96" i="11" s="1"/>
  <c r="BQ139" i="10"/>
  <c r="BQ140" i="10" s="1"/>
  <c r="BQ141" i="10" s="1"/>
  <c r="BW103" i="13"/>
  <c r="BW105" i="13"/>
  <c r="BW34" i="10"/>
  <c r="BW17" i="9"/>
  <c r="BM103" i="10" l="1"/>
  <c r="BL106" i="10"/>
  <c r="BL112" i="10"/>
  <c r="BM101" i="10"/>
  <c r="BM105" i="10"/>
  <c r="BQ50" i="13"/>
  <c r="BQ104" i="13"/>
  <c r="BQ106" i="13"/>
  <c r="BW164" i="10"/>
  <c r="BW165" i="10" s="1"/>
  <c r="BW166" i="10" s="1"/>
  <c r="CC106" i="13"/>
  <c r="BW104" i="13"/>
  <c r="CC104" i="13"/>
  <c r="BW50" i="13"/>
  <c r="CC50" i="13"/>
  <c r="CI34" i="10"/>
  <c r="CI164" i="10"/>
  <c r="CI165" i="10" s="1"/>
  <c r="CI166" i="10" s="1"/>
  <c r="CI103" i="13"/>
  <c r="CI105" i="13"/>
  <c r="CI17" i="9"/>
  <c r="CI91" i="11"/>
  <c r="CI96" i="11" s="1"/>
  <c r="CI137" i="10"/>
  <c r="CI139" i="10" s="1"/>
  <c r="CI140" i="10" s="1"/>
  <c r="CI141" i="10" s="1"/>
  <c r="CI64" i="13"/>
  <c r="CI49" i="13"/>
  <c r="CI93" i="13" s="1"/>
  <c r="CI53" i="13"/>
  <c r="CI88" i="13"/>
  <c r="CI57" i="10"/>
  <c r="CC96" i="11"/>
  <c r="BW106" i="13"/>
  <c r="BW139" i="10"/>
  <c r="BW140" i="10" s="1"/>
  <c r="BW141" i="10" s="1"/>
  <c r="BN96" i="10" l="1"/>
  <c r="BM111" i="10"/>
  <c r="BM107" i="10"/>
  <c r="CI104" i="13"/>
  <c r="CI50" i="13"/>
  <c r="CI106" i="13"/>
  <c r="BN103" i="10" l="1"/>
  <c r="BN106" i="10" s="1"/>
  <c r="BM106" i="10"/>
  <c r="BM112" i="10"/>
  <c r="BN100" i="10"/>
  <c r="BO100" i="10" s="1"/>
  <c r="BO101" i="10" s="1"/>
  <c r="BN105" i="10"/>
  <c r="BR46" i="13"/>
  <c r="BX46" i="13" s="1"/>
  <c r="BR45" i="13"/>
  <c r="BX45" i="13" s="1"/>
  <c r="CD45" i="13" s="1"/>
  <c r="BO106" i="10" l="1"/>
  <c r="BO107" i="10" s="1"/>
  <c r="BO112" i="10" s="1"/>
  <c r="BO111" i="10"/>
  <c r="CJ45" i="13"/>
  <c r="CD46" i="13"/>
  <c r="BR13" i="13"/>
  <c r="BX14" i="13"/>
  <c r="BR14" i="13"/>
  <c r="BO109" i="10" l="1"/>
  <c r="CJ46" i="13"/>
  <c r="CD14" i="13"/>
  <c r="BX13" i="13"/>
  <c r="BX12" i="13" s="1"/>
  <c r="BR12" i="13"/>
  <c r="CJ14" i="13" l="1"/>
  <c r="CD13" i="13"/>
  <c r="BX24" i="10"/>
  <c r="BX60" i="13"/>
  <c r="BX44" i="13"/>
  <c r="BX95" i="13" s="1"/>
  <c r="BX15" i="13"/>
  <c r="BX14" i="10"/>
  <c r="BR60" i="13"/>
  <c r="BR24" i="10"/>
  <c r="BR14" i="10"/>
  <c r="BR97" i="11"/>
  <c r="BR15" i="13"/>
  <c r="BR44" i="13"/>
  <c r="BR95" i="13" l="1"/>
  <c r="CD12" i="13"/>
  <c r="CJ13" i="13"/>
  <c r="BX97" i="11"/>
  <c r="BR19" i="9"/>
  <c r="BR143" i="10"/>
  <c r="BR22" i="9"/>
  <c r="BR150" i="10"/>
  <c r="BR153" i="10" s="1"/>
  <c r="BR28" i="10"/>
  <c r="BR87" i="13"/>
  <c r="BR52" i="13"/>
  <c r="BR22" i="13"/>
  <c r="BX87" i="13"/>
  <c r="BX52" i="13"/>
  <c r="BX22" i="13"/>
  <c r="BX22" i="9"/>
  <c r="BX150" i="10"/>
  <c r="BX153" i="10" s="1"/>
  <c r="BX28" i="10"/>
  <c r="BX143" i="10"/>
  <c r="BX19" i="9"/>
  <c r="BX96" i="13"/>
  <c r="BX102" i="13"/>
  <c r="BR102" i="13" l="1"/>
  <c r="BR96" i="13"/>
  <c r="CJ12" i="13"/>
  <c r="CD14" i="10"/>
  <c r="CD15" i="13"/>
  <c r="CD24" i="10"/>
  <c r="CD44" i="13"/>
  <c r="CD95" i="13" s="1"/>
  <c r="CD60" i="13"/>
  <c r="CD97" i="11"/>
  <c r="BX53" i="13"/>
  <c r="BX164" i="10"/>
  <c r="BX165" i="10" s="1"/>
  <c r="BX166" i="10" s="1"/>
  <c r="BX91" i="11"/>
  <c r="BX88" i="13"/>
  <c r="BX64" i="13"/>
  <c r="BX57" i="10"/>
  <c r="BX49" i="13"/>
  <c r="BX93" i="13" s="1"/>
  <c r="BX137" i="10"/>
  <c r="BX17" i="9"/>
  <c r="BR91" i="11"/>
  <c r="BR96" i="11" s="1"/>
  <c r="BR53" i="13"/>
  <c r="BR164" i="10"/>
  <c r="BR165" i="10" s="1"/>
  <c r="BR166" i="10" s="1"/>
  <c r="BR49" i="13"/>
  <c r="BR93" i="13" s="1"/>
  <c r="BR57" i="10"/>
  <c r="BR88" i="13"/>
  <c r="BR64" i="13"/>
  <c r="BR137" i="10"/>
  <c r="BR34" i="10"/>
  <c r="BX103" i="13"/>
  <c r="BX105" i="13"/>
  <c r="BX34" i="10"/>
  <c r="BR17" i="9"/>
  <c r="BR105" i="13" l="1"/>
  <c r="BR103" i="13"/>
  <c r="BX50" i="13"/>
  <c r="CD22" i="13"/>
  <c r="CD87" i="13"/>
  <c r="CD52" i="13"/>
  <c r="CD143" i="10"/>
  <c r="CD19" i="9"/>
  <c r="CD96" i="13"/>
  <c r="CD102" i="13"/>
  <c r="CD150" i="10"/>
  <c r="CD153" i="10" s="1"/>
  <c r="CD28" i="10"/>
  <c r="CD22" i="9"/>
  <c r="CJ60" i="13"/>
  <c r="CJ15" i="13"/>
  <c r="CJ24" i="10"/>
  <c r="CJ14" i="10"/>
  <c r="CJ44" i="13"/>
  <c r="CJ95" i="13" s="1"/>
  <c r="CJ97" i="11"/>
  <c r="BX104" i="13"/>
  <c r="BX96" i="11"/>
  <c r="BR139" i="10"/>
  <c r="BR140" i="10" s="1"/>
  <c r="BR141" i="10" s="1"/>
  <c r="BX139" i="10"/>
  <c r="BX140" i="10" s="1"/>
  <c r="BX141" i="10" s="1"/>
  <c r="BX106" i="13"/>
  <c r="BR50" i="13" l="1"/>
  <c r="BR104" i="13"/>
  <c r="BR106" i="13"/>
  <c r="CD34" i="10"/>
  <c r="CD164" i="10"/>
  <c r="CD165" i="10" s="1"/>
  <c r="CD166" i="10" s="1"/>
  <c r="CJ143" i="10"/>
  <c r="CJ19" i="9"/>
  <c r="CD103" i="13"/>
  <c r="CD105" i="13"/>
  <c r="CJ150" i="10"/>
  <c r="CJ153" i="10" s="1"/>
  <c r="CJ28" i="10"/>
  <c r="CJ22" i="9"/>
  <c r="CJ87" i="13"/>
  <c r="CJ22" i="13"/>
  <c r="CD49" i="13"/>
  <c r="CD93" i="13" s="1"/>
  <c r="CD137" i="10"/>
  <c r="CD139" i="10" s="1"/>
  <c r="CD140" i="10" s="1"/>
  <c r="CD141" i="10" s="1"/>
  <c r="CD57" i="10"/>
  <c r="CD88" i="13"/>
  <c r="CD53" i="13"/>
  <c r="CD91" i="11"/>
  <c r="CD96" i="11" s="1"/>
  <c r="CD64" i="13"/>
  <c r="CJ96" i="13"/>
  <c r="CJ102" i="13"/>
  <c r="CD17" i="9"/>
  <c r="CJ52" i="13"/>
  <c r="CD104" i="13" l="1"/>
  <c r="CD50" i="13"/>
  <c r="CD106" i="13"/>
  <c r="CJ164" i="10"/>
  <c r="CJ165" i="10" s="1"/>
  <c r="CJ166" i="10" s="1"/>
  <c r="CJ34" i="10"/>
  <c r="CJ17" i="9"/>
  <c r="CJ103" i="13"/>
  <c r="CJ105" i="13"/>
  <c r="CJ49" i="13"/>
  <c r="CJ93" i="13" s="1"/>
  <c r="CJ64" i="13"/>
  <c r="CJ91" i="11"/>
  <c r="CJ96" i="11" s="1"/>
  <c r="CJ88" i="13"/>
  <c r="CJ137" i="10"/>
  <c r="CJ139" i="10" s="1"/>
  <c r="CJ140" i="10" s="1"/>
  <c r="CJ141" i="10" s="1"/>
  <c r="CJ53" i="13"/>
  <c r="CJ57" i="10"/>
  <c r="CJ104" i="13" l="1"/>
  <c r="CJ50" i="13"/>
  <c r="CJ106" i="13"/>
  <c r="BN87" i="40" l="1"/>
  <c r="BO28" i="9"/>
  <c r="BO33" i="9" l="1"/>
  <c r="BM23" i="13"/>
  <c r="BM25" i="9"/>
  <c r="BM86" i="40"/>
  <c r="BM89" i="40" s="1"/>
  <c r="BM54" i="9" l="1"/>
  <c r="BM77" i="10" s="1"/>
  <c r="BM76" i="10"/>
  <c r="BM26" i="13"/>
  <c r="BM27" i="13" s="1"/>
  <c r="BM90" i="40"/>
  <c r="BN84" i="40"/>
  <c r="BM145" i="10"/>
  <c r="BM148" i="10" s="1"/>
  <c r="BM155" i="10" s="1"/>
  <c r="BN156" i="10" s="1"/>
  <c r="BM47" i="9"/>
  <c r="BM75" i="10" s="1"/>
  <c r="BM51" i="13" l="1"/>
  <c r="BM56" i="10"/>
  <c r="BM59" i="9"/>
  <c r="BM58" i="9"/>
  <c r="BM55" i="9"/>
  <c r="BM78" i="10" s="1"/>
  <c r="BM49" i="9"/>
  <c r="BN92" i="40"/>
  <c r="BO92" i="40" s="1"/>
  <c r="BN48" i="9" l="1"/>
  <c r="BM179" i="10"/>
  <c r="BM56" i="9"/>
  <c r="BM57" i="9"/>
  <c r="BM183" i="10" l="1"/>
  <c r="BM186" i="10" s="1"/>
  <c r="BM182" i="10"/>
  <c r="BM185" i="10" s="1"/>
  <c r="BM50" i="9"/>
  <c r="BM16" i="10"/>
  <c r="BM10" i="10"/>
  <c r="BM65" i="10" l="1"/>
  <c r="BM62" i="10"/>
  <c r="BN50" i="40"/>
  <c r="BN52" i="40" s="1"/>
  <c r="BM64" i="10"/>
  <c r="BM63" i="10"/>
  <c r="BM53" i="10"/>
  <c r="BM47" i="10"/>
  <c r="BM21" i="10"/>
  <c r="BM52" i="10" s="1"/>
  <c r="BM48" i="10" l="1"/>
  <c r="BM58" i="10"/>
  <c r="BM43" i="10"/>
  <c r="BN29" i="13" l="1"/>
  <c r="BN54" i="13" s="1"/>
  <c r="BO28" i="13"/>
  <c r="BN77" i="13" l="1"/>
  <c r="BN138" i="10" s="1"/>
  <c r="BN139" i="10" s="1"/>
  <c r="BN140" i="10" s="1"/>
  <c r="BN141" i="10" s="1"/>
  <c r="BN135" i="10" s="1"/>
  <c r="BO29" i="13"/>
  <c r="BN163" i="10" l="1"/>
  <c r="BN164" i="10" s="1"/>
  <c r="BN165" i="10" s="1"/>
  <c r="BN166" i="10" s="1"/>
  <c r="BN31" i="13"/>
  <c r="BO30" i="13"/>
  <c r="BN55" i="13" l="1"/>
  <c r="BN68" i="13"/>
  <c r="BN75" i="13" s="1"/>
  <c r="BN34" i="13" s="1"/>
  <c r="BN33" i="13"/>
  <c r="BN35" i="13"/>
  <c r="BN81" i="13"/>
  <c r="BN82" i="13" s="1"/>
  <c r="BO54" i="13"/>
  <c r="BO31" i="13"/>
  <c r="BN85" i="40" l="1"/>
  <c r="BN88" i="10"/>
  <c r="BN65" i="13"/>
  <c r="BN10" i="9"/>
  <c r="BO81" i="13"/>
  <c r="BO82" i="13" s="1"/>
  <c r="BO55" i="13"/>
  <c r="BO68" i="13"/>
  <c r="BO75" i="13" s="1"/>
  <c r="BO34" i="13" s="1"/>
  <c r="BO35" i="13"/>
  <c r="BO33" i="13"/>
  <c r="BO88" i="10" s="1"/>
  <c r="BO77" i="13"/>
  <c r="BO163" i="10" l="1"/>
  <c r="BO164" i="10" s="1"/>
  <c r="BO165" i="10" s="1"/>
  <c r="BO166" i="10" s="1"/>
  <c r="BO138" i="10"/>
  <c r="BO139" i="10" s="1"/>
  <c r="BO140" i="10" s="1"/>
  <c r="BN91" i="10"/>
  <c r="BN92" i="10"/>
  <c r="BO10" i="9"/>
  <c r="BO65" i="13"/>
  <c r="BO149" i="10" l="1"/>
  <c r="BO141" i="10"/>
  <c r="BO135" i="10" s="1"/>
  <c r="BN41" i="10"/>
  <c r="BO39" i="10"/>
  <c r="BN176" i="10" l="1"/>
  <c r="BN59" i="10"/>
  <c r="BN51" i="10"/>
  <c r="BO41" i="10"/>
  <c r="BO91" i="10"/>
  <c r="BO92" i="10" s="1"/>
  <c r="BQ86" i="10" s="1"/>
  <c r="BN42" i="10"/>
  <c r="BO42" i="10"/>
  <c r="BO176" i="10" l="1"/>
  <c r="BO59" i="10"/>
  <c r="BO51" i="10"/>
  <c r="BU86" i="10"/>
  <c r="BO14" i="13" l="1"/>
  <c r="BS46" i="13"/>
  <c r="BO13" i="13"/>
  <c r="BS45" i="13"/>
  <c r="BU45" i="13" l="1"/>
  <c r="BY45" i="13"/>
  <c r="CE45" i="13" s="1"/>
  <c r="BS14" i="13"/>
  <c r="BU14" i="13" s="1"/>
  <c r="BY46" i="13"/>
  <c r="BS13" i="13"/>
  <c r="BU46" i="13"/>
  <c r="CE46" i="13" l="1"/>
  <c r="CA46" i="13"/>
  <c r="CK45" i="13"/>
  <c r="CM45" i="13" s="1"/>
  <c r="CG45" i="13"/>
  <c r="CA45" i="13"/>
  <c r="CE13" i="13"/>
  <c r="CG13" i="13" s="1"/>
  <c r="BY13" i="13"/>
  <c r="CA13" i="13" s="1"/>
  <c r="BY14" i="13"/>
  <c r="CA14" i="13" s="1"/>
  <c r="BS12" i="13"/>
  <c r="BU13" i="13"/>
  <c r="CK46" i="13" l="1"/>
  <c r="CM46" i="13" s="1"/>
  <c r="CG46" i="13"/>
  <c r="CK13" i="13"/>
  <c r="CM13" i="13" s="1"/>
  <c r="BY12" i="13"/>
  <c r="BS24" i="10"/>
  <c r="BS97" i="11"/>
  <c r="BS44" i="13"/>
  <c r="BS95" i="13" s="1"/>
  <c r="BS14" i="10"/>
  <c r="BS60" i="13"/>
  <c r="BS15" i="13"/>
  <c r="BU12" i="13"/>
  <c r="CE14" i="13"/>
  <c r="BU60" i="13" l="1"/>
  <c r="BU97" i="11"/>
  <c r="BU71" i="10"/>
  <c r="BU15" i="13"/>
  <c r="BU70" i="10"/>
  <c r="BU44" i="13"/>
  <c r="BS143" i="10"/>
  <c r="BT19" i="9"/>
  <c r="BS19" i="9"/>
  <c r="BS22" i="9"/>
  <c r="BS28" i="10"/>
  <c r="BS150" i="10"/>
  <c r="BS153" i="10" s="1"/>
  <c r="BT22" i="9"/>
  <c r="CK14" i="13"/>
  <c r="BS87" i="13"/>
  <c r="BS52" i="13"/>
  <c r="BS22" i="13"/>
  <c r="BS102" i="13"/>
  <c r="BS96" i="13"/>
  <c r="CG14" i="13"/>
  <c r="CE12" i="13"/>
  <c r="BY14" i="10"/>
  <c r="BY97" i="11"/>
  <c r="BY24" i="10"/>
  <c r="BY44" i="13"/>
  <c r="BY95" i="13" s="1"/>
  <c r="CA12" i="13"/>
  <c r="BY60" i="13"/>
  <c r="BY15" i="13"/>
  <c r="BU95" i="13" l="1"/>
  <c r="BU96" i="13" s="1"/>
  <c r="CA70" i="10"/>
  <c r="CA71" i="10"/>
  <c r="BU72" i="10"/>
  <c r="BU19" i="9"/>
  <c r="BS17" i="9"/>
  <c r="BY22" i="13"/>
  <c r="BY87" i="13"/>
  <c r="BY52" i="13"/>
  <c r="CE44" i="13"/>
  <c r="CE95" i="13" s="1"/>
  <c r="CE24" i="10"/>
  <c r="CE14" i="10"/>
  <c r="CE60" i="13"/>
  <c r="CG12" i="13"/>
  <c r="CE15" i="13"/>
  <c r="CE97" i="11"/>
  <c r="BU22" i="9"/>
  <c r="CA60" i="13"/>
  <c r="CA97" i="11"/>
  <c r="CA15" i="13"/>
  <c r="CA44" i="13"/>
  <c r="CA95" i="13" s="1"/>
  <c r="BY96" i="13"/>
  <c r="BY102" i="13"/>
  <c r="BY143" i="10"/>
  <c r="BY19" i="9"/>
  <c r="BZ19" i="9"/>
  <c r="BS53" i="13"/>
  <c r="BS88" i="13"/>
  <c r="BS64" i="13"/>
  <c r="BS57" i="10"/>
  <c r="BS137" i="10"/>
  <c r="BS91" i="11"/>
  <c r="BS96" i="11" s="1"/>
  <c r="BS49" i="13"/>
  <c r="BS93" i="13" s="1"/>
  <c r="CM14" i="13"/>
  <c r="CK12" i="13"/>
  <c r="BT17" i="9"/>
  <c r="BU87" i="13"/>
  <c r="BU52" i="13"/>
  <c r="BU22" i="13"/>
  <c r="BY28" i="10"/>
  <c r="BZ22" i="9"/>
  <c r="BY150" i="10"/>
  <c r="BY153" i="10" s="1"/>
  <c r="BY22" i="9"/>
  <c r="BS103" i="13"/>
  <c r="BS105" i="13"/>
  <c r="BS34" i="10"/>
  <c r="BU102" i="13" l="1"/>
  <c r="BS164" i="10"/>
  <c r="BS165" i="10" s="1"/>
  <c r="BS166" i="10" s="1"/>
  <c r="CA72" i="10"/>
  <c r="CG71" i="10"/>
  <c r="CG70" i="10"/>
  <c r="CA22" i="9"/>
  <c r="BZ17" i="9"/>
  <c r="BS104" i="13"/>
  <c r="CK60" i="13"/>
  <c r="CK97" i="11"/>
  <c r="CK15" i="13"/>
  <c r="CM12" i="13"/>
  <c r="CK44" i="13"/>
  <c r="CK95" i="13" s="1"/>
  <c r="CK24" i="10"/>
  <c r="CK14" i="10"/>
  <c r="CF22" i="9"/>
  <c r="CE150" i="10"/>
  <c r="CE153" i="10" s="1"/>
  <c r="CE28" i="10"/>
  <c r="CE22" i="9"/>
  <c r="CA52" i="13"/>
  <c r="CA87" i="13"/>
  <c r="CA22" i="13"/>
  <c r="CE87" i="13"/>
  <c r="CE22" i="13"/>
  <c r="CE52" i="13"/>
  <c r="BY57" i="10"/>
  <c r="BY64" i="13"/>
  <c r="BY88" i="13"/>
  <c r="BY53" i="13"/>
  <c r="BY137" i="10"/>
  <c r="BY49" i="13"/>
  <c r="BY93" i="13" s="1"/>
  <c r="BY91" i="11"/>
  <c r="BY96" i="11" s="1"/>
  <c r="BS50" i="13"/>
  <c r="BU57" i="10"/>
  <c r="BU81" i="40"/>
  <c r="BU53" i="13"/>
  <c r="BU64" i="13"/>
  <c r="BU88" i="13"/>
  <c r="BU137" i="10"/>
  <c r="BU91" i="11"/>
  <c r="BU96" i="11" s="1"/>
  <c r="BU49" i="13"/>
  <c r="BS106" i="13"/>
  <c r="BS139" i="10"/>
  <c r="BS140" i="10" s="1"/>
  <c r="BS141" i="10" s="1"/>
  <c r="BY17" i="9"/>
  <c r="CA19" i="9"/>
  <c r="CA96" i="13"/>
  <c r="CA102" i="13"/>
  <c r="CG60" i="13"/>
  <c r="CG44" i="13"/>
  <c r="CG95" i="13" s="1"/>
  <c r="CG15" i="13"/>
  <c r="CG97" i="11"/>
  <c r="BY34" i="10"/>
  <c r="CE143" i="10"/>
  <c r="CE19" i="9"/>
  <c r="CF19" i="9"/>
  <c r="CE102" i="13"/>
  <c r="CE96" i="13"/>
  <c r="BY105" i="13"/>
  <c r="BY103" i="13"/>
  <c r="BU17" i="9"/>
  <c r="CG22" i="9" l="1"/>
  <c r="BU103" i="13"/>
  <c r="BU105" i="13"/>
  <c r="BY164" i="10"/>
  <c r="BY165" i="10" s="1"/>
  <c r="BY166" i="10" s="1"/>
  <c r="CG72" i="10"/>
  <c r="CM71" i="10"/>
  <c r="CM70" i="10"/>
  <c r="CA17" i="9"/>
  <c r="BY50" i="13"/>
  <c r="CG19" i="9"/>
  <c r="CE17" i="9"/>
  <c r="CG102" i="13"/>
  <c r="CG96" i="13"/>
  <c r="CA103" i="13"/>
  <c r="CA105" i="13"/>
  <c r="BY139" i="10"/>
  <c r="BY140" i="10" s="1"/>
  <c r="BY141" i="10" s="1"/>
  <c r="CA81" i="40"/>
  <c r="CA88" i="13"/>
  <c r="CA64" i="13"/>
  <c r="CA57" i="10"/>
  <c r="CA53" i="13"/>
  <c r="CA137" i="10"/>
  <c r="CA91" i="11"/>
  <c r="CA96" i="11" s="1"/>
  <c r="CA49" i="13"/>
  <c r="CK87" i="13"/>
  <c r="CK52" i="13"/>
  <c r="CK22" i="13"/>
  <c r="BU93" i="13"/>
  <c r="CL19" i="9"/>
  <c r="CK143" i="10"/>
  <c r="CK19" i="9"/>
  <c r="CE103" i="13"/>
  <c r="CE105" i="13"/>
  <c r="CE53" i="13"/>
  <c r="CE64" i="13"/>
  <c r="CE57" i="10"/>
  <c r="CE164" i="10"/>
  <c r="CE165" i="10" s="1"/>
  <c r="CE166" i="10" s="1"/>
  <c r="CE88" i="13"/>
  <c r="CE137" i="10"/>
  <c r="CE49" i="13"/>
  <c r="CE93" i="13" s="1"/>
  <c r="CE91" i="11"/>
  <c r="CE96" i="11" s="1"/>
  <c r="CE34" i="10"/>
  <c r="CK150" i="10"/>
  <c r="CK153" i="10" s="1"/>
  <c r="CK22" i="9"/>
  <c r="CK28" i="10"/>
  <c r="CL22" i="9"/>
  <c r="CK96" i="13"/>
  <c r="CK102" i="13"/>
  <c r="BY104" i="13"/>
  <c r="CG52" i="13"/>
  <c r="CG87" i="13"/>
  <c r="CG22" i="13"/>
  <c r="CF17" i="9"/>
  <c r="BY106" i="13"/>
  <c r="CM97" i="11"/>
  <c r="CM44" i="13"/>
  <c r="CM95" i="13" s="1"/>
  <c r="CM15" i="13"/>
  <c r="CM60" i="13"/>
  <c r="CG17" i="9" l="1"/>
  <c r="BU104" i="13"/>
  <c r="BU50" i="13"/>
  <c r="CM72" i="10"/>
  <c r="CM19" i="9"/>
  <c r="CK17" i="9"/>
  <c r="CL17" i="9"/>
  <c r="CM52" i="13"/>
  <c r="CM87" i="13"/>
  <c r="CM22" i="13"/>
  <c r="CE106" i="13"/>
  <c r="CE50" i="13"/>
  <c r="CA50" i="13"/>
  <c r="CG105" i="13"/>
  <c r="CG103" i="13"/>
  <c r="CK34" i="10"/>
  <c r="CE139" i="10"/>
  <c r="CE140" i="10" s="1"/>
  <c r="CE141" i="10" s="1"/>
  <c r="BU106" i="13"/>
  <c r="CK53" i="13"/>
  <c r="CK64" i="13"/>
  <c r="CK57" i="10"/>
  <c r="CK164" i="10"/>
  <c r="CK165" i="10" s="1"/>
  <c r="CK166" i="10" s="1"/>
  <c r="CK88" i="13"/>
  <c r="CK49" i="13"/>
  <c r="CK93" i="13" s="1"/>
  <c r="CK137" i="10"/>
  <c r="CK91" i="11"/>
  <c r="CK96" i="11" s="1"/>
  <c r="CA93" i="13"/>
  <c r="CM102" i="13"/>
  <c r="CM96" i="13"/>
  <c r="CK105" i="13"/>
  <c r="CK103" i="13"/>
  <c r="CA104" i="13"/>
  <c r="CG57" i="10"/>
  <c r="CG81" i="40"/>
  <c r="CG137" i="10"/>
  <c r="CG64" i="13"/>
  <c r="CG88" i="13"/>
  <c r="CG53" i="13"/>
  <c r="CG91" i="11"/>
  <c r="CG96" i="11" s="1"/>
  <c r="CG49" i="13"/>
  <c r="CG93" i="13" s="1"/>
  <c r="CM22" i="9"/>
  <c r="CE104" i="13"/>
  <c r="CK104" i="13" l="1"/>
  <c r="CM103" i="13"/>
  <c r="CM105" i="13"/>
  <c r="CG104" i="13"/>
  <c r="CK139" i="10"/>
  <c r="CK140" i="10" s="1"/>
  <c r="CK141" i="10" s="1"/>
  <c r="CG50" i="13"/>
  <c r="CM57" i="10"/>
  <c r="CM81" i="40"/>
  <c r="CM137" i="10"/>
  <c r="CM88" i="13"/>
  <c r="CM64" i="13"/>
  <c r="CM53" i="13"/>
  <c r="CM49" i="13"/>
  <c r="CM93" i="13" s="1"/>
  <c r="CM91" i="11"/>
  <c r="CM96" i="11" s="1"/>
  <c r="CM17" i="9"/>
  <c r="CG106" i="13"/>
  <c r="CK50" i="13"/>
  <c r="CK106" i="13"/>
  <c r="CA106" i="13"/>
  <c r="CM106" i="13" l="1"/>
  <c r="CM50" i="13"/>
  <c r="CM104" i="13"/>
  <c r="BU50" i="12" l="1"/>
  <c r="BN33" i="9" l="1"/>
  <c r="BQ96" i="10"/>
  <c r="BQ101" i="10" s="1"/>
  <c r="BR96" i="10" l="1"/>
  <c r="BR101" i="10" s="1"/>
  <c r="BQ104" i="10"/>
  <c r="BU96" i="10"/>
  <c r="BU101" i="10" s="1"/>
  <c r="BW96" i="10" l="1"/>
  <c r="BW101" i="10" s="1"/>
  <c r="CA96" i="10"/>
  <c r="CA101" i="10" s="1"/>
  <c r="BR104" i="10"/>
  <c r="BR13" i="9" s="1"/>
  <c r="BS96" i="10"/>
  <c r="BS101" i="10" s="1"/>
  <c r="BQ111" i="10"/>
  <c r="BQ13" i="9"/>
  <c r="BR111" i="10" l="1"/>
  <c r="BQ23" i="13"/>
  <c r="BQ86" i="40"/>
  <c r="BS104" i="10"/>
  <c r="BT96" i="10"/>
  <c r="BT101" i="10" s="1"/>
  <c r="CC96" i="10"/>
  <c r="CC101" i="10" s="1"/>
  <c r="CG96" i="10"/>
  <c r="CG101" i="10" s="1"/>
  <c r="BW104" i="10"/>
  <c r="BW111" i="10" s="1"/>
  <c r="BX96" i="10"/>
  <c r="BX101" i="10" s="1"/>
  <c r="BN86" i="40"/>
  <c r="BN89" i="40" s="1"/>
  <c r="BN90" i="40" s="1"/>
  <c r="BO90" i="40" s="1"/>
  <c r="BO91" i="40" s="1"/>
  <c r="BO13" i="9"/>
  <c r="BN25" i="9"/>
  <c r="BN23" i="13"/>
  <c r="BR86" i="40"/>
  <c r="BR23" i="13"/>
  <c r="BX104" i="10" l="1"/>
  <c r="BX13" i="9" s="1"/>
  <c r="BY96" i="10"/>
  <c r="BY101" i="10" s="1"/>
  <c r="BT104" i="10"/>
  <c r="BT13" i="9" s="1"/>
  <c r="BN26" i="13"/>
  <c r="BN27" i="13" s="1"/>
  <c r="CC104" i="10"/>
  <c r="CC111" i="10" s="1"/>
  <c r="CD96" i="10"/>
  <c r="CD101" i="10" s="1"/>
  <c r="BS13" i="9"/>
  <c r="BQ26" i="13"/>
  <c r="BQ27" i="13" s="1"/>
  <c r="BN76" i="10"/>
  <c r="BN47" i="9"/>
  <c r="BN49" i="9" s="1"/>
  <c r="BN54" i="9"/>
  <c r="BR26" i="13"/>
  <c r="BR27" i="13" s="1"/>
  <c r="BO25" i="9"/>
  <c r="BO23" i="13"/>
  <c r="BQ103" i="10"/>
  <c r="BQ107" i="10" s="1"/>
  <c r="BU103" i="10"/>
  <c r="BS111" i="10"/>
  <c r="BO17" i="10"/>
  <c r="BO145" i="10" s="1"/>
  <c r="BO148" i="10" s="1"/>
  <c r="BO155" i="10" s="1"/>
  <c r="BW13" i="9"/>
  <c r="CI96" i="10"/>
  <c r="CI101" i="10" s="1"/>
  <c r="CM96" i="10"/>
  <c r="CM101" i="10" s="1"/>
  <c r="BN56" i="10" l="1"/>
  <c r="BW86" i="40"/>
  <c r="BW23" i="13"/>
  <c r="BO26" i="13"/>
  <c r="BO27" i="13" s="1"/>
  <c r="BS23" i="13"/>
  <c r="BS86" i="40"/>
  <c r="BU13" i="9"/>
  <c r="BN51" i="13"/>
  <c r="BZ96" i="10"/>
  <c r="BZ101" i="10" s="1"/>
  <c r="BY104" i="10"/>
  <c r="BR56" i="10"/>
  <c r="BR51" i="13"/>
  <c r="CE96" i="10"/>
  <c r="CE101" i="10" s="1"/>
  <c r="CD104" i="10"/>
  <c r="CD13" i="9" s="1"/>
  <c r="CJ96" i="10"/>
  <c r="CJ101" i="10" s="1"/>
  <c r="CI104" i="10"/>
  <c r="CI111" i="10" s="1"/>
  <c r="BO76" i="10"/>
  <c r="BO54" i="9"/>
  <c r="BO47" i="9"/>
  <c r="BN75" i="10"/>
  <c r="BQ56" i="10"/>
  <c r="BQ51" i="13"/>
  <c r="BT86" i="40"/>
  <c r="BT23" i="13"/>
  <c r="BX86" i="40"/>
  <c r="BX23" i="13"/>
  <c r="BN58" i="9"/>
  <c r="BN77" i="10"/>
  <c r="BN59" i="9"/>
  <c r="BN55" i="9"/>
  <c r="BQ112" i="10"/>
  <c r="BR103" i="10"/>
  <c r="BR107" i="10" s="1"/>
  <c r="BQ109" i="10"/>
  <c r="BQ17" i="10" s="1"/>
  <c r="BU104" i="10"/>
  <c r="CC13" i="9"/>
  <c r="BT111" i="10"/>
  <c r="BX111" i="10"/>
  <c r="BO56" i="10" l="1"/>
  <c r="CC86" i="40"/>
  <c r="CC23" i="13"/>
  <c r="BR112" i="10"/>
  <c r="BS103" i="10"/>
  <c r="BS107" i="10" s="1"/>
  <c r="BR109" i="10"/>
  <c r="BR17" i="10" s="1"/>
  <c r="BT26" i="13"/>
  <c r="BT27" i="13" s="1"/>
  <c r="CK96" i="10"/>
  <c r="CK101" i="10" s="1"/>
  <c r="CJ104" i="10"/>
  <c r="CJ13" i="9" s="1"/>
  <c r="BY13" i="9"/>
  <c r="BQ156" i="10"/>
  <c r="BU156" i="10"/>
  <c r="BN50" i="9"/>
  <c r="BQ48" i="9"/>
  <c r="CI13" i="9"/>
  <c r="CD111" i="10"/>
  <c r="BU23" i="13"/>
  <c r="BW26" i="13"/>
  <c r="BW27" i="13" s="1"/>
  <c r="BU105" i="10"/>
  <c r="BU111" i="10"/>
  <c r="BU107" i="10"/>
  <c r="BX26" i="13"/>
  <c r="BX27" i="13" s="1"/>
  <c r="CF96" i="10"/>
  <c r="CF101" i="10" s="1"/>
  <c r="CE104" i="10"/>
  <c r="CE111" i="10" s="1"/>
  <c r="BY111" i="10"/>
  <c r="BO51" i="13"/>
  <c r="BQ145" i="10"/>
  <c r="BQ148" i="10" s="1"/>
  <c r="BQ155" i="10" s="1"/>
  <c r="BR156" i="10" s="1"/>
  <c r="BN78" i="10"/>
  <c r="BN56" i="9"/>
  <c r="BN57" i="9"/>
  <c r="BO75" i="10"/>
  <c r="BO49" i="9"/>
  <c r="BO58" i="9"/>
  <c r="BO59" i="9"/>
  <c r="BO77" i="10"/>
  <c r="BO55" i="9"/>
  <c r="CD23" i="13"/>
  <c r="CD86" i="40"/>
  <c r="BZ104" i="10"/>
  <c r="BZ13" i="9" s="1"/>
  <c r="BS26" i="13"/>
  <c r="BS27" i="13" s="1"/>
  <c r="BZ111" i="10" l="1"/>
  <c r="CD26" i="13"/>
  <c r="CD27" i="13" s="1"/>
  <c r="BO78" i="10"/>
  <c r="BO56" i="9"/>
  <c r="BO57" i="9"/>
  <c r="CF104" i="10"/>
  <c r="CF13" i="9" s="1"/>
  <c r="BX56" i="10"/>
  <c r="BX51" i="13"/>
  <c r="BU26" i="13"/>
  <c r="BU27" i="13" s="1"/>
  <c r="BQ135" i="10"/>
  <c r="CJ23" i="13"/>
  <c r="CJ86" i="40"/>
  <c r="BZ86" i="40"/>
  <c r="BZ23" i="13"/>
  <c r="BU48" i="9"/>
  <c r="BU112" i="10"/>
  <c r="BW103" i="10"/>
  <c r="BW107" i="10" s="1"/>
  <c r="CA103" i="10"/>
  <c r="BU109" i="10"/>
  <c r="BW56" i="10"/>
  <c r="BW51" i="13"/>
  <c r="CA104" i="10"/>
  <c r="CK104" i="10"/>
  <c r="CK111" i="10" s="1"/>
  <c r="CL96" i="10"/>
  <c r="CL101" i="10" s="1"/>
  <c r="BT56" i="10"/>
  <c r="BT51" i="13"/>
  <c r="CC26" i="13"/>
  <c r="CC27" i="13" s="1"/>
  <c r="BO11" i="10"/>
  <c r="BN10" i="10"/>
  <c r="BN179" i="10"/>
  <c r="BY23" i="13"/>
  <c r="BY86" i="40"/>
  <c r="CA13" i="9"/>
  <c r="BR145" i="10"/>
  <c r="BR148" i="10" s="1"/>
  <c r="BR155" i="10" s="1"/>
  <c r="BS156" i="10" s="1"/>
  <c r="BS56" i="10"/>
  <c r="BS51" i="13"/>
  <c r="BR135" i="10"/>
  <c r="CE13" i="9"/>
  <c r="CI86" i="40"/>
  <c r="CI23" i="13"/>
  <c r="CJ111" i="10"/>
  <c r="BT103" i="10"/>
  <c r="BT107" i="10" s="1"/>
  <c r="BS112" i="10"/>
  <c r="BS109" i="10"/>
  <c r="BS17" i="10" s="1"/>
  <c r="BN63" i="10" l="1"/>
  <c r="BN64" i="10"/>
  <c r="BN47" i="10"/>
  <c r="CG104" i="10"/>
  <c r="CG111" i="10" s="1"/>
  <c r="BS135" i="10"/>
  <c r="BO16" i="10"/>
  <c r="BO10" i="10"/>
  <c r="BO179" i="10"/>
  <c r="CA105" i="10"/>
  <c r="CA111" i="10"/>
  <c r="CF86" i="40"/>
  <c r="CF23" i="13"/>
  <c r="BS145" i="10"/>
  <c r="BS148" i="10" s="1"/>
  <c r="BS155" i="10" s="1"/>
  <c r="BT156" i="10" s="1"/>
  <c r="CI26" i="13"/>
  <c r="CI27" i="13" s="1"/>
  <c r="CE23" i="13"/>
  <c r="CE86" i="40"/>
  <c r="CG13" i="9"/>
  <c r="CG23" i="13" s="1"/>
  <c r="CA23" i="13"/>
  <c r="BN182" i="10"/>
  <c r="BN183" i="10"/>
  <c r="CL104" i="10"/>
  <c r="CL13" i="9" s="1"/>
  <c r="BO50" i="9"/>
  <c r="BU56" i="10"/>
  <c r="BU51" i="13"/>
  <c r="BN21" i="10"/>
  <c r="BN52" i="10" s="1"/>
  <c r="CA107" i="10"/>
  <c r="CJ26" i="13"/>
  <c r="CJ27" i="13" s="1"/>
  <c r="CF111" i="10"/>
  <c r="CD56" i="10"/>
  <c r="CD51" i="13"/>
  <c r="BT112" i="10"/>
  <c r="BT109" i="10"/>
  <c r="BT17" i="10" s="1"/>
  <c r="BY26" i="13"/>
  <c r="BY27" i="13" s="1"/>
  <c r="CC56" i="10"/>
  <c r="CC51" i="13"/>
  <c r="CK13" i="9"/>
  <c r="BW112" i="10"/>
  <c r="BX103" i="10"/>
  <c r="BX107" i="10" s="1"/>
  <c r="BW109" i="10"/>
  <c r="BW17" i="10" s="1"/>
  <c r="BZ26" i="13"/>
  <c r="BZ27" i="13" s="1"/>
  <c r="BO64" i="10" l="1"/>
  <c r="BO63" i="10"/>
  <c r="BO47" i="10"/>
  <c r="BO62" i="10"/>
  <c r="BO65" i="10"/>
  <c r="BN48" i="10"/>
  <c r="BN58" i="10"/>
  <c r="CG105" i="10"/>
  <c r="BW145" i="10"/>
  <c r="BW148" i="10" s="1"/>
  <c r="BW155" i="10" s="1"/>
  <c r="BX156" i="10" s="1"/>
  <c r="CK86" i="40"/>
  <c r="CK23" i="13"/>
  <c r="CM13" i="9"/>
  <c r="CM23" i="13" s="1"/>
  <c r="BN43" i="10"/>
  <c r="CL86" i="40"/>
  <c r="CL23" i="13"/>
  <c r="CA26" i="13"/>
  <c r="CA27" i="13" s="1"/>
  <c r="CE26" i="13"/>
  <c r="CE27" i="13" s="1"/>
  <c r="BO21" i="10"/>
  <c r="BO52" i="10" s="1"/>
  <c r="BY103" i="10"/>
  <c r="BY107" i="10" s="1"/>
  <c r="BX112" i="10"/>
  <c r="BX109" i="10"/>
  <c r="BX17" i="10" s="1"/>
  <c r="CL111" i="10"/>
  <c r="BT135" i="10"/>
  <c r="BY56" i="10"/>
  <c r="BY51" i="13"/>
  <c r="CJ56" i="10"/>
  <c r="CJ51" i="13"/>
  <c r="CA112" i="10"/>
  <c r="CG103" i="10"/>
  <c r="CG107" i="10" s="1"/>
  <c r="CC103" i="10"/>
  <c r="CC107" i="10" s="1"/>
  <c r="CA109" i="10"/>
  <c r="BN186" i="10"/>
  <c r="BO186" i="10"/>
  <c r="CG26" i="13"/>
  <c r="CG27" i="13" s="1"/>
  <c r="CI56" i="10"/>
  <c r="CI51" i="13"/>
  <c r="CF26" i="13"/>
  <c r="CF27" i="13" s="1"/>
  <c r="BO182" i="10"/>
  <c r="BO183" i="10"/>
  <c r="BZ51" i="13"/>
  <c r="BZ56" i="10"/>
  <c r="CM104" i="10"/>
  <c r="BU17" i="10"/>
  <c r="BT145" i="10"/>
  <c r="BT148" i="10" s="1"/>
  <c r="BT155" i="10" s="1"/>
  <c r="BN185" i="10"/>
  <c r="BO185" i="10"/>
  <c r="BQ50" i="40"/>
  <c r="BQ84" i="40"/>
  <c r="BO48" i="10" l="1"/>
  <c r="BO58" i="10"/>
  <c r="BO53" i="10"/>
  <c r="BN53" i="10"/>
  <c r="BQ92" i="40"/>
  <c r="BX145" i="10"/>
  <c r="BX148" i="10" s="1"/>
  <c r="BX155" i="10" s="1"/>
  <c r="BY156" i="10" s="1"/>
  <c r="CA51" i="13"/>
  <c r="CA56" i="10"/>
  <c r="CK26" i="13"/>
  <c r="CK27" i="13" s="1"/>
  <c r="BU50" i="40"/>
  <c r="BQ51" i="40"/>
  <c r="CM105" i="10"/>
  <c r="CM111" i="10"/>
  <c r="CF56" i="10"/>
  <c r="CF51" i="13"/>
  <c r="CD103" i="10"/>
  <c r="CD107" i="10" s="1"/>
  <c r="CC112" i="10"/>
  <c r="CC109" i="10"/>
  <c r="CC17" i="10" s="1"/>
  <c r="CI103" i="10"/>
  <c r="CI107" i="10" s="1"/>
  <c r="CM103" i="10"/>
  <c r="CM107" i="10" s="1"/>
  <c r="CG112" i="10"/>
  <c r="CG109" i="10"/>
  <c r="BZ103" i="10"/>
  <c r="BZ107" i="10" s="1"/>
  <c r="BY112" i="10"/>
  <c r="BY109" i="10"/>
  <c r="BY17" i="10" s="1"/>
  <c r="BO43" i="10"/>
  <c r="CE56" i="10"/>
  <c r="CE51" i="13"/>
  <c r="BX135" i="10"/>
  <c r="BU145" i="10"/>
  <c r="BU148" i="10" s="1"/>
  <c r="BU155" i="10" s="1"/>
  <c r="CG56" i="10"/>
  <c r="CG51" i="13"/>
  <c r="CL26" i="13"/>
  <c r="CL27" i="13" s="1"/>
  <c r="CM26" i="13"/>
  <c r="CM27" i="13" s="1"/>
  <c r="BW156" i="10" l="1"/>
  <c r="CA156" i="10"/>
  <c r="CM112" i="10"/>
  <c r="CM109" i="10"/>
  <c r="CE103" i="10"/>
  <c r="CE107" i="10" s="1"/>
  <c r="CD112" i="10"/>
  <c r="CD109" i="10"/>
  <c r="CD17" i="10" s="1"/>
  <c r="BQ54" i="40"/>
  <c r="BZ112" i="10"/>
  <c r="BZ109" i="10"/>
  <c r="BZ17" i="10" s="1"/>
  <c r="CJ103" i="10"/>
  <c r="CJ107" i="10" s="1"/>
  <c r="CI112" i="10"/>
  <c r="CI109" i="10"/>
  <c r="CI17" i="10" s="1"/>
  <c r="BY135" i="10"/>
  <c r="BY145" i="10"/>
  <c r="BY148" i="10" s="1"/>
  <c r="BY155" i="10" s="1"/>
  <c r="BZ156" i="10" s="1"/>
  <c r="CK56" i="10"/>
  <c r="CK51" i="13"/>
  <c r="CL56" i="10"/>
  <c r="CL51" i="13"/>
  <c r="CM56" i="10"/>
  <c r="CM51" i="13"/>
  <c r="CC145" i="10"/>
  <c r="CC148" i="10" s="1"/>
  <c r="CC155" i="10" s="1"/>
  <c r="CD156" i="10" s="1"/>
  <c r="CD135" i="10" l="1"/>
  <c r="CA17" i="10"/>
  <c r="BZ145" i="10"/>
  <c r="BZ148" i="10" s="1"/>
  <c r="BZ155" i="10" s="1"/>
  <c r="CD145" i="10"/>
  <c r="CD148" i="10" s="1"/>
  <c r="CD155" i="10" s="1"/>
  <c r="CE156" i="10" s="1"/>
  <c r="CI145" i="10"/>
  <c r="CI148" i="10" s="1"/>
  <c r="CI155" i="10" s="1"/>
  <c r="CJ156" i="10" s="1"/>
  <c r="CJ112" i="10"/>
  <c r="CK103" i="10"/>
  <c r="CK107" i="10" s="1"/>
  <c r="CJ109" i="10"/>
  <c r="CJ17" i="10" s="1"/>
  <c r="BZ135" i="10"/>
  <c r="BQ28" i="13"/>
  <c r="CE112" i="10"/>
  <c r="CF103" i="10"/>
  <c r="CF107" i="10" s="1"/>
  <c r="CE109" i="10"/>
  <c r="CE17" i="10" s="1"/>
  <c r="BW135" i="10"/>
  <c r="BQ29" i="13" l="1"/>
  <c r="CJ145" i="10"/>
  <c r="CJ148" i="10" s="1"/>
  <c r="CJ155" i="10" s="1"/>
  <c r="CK156" i="10" s="1"/>
  <c r="CJ135" i="10"/>
  <c r="CE145" i="10"/>
  <c r="CE148" i="10" s="1"/>
  <c r="CE155" i="10" s="1"/>
  <c r="CF156" i="10" s="1"/>
  <c r="CK112" i="10"/>
  <c r="CL103" i="10"/>
  <c r="CL107" i="10" s="1"/>
  <c r="CK109" i="10"/>
  <c r="CK17" i="10" s="1"/>
  <c r="CA145" i="10"/>
  <c r="CA148" i="10" s="1"/>
  <c r="CA155" i="10" s="1"/>
  <c r="CF112" i="10"/>
  <c r="CF109" i="10"/>
  <c r="CF17" i="10" s="1"/>
  <c r="CE135" i="10"/>
  <c r="CF135" i="10" l="1"/>
  <c r="CK135" i="10"/>
  <c r="CL112" i="10"/>
  <c r="CL109" i="10"/>
  <c r="CL17" i="10" s="1"/>
  <c r="CK145" i="10"/>
  <c r="CK148" i="10" s="1"/>
  <c r="CK155" i="10" s="1"/>
  <c r="CL156" i="10" s="1"/>
  <c r="BQ30" i="13"/>
  <c r="CF145" i="10"/>
  <c r="CF148" i="10" s="1"/>
  <c r="CF155" i="10" s="1"/>
  <c r="CG17" i="10"/>
  <c r="CC156" i="10"/>
  <c r="CG156" i="10"/>
  <c r="BQ31" i="13" l="1"/>
  <c r="CC135" i="10"/>
  <c r="CM17" i="10"/>
  <c r="CL145" i="10"/>
  <c r="CL148" i="10" s="1"/>
  <c r="CL155" i="10" s="1"/>
  <c r="CL135" i="10"/>
  <c r="CG145" i="10"/>
  <c r="CG148" i="10" s="1"/>
  <c r="CG155" i="10" s="1"/>
  <c r="BQ68" i="13" l="1"/>
  <c r="BQ75" i="13" s="1"/>
  <c r="BQ34" i="13" s="1"/>
  <c r="BQ55" i="13"/>
  <c r="BQ35" i="13"/>
  <c r="BQ81" i="13"/>
  <c r="BQ82" i="13" s="1"/>
  <c r="BQ33" i="13"/>
  <c r="BQ85" i="40" s="1"/>
  <c r="BQ89" i="40" s="1"/>
  <c r="CI156" i="10"/>
  <c r="CM156" i="10"/>
  <c r="CM145" i="10"/>
  <c r="CM148" i="10" s="1"/>
  <c r="CM155" i="10" s="1"/>
  <c r="BQ10" i="9" l="1"/>
  <c r="BQ65" i="13"/>
  <c r="BQ88" i="10"/>
  <c r="BQ39" i="10"/>
  <c r="BQ25" i="9"/>
  <c r="CI135" i="10"/>
  <c r="BQ90" i="40"/>
  <c r="BR84" i="40"/>
  <c r="BR92" i="40" l="1"/>
  <c r="BQ76" i="10"/>
  <c r="BQ47" i="9"/>
  <c r="BQ54" i="9"/>
  <c r="BQ91" i="10"/>
  <c r="BQ92" i="10" s="1"/>
  <c r="BR86" i="10" s="1"/>
  <c r="BQ41" i="10"/>
  <c r="BQ75" i="10" l="1"/>
  <c r="BQ49" i="9"/>
  <c r="BQ59" i="10"/>
  <c r="BQ42" i="10"/>
  <c r="BQ176" i="10"/>
  <c r="BQ51" i="10"/>
  <c r="BQ77" i="10"/>
  <c r="BQ55" i="9"/>
  <c r="BQ59" i="9"/>
  <c r="BQ58" i="9"/>
  <c r="BQ11" i="10" l="1"/>
  <c r="BR48" i="9"/>
  <c r="BQ56" i="9"/>
  <c r="BQ57" i="9"/>
  <c r="BQ78" i="10"/>
  <c r="BQ50" i="9" l="1"/>
  <c r="BQ16" i="10"/>
  <c r="BQ179" i="10"/>
  <c r="BQ10" i="10"/>
  <c r="BQ63" i="10" l="1"/>
  <c r="BQ64" i="10"/>
  <c r="BQ47" i="10"/>
  <c r="BR50" i="40"/>
  <c r="BR51" i="40" s="1"/>
  <c r="BQ182" i="10"/>
  <c r="BQ185" i="10" s="1"/>
  <c r="BQ183" i="10"/>
  <c r="BQ186" i="10" s="1"/>
  <c r="BQ53" i="10" s="1"/>
  <c r="BQ65" i="10"/>
  <c r="BQ21" i="10"/>
  <c r="BQ62" i="10"/>
  <c r="BR54" i="40" l="1"/>
  <c r="BQ48" i="10"/>
  <c r="BQ58" i="10"/>
  <c r="BQ52" i="10"/>
  <c r="BQ43" i="10"/>
  <c r="BR28" i="13" l="1"/>
  <c r="BR29" i="13" l="1"/>
  <c r="BR30" i="13" l="1"/>
  <c r="BR31" i="13" l="1"/>
  <c r="BR35" i="13" l="1"/>
  <c r="BR55" i="13"/>
  <c r="BR68" i="13"/>
  <c r="BR75" i="13" s="1"/>
  <c r="BR34" i="13" s="1"/>
  <c r="BR33" i="13"/>
  <c r="BR81" i="13"/>
  <c r="BR82" i="13" s="1"/>
  <c r="BR65" i="13" l="1"/>
  <c r="BR88" i="10"/>
  <c r="BR85" i="40"/>
  <c r="BR89" i="40" s="1"/>
  <c r="BR10" i="9"/>
  <c r="BS84" i="40" l="1"/>
  <c r="BR90" i="40"/>
  <c r="BR25" i="9"/>
  <c r="BR39" i="10"/>
  <c r="BR47" i="9" l="1"/>
  <c r="BR54" i="9"/>
  <c r="BR76" i="10"/>
  <c r="BR41" i="10"/>
  <c r="BR91" i="10"/>
  <c r="BR92" i="10" s="1"/>
  <c r="BS86" i="10" s="1"/>
  <c r="BS92" i="40"/>
  <c r="BR42" i="10" l="1"/>
  <c r="BR59" i="10"/>
  <c r="BR176" i="10"/>
  <c r="BR51" i="10"/>
  <c r="BR77" i="10"/>
  <c r="BR55" i="9"/>
  <c r="BR59" i="9"/>
  <c r="BR58" i="9"/>
  <c r="BR75" i="10"/>
  <c r="BR49" i="9"/>
  <c r="BR11" i="10" l="1"/>
  <c r="BS48" i="9"/>
  <c r="BR57" i="9"/>
  <c r="BR56" i="9"/>
  <c r="BR78" i="10"/>
  <c r="BR50" i="9" l="1"/>
  <c r="BR10" i="10"/>
  <c r="BR16" i="10"/>
  <c r="BR179" i="10"/>
  <c r="BR183" i="10" l="1"/>
  <c r="BR186" i="10" s="1"/>
  <c r="BR53" i="10" s="1"/>
  <c r="BR182" i="10"/>
  <c r="BR185" i="10" s="1"/>
  <c r="BR21" i="10"/>
  <c r="BR65" i="10"/>
  <c r="BR62" i="10"/>
  <c r="BR47" i="10"/>
  <c r="BR63" i="10"/>
  <c r="BR64" i="10"/>
  <c r="BS50" i="40"/>
  <c r="BS51" i="40" s="1"/>
  <c r="BS54" i="40" l="1"/>
  <c r="BR58" i="10"/>
  <c r="BR48" i="10"/>
  <c r="BR52" i="10"/>
  <c r="BR43" i="10"/>
  <c r="BS28" i="13" l="1"/>
  <c r="BS29" i="13" l="1"/>
  <c r="BS30" i="13" l="1"/>
  <c r="BS31" i="13" l="1"/>
  <c r="BS33" i="13" l="1"/>
  <c r="BS81" i="13"/>
  <c r="BS82" i="13" s="1"/>
  <c r="BS35" i="13"/>
  <c r="BS55" i="13"/>
  <c r="BS68" i="13"/>
  <c r="BS75" i="13" s="1"/>
  <c r="BS34" i="13" s="1"/>
  <c r="BS65" i="13" l="1"/>
  <c r="BS88" i="10"/>
  <c r="BS85" i="40"/>
  <c r="BS89" i="40" s="1"/>
  <c r="BS10" i="9"/>
  <c r="BS90" i="40" l="1"/>
  <c r="BT84" i="40"/>
  <c r="BS25" i="9"/>
  <c r="BS39" i="10"/>
  <c r="BS76" i="10" l="1"/>
  <c r="BS47" i="9"/>
  <c r="BS54" i="9"/>
  <c r="BS41" i="10"/>
  <c r="BS91" i="10"/>
  <c r="BS92" i="10" s="1"/>
  <c r="BT86" i="10" s="1"/>
  <c r="BT92" i="40"/>
  <c r="BU92" i="40" s="1"/>
  <c r="BS77" i="10" l="1"/>
  <c r="BS55" i="9"/>
  <c r="BS58" i="9"/>
  <c r="BS59" i="9"/>
  <c r="BS42" i="10"/>
  <c r="BS59" i="10"/>
  <c r="BS176" i="10"/>
  <c r="BS51" i="10"/>
  <c r="BS75" i="10"/>
  <c r="BS49" i="9"/>
  <c r="BS78" i="10" l="1"/>
  <c r="BS56" i="9"/>
  <c r="BS57" i="9"/>
  <c r="BS11" i="10"/>
  <c r="BT48" i="9"/>
  <c r="BS50" i="9" l="1"/>
  <c r="BS10" i="10"/>
  <c r="BS16" i="10"/>
  <c r="BS179" i="10"/>
  <c r="BS183" i="10" l="1"/>
  <c r="BS186" i="10" s="1"/>
  <c r="BS53" i="10" s="1"/>
  <c r="BS182" i="10"/>
  <c r="BS185" i="10" s="1"/>
  <c r="BS21" i="10"/>
  <c r="BS62" i="10"/>
  <c r="BS65" i="10"/>
  <c r="BS47" i="10"/>
  <c r="BS64" i="10"/>
  <c r="BS63" i="10"/>
  <c r="BT50" i="40"/>
  <c r="BT51" i="40" s="1"/>
  <c r="BT54" i="40" l="1"/>
  <c r="BU51" i="40"/>
  <c r="BU52" i="40" s="1"/>
  <c r="BS48" i="10"/>
  <c r="BS58" i="10"/>
  <c r="BS52" i="10"/>
  <c r="BS43" i="10"/>
  <c r="BT28" i="13" l="1"/>
  <c r="BU54" i="40"/>
  <c r="BT29" i="13" l="1"/>
  <c r="BU28" i="13"/>
  <c r="BU29" i="13" l="1"/>
  <c r="BT30" i="13"/>
  <c r="BT31" i="13" s="1"/>
  <c r="BT55" i="13" l="1"/>
  <c r="BT68" i="13"/>
  <c r="BT75" i="13" s="1"/>
  <c r="BT34" i="13" s="1"/>
  <c r="BT81" i="13"/>
  <c r="BT82" i="13" s="1"/>
  <c r="BT33" i="13"/>
  <c r="BT35" i="13"/>
  <c r="BU30" i="13"/>
  <c r="BU31" i="13" s="1"/>
  <c r="BU33" i="13" l="1"/>
  <c r="BU35" i="13"/>
  <c r="BU55" i="13"/>
  <c r="BU68" i="13"/>
  <c r="BU75" i="13" s="1"/>
  <c r="BU34" i="13" s="1"/>
  <c r="BU81" i="13"/>
  <c r="BU82" i="13" s="1"/>
  <c r="BT10" i="9"/>
  <c r="BT85" i="40"/>
  <c r="BT89" i="40" s="1"/>
  <c r="BT90" i="40" s="1"/>
  <c r="BU90" i="40" s="1"/>
  <c r="BU91" i="40" s="1"/>
  <c r="BT88" i="10"/>
  <c r="BU54" i="13"/>
  <c r="BT65" i="13"/>
  <c r="BU65" i="13" l="1"/>
  <c r="BT25" i="9"/>
  <c r="BU10" i="9"/>
  <c r="BT39" i="10"/>
  <c r="BU88" i="10"/>
  <c r="BU77" i="13"/>
  <c r="BU138" i="10" l="1"/>
  <c r="BU139" i="10" s="1"/>
  <c r="BU140" i="10" s="1"/>
  <c r="BU163" i="10"/>
  <c r="BU164" i="10" s="1"/>
  <c r="BU165" i="10" s="1"/>
  <c r="BT41" i="10"/>
  <c r="BT91" i="10"/>
  <c r="BT92" i="10" s="1"/>
  <c r="BU39" i="10"/>
  <c r="BU25" i="9"/>
  <c r="BT76" i="10"/>
  <c r="BT54" i="9"/>
  <c r="BT47" i="9"/>
  <c r="BT58" i="9" l="1"/>
  <c r="BT55" i="9"/>
  <c r="BT77" i="10"/>
  <c r="BT59" i="9"/>
  <c r="BT42" i="10"/>
  <c r="BT59" i="10"/>
  <c r="BT176" i="10"/>
  <c r="BT51" i="10"/>
  <c r="BU41" i="10"/>
  <c r="BU91" i="10"/>
  <c r="BU92" i="10" s="1"/>
  <c r="BU166" i="10"/>
  <c r="BT75" i="10"/>
  <c r="BT49" i="9"/>
  <c r="BU47" i="9"/>
  <c r="BU54" i="9"/>
  <c r="BU76" i="10"/>
  <c r="BU141" i="10"/>
  <c r="BU135" i="10" s="1"/>
  <c r="BU149" i="10"/>
  <c r="BT11" i="10" l="1"/>
  <c r="BW48" i="9"/>
  <c r="BU59" i="10"/>
  <c r="BU42" i="10"/>
  <c r="BU176" i="10"/>
  <c r="BU51" i="10"/>
  <c r="BU77" i="10"/>
  <c r="BU58" i="9"/>
  <c r="BU59" i="9"/>
  <c r="BU55" i="9"/>
  <c r="BT78" i="10"/>
  <c r="BT56" i="9"/>
  <c r="BT57" i="9"/>
  <c r="BU75" i="10"/>
  <c r="BU49" i="9"/>
  <c r="BW86" i="10"/>
  <c r="CA86" i="10"/>
  <c r="BT50" i="9" l="1"/>
  <c r="BU78" i="10"/>
  <c r="BU57" i="9"/>
  <c r="BU56" i="9"/>
  <c r="CA48" i="9"/>
  <c r="BU11" i="10"/>
  <c r="BU50" i="9" s="1"/>
  <c r="BT10" i="10"/>
  <c r="BT179" i="10"/>
  <c r="BT16" i="10"/>
  <c r="BT182" i="10" l="1"/>
  <c r="BT183" i="10"/>
  <c r="BU10" i="10"/>
  <c r="BU179" i="10"/>
  <c r="BU16" i="10"/>
  <c r="BT21" i="10"/>
  <c r="BT62" i="10"/>
  <c r="BT65" i="10"/>
  <c r="BT47" i="10"/>
  <c r="BT64" i="10"/>
  <c r="BT63" i="10"/>
  <c r="BT185" i="10" l="1"/>
  <c r="BU185" i="10"/>
  <c r="BU183" i="10"/>
  <c r="BU182" i="10"/>
  <c r="BU65" i="10"/>
  <c r="BU21" i="10"/>
  <c r="BU62" i="10"/>
  <c r="BU63" i="10"/>
  <c r="BU47" i="10"/>
  <c r="BU64" i="10"/>
  <c r="BW84" i="40"/>
  <c r="BW50" i="40"/>
  <c r="BT48" i="10"/>
  <c r="BT58" i="10"/>
  <c r="BT52" i="10"/>
  <c r="BT43" i="10"/>
  <c r="BT186" i="10"/>
  <c r="BT53" i="10" s="1"/>
  <c r="BU186" i="10"/>
  <c r="BU53" i="10" s="1"/>
  <c r="BW92" i="40" l="1"/>
  <c r="BU48" i="10"/>
  <c r="BU58" i="10"/>
  <c r="BU52" i="10"/>
  <c r="BU43" i="10"/>
  <c r="CA50" i="40"/>
  <c r="BW51" i="40"/>
  <c r="BW54" i="40" l="1"/>
  <c r="BW28" i="13" l="1"/>
  <c r="BW29" i="13" l="1"/>
  <c r="BW30" i="13" l="1"/>
  <c r="BW31" i="13" s="1"/>
  <c r="BW35" i="13" l="1"/>
  <c r="BW81" i="13"/>
  <c r="BW82" i="13" s="1"/>
  <c r="BW33" i="13"/>
  <c r="BW55" i="13"/>
  <c r="BW68" i="13"/>
  <c r="BW75" i="13" s="1"/>
  <c r="BW34" i="13" s="1"/>
  <c r="BW88" i="10" l="1"/>
  <c r="BW85" i="40"/>
  <c r="BW89" i="40" s="1"/>
  <c r="BW10" i="9"/>
  <c r="BW65" i="13"/>
  <c r="BW25" i="9" l="1"/>
  <c r="BW39" i="10"/>
  <c r="BX84" i="40"/>
  <c r="BW90" i="40"/>
  <c r="BW41" i="10" l="1"/>
  <c r="BW91" i="10"/>
  <c r="BW92" i="10" s="1"/>
  <c r="BX86" i="10" s="1"/>
  <c r="BW47" i="9"/>
  <c r="BW76" i="10"/>
  <c r="BW54" i="9"/>
  <c r="BX92" i="40"/>
  <c r="BW75" i="10" l="1"/>
  <c r="BW49" i="9"/>
  <c r="BW77" i="10"/>
  <c r="BW55" i="9"/>
  <c r="BW58" i="9"/>
  <c r="BW59" i="9"/>
  <c r="BW42" i="10"/>
  <c r="BW59" i="10"/>
  <c r="BW176" i="10"/>
  <c r="BW51" i="10"/>
  <c r="BW11" i="10" l="1"/>
  <c r="BW50" i="9" s="1"/>
  <c r="BX48" i="9"/>
  <c r="BW57" i="9"/>
  <c r="BW78" i="10"/>
  <c r="BW56" i="9"/>
  <c r="BW10" i="10" l="1"/>
  <c r="BW16" i="10"/>
  <c r="BW179" i="10"/>
  <c r="BW182" i="10" l="1"/>
  <c r="BW185" i="10" s="1"/>
  <c r="BW183" i="10"/>
  <c r="BW186" i="10" s="1"/>
  <c r="BW53" i="10" s="1"/>
  <c r="BW21" i="10"/>
  <c r="BW65" i="10"/>
  <c r="BW62" i="10"/>
  <c r="BW47" i="10"/>
  <c r="BW63" i="10"/>
  <c r="BW64" i="10"/>
  <c r="BX50" i="40"/>
  <c r="BX51" i="40" s="1"/>
  <c r="BX54" i="40" l="1"/>
  <c r="BW48" i="10"/>
  <c r="BW58" i="10"/>
  <c r="BW52" i="10"/>
  <c r="BW43" i="10"/>
  <c r="BX28" i="13" l="1"/>
  <c r="BX29" i="13" l="1"/>
  <c r="BX30" i="13" l="1"/>
  <c r="BX31" i="13" l="1"/>
  <c r="BX35" i="13" l="1"/>
  <c r="BX33" i="13"/>
  <c r="BX55" i="13"/>
  <c r="BX68" i="13"/>
  <c r="BX75" i="13" s="1"/>
  <c r="BX34" i="13" s="1"/>
  <c r="BX81" i="13"/>
  <c r="BX82" i="13" s="1"/>
  <c r="BX65" i="13" l="1"/>
  <c r="BX88" i="10"/>
  <c r="BX10" i="9"/>
  <c r="BX85" i="40"/>
  <c r="BX89" i="40" s="1"/>
  <c r="BX25" i="9" l="1"/>
  <c r="BX39" i="10"/>
  <c r="BY84" i="40"/>
  <c r="BX90" i="40"/>
  <c r="BY92" i="40" l="1"/>
  <c r="BX76" i="10"/>
  <c r="BX54" i="9"/>
  <c r="BX47" i="9"/>
  <c r="BX41" i="10"/>
  <c r="BX91" i="10"/>
  <c r="BX92" i="10" s="1"/>
  <c r="BY86" i="10" s="1"/>
  <c r="BX42" i="10" l="1"/>
  <c r="BX176" i="10"/>
  <c r="BX59" i="10"/>
  <c r="BX51" i="10"/>
  <c r="BX77" i="10"/>
  <c r="BX55" i="9"/>
  <c r="BX59" i="9"/>
  <c r="BX58" i="9"/>
  <c r="BX75" i="10"/>
  <c r="BX49" i="9"/>
  <c r="BX78" i="10" l="1"/>
  <c r="BX56" i="9"/>
  <c r="BX57" i="9"/>
  <c r="BX11" i="10"/>
  <c r="BX50" i="9" s="1"/>
  <c r="BY48" i="9"/>
  <c r="BX10" i="10" l="1"/>
  <c r="BX16" i="10"/>
  <c r="BX179" i="10"/>
  <c r="BX183" i="10" l="1"/>
  <c r="BX186" i="10" s="1"/>
  <c r="BX53" i="10" s="1"/>
  <c r="BX182" i="10"/>
  <c r="BX185" i="10" s="1"/>
  <c r="BX47" i="10"/>
  <c r="BX64" i="10"/>
  <c r="BX63" i="10"/>
  <c r="BY50" i="40"/>
  <c r="BY51" i="40" s="1"/>
  <c r="BX21" i="10"/>
  <c r="BX62" i="10"/>
  <c r="BX65" i="10"/>
  <c r="BX52" i="10" l="1"/>
  <c r="BX43" i="10"/>
  <c r="BX48" i="10"/>
  <c r="BX58" i="10"/>
  <c r="BY54" i="40"/>
  <c r="BY28" i="13" l="1"/>
  <c r="BY29" i="13" l="1"/>
  <c r="BY30" i="13" l="1"/>
  <c r="BY31" i="13" l="1"/>
  <c r="BY33" i="13" l="1"/>
  <c r="BY55" i="13"/>
  <c r="BY68" i="13"/>
  <c r="BY75" i="13" s="1"/>
  <c r="BY34" i="13" s="1"/>
  <c r="BY81" i="13"/>
  <c r="BY82" i="13" s="1"/>
  <c r="BY35" i="13"/>
  <c r="BY65" i="13" l="1"/>
  <c r="BY10" i="9"/>
  <c r="BY85" i="40"/>
  <c r="BY89" i="40" s="1"/>
  <c r="BY88" i="10"/>
  <c r="BY90" i="40" l="1"/>
  <c r="BZ84" i="40"/>
  <c r="BY25" i="9"/>
  <c r="BY39" i="10"/>
  <c r="BY76" i="10" l="1"/>
  <c r="BY54" i="9"/>
  <c r="BY47" i="9"/>
  <c r="BZ92" i="40"/>
  <c r="CA92" i="40" s="1"/>
  <c r="BY41" i="10"/>
  <c r="BY91" i="10"/>
  <c r="BY92" i="10" s="1"/>
  <c r="BZ86" i="10" s="1"/>
  <c r="BY75" i="10" l="1"/>
  <c r="BY49" i="9"/>
  <c r="BY58" i="9"/>
  <c r="BY77" i="10"/>
  <c r="BY55" i="9"/>
  <c r="BY59" i="9"/>
  <c r="BY42" i="10"/>
  <c r="BY176" i="10"/>
  <c r="BY59" i="10"/>
  <c r="BY51" i="10"/>
  <c r="BY78" i="10" l="1"/>
  <c r="BY56" i="9"/>
  <c r="BY57" i="9"/>
  <c r="BY11" i="10"/>
  <c r="BZ48" i="9"/>
  <c r="BY16" i="10" l="1"/>
  <c r="BY10" i="10"/>
  <c r="BY179" i="10"/>
  <c r="BY50" i="9"/>
  <c r="BY64" i="10" l="1"/>
  <c r="BY47" i="10"/>
  <c r="BY63" i="10"/>
  <c r="BZ50" i="40"/>
  <c r="BZ51" i="40" s="1"/>
  <c r="BY182" i="10"/>
  <c r="BY185" i="10" s="1"/>
  <c r="BY183" i="10"/>
  <c r="BY186" i="10" s="1"/>
  <c r="BY53" i="10" s="1"/>
  <c r="BY62" i="10"/>
  <c r="BY21" i="10"/>
  <c r="BY65" i="10"/>
  <c r="BY52" i="10" l="1"/>
  <c r="BY43" i="10"/>
  <c r="BZ54" i="40"/>
  <c r="CA51" i="40"/>
  <c r="BY48" i="10"/>
  <c r="BY58" i="10"/>
  <c r="CA52" i="40" l="1"/>
  <c r="BZ28" i="13"/>
  <c r="CA54" i="40"/>
  <c r="BZ29" i="13" l="1"/>
  <c r="CA28" i="13"/>
  <c r="CA29" i="13" l="1"/>
  <c r="BZ30" i="13"/>
  <c r="CA30" i="13" l="1"/>
  <c r="BZ31" i="13"/>
  <c r="BZ33" i="13" l="1"/>
  <c r="BZ35" i="13"/>
  <c r="BZ55" i="13"/>
  <c r="BZ68" i="13"/>
  <c r="BZ75" i="13" s="1"/>
  <c r="BZ34" i="13" s="1"/>
  <c r="BZ81" i="13"/>
  <c r="BZ82" i="13" s="1"/>
  <c r="CA54" i="13"/>
  <c r="CA31" i="13"/>
  <c r="CA33" i="13" l="1"/>
  <c r="CA35" i="13"/>
  <c r="CA55" i="13"/>
  <c r="CA68" i="13"/>
  <c r="CA75" i="13" s="1"/>
  <c r="CA34" i="13" s="1"/>
  <c r="CA81" i="13"/>
  <c r="CA82" i="13" s="1"/>
  <c r="BZ65" i="13"/>
  <c r="CA77" i="13"/>
  <c r="BZ88" i="10"/>
  <c r="BZ10" i="9"/>
  <c r="BZ85" i="40"/>
  <c r="BZ89" i="40" s="1"/>
  <c r="BZ90" i="40" s="1"/>
  <c r="CA90" i="40" s="1"/>
  <c r="CA91" i="40" s="1"/>
  <c r="CA138" i="10" l="1"/>
  <c r="CA139" i="10" s="1"/>
  <c r="CA140" i="10" s="1"/>
  <c r="CA163" i="10"/>
  <c r="CA164" i="10" s="1"/>
  <c r="CA165" i="10" s="1"/>
  <c r="CA88" i="10"/>
  <c r="CA65" i="13"/>
  <c r="BZ25" i="9"/>
  <c r="CA10" i="9"/>
  <c r="BZ39" i="10"/>
  <c r="BZ76" i="10" l="1"/>
  <c r="BZ47" i="9"/>
  <c r="BZ54" i="9"/>
  <c r="CA166" i="10"/>
  <c r="CA39" i="10"/>
  <c r="BZ91" i="10"/>
  <c r="BZ92" i="10" s="1"/>
  <c r="BZ41" i="10"/>
  <c r="CA25" i="9"/>
  <c r="CA141" i="10"/>
  <c r="CA135" i="10" s="1"/>
  <c r="CA149" i="10"/>
  <c r="BZ77" i="10" l="1"/>
  <c r="BZ59" i="9"/>
  <c r="BZ55" i="9"/>
  <c r="BZ58" i="9"/>
  <c r="CA47" i="9"/>
  <c r="CA76" i="10"/>
  <c r="CA54" i="9"/>
  <c r="CA41" i="10"/>
  <c r="CA91" i="10"/>
  <c r="CA92" i="10" s="1"/>
  <c r="BZ75" i="10"/>
  <c r="BZ49" i="9"/>
  <c r="BZ59" i="10"/>
  <c r="BZ42" i="10"/>
  <c r="BZ176" i="10"/>
  <c r="BZ51" i="10"/>
  <c r="CC86" i="10" l="1"/>
  <c r="CG86" i="10"/>
  <c r="CA42" i="10"/>
  <c r="CA59" i="10"/>
  <c r="CA176" i="10"/>
  <c r="CA51" i="10"/>
  <c r="BZ11" i="10"/>
  <c r="CC48" i="9"/>
  <c r="CA77" i="10"/>
  <c r="CA55" i="9"/>
  <c r="CA58" i="9"/>
  <c r="CA59" i="9"/>
  <c r="CA75" i="10"/>
  <c r="CA49" i="9"/>
  <c r="BZ78" i="10"/>
  <c r="BZ56" i="9"/>
  <c r="BZ57" i="9"/>
  <c r="BZ16" i="10" l="1"/>
  <c r="BZ179" i="10"/>
  <c r="BZ10" i="10"/>
  <c r="CA11" i="10"/>
  <c r="CA50" i="9" s="1"/>
  <c r="CG48" i="9"/>
  <c r="CA57" i="9"/>
  <c r="CA78" i="10"/>
  <c r="CA56" i="9"/>
  <c r="BZ50" i="9"/>
  <c r="BZ183" i="10" l="1"/>
  <c r="BZ182" i="10"/>
  <c r="BZ65" i="10"/>
  <c r="BZ21" i="10"/>
  <c r="BZ62" i="10"/>
  <c r="CA10" i="10"/>
  <c r="CA16" i="10"/>
  <c r="CA179" i="10"/>
  <c r="BZ63" i="10"/>
  <c r="BZ64" i="10"/>
  <c r="BZ47" i="10"/>
  <c r="CA182" i="10" l="1"/>
  <c r="CA183" i="10"/>
  <c r="BZ185" i="10"/>
  <c r="CA185" i="10"/>
  <c r="CA21" i="10"/>
  <c r="CA65" i="10"/>
  <c r="CA62" i="10"/>
  <c r="BZ186" i="10"/>
  <c r="BZ53" i="10" s="1"/>
  <c r="CA186" i="10"/>
  <c r="CA53" i="10" s="1"/>
  <c r="BZ48" i="10"/>
  <c r="BZ58" i="10"/>
  <c r="CA47" i="10"/>
  <c r="CA63" i="10"/>
  <c r="CA64" i="10"/>
  <c r="CC84" i="40"/>
  <c r="CC50" i="40"/>
  <c r="BZ52" i="10"/>
  <c r="BZ43" i="10"/>
  <c r="CA58" i="10" l="1"/>
  <c r="CA48" i="10"/>
  <c r="CC92" i="40"/>
  <c r="CA52" i="10"/>
  <c r="CA43" i="10"/>
  <c r="CC51" i="40"/>
  <c r="CG50" i="40"/>
  <c r="CC54" i="40" l="1"/>
  <c r="CC28" i="13" l="1"/>
  <c r="CC29" i="13" l="1"/>
  <c r="CC30" i="13" l="1"/>
  <c r="CC31" i="13" s="1"/>
  <c r="CC35" i="13" l="1"/>
  <c r="CC81" i="13"/>
  <c r="CC82" i="13" s="1"/>
  <c r="CC33" i="13"/>
  <c r="CC55" i="13"/>
  <c r="CC68" i="13"/>
  <c r="CC75" i="13" s="1"/>
  <c r="CC34" i="13" s="1"/>
  <c r="CC88" i="10" l="1"/>
  <c r="CC85" i="40"/>
  <c r="CC89" i="40" s="1"/>
  <c r="CC10" i="9"/>
  <c r="CC65" i="13"/>
  <c r="CC25" i="9" l="1"/>
  <c r="CC39" i="10"/>
  <c r="CD84" i="40"/>
  <c r="CC90" i="40"/>
  <c r="CC76" i="10" l="1"/>
  <c r="CC47" i="9"/>
  <c r="CC54" i="9"/>
  <c r="CC41" i="10"/>
  <c r="CC91" i="10"/>
  <c r="CC92" i="10" s="1"/>
  <c r="CD86" i="10" s="1"/>
  <c r="CD92" i="40"/>
  <c r="CC42" i="10" l="1"/>
  <c r="CC59" i="10"/>
  <c r="CC176" i="10"/>
  <c r="CC51" i="10"/>
  <c r="CC75" i="10"/>
  <c r="CC49" i="9"/>
  <c r="CC77" i="10"/>
  <c r="CC58" i="9"/>
  <c r="CC55" i="9"/>
  <c r="CC59" i="9"/>
  <c r="CC78" i="10" l="1"/>
  <c r="CC56" i="9"/>
  <c r="CC57" i="9"/>
  <c r="CC11" i="10"/>
  <c r="CC50" i="9" s="1"/>
  <c r="CD48" i="9"/>
  <c r="CC10" i="10" l="1"/>
  <c r="CC16" i="10"/>
  <c r="CC179" i="10"/>
  <c r="CC182" i="10" l="1"/>
  <c r="CC185" i="10" s="1"/>
  <c r="CC183" i="10"/>
  <c r="CC186" i="10" s="1"/>
  <c r="CC53" i="10" s="1"/>
  <c r="CC21" i="10"/>
  <c r="CC62" i="10"/>
  <c r="CC65" i="10"/>
  <c r="CC47" i="10"/>
  <c r="CC64" i="10"/>
  <c r="CC63" i="10"/>
  <c r="CD50" i="40"/>
  <c r="CD51" i="40" s="1"/>
  <c r="CC58" i="10" l="1"/>
  <c r="CC48" i="10"/>
  <c r="CC52" i="10"/>
  <c r="CC43" i="10"/>
  <c r="CD54" i="40"/>
  <c r="CD28" i="13" l="1"/>
  <c r="CD29" i="13" l="1"/>
  <c r="CD30" i="13" l="1"/>
  <c r="CD31" i="13" l="1"/>
  <c r="CD55" i="13" l="1"/>
  <c r="CD68" i="13"/>
  <c r="CD75" i="13" s="1"/>
  <c r="CD34" i="13" s="1"/>
  <c r="CD81" i="13"/>
  <c r="CD82" i="13" s="1"/>
  <c r="CD35" i="13"/>
  <c r="CD33" i="13"/>
  <c r="CD65" i="13" l="1"/>
  <c r="CD10" i="9"/>
  <c r="CD88" i="10"/>
  <c r="CD85" i="40"/>
  <c r="CD89" i="40" s="1"/>
  <c r="CD25" i="9" l="1"/>
  <c r="CD39" i="10"/>
  <c r="CD90" i="40"/>
  <c r="CE84" i="40"/>
  <c r="CD41" i="10" l="1"/>
  <c r="CD91" i="10"/>
  <c r="CD92" i="10" s="1"/>
  <c r="CE86" i="10" s="1"/>
  <c r="CE92" i="40"/>
  <c r="CD76" i="10"/>
  <c r="CD54" i="9"/>
  <c r="CD47" i="9"/>
  <c r="CD75" i="10" l="1"/>
  <c r="CD49" i="9"/>
  <c r="CD59" i="10"/>
  <c r="CD176" i="10"/>
  <c r="CD42" i="10"/>
  <c r="CD51" i="10"/>
  <c r="CD58" i="9"/>
  <c r="CD55" i="9"/>
  <c r="CD77" i="10"/>
  <c r="CD59" i="9"/>
  <c r="CD11" i="10" l="1"/>
  <c r="CD50" i="9" s="1"/>
  <c r="CE48" i="9"/>
  <c r="CD78" i="10"/>
  <c r="CD56" i="9"/>
  <c r="CD57" i="9"/>
  <c r="CD10" i="10" l="1"/>
  <c r="CD16" i="10"/>
  <c r="CD179" i="10"/>
  <c r="CD21" i="10" l="1"/>
  <c r="CD62" i="10"/>
  <c r="CD65" i="10"/>
  <c r="CD182" i="10"/>
  <c r="CD185" i="10" s="1"/>
  <c r="CD183" i="10"/>
  <c r="CD186" i="10" s="1"/>
  <c r="CD53" i="10" s="1"/>
  <c r="CD47" i="10"/>
  <c r="CD64" i="10"/>
  <c r="CE50" i="40"/>
  <c r="CE51" i="40" s="1"/>
  <c r="CD63" i="10"/>
  <c r="CD48" i="10" l="1"/>
  <c r="CD58" i="10"/>
  <c r="CE54" i="40"/>
  <c r="CD52" i="10"/>
  <c r="CD43" i="10"/>
  <c r="CE28" i="13" l="1"/>
  <c r="CE29" i="13" l="1"/>
  <c r="CE30" i="13" l="1"/>
  <c r="CE31" i="13" s="1"/>
  <c r="CE33" i="13" l="1"/>
  <c r="CE35" i="13"/>
  <c r="CE55" i="13"/>
  <c r="CE68" i="13"/>
  <c r="CE75" i="13" s="1"/>
  <c r="CE34" i="13" s="1"/>
  <c r="CE81" i="13"/>
  <c r="CE82" i="13" s="1"/>
  <c r="CE65" i="13" l="1"/>
  <c r="CE88" i="10"/>
  <c r="CE85" i="40"/>
  <c r="CE89" i="40" s="1"/>
  <c r="CE10" i="9"/>
  <c r="CE90" i="40" l="1"/>
  <c r="CF84" i="40"/>
  <c r="CE25" i="9"/>
  <c r="CE39" i="10"/>
  <c r="CE47" i="9" l="1"/>
  <c r="CE54" i="9"/>
  <c r="CE76" i="10"/>
  <c r="CF92" i="40"/>
  <c r="CG92" i="40" s="1"/>
  <c r="CE41" i="10"/>
  <c r="CE91" i="10"/>
  <c r="CE92" i="10" s="1"/>
  <c r="CF86" i="10" s="1"/>
  <c r="CE77" i="10" l="1"/>
  <c r="CE59" i="9"/>
  <c r="CE55" i="9"/>
  <c r="CE58" i="9"/>
  <c r="CE59" i="10"/>
  <c r="CE176" i="10"/>
  <c r="CE42" i="10"/>
  <c r="CE51" i="10"/>
  <c r="CE75" i="10"/>
  <c r="CE49" i="9"/>
  <c r="CE11" i="10" l="1"/>
  <c r="CF48" i="9"/>
  <c r="CE78" i="10"/>
  <c r="CE56" i="9"/>
  <c r="CE57" i="9"/>
  <c r="CE10" i="10" l="1"/>
  <c r="CE179" i="10"/>
  <c r="CE16" i="10"/>
  <c r="CE50" i="9"/>
  <c r="CE183" i="10" l="1"/>
  <c r="CE186" i="10" s="1"/>
  <c r="CE53" i="10" s="1"/>
  <c r="CE182" i="10"/>
  <c r="CE185" i="10" s="1"/>
  <c r="CE65" i="10"/>
  <c r="CE21" i="10"/>
  <c r="CE62" i="10"/>
  <c r="CE63" i="10"/>
  <c r="CE47" i="10"/>
  <c r="CE64" i="10"/>
  <c r="CF50" i="40"/>
  <c r="CF51" i="40" s="1"/>
  <c r="CF54" i="40" l="1"/>
  <c r="CG51" i="40"/>
  <c r="CG52" i="40" s="1"/>
  <c r="CE48" i="10"/>
  <c r="CE58" i="10"/>
  <c r="CE52" i="10"/>
  <c r="CE43" i="10"/>
  <c r="CF28" i="13" l="1"/>
  <c r="CG54" i="40"/>
  <c r="CF29" i="13" l="1"/>
  <c r="CG28" i="13"/>
  <c r="CG29" i="13" l="1"/>
  <c r="CF30" i="13"/>
  <c r="CF31" i="13" s="1"/>
  <c r="CF33" i="13" l="1"/>
  <c r="CF35" i="13"/>
  <c r="CF81" i="13"/>
  <c r="CF82" i="13" s="1"/>
  <c r="CF55" i="13"/>
  <c r="CF68" i="13"/>
  <c r="CF75" i="13" s="1"/>
  <c r="CF34" i="13" s="1"/>
  <c r="CG30" i="13"/>
  <c r="CG54" i="13" s="1"/>
  <c r="CG77" i="13" l="1"/>
  <c r="CF88" i="10"/>
  <c r="CF85" i="40"/>
  <c r="CF89" i="40" s="1"/>
  <c r="CF90" i="40" s="1"/>
  <c r="CG90" i="40" s="1"/>
  <c r="CG91" i="40" s="1"/>
  <c r="CF10" i="9"/>
  <c r="CG31" i="13"/>
  <c r="CF65" i="13"/>
  <c r="CG33" i="13" l="1"/>
  <c r="CG55" i="13"/>
  <c r="CG68" i="13"/>
  <c r="CG75" i="13" s="1"/>
  <c r="CG34" i="13" s="1"/>
  <c r="CG35" i="13"/>
  <c r="CG81" i="13"/>
  <c r="CG82" i="13" s="1"/>
  <c r="CF25" i="9"/>
  <c r="CG10" i="9"/>
  <c r="CG25" i="9" s="1"/>
  <c r="CF39" i="10"/>
  <c r="CG163" i="10"/>
  <c r="CG164" i="10" s="1"/>
  <c r="CG165" i="10" s="1"/>
  <c r="CG138" i="10"/>
  <c r="CG139" i="10" s="1"/>
  <c r="CG140" i="10" s="1"/>
  <c r="CG76" i="10" l="1"/>
  <c r="CG47" i="9"/>
  <c r="CG54" i="9"/>
  <c r="CG149" i="10"/>
  <c r="CG141" i="10"/>
  <c r="CG135" i="10" s="1"/>
  <c r="CF47" i="9"/>
  <c r="CF54" i="9"/>
  <c r="CF76" i="10"/>
  <c r="CG65" i="13"/>
  <c r="CG88" i="10"/>
  <c r="CG166" i="10"/>
  <c r="CF41" i="10"/>
  <c r="CG39" i="10"/>
  <c r="CF91" i="10"/>
  <c r="CF92" i="10" s="1"/>
  <c r="CF42" i="10" l="1"/>
  <c r="CF59" i="10"/>
  <c r="CF176" i="10"/>
  <c r="CF51" i="10"/>
  <c r="CF75" i="10"/>
  <c r="CF49" i="9"/>
  <c r="CG58" i="9"/>
  <c r="CG55" i="9"/>
  <c r="CG59" i="9"/>
  <c r="CG77" i="10"/>
  <c r="CG75" i="10"/>
  <c r="CG49" i="9"/>
  <c r="CG41" i="10"/>
  <c r="CG91" i="10"/>
  <c r="CG92" i="10" s="1"/>
  <c r="CF77" i="10"/>
  <c r="CF55" i="9"/>
  <c r="CF59" i="9"/>
  <c r="CF58" i="9"/>
  <c r="CM86" i="10" l="1"/>
  <c r="CI86" i="10"/>
  <c r="CG78" i="10"/>
  <c r="CG56" i="9"/>
  <c r="CG57" i="9"/>
  <c r="CF57" i="9"/>
  <c r="CF56" i="9"/>
  <c r="CF78" i="10"/>
  <c r="CM48" i="9"/>
  <c r="CG42" i="10"/>
  <c r="CG176" i="10"/>
  <c r="CG59" i="10"/>
  <c r="CG51" i="10"/>
  <c r="CF11" i="10"/>
  <c r="CF50" i="9" s="1"/>
  <c r="CI48" i="9"/>
  <c r="CF10" i="10" l="1"/>
  <c r="CF16" i="10"/>
  <c r="CG11" i="10"/>
  <c r="CF179" i="10"/>
  <c r="CF182" i="10" l="1"/>
  <c r="CF183" i="10"/>
  <c r="CF21" i="10"/>
  <c r="CF65" i="10"/>
  <c r="CF62" i="10"/>
  <c r="CG10" i="10"/>
  <c r="CG16" i="10"/>
  <c r="CG179" i="10"/>
  <c r="CG50" i="9"/>
  <c r="CF47" i="10"/>
  <c r="CF63" i="10"/>
  <c r="CF64" i="10"/>
  <c r="CG21" i="10" l="1"/>
  <c r="CG62" i="10"/>
  <c r="CG65" i="10"/>
  <c r="CG47" i="10"/>
  <c r="CG64" i="10"/>
  <c r="CG63" i="10"/>
  <c r="CI84" i="40"/>
  <c r="CI50" i="40"/>
  <c r="CF52" i="10"/>
  <c r="CF43" i="10"/>
  <c r="CF186" i="10"/>
  <c r="CF53" i="10" s="1"/>
  <c r="CG186" i="10"/>
  <c r="CG53" i="10" s="1"/>
  <c r="CF48" i="10"/>
  <c r="CF58" i="10"/>
  <c r="CG182" i="10"/>
  <c r="CG183" i="10"/>
  <c r="CF185" i="10"/>
  <c r="CG185" i="10"/>
  <c r="CI92" i="40" l="1"/>
  <c r="CM50" i="40"/>
  <c r="CI51" i="40"/>
  <c r="CG48" i="10"/>
  <c r="CG58" i="10"/>
  <c r="CG52" i="10"/>
  <c r="CG43" i="10"/>
  <c r="CI54" i="40" l="1"/>
  <c r="CI28" i="13" l="1"/>
  <c r="CI29" i="13" l="1"/>
  <c r="CI30" i="13" l="1"/>
  <c r="CI31" i="13" s="1"/>
  <c r="CI35" i="13" l="1"/>
  <c r="CI55" i="13"/>
  <c r="CI68" i="13"/>
  <c r="CI75" i="13" s="1"/>
  <c r="CI34" i="13" s="1"/>
  <c r="CI81" i="13"/>
  <c r="CI82" i="13" s="1"/>
  <c r="CI33" i="13"/>
  <c r="CI10" i="9" l="1"/>
  <c r="CI85" i="40"/>
  <c r="CI89" i="40" s="1"/>
  <c r="CI88" i="10"/>
  <c r="CI65" i="13"/>
  <c r="CJ84" i="40" l="1"/>
  <c r="CI90" i="40"/>
  <c r="CI25" i="9"/>
  <c r="CI39" i="10"/>
  <c r="CI76" i="10" l="1"/>
  <c r="CI54" i="9"/>
  <c r="CI47" i="9"/>
  <c r="CI41" i="10"/>
  <c r="CI91" i="10"/>
  <c r="CI92" i="10" s="1"/>
  <c r="CJ86" i="10" s="1"/>
  <c r="CJ92" i="40"/>
  <c r="CI42" i="10" l="1"/>
  <c r="CI176" i="10"/>
  <c r="CI59" i="10"/>
  <c r="CI51" i="10"/>
  <c r="CI75" i="10"/>
  <c r="CI49" i="9"/>
  <c r="CI77" i="10"/>
  <c r="CI58" i="9"/>
  <c r="CI55" i="9"/>
  <c r="CI59" i="9"/>
  <c r="CI78" i="10" l="1"/>
  <c r="CI56" i="9"/>
  <c r="CI57" i="9"/>
  <c r="CI11" i="10"/>
  <c r="CI50" i="9" s="1"/>
  <c r="CJ48" i="9"/>
  <c r="CI16" i="10" l="1"/>
  <c r="CI10" i="10"/>
  <c r="CI179" i="10"/>
  <c r="CI182" i="10" l="1"/>
  <c r="CI185" i="10" s="1"/>
  <c r="CI183" i="10"/>
  <c r="CI186" i="10" s="1"/>
  <c r="CI53" i="10" s="1"/>
  <c r="CI64" i="10"/>
  <c r="CI63" i="10"/>
  <c r="CJ50" i="40"/>
  <c r="CJ51" i="40" s="1"/>
  <c r="CI47" i="10"/>
  <c r="CI62" i="10"/>
  <c r="CI21" i="10"/>
  <c r="CI65" i="10"/>
  <c r="CI48" i="10" l="1"/>
  <c r="CI58" i="10"/>
  <c r="CI52" i="10"/>
  <c r="CI43" i="10"/>
  <c r="CJ54" i="40"/>
  <c r="CJ28" i="13" l="1"/>
  <c r="CJ29" i="13" l="1"/>
  <c r="CJ30" i="13" l="1"/>
  <c r="CJ31" i="13" s="1"/>
  <c r="CJ33" i="13" l="1"/>
  <c r="CJ35" i="13"/>
  <c r="CJ55" i="13"/>
  <c r="CJ68" i="13"/>
  <c r="CJ75" i="13" s="1"/>
  <c r="CJ34" i="13" s="1"/>
  <c r="CJ81" i="13"/>
  <c r="CJ82" i="13" s="1"/>
  <c r="CJ65" i="13" l="1"/>
  <c r="CJ88" i="10"/>
  <c r="CJ10" i="9"/>
  <c r="CJ85" i="40"/>
  <c r="CJ89" i="40" s="1"/>
  <c r="CJ90" i="40" l="1"/>
  <c r="CK84" i="40"/>
  <c r="CJ25" i="9"/>
  <c r="CJ39" i="10"/>
  <c r="CJ76" i="10" l="1"/>
  <c r="CJ47" i="9"/>
  <c r="CJ54" i="9"/>
  <c r="CK92" i="40"/>
  <c r="CJ91" i="10"/>
  <c r="CJ92" i="10" s="1"/>
  <c r="CK86" i="10" s="1"/>
  <c r="CJ41" i="10"/>
  <c r="CJ77" i="10" l="1"/>
  <c r="CJ55" i="9"/>
  <c r="CJ59" i="9"/>
  <c r="CJ58" i="9"/>
  <c r="CJ59" i="10"/>
  <c r="CJ42" i="10"/>
  <c r="CJ176" i="10"/>
  <c r="CJ51" i="10"/>
  <c r="CJ75" i="10"/>
  <c r="CJ49" i="9"/>
  <c r="CJ11" i="10" l="1"/>
  <c r="CK48" i="9"/>
  <c r="CJ78" i="10"/>
  <c r="CJ56" i="9"/>
  <c r="CJ57" i="9"/>
  <c r="CJ16" i="10" l="1"/>
  <c r="CJ179" i="10"/>
  <c r="CJ10" i="10"/>
  <c r="CJ50" i="9"/>
  <c r="CJ63" i="10" l="1"/>
  <c r="CJ64" i="10"/>
  <c r="CK50" i="40"/>
  <c r="CK51" i="40" s="1"/>
  <c r="CJ47" i="10"/>
  <c r="CJ183" i="10"/>
  <c r="CJ186" i="10" s="1"/>
  <c r="CJ53" i="10" s="1"/>
  <c r="CJ182" i="10"/>
  <c r="CJ185" i="10" s="1"/>
  <c r="CJ65" i="10"/>
  <c r="CJ21" i="10"/>
  <c r="CJ62" i="10"/>
  <c r="CJ48" i="10" l="1"/>
  <c r="CJ58" i="10"/>
  <c r="CK54" i="40"/>
  <c r="CJ52" i="10"/>
  <c r="CJ43" i="10"/>
  <c r="CK28" i="13" l="1"/>
  <c r="CK29" i="13" l="1"/>
  <c r="CK30" i="13" l="1"/>
  <c r="CK31" i="13" l="1"/>
  <c r="CK35" i="13" l="1"/>
  <c r="CK33" i="13"/>
  <c r="CK55" i="13"/>
  <c r="CK68" i="13"/>
  <c r="CK75" i="13" s="1"/>
  <c r="CK34" i="13" s="1"/>
  <c r="CK81" i="13"/>
  <c r="CK82" i="13" s="1"/>
  <c r="CK88" i="10" l="1"/>
  <c r="CK10" i="9"/>
  <c r="CK85" i="40"/>
  <c r="CK89" i="40" s="1"/>
  <c r="CK65" i="13"/>
  <c r="CL84" i="40" l="1"/>
  <c r="CK90" i="40"/>
  <c r="CK25" i="9"/>
  <c r="CK39" i="10"/>
  <c r="CK47" i="9" l="1"/>
  <c r="CK76" i="10"/>
  <c r="CK54" i="9"/>
  <c r="CK41" i="10"/>
  <c r="CK91" i="10"/>
  <c r="CK92" i="10" s="1"/>
  <c r="CL86" i="10" s="1"/>
  <c r="CL92" i="40"/>
  <c r="CM92" i="40" s="1"/>
  <c r="CK42" i="10" l="1"/>
  <c r="CK59" i="10"/>
  <c r="CK176" i="10"/>
  <c r="CK51" i="10"/>
  <c r="CK77" i="10"/>
  <c r="CK55" i="9"/>
  <c r="CK59" i="9"/>
  <c r="CK58" i="9"/>
  <c r="CK75" i="10"/>
  <c r="CK49" i="9"/>
  <c r="CK57" i="9" l="1"/>
  <c r="CK78" i="10"/>
  <c r="CK56" i="9"/>
  <c r="CK11" i="10"/>
  <c r="CK50" i="9" s="1"/>
  <c r="CL48" i="9"/>
  <c r="CK10" i="10" l="1"/>
  <c r="CK16" i="10"/>
  <c r="CK179" i="10"/>
  <c r="CK183" i="10" l="1"/>
  <c r="CK186" i="10" s="1"/>
  <c r="CK53" i="10" s="1"/>
  <c r="CK182" i="10"/>
  <c r="CK185" i="10" s="1"/>
  <c r="CK21" i="10"/>
  <c r="CK65" i="10"/>
  <c r="CK62" i="10"/>
  <c r="CK47" i="10"/>
  <c r="CK63" i="10"/>
  <c r="CK64" i="10"/>
  <c r="CL50" i="40"/>
  <c r="CL51" i="40" s="1"/>
  <c r="CL54" i="40" l="1"/>
  <c r="CM51" i="40"/>
  <c r="CM52" i="40" s="1"/>
  <c r="CK58" i="10"/>
  <c r="CK48" i="10"/>
  <c r="CK52" i="10"/>
  <c r="CK43" i="10"/>
  <c r="CL28" i="13" l="1"/>
  <c r="CM54" i="40"/>
  <c r="CL29" i="13" l="1"/>
  <c r="CM28" i="13"/>
  <c r="CM29" i="13" l="1"/>
  <c r="CL30" i="13"/>
  <c r="CL31" i="13" s="1"/>
  <c r="CL33" i="13" l="1"/>
  <c r="CL81" i="13"/>
  <c r="CL82" i="13" s="1"/>
  <c r="CL55" i="13"/>
  <c r="CL68" i="13"/>
  <c r="CL75" i="13" s="1"/>
  <c r="CL34" i="13" s="1"/>
  <c r="CL35" i="13"/>
  <c r="CM30" i="13"/>
  <c r="CM54" i="13" s="1"/>
  <c r="CL88" i="10" l="1"/>
  <c r="CL10" i="9"/>
  <c r="CL85" i="40"/>
  <c r="CL89" i="40" s="1"/>
  <c r="CL90" i="40" s="1"/>
  <c r="CM90" i="40" s="1"/>
  <c r="CM91" i="40" s="1"/>
  <c r="CM77" i="13"/>
  <c r="CM31" i="13"/>
  <c r="CL65" i="13"/>
  <c r="CM55" i="13" l="1"/>
  <c r="CM68" i="13"/>
  <c r="CM75" i="13" s="1"/>
  <c r="CM34" i="13" s="1"/>
  <c r="CM81" i="13"/>
  <c r="CM82" i="13" s="1"/>
  <c r="CM33" i="13"/>
  <c r="CM35" i="13"/>
  <c r="CL25" i="9"/>
  <c r="CM10" i="9"/>
  <c r="CM25" i="9" s="1"/>
  <c r="CL39" i="10"/>
  <c r="CM163" i="10"/>
  <c r="CM164" i="10" s="1"/>
  <c r="CM165" i="10" s="1"/>
  <c r="CM138" i="10"/>
  <c r="CM139" i="10" s="1"/>
  <c r="CM140" i="10" s="1"/>
  <c r="CL41" i="10" l="1"/>
  <c r="CM39" i="10"/>
  <c r="CL91" i="10"/>
  <c r="CL92" i="10" s="1"/>
  <c r="CM65" i="13"/>
  <c r="CM76" i="10"/>
  <c r="CM54" i="9"/>
  <c r="CM47" i="9"/>
  <c r="CM88" i="10"/>
  <c r="CM149" i="10"/>
  <c r="CM141" i="10"/>
  <c r="CM135" i="10" s="1"/>
  <c r="CL76" i="10"/>
  <c r="CL47" i="9"/>
  <c r="CL54" i="9"/>
  <c r="CM166" i="10"/>
  <c r="CL75" i="10" l="1"/>
  <c r="CL49" i="9"/>
  <c r="CM75" i="10"/>
  <c r="CM49" i="9"/>
  <c r="CM77" i="10"/>
  <c r="CM58" i="9"/>
  <c r="CM59" i="9"/>
  <c r="CM55" i="9"/>
  <c r="CM41" i="10"/>
  <c r="CM91" i="10"/>
  <c r="CM92" i="10" s="1"/>
  <c r="CL77" i="10"/>
  <c r="CL58" i="9"/>
  <c r="CL55" i="9"/>
  <c r="CL59" i="9"/>
  <c r="CL42" i="10"/>
  <c r="CL59" i="10"/>
  <c r="CL176" i="10"/>
  <c r="CL51" i="10"/>
  <c r="CL78" i="10" l="1"/>
  <c r="CL56" i="9"/>
  <c r="CL57" i="9"/>
  <c r="CM42" i="10"/>
  <c r="CM59" i="10"/>
  <c r="CM176" i="10"/>
  <c r="CM51" i="10"/>
  <c r="CL11" i="10"/>
  <c r="CL50" i="9" s="1"/>
  <c r="CM78" i="10"/>
  <c r="CM56" i="9"/>
  <c r="CM57" i="9"/>
  <c r="CM11" i="10" l="1"/>
  <c r="CL10" i="10"/>
  <c r="CL16" i="10"/>
  <c r="CL179" i="10"/>
  <c r="CL21" i="10" l="1"/>
  <c r="CL62" i="10"/>
  <c r="CL65" i="10"/>
  <c r="CL47" i="10"/>
  <c r="CL64" i="10"/>
  <c r="CL63" i="10"/>
  <c r="CM10" i="10"/>
  <c r="CM16" i="10"/>
  <c r="CM179" i="10"/>
  <c r="CM50" i="9"/>
  <c r="CL183" i="10"/>
  <c r="CL182" i="10"/>
  <c r="CM183" i="10" l="1"/>
  <c r="CM182" i="10"/>
  <c r="CM21" i="10"/>
  <c r="CM62" i="10"/>
  <c r="CM65" i="10"/>
  <c r="CL185" i="10"/>
  <c r="CM185" i="10"/>
  <c r="CL186" i="10"/>
  <c r="CL53" i="10" s="1"/>
  <c r="CM186" i="10"/>
  <c r="CM53" i="10" s="1"/>
  <c r="CM47" i="10"/>
  <c r="CM64" i="10"/>
  <c r="CM63" i="10"/>
  <c r="CL48" i="10"/>
  <c r="CL58" i="10"/>
  <c r="CL52" i="10"/>
  <c r="CL43" i="10"/>
  <c r="CM48" i="10" l="1"/>
  <c r="CM58" i="10"/>
  <c r="CM52" i="10"/>
  <c r="CM43" i="10"/>
</calcChain>
</file>

<file path=xl/comments1.xml><?xml version="1.0" encoding="utf-8"?>
<comments xmlns="http://schemas.openxmlformats.org/spreadsheetml/2006/main">
  <authors>
    <author>gorinaar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鄰亹+䅗幔噁⡇彐剐䍉⡅⼷㄰㈯㄰ⰱ〱㌯⼱〲ㄱⰬ单⥄착_x0018_＀＀_x0018_＀＀_x0008_＀＀_x0001_＀＀_x0001_＀＀届刊渳䁔鄼亹,䅗幔噁⡇彐剐䍉⡅〱〯⼱〲ㄱㄬ⼲ㄳ㈯㄰ⰱ唬䑓⤩_x0018_＀＀_x0018_＀＀_x0008_＀＀_x0001_＀＀_x0001_＀＀ꏛ㵰䁓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93</t>
        </r>
      </text>
    </comment>
  </commentList>
</comments>
</file>

<file path=xl/sharedStrings.xml><?xml version="1.0" encoding="utf-8"?>
<sst xmlns="http://schemas.openxmlformats.org/spreadsheetml/2006/main" count="1317" uniqueCount="954">
  <si>
    <t>TA Division</t>
  </si>
  <si>
    <t>Free Cash Flow</t>
  </si>
  <si>
    <t>Federal</t>
  </si>
  <si>
    <t>State</t>
  </si>
  <si>
    <t>Foreign</t>
  </si>
  <si>
    <t>Modelware Net Income</t>
  </si>
  <si>
    <t xml:space="preserve"> </t>
  </si>
  <si>
    <t>True Organic, ex. FX, acq.</t>
  </si>
  <si>
    <t>Organic Growth</t>
  </si>
  <si>
    <t>India</t>
  </si>
  <si>
    <t xml:space="preserve">    Product revenues</t>
  </si>
  <si>
    <t xml:space="preserve">     Service revenues</t>
  </si>
  <si>
    <t>3 year organic stack</t>
  </si>
  <si>
    <t>China</t>
  </si>
  <si>
    <t>Asia Other</t>
  </si>
  <si>
    <t>Total Instruments</t>
  </si>
  <si>
    <t>Total Instruments sales</t>
  </si>
  <si>
    <t>ACQUITY consumables</t>
  </si>
  <si>
    <t>Yr/Yr Spending and Profit Trend</t>
  </si>
  <si>
    <t>$MM</t>
  </si>
  <si>
    <t>COGS Yield</t>
  </si>
  <si>
    <t xml:space="preserve">2-year stacked </t>
  </si>
  <si>
    <t>Revenue by Division</t>
  </si>
  <si>
    <t>Yr/Yr Constant Currency Rev $</t>
  </si>
  <si>
    <t xml:space="preserve">Yr/Yr Constant Currency Stacked Growth </t>
  </si>
  <si>
    <t>1Q13</t>
  </si>
  <si>
    <t>1Q14</t>
  </si>
  <si>
    <t>4Q13</t>
  </si>
  <si>
    <t>3Q13</t>
  </si>
  <si>
    <t>2Q13</t>
  </si>
  <si>
    <t>4Q12</t>
  </si>
  <si>
    <t>Revenue by Geographic Region</t>
  </si>
  <si>
    <t>Relative Geographic Exposure</t>
  </si>
  <si>
    <t>2Q12</t>
  </si>
  <si>
    <t>2016-Q1</t>
  </si>
  <si>
    <t>2016-Q2</t>
  </si>
  <si>
    <t>2016-Q3</t>
  </si>
  <si>
    <t>2016-Q4</t>
  </si>
  <si>
    <t>2016-FY</t>
  </si>
  <si>
    <t>2017-Q1</t>
  </si>
  <si>
    <t>2017-Q2</t>
  </si>
  <si>
    <t>2017-Q3</t>
  </si>
  <si>
    <t>2017-Q4</t>
  </si>
  <si>
    <t>2017-FY</t>
  </si>
  <si>
    <t xml:space="preserve">   SG&amp;A</t>
  </si>
  <si>
    <t>Other Charges</t>
  </si>
  <si>
    <t>Average Basic Shares</t>
  </si>
  <si>
    <t>Average Share Price in the quarter</t>
  </si>
  <si>
    <t xml:space="preserve">Income Statement </t>
  </si>
  <si>
    <t xml:space="preserve">Waters Service </t>
  </si>
  <si>
    <t>Quarterly Debt</t>
  </si>
  <si>
    <t>(Dollars in millions, except per share data)</t>
  </si>
  <si>
    <t>Borrowings</t>
  </si>
  <si>
    <t>Rate</t>
  </si>
  <si>
    <t>Maturity</t>
  </si>
  <si>
    <t>Short-term borrowings and current maturities of long-term debt</t>
  </si>
  <si>
    <t>Total Long-term debt less current portion</t>
  </si>
  <si>
    <t>Check: Total Debt</t>
  </si>
  <si>
    <t>Issuances/ (Repayments)</t>
  </si>
  <si>
    <t>Total Debt Issuance/(Repayment)</t>
  </si>
  <si>
    <t>Current portion of long-term debt</t>
  </si>
  <si>
    <t>Total Debt less current portion Issuance/(Repayment)</t>
  </si>
  <si>
    <t>Cash Balance (BOP)</t>
  </si>
  <si>
    <t>Interest Income</t>
  </si>
  <si>
    <t>Implied Interest Rate</t>
  </si>
  <si>
    <t xml:space="preserve">Senior unsecured notes — Series A </t>
  </si>
  <si>
    <t>Senior unsecured notes — Series B</t>
  </si>
  <si>
    <t>Senior unsecured notes — Series C</t>
  </si>
  <si>
    <t>Senior unsecured notes — Series D</t>
  </si>
  <si>
    <t>Senior unsecured notes — Series E</t>
  </si>
  <si>
    <t>Foreign subsidiary lines of credit</t>
  </si>
  <si>
    <t>Credit Agreement</t>
  </si>
  <si>
    <t>3Q12</t>
  </si>
  <si>
    <t>YES</t>
  </si>
  <si>
    <t>Reported Growth</t>
  </si>
  <si>
    <t xml:space="preserve">    y/y growth</t>
  </si>
  <si>
    <t>Total Service</t>
  </si>
  <si>
    <t>TA Service</t>
  </si>
  <si>
    <t>Stock option, restricted stock and restricted stock unit securities</t>
  </si>
  <si>
    <t>Modelware EPS</t>
  </si>
  <si>
    <t>WAT.N,mscalc:closePriceCurrencyCalc</t>
  </si>
  <si>
    <t>WAT.N,mscalc:targetPrice,,,,USD</t>
  </si>
  <si>
    <t>Pharma</t>
  </si>
  <si>
    <t>\</t>
  </si>
  <si>
    <t>WAT.N</t>
  </si>
  <si>
    <t>WAT.N,mscalc:sedolCodeCalc</t>
  </si>
  <si>
    <t>WAT.O,mscalc:sedolCodeCalc</t>
  </si>
  <si>
    <t>R&amp;D</t>
  </si>
  <si>
    <t>Products</t>
  </si>
  <si>
    <t xml:space="preserve">        % CC growth</t>
  </si>
  <si>
    <t>Waters instrument systems</t>
  </si>
  <si>
    <t>TA instrument sales</t>
  </si>
  <si>
    <t>Service Sales</t>
  </si>
  <si>
    <t>Waters service</t>
  </si>
  <si>
    <t>TA service</t>
  </si>
  <si>
    <t xml:space="preserve">     Mass Spec</t>
  </si>
  <si>
    <t xml:space="preserve">     LC</t>
  </si>
  <si>
    <t xml:space="preserve">          Alliance</t>
  </si>
  <si>
    <t xml:space="preserve">          Acuity</t>
  </si>
  <si>
    <t xml:space="preserve">          Other</t>
  </si>
  <si>
    <t xml:space="preserve">   Organic</t>
  </si>
  <si>
    <t>Product Mix</t>
  </si>
  <si>
    <t>Other System Sales</t>
  </si>
  <si>
    <t xml:space="preserve">Total LC </t>
  </si>
  <si>
    <t xml:space="preserve">    FX Impact (master)</t>
  </si>
  <si>
    <t>nm</t>
  </si>
  <si>
    <t>Gov/Academic (WW)</t>
  </si>
  <si>
    <t>YoY Growth</t>
  </si>
  <si>
    <t>End Markets</t>
  </si>
  <si>
    <t>Industrial &amp; Environmental &amp; applied</t>
  </si>
  <si>
    <t>Total (Single/Trip Quad, TOF)</t>
  </si>
  <si>
    <t>check (Waters Instruments)</t>
  </si>
  <si>
    <t>Totals</t>
  </si>
  <si>
    <t>This sheet contains Factset binary data for use with this workbook's =FDS codes.  Modifying the worksheet's contents may damage the workbook's =FDS functionality.</t>
  </si>
  <si>
    <t xml:space="preserve">     % growth</t>
  </si>
  <si>
    <t>Overall</t>
  </si>
  <si>
    <t>check</t>
  </si>
  <si>
    <t>Tax rate</t>
  </si>
  <si>
    <t>Total Gross Margin</t>
  </si>
  <si>
    <t>Other Accrued liabilities (% of OpExp)</t>
  </si>
  <si>
    <t xml:space="preserve">  Other Adjustments</t>
  </si>
  <si>
    <t>USD</t>
  </si>
  <si>
    <t>Currency</t>
  </si>
  <si>
    <t>Current Stock Price</t>
  </si>
  <si>
    <t>Incrementals</t>
  </si>
  <si>
    <t>Incremental GM</t>
  </si>
  <si>
    <t>2015-Q1</t>
  </si>
  <si>
    <t>2015-Q2</t>
  </si>
  <si>
    <t>2015-Q3</t>
  </si>
  <si>
    <t>2015-Q4</t>
  </si>
  <si>
    <t>2015-FY</t>
  </si>
  <si>
    <t>Implied total organic growth</t>
  </si>
  <si>
    <t>Recurring (Chemistry + Service)</t>
  </si>
  <si>
    <t>Acquisition</t>
  </si>
  <si>
    <t>SGNT.O,mscalc:closePriceCurrencyCalc</t>
  </si>
  <si>
    <t>SGNT.O,mscalc:sedolCodeCalc</t>
  </si>
  <si>
    <t>SGNT.O,mscalc:targetPrice,,,,USD</t>
  </si>
  <si>
    <t>B687XN8</t>
  </si>
  <si>
    <t>29</t>
  </si>
  <si>
    <t>,mscalc:sedolCodeCalc</t>
  </si>
  <si>
    <t>,mscalc:closePriceCurrencyCalc</t>
  </si>
  <si>
    <t>,mscalc:targetPrice,,,,USD</t>
  </si>
  <si>
    <t xml:space="preserve">     COGS</t>
  </si>
  <si>
    <t xml:space="preserve">     R&amp;D</t>
  </si>
  <si>
    <t xml:space="preserve">     SG&amp;A</t>
  </si>
  <si>
    <t>Balance Sheet</t>
  </si>
  <si>
    <t>Shareholders Equity</t>
  </si>
  <si>
    <t>Cash Flow Statement</t>
  </si>
  <si>
    <t xml:space="preserve">$97.9 </t>
  </si>
  <si>
    <t>Unrecorded Goodwill</t>
  </si>
  <si>
    <t>PP&amp;E, gross - BoP</t>
  </si>
  <si>
    <t>Capex</t>
  </si>
  <si>
    <t>% of sales</t>
  </si>
  <si>
    <t>PP&amp;E, gross - EoP</t>
  </si>
  <si>
    <t>Accumulated depreciation - BoP</t>
  </si>
  <si>
    <t>% of beg gross</t>
  </si>
  <si>
    <t>Accum Depreciation - EoP</t>
  </si>
  <si>
    <t>PP&amp;E, net</t>
  </si>
  <si>
    <t>Assumed depreciable life</t>
  </si>
  <si>
    <t>Intangibles - BoP</t>
  </si>
  <si>
    <t>% of beg bal</t>
  </si>
  <si>
    <t>Intangibles - EoP</t>
  </si>
  <si>
    <t>M&amp;A Accounting</t>
  </si>
  <si>
    <t>Total Purchase Price</t>
  </si>
  <si>
    <t>PP&amp;E</t>
  </si>
  <si>
    <t>Stock Repurchases/(Issuances)</t>
  </si>
  <si>
    <t>Waters</t>
  </si>
  <si>
    <t>Dollars in millions, except per share data</t>
  </si>
  <si>
    <t>Fiscal year ends Dec. 31</t>
  </si>
  <si>
    <t>2007-FY</t>
  </si>
  <si>
    <t>2008-FY</t>
  </si>
  <si>
    <t>2009-FY</t>
  </si>
  <si>
    <t>2010-Q1</t>
  </si>
  <si>
    <t>2010-Q2</t>
  </si>
  <si>
    <t>2010-Q3</t>
  </si>
  <si>
    <t>2010-Q4</t>
  </si>
  <si>
    <t>2010-FY</t>
  </si>
  <si>
    <t>2011-Q1</t>
  </si>
  <si>
    <t>2011-Q2</t>
  </si>
  <si>
    <t>2011-Q3</t>
  </si>
  <si>
    <t>2011-Q4</t>
  </si>
  <si>
    <t>2011-FY</t>
  </si>
  <si>
    <t>2012-FY</t>
  </si>
  <si>
    <t>2013-FY</t>
  </si>
  <si>
    <t>2014-FY</t>
  </si>
  <si>
    <t>Product</t>
  </si>
  <si>
    <t>Service</t>
  </si>
  <si>
    <t>Total Revenue</t>
  </si>
  <si>
    <t>Total Cost of Goods Sold</t>
  </si>
  <si>
    <t>Gross Profit</t>
  </si>
  <si>
    <t xml:space="preserve">   R&amp;D</t>
  </si>
  <si>
    <t>SG&amp;A</t>
  </si>
  <si>
    <t>Total One Time Items</t>
  </si>
  <si>
    <t>Purchased Intangibles</t>
  </si>
  <si>
    <t>Total Operating Expenses</t>
  </si>
  <si>
    <t xml:space="preserve">     Depreciation</t>
  </si>
  <si>
    <t>Amortization</t>
  </si>
  <si>
    <t>Non-cash Stock Compensation expense</t>
  </si>
  <si>
    <t xml:space="preserve"> Total</t>
  </si>
  <si>
    <t>EBITDA</t>
  </si>
  <si>
    <t>Interest (Expense)/Income/Other</t>
  </si>
  <si>
    <t>Pretax Income</t>
  </si>
  <si>
    <t xml:space="preserve">   Income Tax Expense (benefit)</t>
  </si>
  <si>
    <t xml:space="preserve">    Income Tax Rate</t>
  </si>
  <si>
    <t>Net Income (excl. one-time charges)</t>
  </si>
  <si>
    <t xml:space="preserve">       One Time Charges</t>
  </si>
  <si>
    <t>Net Income Reported</t>
  </si>
  <si>
    <t>Diluted EPS (GAAP) (w/FAS123)</t>
  </si>
  <si>
    <t>Diluted EPS (adjusted)</t>
  </si>
  <si>
    <t>Basic Shares Outstanding</t>
  </si>
  <si>
    <t>Diluted Shares Outstanding</t>
  </si>
  <si>
    <t xml:space="preserve">   dilution ratio</t>
  </si>
  <si>
    <t>GAAP Adjustments to EPS</t>
  </si>
  <si>
    <t xml:space="preserve">  non-GAAP Net Income</t>
  </si>
  <si>
    <t xml:space="preserve">          Stock Comp Expense</t>
  </si>
  <si>
    <t>NM</t>
  </si>
  <si>
    <t xml:space="preserve">                  % of operating expenses</t>
  </si>
  <si>
    <t xml:space="preserve">          Amortization</t>
  </si>
  <si>
    <t xml:space="preserve">          Other Adjustments</t>
  </si>
  <si>
    <t xml:space="preserve">          Tax Adjustment</t>
  </si>
  <si>
    <t xml:space="preserve">                   implied tax rate</t>
  </si>
  <si>
    <t xml:space="preserve">   GAAP Net Income</t>
  </si>
  <si>
    <t>Margins/Expense Analysis:</t>
  </si>
  <si>
    <t>Product GM</t>
  </si>
  <si>
    <t>Chemistry</t>
  </si>
  <si>
    <t xml:space="preserve">  R&amp;D</t>
  </si>
  <si>
    <t xml:space="preserve">  SG&amp;A</t>
  </si>
  <si>
    <t>EBIT</t>
  </si>
  <si>
    <t>Incremental Gross Profit</t>
  </si>
  <si>
    <t>Incremental EBIT</t>
  </si>
  <si>
    <t>Net Income</t>
  </si>
  <si>
    <t>Growth Analysis:</t>
  </si>
  <si>
    <t>Total revenue</t>
  </si>
  <si>
    <t>EPS (w/FAS) (ex-amort)</t>
  </si>
  <si>
    <t>Interest Expense</t>
  </si>
  <si>
    <t>Total Debt</t>
  </si>
  <si>
    <t>LT Debt</t>
  </si>
  <si>
    <t>ST Debt</t>
  </si>
  <si>
    <t xml:space="preserve">        Average Debt</t>
  </si>
  <si>
    <t>Term Debt</t>
  </si>
  <si>
    <t>Long-Term</t>
  </si>
  <si>
    <t>Short-Term (Revolver)</t>
  </si>
  <si>
    <t>Paydown, net</t>
  </si>
  <si>
    <t>Foreign Short-Term Lines of Credit</t>
  </si>
  <si>
    <t xml:space="preserve">        Rate</t>
  </si>
  <si>
    <t>3.75% Series A Senior Notes due Feb 1, 2015</t>
  </si>
  <si>
    <t>5% Series B Senior Notes due Feb 1, 2020</t>
  </si>
  <si>
    <t>Total Interest Expense</t>
  </si>
  <si>
    <t xml:space="preserve">           Net Debt</t>
  </si>
  <si>
    <t xml:space="preserve">         Interest Coverage Ratio</t>
  </si>
  <si>
    <t>Cash Balance</t>
  </si>
  <si>
    <t>Cash Beginning</t>
  </si>
  <si>
    <t>Plus: Net Income</t>
  </si>
  <si>
    <t>Plus: Depreciation</t>
  </si>
  <si>
    <t>Minus: Capex</t>
  </si>
  <si>
    <t>Minus: Debt Paydown/Issuance</t>
  </si>
  <si>
    <t>End Cash</t>
  </si>
  <si>
    <t>Average Cash</t>
  </si>
  <si>
    <t xml:space="preserve">      Interest Rate</t>
  </si>
  <si>
    <t>Interest Income/Quarter</t>
  </si>
  <si>
    <t>Growth Analysis (Y/Y):</t>
  </si>
  <si>
    <t>FX Impact</t>
  </si>
  <si>
    <t>Statutory Tax</t>
  </si>
  <si>
    <t>Waters Corp</t>
  </si>
  <si>
    <t>Revenue Build</t>
  </si>
  <si>
    <t>2007-Q1</t>
  </si>
  <si>
    <t>2007-Q2</t>
  </si>
  <si>
    <t>2007-Q3</t>
  </si>
  <si>
    <t>2007-Q4</t>
  </si>
  <si>
    <t>2008-Q1</t>
  </si>
  <si>
    <t>2008-Q2</t>
  </si>
  <si>
    <t>2008-Q3</t>
  </si>
  <si>
    <t>2008-Q4</t>
  </si>
  <si>
    <t>2009-Q1</t>
  </si>
  <si>
    <t>2009-Q2</t>
  </si>
  <si>
    <t>2009-Q3</t>
  </si>
  <si>
    <t>2009-Q4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</si>
  <si>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</si>
  <si>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</si>
  <si>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</si>
  <si>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</si>
  <si>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</si>
  <si>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</si>
  <si>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</si>
  <si>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</si>
  <si>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</si>
  <si>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</si>
  <si>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</si>
  <si>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2014-Q4</t>
  </si>
  <si>
    <t>% Growth</t>
  </si>
  <si>
    <t>% CC Growth</t>
  </si>
  <si>
    <t xml:space="preserve">        % growth</t>
  </si>
  <si>
    <t>Alliance</t>
  </si>
  <si>
    <t xml:space="preserve">     y/y growth</t>
  </si>
  <si>
    <t>Chemistry Consumables</t>
  </si>
  <si>
    <t>Waters Corp.</t>
  </si>
  <si>
    <t>Total Chemisty and Consumables</t>
  </si>
  <si>
    <t xml:space="preserve">       YoY growth (%)</t>
  </si>
  <si>
    <t>Thermal Analysis</t>
  </si>
  <si>
    <t>Instrument Sales</t>
  </si>
  <si>
    <t>Other</t>
  </si>
  <si>
    <t>Total</t>
  </si>
  <si>
    <t>Momentum</t>
  </si>
  <si>
    <t>WAT.N,mscalc:targetPrice</t>
  </si>
  <si>
    <t>$V$2</t>
  </si>
  <si>
    <t>Fiscal year ends Dec</t>
  </si>
  <si>
    <t>Assets</t>
  </si>
  <si>
    <t>Cash and Investments</t>
  </si>
  <si>
    <t>Cash</t>
  </si>
  <si>
    <t>ST Investments</t>
  </si>
  <si>
    <t>Accounts Receivables, Net</t>
  </si>
  <si>
    <t>Inventory, net</t>
  </si>
  <si>
    <t>Prepaid Expenses &amp; Other Current Assets</t>
  </si>
  <si>
    <t>Geographies</t>
  </si>
  <si>
    <t>Total Current Assets</t>
  </si>
  <si>
    <t>Net Property, Plant &amp; Equipment</t>
  </si>
  <si>
    <t>Goodwill</t>
  </si>
  <si>
    <t>Intangible Assets</t>
  </si>
  <si>
    <t>Total Assets</t>
  </si>
  <si>
    <t>Liabilities</t>
  </si>
  <si>
    <t>Notes Payable &amp; Debt</t>
  </si>
  <si>
    <t>Accounts Payable</t>
  </si>
  <si>
    <t>Other Accrued Liabilities</t>
  </si>
  <si>
    <t>Deferred Revenue and customer advances</t>
  </si>
  <si>
    <t>Accrued Warranty</t>
  </si>
  <si>
    <t>Total Current Liabilities</t>
  </si>
  <si>
    <t>Long-term Debt</t>
  </si>
  <si>
    <t>Long-term portion of Retirement Benefits</t>
  </si>
  <si>
    <t>Long-term Income Tax Liability</t>
  </si>
  <si>
    <t>Other Liabilities</t>
  </si>
  <si>
    <t>Total Liabilities</t>
  </si>
  <si>
    <t>Preferred Stock</t>
  </si>
  <si>
    <t>Common Stock</t>
  </si>
  <si>
    <t>Additional Paid in Capital</t>
  </si>
  <si>
    <t>Accumulated other comprehensive</t>
  </si>
  <si>
    <t>Retained (defecit) Earnings</t>
  </si>
  <si>
    <t>Treasury at Cost</t>
  </si>
  <si>
    <t>Shareholders' Equity</t>
  </si>
  <si>
    <t>Total Liabilities &amp; Shareholders' Equity</t>
  </si>
  <si>
    <t>Check</t>
  </si>
  <si>
    <t>Financial Metrics</t>
  </si>
  <si>
    <t>Net debt (debt-cash)</t>
  </si>
  <si>
    <t>Net cash per share</t>
  </si>
  <si>
    <t>Returns</t>
  </si>
  <si>
    <t>Return on Equity (ROE)</t>
  </si>
  <si>
    <t>Return on Assets (ROA)</t>
  </si>
  <si>
    <t>Return on Invested Capital (ROIC)</t>
  </si>
  <si>
    <t>Debt Coverage/Leverage</t>
  </si>
  <si>
    <t>EBITDA Coverage</t>
  </si>
  <si>
    <t>EBIT Coverage</t>
  </si>
  <si>
    <t>Net Debt / EBITDA</t>
  </si>
  <si>
    <t>Debt / Capital</t>
  </si>
  <si>
    <t>Liquidity</t>
  </si>
  <si>
    <t>Current Ratio (CA/CL)</t>
  </si>
  <si>
    <t>Quick Ratio ((Cash+Mkt Sec+AR)/CL)</t>
  </si>
  <si>
    <t>Cash Ratio</t>
  </si>
  <si>
    <t>Acid-Test Ratio</t>
  </si>
  <si>
    <t>Working Capital Metrics</t>
  </si>
  <si>
    <t>Days in period</t>
  </si>
  <si>
    <t>Days Sales Oustanding (DSO)</t>
  </si>
  <si>
    <t>Inventory Days (DIO)</t>
  </si>
  <si>
    <t>Days Payable Outstanding (DPO)</t>
  </si>
  <si>
    <t>Cash Conversion Cycle</t>
  </si>
  <si>
    <t>Additional balance Sheet Metrics</t>
  </si>
  <si>
    <t>ACUITY/H &amp; I Class</t>
  </si>
  <si>
    <t>Deferred revenues (% of service revenues)</t>
  </si>
  <si>
    <t>Prepaid Expenses &amp; Other (% of Rev)</t>
  </si>
  <si>
    <t>Changes in Shareholders' Equity</t>
  </si>
  <si>
    <t>Opening Balance</t>
  </si>
  <si>
    <t>Issue of Shares (including premium)</t>
  </si>
  <si>
    <t>Dividend</t>
  </si>
  <si>
    <t>AOCI</t>
  </si>
  <si>
    <t>Other AOCI</t>
  </si>
  <si>
    <t>Closing Balance</t>
  </si>
  <si>
    <t>Fixed Asset Schedules</t>
  </si>
  <si>
    <t>PPE</t>
  </si>
  <si>
    <t>Depreciation</t>
  </si>
  <si>
    <t>Average Age of Assets</t>
  </si>
  <si>
    <t>Intangibles</t>
  </si>
  <si>
    <t>Beg Balance</t>
  </si>
  <si>
    <t>Acquisitions / write-offs</t>
  </si>
  <si>
    <t>Ending Balance</t>
  </si>
  <si>
    <t>Acquisitions</t>
  </si>
  <si>
    <t>Sales</t>
  </si>
  <si>
    <t>Tax Rate</t>
  </si>
  <si>
    <t>Taxes</t>
  </si>
  <si>
    <t>NOPAT</t>
  </si>
  <si>
    <t>NOPAT Margin</t>
  </si>
  <si>
    <t>Accounts Receivables</t>
  </si>
  <si>
    <t>Inventory</t>
  </si>
  <si>
    <t>Other Current Assets</t>
  </si>
  <si>
    <t>Net PP&amp;E</t>
  </si>
  <si>
    <t>Noncurrent Assets</t>
  </si>
  <si>
    <t>Goodwill &amp; Other Intangibles</t>
  </si>
  <si>
    <t>Operating Assets</t>
  </si>
  <si>
    <t>Other Current Liabilities</t>
  </si>
  <si>
    <t>Other Long-term Liabilities</t>
  </si>
  <si>
    <t>Operating Liabilities</t>
  </si>
  <si>
    <t>Net Operating Assets</t>
  </si>
  <si>
    <t>Asset Turnover</t>
  </si>
  <si>
    <t>From Operating Activity</t>
  </si>
  <si>
    <t>Net Income (loss)</t>
  </si>
  <si>
    <t xml:space="preserve"> Provisions on Inventories</t>
  </si>
  <si>
    <t xml:space="preserve"> Depreciation</t>
  </si>
  <si>
    <t xml:space="preserve"> Amortization of intangible assets</t>
  </si>
  <si>
    <t xml:space="preserve"> Stock-based compensation</t>
  </si>
  <si>
    <t>Net Change in Working Capital</t>
  </si>
  <si>
    <t xml:space="preserve">        Accounts Receivable</t>
  </si>
  <si>
    <t xml:space="preserve">        Inventories</t>
  </si>
  <si>
    <t xml:space="preserve">        Other Current Assets</t>
  </si>
  <si>
    <t xml:space="preserve">        Other Assets</t>
  </si>
  <si>
    <t xml:space="preserve">        Accounts Payable</t>
  </si>
  <si>
    <t xml:space="preserve">        Deferred Revenue and Customer Advances</t>
  </si>
  <si>
    <t xml:space="preserve">        Other Liabilities</t>
  </si>
  <si>
    <t xml:space="preserve">  Cash From Operations</t>
  </si>
  <si>
    <t>From Investing Activity</t>
  </si>
  <si>
    <t>Cap Ex</t>
  </si>
  <si>
    <t>Purchases of available for sale securities</t>
  </si>
  <si>
    <t>Sales and Maturities of available for sale securities</t>
  </si>
  <si>
    <t xml:space="preserve"> Net from Investing</t>
  </si>
  <si>
    <t>From Financing Activity</t>
  </si>
  <si>
    <t>Proceeds from debt issuance</t>
  </si>
  <si>
    <t>Payment of Debt</t>
  </si>
  <si>
    <t>Proceeds from stock plans</t>
  </si>
  <si>
    <t>Excess tax benefits for stock based compensation</t>
  </si>
  <si>
    <t>Repurchases of Common Stock</t>
  </si>
  <si>
    <t>(Payments) proceeds of debt swaps and other derivative contracts</t>
  </si>
  <si>
    <t xml:space="preserve"> Net from Financing</t>
  </si>
  <si>
    <t>Effect of exchange rate change</t>
  </si>
  <si>
    <t>Net Cash Flow</t>
  </si>
  <si>
    <t>Cash at Beginning of Year</t>
  </si>
  <si>
    <t>Cash and equivalents at End of Year</t>
  </si>
  <si>
    <t>A = Actual   E = Morgan Stanley Research Estimates    Source: Company data, Morgan Stanley Research</t>
  </si>
  <si>
    <t>Free Cash Flow (FCF)</t>
  </si>
  <si>
    <t>FCF per share</t>
  </si>
  <si>
    <t>Free Cash Flow Yield</t>
  </si>
  <si>
    <t>Avg. Share Price</t>
  </si>
  <si>
    <t>Options Oustanding BOP</t>
  </si>
  <si>
    <t>Options Granted</t>
  </si>
  <si>
    <t>Options Excercised</t>
  </si>
  <si>
    <t>Options Cancelled/Forfeited</t>
  </si>
  <si>
    <t>Options Oustanding EOP</t>
  </si>
  <si>
    <t>Wtd Avg Exercise Price (of excercised)</t>
  </si>
  <si>
    <t>Y/Y Growth</t>
  </si>
  <si>
    <t>Exercised shares as a % of outstanding</t>
  </si>
  <si>
    <t>Options lapsed as a % of outstanding</t>
  </si>
  <si>
    <t>Options granted - Y/Y Growth</t>
  </si>
  <si>
    <t>Proceeds from stock issuance ($mm)</t>
  </si>
  <si>
    <t>Repurchases</t>
  </si>
  <si>
    <t>Shares repurchased</t>
  </si>
  <si>
    <t>Cost of repurchases</t>
  </si>
  <si>
    <t>Avg cost</t>
  </si>
  <si>
    <t>% change</t>
  </si>
  <si>
    <t>ModelWare Metrics - Acquisitions</t>
  </si>
  <si>
    <t>Net Disposals (Acquisitions)</t>
  </si>
  <si>
    <t>Premium (Goodwill) on Acquisitions</t>
  </si>
  <si>
    <t>Investment in Intangible Assets</t>
  </si>
  <si>
    <t>Capital Expenditures Reflected in Cost of Acquisiton</t>
  </si>
  <si>
    <t>Net Disposals (Acquisitions) - Allocations</t>
  </si>
  <si>
    <t>Europe</t>
  </si>
  <si>
    <t>Japan</t>
  </si>
  <si>
    <t>Asia</t>
  </si>
  <si>
    <t>ROW</t>
  </si>
  <si>
    <t>Reported</t>
  </si>
  <si>
    <t>Asia (including Japan)</t>
  </si>
  <si>
    <t>United States</t>
  </si>
  <si>
    <t>Organic, ex. FX, acq.</t>
  </si>
  <si>
    <t>WAT Division</t>
  </si>
  <si>
    <t>Instruments</t>
  </si>
  <si>
    <t>Asia ex-Japan</t>
  </si>
  <si>
    <t>NA</t>
  </si>
  <si>
    <t>Recurring (Chem/Svs)</t>
  </si>
  <si>
    <t>Operating expenses</t>
  </si>
  <si>
    <t>Total Waters Corp</t>
  </si>
  <si>
    <t>1Q12</t>
  </si>
  <si>
    <t>2Q14</t>
  </si>
  <si>
    <t>3Q14</t>
  </si>
  <si>
    <t>4Q14</t>
  </si>
  <si>
    <t>2-Year Org Growth</t>
  </si>
  <si>
    <t>2937689</t>
  </si>
  <si>
    <t>Senior unsecured notes — Series F</t>
  </si>
  <si>
    <t>Senior unsecured notes — Series G</t>
  </si>
  <si>
    <t>Senior unsecured notes — Series H</t>
  </si>
  <si>
    <t>6/31/2021</t>
  </si>
  <si>
    <t>6/31/2024</t>
  </si>
  <si>
    <t xml:space="preserve">Organic Geographic Growth </t>
  </si>
  <si>
    <t>China - reported</t>
  </si>
  <si>
    <t>China - organic</t>
  </si>
  <si>
    <t>1Q15</t>
  </si>
  <si>
    <t xml:space="preserve">Acquisition and selling days </t>
  </si>
  <si>
    <t>CC Rev Growth</t>
  </si>
  <si>
    <t>2Q15</t>
  </si>
  <si>
    <t xml:space="preserve">Geo Growth - 2yr stack </t>
  </si>
  <si>
    <t xml:space="preserve">Geo Growth </t>
  </si>
  <si>
    <t xml:space="preserve">End Markets -2yr </t>
  </si>
  <si>
    <t>Summary Cash Flow</t>
  </si>
  <si>
    <t>Operating Cash Flow</t>
  </si>
  <si>
    <t>FCF/Share</t>
  </si>
  <si>
    <t>3Q15</t>
  </si>
  <si>
    <t>Reported EBIT %</t>
  </si>
  <si>
    <t>4Q15</t>
  </si>
  <si>
    <t>2018-Q1</t>
  </si>
  <si>
    <t>2018-Q2</t>
  </si>
  <si>
    <t>2018-Q3</t>
  </si>
  <si>
    <t>2018-Q4</t>
  </si>
  <si>
    <t>2018-FY</t>
  </si>
  <si>
    <t xml:space="preserve">    TA M&amp;A/adjustments</t>
  </si>
  <si>
    <t xml:space="preserve">    WAT M&amp;A/adjustments</t>
  </si>
  <si>
    <t xml:space="preserve">    Selling day impact</t>
  </si>
  <si>
    <t>Count</t>
  </si>
  <si>
    <t>1Q16</t>
  </si>
  <si>
    <t>Liquid Chromatography Instruments</t>
  </si>
  <si>
    <t>Mass Spec Instruments</t>
  </si>
  <si>
    <t>By Region</t>
  </si>
  <si>
    <t>By End Market</t>
  </si>
  <si>
    <t>Industrial/ Environ/ Applied</t>
  </si>
  <si>
    <t>Govt./ Academic</t>
  </si>
  <si>
    <t>2-Year Constant Currency Growth</t>
  </si>
  <si>
    <t>Constant Currency Growth Y/Y</t>
  </si>
  <si>
    <t>Org Growth Y/Y</t>
  </si>
  <si>
    <t>Revenues ex FX</t>
  </si>
  <si>
    <t>Organic Incremental Margin</t>
  </si>
  <si>
    <t>Gross Profit ex FX</t>
  </si>
  <si>
    <t>R&amp;D ex FX</t>
  </si>
  <si>
    <t>SG&amp;A ex FX</t>
  </si>
  <si>
    <t>2Q16</t>
  </si>
  <si>
    <t>Senior unsecured notes - Series I</t>
  </si>
  <si>
    <t>Senior unsecured notes - Series J</t>
  </si>
  <si>
    <t>Senior unsecured notes - Series K</t>
  </si>
  <si>
    <t>3Q16</t>
  </si>
  <si>
    <t>Gross Margin ex FX</t>
  </si>
  <si>
    <t>Mix Shift Impact</t>
  </si>
  <si>
    <t>EBIT ex FX and Mix</t>
  </si>
  <si>
    <t>2019-Q1</t>
  </si>
  <si>
    <t>2019-Q2</t>
  </si>
  <si>
    <t>2019-Q3</t>
  </si>
  <si>
    <t>2019-Q4</t>
  </si>
  <si>
    <t>2019-FY</t>
  </si>
  <si>
    <t>Organic EBIT Margin</t>
  </si>
  <si>
    <t>FX/Mix impact on EBIT Margin</t>
  </si>
  <si>
    <t>4Q16</t>
  </si>
  <si>
    <t>Weighted-average interest rates to senior unsecured notes and credit agreement collectively</t>
  </si>
  <si>
    <t>Foreign subsidiary lines of credit for short term borrowings</t>
  </si>
  <si>
    <t>Interest Expense (actuals / implied)</t>
  </si>
  <si>
    <t>Implied Net Interest (Expense)/Income/Other</t>
  </si>
  <si>
    <t>FCF Growth per share</t>
  </si>
  <si>
    <t>1Q17</t>
  </si>
  <si>
    <t>FCF Net Income Conversion</t>
  </si>
  <si>
    <t>FCF Sales Conversion</t>
  </si>
  <si>
    <t>n/a</t>
  </si>
  <si>
    <t xml:space="preserve"> Provisions for Doubtful A/R</t>
  </si>
  <si>
    <t>2Q17</t>
  </si>
  <si>
    <t>EBIT margin y/y ex FX/Pharma mix</t>
  </si>
  <si>
    <t>Assumed Pharma Growth</t>
  </si>
  <si>
    <t>Model</t>
  </si>
  <si>
    <t>Organic Incremental EBIT Margin</t>
  </si>
  <si>
    <t>2020-Q1</t>
  </si>
  <si>
    <t>2020-Q2</t>
  </si>
  <si>
    <t>2020-Q3</t>
  </si>
  <si>
    <t>2020-Q4</t>
  </si>
  <si>
    <t>2020-FY</t>
  </si>
  <si>
    <t>2021-Q1</t>
  </si>
  <si>
    <t>2021-Q2</t>
  </si>
  <si>
    <t>2021-Q3</t>
  </si>
  <si>
    <t>2021-Q4</t>
  </si>
  <si>
    <t>2021-FY</t>
  </si>
  <si>
    <t>Constant Currency P&amp;L - Organic Margin Build</t>
  </si>
  <si>
    <t>3Q18E</t>
  </si>
  <si>
    <t>4Q18E</t>
  </si>
  <si>
    <t>3Q17</t>
  </si>
  <si>
    <t>Ex FX Opex Growth</t>
  </si>
  <si>
    <t xml:space="preserve">Adjusted EBIT </t>
  </si>
  <si>
    <t>Cash Taxes</t>
  </si>
  <si>
    <t>NOPAT (adjusted)</t>
  </si>
  <si>
    <t>NOPAT margin</t>
  </si>
  <si>
    <t>Debt</t>
  </si>
  <si>
    <t>Net Deferred Tax Liabilities</t>
  </si>
  <si>
    <t>Other Long-Term Liabilities</t>
  </si>
  <si>
    <t>Off-balance sheet operating leases</t>
  </si>
  <si>
    <t>Equity</t>
  </si>
  <si>
    <t>Minority Interest</t>
  </si>
  <si>
    <t>Preferred Equity</t>
  </si>
  <si>
    <t>Accumulated Asset write-downs</t>
  </si>
  <si>
    <t>Non-performing Assets</t>
  </si>
  <si>
    <t>(Less cash)</t>
  </si>
  <si>
    <t>(Less unconsolidated investments)</t>
  </si>
  <si>
    <t>(Less Goodwill)</t>
  </si>
  <si>
    <t>Total Invested Capital (inc-Goodwill)</t>
  </si>
  <si>
    <t>Total Invested Capital (ex-Goodwill)</t>
  </si>
  <si>
    <t>ROIC (inc-Goodwill)</t>
  </si>
  <si>
    <t>ROIC (ex-Goodwill)</t>
  </si>
  <si>
    <t>Return on Invested Capital (ROIC)(ex-Goodwill)</t>
  </si>
  <si>
    <t>RNOA</t>
  </si>
  <si>
    <t>Return on Net Operating Assets (RNOA)</t>
  </si>
  <si>
    <t>1Q18E</t>
  </si>
  <si>
    <t>2Q18E</t>
  </si>
  <si>
    <t>4Q17</t>
  </si>
  <si>
    <t>237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</si>
  <si>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</si>
  <si>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</si>
  <si>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</si>
  <si>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</si>
  <si>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</si>
  <si>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</si>
  <si>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</si>
  <si>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Steve Beuchaw, Jeremy Rosenberg</t>
  </si>
  <si>
    <t>Date: 11 Apr 2018</t>
  </si>
  <si>
    <t>Ticker: WAT.N</t>
  </si>
  <si>
    <t>Stock Rating: Equal-Weight</t>
  </si>
  <si>
    <t>Industry: Life Science Tools &amp; Diagnostics</t>
  </si>
  <si>
    <t>Industry View: In-Line</t>
  </si>
  <si>
    <t>Price as of 11 Apr 2018: 66.15</t>
  </si>
  <si>
    <t>Target Price: 218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</si>
  <si>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</si>
  <si>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</si>
  <si>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</si>
  <si>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</si>
  <si>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Waters Corp..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</si>
  <si>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</si>
  <si>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</si>
  <si>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</si>
  <si>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</si>
  <si>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</si>
  <si>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</si>
  <si>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</si>
  <si>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</si>
  <si>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</si>
  <si>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</si>
  <si>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</si>
  <si>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</si>
  <si>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</si>
  <si>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</si>
  <si>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</si>
  <si>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</si>
  <si>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</si>
  <si>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</si>
  <si>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</si>
  <si>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</si>
  <si>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</si>
  <si>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</si>
  <si>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</si>
  <si>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</si>
  <si>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</si>
  <si>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</si>
  <si>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</si>
  <si>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</si>
  <si>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</si>
  <si>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</si>
  <si>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</si>
  <si>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</si>
  <si>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</si>
  <si>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</si>
  <si>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</si>
  <si>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</si>
  <si>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</si>
  <si>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</si>
  <si>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</si>
  <si>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</si>
  <si>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</si>
  <si>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</si>
  <si>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</si>
  <si>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</si>
  <si>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</si>
  <si>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</si>
  <si>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</si>
  <si>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</si>
  <si>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</si>
  <si>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</si>
  <si>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</si>
  <si>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</si>
  <si>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</si>
  <si>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</si>
  <si>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</si>
  <si>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</si>
  <si>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</si>
  <si>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</si>
  <si>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</si>
  <si>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</si>
  <si>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</si>
  <si>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</si>
  <si>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</si>
  <si>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</si>
  <si>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</si>
  <si>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</si>
  <si>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</si>
  <si>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</si>
  <si>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</si>
  <si>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</si>
  <si>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</si>
  <si>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</si>
  <si>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</si>
  <si>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</si>
  <si>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</si>
  <si>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</si>
  <si>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</si>
  <si>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</si>
  <si>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</si>
  <si>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</si>
  <si>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</si>
  <si>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</si>
  <si>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</si>
  <si>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</si>
  <si>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</si>
  <si>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</si>
  <si>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</si>
  <si>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</si>
  <si>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</si>
  <si>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</si>
  <si>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</si>
  <si>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</si>
  <si>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</si>
  <si>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</si>
  <si>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</si>
  <si>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</si>
  <si>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</si>
  <si>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</si>
  <si>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</si>
  <si>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</si>
  <si>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</si>
  <si>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</si>
  <si>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</si>
  <si>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</si>
  <si>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</si>
  <si>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</si>
  <si>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</si>
  <si>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</si>
  <si>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</si>
  <si>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</si>
  <si>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</si>
  <si>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</si>
  <si>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</si>
  <si>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</si>
  <si>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</si>
  <si>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</si>
  <si>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</si>
  <si>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</si>
  <si>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</si>
  <si>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</si>
  <si>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</si>
  <si>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</si>
  <si>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</si>
  <si>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</si>
  <si>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</si>
  <si>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</si>
  <si>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</si>
  <si>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</si>
  <si>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</si>
  <si>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</si>
  <si>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</si>
  <si>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</si>
  <si>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</si>
  <si>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</si>
  <si>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</si>
  <si>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</si>
  <si>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</si>
  <si>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</si>
  <si>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</si>
  <si>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</si>
  <si>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</si>
  <si>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</si>
  <si>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</si>
  <si>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</si>
  <si>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</si>
  <si>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</si>
  <si>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</si>
  <si>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</si>
  <si>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</si>
  <si>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</si>
  <si>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</si>
  <si>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</si>
  <si>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</si>
  <si>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</si>
  <si>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</si>
  <si>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</si>
  <si>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</si>
  <si>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</si>
  <si>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</si>
  <si>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</si>
  <si>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</si>
  <si>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</si>
  <si>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</si>
  <si>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</si>
  <si>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</si>
  <si>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</si>
  <si>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</si>
  <si>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</si>
  <si>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</si>
  <si>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</si>
  <si>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</si>
  <si>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</si>
  <si>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</si>
  <si>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</si>
  <si>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</si>
  <si>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</si>
  <si>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</si>
  <si>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</si>
  <si>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</si>
  <si>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</si>
  <si>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</si>
  <si>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</si>
  <si>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</si>
  <si>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</si>
  <si>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</si>
  <si>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</si>
  <si>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</si>
  <si>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</si>
  <si>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</si>
  <si>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</si>
  <si>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</si>
  <si>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</si>
  <si>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</si>
  <si>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</si>
  <si>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</si>
  <si>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</si>
  <si>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</si>
  <si>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</si>
  <si>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</si>
  <si>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</si>
  <si>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</si>
  <si>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</si>
  <si>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</si>
  <si>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</si>
  <si>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</si>
  <si>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</si>
  <si>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</si>
  <si>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</si>
  <si>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</si>
  <si>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</si>
  <si>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</si>
  <si>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</si>
  <si>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</si>
  <si>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</si>
  <si>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</si>
  <si>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</si>
  <si>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</si>
  <si>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</si>
  <si>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</si>
  <si>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</si>
  <si>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</si>
  <si>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</si>
  <si>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</si>
  <si>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</si>
  <si>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</si>
  <si>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</si>
  <si>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</si>
  <si>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</si>
  <si>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</si>
  <si>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</si>
  <si>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</si>
  <si>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</si>
  <si>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</si>
  <si>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</si>
  <si>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</si>
  <si>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</si>
  <si>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</si>
  <si>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</si>
  <si>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</si>
  <si>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</si>
  <si>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</si>
  <si>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provided or is providing investment banking services to,</t>
  </si>
  <si>
    <t>or has an investment banking client relationship with, the following company: Waters Corp..</t>
  </si>
  <si>
    <t>In the next 3 months, Morgan Stanley expects to receive or intends to seek compensation for investment</t>
  </si>
  <si>
    <t>banking services from Waters Corp..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</si>
  <si>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</si>
  <si>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</si>
  <si>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</si>
  <si>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</si>
  <si>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</si>
  <si>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Steve Beuchaw.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</si>
  <si>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</si>
  <si>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</si>
  <si>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</si>
  <si>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</si>
  <si>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</si>
  <si>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</si>
  <si>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</si>
  <si>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</si>
  <si>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</si>
  <si>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</si>
  <si>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</si>
  <si>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</si>
  <si>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</si>
  <si>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</si>
  <si>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</si>
  <si>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</si>
  <si>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</si>
  <si>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</si>
  <si>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</si>
  <si>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</si>
  <si>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</si>
  <si>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</si>
  <si>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</si>
  <si>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</si>
  <si>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</si>
  <si>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</si>
  <si>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</si>
  <si>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</si>
  <si>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</si>
  <si>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</si>
  <si>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</si>
  <si>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</si>
  <si>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</si>
  <si>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</si>
  <si>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</si>
  <si>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</si>
  <si>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</si>
  <si>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</si>
  <si>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</si>
  <si>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</si>
  <si>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</si>
  <si>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</si>
  <si>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</si>
  <si>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</si>
  <si>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</si>
  <si>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</si>
  <si>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</si>
  <si>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</si>
  <si>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</si>
  <si>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</si>
  <si>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</si>
  <si>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</si>
  <si>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</si>
  <si>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</si>
  <si>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</si>
  <si>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</si>
  <si>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</si>
  <si>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</si>
  <si>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</si>
  <si>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</si>
  <si>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</si>
  <si>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</si>
  <si>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</si>
  <si>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</si>
  <si>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</si>
  <si>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</si>
  <si>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</si>
  <si>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Regular Update</t>
  </si>
  <si>
    <t>NorthAmerica</t>
  </si>
  <si>
    <t>jerrosen</t>
  </si>
  <si>
    <t>MSA12974, MSA74LKH</t>
  </si>
  <si>
    <t>L:\HEALTH\Tools\Models\Published models\WAT_Published.xlsm</t>
  </si>
  <si>
    <t>[BRO MSA]</t>
  </si>
  <si>
    <t>[PRODUCT MODEL]</t>
  </si>
  <si>
    <t>[EMAIL_ALERT YES]</t>
  </si>
  <si>
    <t>[DISCIPLINE Company]</t>
  </si>
  <si>
    <t>[SUPPRESSED NO]</t>
  </si>
  <si>
    <t>[DOCDAT 2018-04-11]</t>
  </si>
  <si>
    <t>[DOCTIME 09:48]</t>
  </si>
  <si>
    <t>[PSYM WAT.N(S&amp;P) (None)]</t>
  </si>
  <si>
    <t>[COU 1]</t>
  </si>
  <si>
    <t>[ANA MSA74LKH]</t>
  </si>
  <si>
    <t>[HL WAT.N Model]</t>
  </si>
  <si>
    <t>[IND HLTHCR]</t>
  </si>
  <si>
    <t>[PANA MSA12974]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</si>
</sst>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.0%"/>
    <numFmt numFmtId="166" formatCode="&quot;$&quot;#,##0"/>
    <numFmt numFmtId="167" formatCode="_(* #,##0_);_(* \(#,##0\);_(* &quot;-&quot;??_);_(@_)"/>
    <numFmt numFmtId="168" formatCode="&quot;$&quot;#,##0.00"/>
    <numFmt numFmtId="169" formatCode="&quot;$&quot;#,##0.0_);\(&quot;$&quot;#,##0.0\)"/>
    <numFmt numFmtId="170" formatCode="_(* #,##0.0_);_(* \(#,##0.0\);_(* &quot;-&quot;_);_(@_)"/>
    <numFmt numFmtId="171" formatCode="_(* #,##0.00_);_(* \(#,##0.00\);_(* &quot;-&quot;_);_(@_)"/>
    <numFmt numFmtId="172" formatCode="[$-409]mmm\-yy;@"/>
    <numFmt numFmtId="173" formatCode="#,##0.0_);\(#,##0.0\)"/>
    <numFmt numFmtId="174" formatCode="_(&quot;$&quot;* #,##0.0_);_(&quot;$&quot;* \(#,##0.0\);_(&quot;$&quot;* &quot;-&quot;??_);_(@_)"/>
    <numFmt numFmtId="175" formatCode="&quot;$&quot;#,##0.000_);\(&quot;$&quot;#,##0.000\)"/>
    <numFmt numFmtId="176" formatCode="_(* #,##0.000_);_(* \(#,##0.000\);_(* &quot;-&quot;_);_(@_)"/>
    <numFmt numFmtId="177" formatCode="&quot;$&quot;#,##0.0_);[Red]\(&quot;$&quot;#,##0.0\)"/>
    <numFmt numFmtId="178" formatCode="0.0"/>
    <numFmt numFmtId="179" formatCode="0.0;[Red]0.0"/>
    <numFmt numFmtId="182" formatCode="_(* #,##0_);_(* \(#,##0\);_(* &quot;-&quot;?_);_(@_)"/>
    <numFmt numFmtId="183" formatCode="0_);[Red]\(0\)"/>
    <numFmt numFmtId="184" formatCode="_(* #,##0.0_);_(* \(#,##0.0\);_(* &quot;-&quot;?_);_(@_)"/>
    <numFmt numFmtId="185" formatCode="0.0\x"/>
    <numFmt numFmtId="186" formatCode="_(* #,##0.0_);_(* \(#,##0.0\);_(* &quot;-&quot;??_);_(@_)"/>
    <numFmt numFmtId="187" formatCode="0.0_);\(0.0\)"/>
    <numFmt numFmtId="188" formatCode="0_);\(0\)"/>
    <numFmt numFmtId="189" formatCode="0.00_);\(0.00\)"/>
    <numFmt numFmtId="191" formatCode="#,##0.00%_);\(#,##0.00%\)"/>
    <numFmt numFmtId="198" formatCode="_(* #,##0.000_);_(* \(#,##0.000\);_(* &quot;-&quot;??_);_(@_)"/>
    <numFmt numFmtId="199" formatCode="_(* #,##0.0000_);_(* \(#,##0.0000\);_(* &quot;-&quot;??_);_(@_)"/>
    <numFmt numFmtId="200" formatCode="0&quot;A&quot;"/>
    <numFmt numFmtId="201" formatCode="0&quot;E&quot;"/>
    <numFmt numFmtId="202" formatCode="#,##0.00000000000_);\(#,##0.00000000000\)"/>
    <numFmt numFmtId="204" formatCode="#,##0.0%_);\(#,##0.0%\)"/>
    <numFmt numFmtId="206" formatCode="_(* #,##0.000_);_(* \(#,##0.000\);_(* &quot;-&quot;?_);_(@_)"/>
    <numFmt numFmtId="211" formatCode="#,##0.000_);\(#,##0.000\)"/>
    <numFmt numFmtId="212" formatCode="#,##0.0"/>
    <numFmt numFmtId="214" formatCode="&quot;$&quot;#,##0.000"/>
    <numFmt numFmtId="215" formatCode="_(&quot;$&quot;* #,##0.0000_);_(&quot;$&quot;* \(#,##0.0000\);_(&quot;$&quot;* &quot;-&quot;??_);_(@_)"/>
    <numFmt numFmtId="223" formatCode="mm/dd/yy\ hh:mm"/>
  </numFmts>
  <fonts count="136">
    <font>
      <sz val="10"/>
      <name val="Arial"/>
    </font>
    <font>
      <sz val="10"/>
      <name val="Arial"/>
      <family val="2"/>
    </font>
    <font>
      <i/>
      <sz val="10"/>
      <name val="Arial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Tms Rmn"/>
    </font>
    <font>
      <sz val="8"/>
      <name val="Arial"/>
      <family val="2"/>
    </font>
    <font>
      <sz val="10"/>
      <name val="Helvetica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i/>
      <sz val="8"/>
      <color indexed="8"/>
      <name val="Arial"/>
      <family val="2"/>
    </font>
    <font>
      <i/>
      <sz val="8"/>
      <name val="Arial"/>
      <family val="2"/>
    </font>
    <font>
      <sz val="8"/>
      <color indexed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color indexed="12"/>
      <name val="Arial"/>
      <family val="2"/>
    </font>
    <font>
      <sz val="8"/>
      <color indexed="8"/>
      <name val="Arial"/>
      <family val="2"/>
    </font>
    <font>
      <b/>
      <sz val="8"/>
      <color indexed="12"/>
      <name val="Arial"/>
      <family val="2"/>
    </font>
    <font>
      <b/>
      <i/>
      <sz val="8"/>
      <name val="Arial"/>
      <family val="2"/>
    </font>
    <font>
      <i/>
      <sz val="8"/>
      <color indexed="12"/>
      <name val="Arial"/>
      <family val="2"/>
    </font>
    <font>
      <b/>
      <u/>
      <sz val="8"/>
      <color indexed="9"/>
      <name val="Arial"/>
      <family val="2"/>
    </font>
    <font>
      <b/>
      <u/>
      <sz val="8"/>
      <name val="Arial"/>
      <family val="2"/>
    </font>
    <font>
      <sz val="8"/>
      <color indexed="50"/>
      <name val="Arial"/>
      <family val="2"/>
    </font>
    <font>
      <sz val="8"/>
      <color indexed="9"/>
      <name val="Arial"/>
      <family val="2"/>
    </font>
    <font>
      <b/>
      <sz val="8"/>
      <color indexed="10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b/>
      <sz val="8"/>
      <color indexed="9"/>
      <name val="Arial"/>
      <family val="2"/>
    </font>
    <font>
      <sz val="8"/>
      <color indexed="12"/>
      <name val="Arial"/>
      <family val="2"/>
    </font>
    <font>
      <sz val="7"/>
      <color indexed="9"/>
      <name val="Arial"/>
      <family val="2"/>
    </font>
    <font>
      <sz val="11"/>
      <color indexed="10"/>
      <name val="Arial"/>
      <family val="2"/>
    </font>
    <font>
      <sz val="11"/>
      <color indexed="8"/>
      <name val="Arial"/>
      <family val="2"/>
    </font>
    <font>
      <sz val="8"/>
      <name val="Times New Roman"/>
      <family val="1"/>
    </font>
    <font>
      <b/>
      <sz val="11"/>
      <color indexed="10"/>
      <name val="Arial"/>
      <family val="2"/>
    </font>
    <font>
      <sz val="8"/>
      <name val="Helv"/>
    </font>
    <font>
      <b/>
      <sz val="8"/>
      <name val="CIR Trade Gothic Light"/>
    </font>
    <font>
      <sz val="8"/>
      <color indexed="12"/>
      <name val="CIR Trade Gothic Light"/>
    </font>
    <font>
      <sz val="8"/>
      <name val="CIR Trade Gothic Light"/>
    </font>
    <font>
      <sz val="8"/>
      <color indexed="12"/>
      <name val="Tms Rmn"/>
    </font>
    <font>
      <sz val="8"/>
      <color indexed="17"/>
      <name val="Arial"/>
      <family val="2"/>
    </font>
    <font>
      <i/>
      <sz val="8"/>
      <color indexed="10"/>
      <name val="Arial"/>
      <family val="2"/>
    </font>
    <font>
      <sz val="8"/>
      <color indexed="10"/>
      <name val="Arial"/>
      <family val="2"/>
    </font>
    <font>
      <sz val="11"/>
      <name val="Arial"/>
      <family val="2"/>
    </font>
    <font>
      <b/>
      <i/>
      <sz val="8"/>
      <color indexed="8"/>
      <name val="Arial"/>
      <family val="2"/>
    </font>
    <font>
      <sz val="8"/>
      <color indexed="8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10"/>
      <color indexed="12"/>
      <name val="Arial"/>
      <family val="2"/>
    </font>
    <font>
      <sz val="8"/>
      <color indexed="57"/>
      <name val="Arial"/>
      <family val="2"/>
    </font>
    <font>
      <b/>
      <sz val="8"/>
      <color indexed="12"/>
      <name val="Arial"/>
      <family val="2"/>
    </font>
    <font>
      <sz val="10"/>
      <color indexed="10"/>
      <name val="Arial"/>
      <family val="2"/>
    </font>
    <font>
      <sz val="8"/>
      <name val="Times"/>
      <family val="1"/>
    </font>
    <font>
      <i/>
      <sz val="8"/>
      <color indexed="17"/>
      <name val="Arial"/>
      <family val="2"/>
    </font>
    <font>
      <b/>
      <sz val="8"/>
      <color indexed="57"/>
      <name val="Arial"/>
      <family val="2"/>
    </font>
    <font>
      <sz val="8"/>
      <color indexed="18"/>
      <name val="Arial"/>
      <family val="2"/>
    </font>
    <font>
      <sz val="8"/>
      <color indexed="17"/>
      <name val="Arial"/>
      <family val="2"/>
    </font>
    <font>
      <b/>
      <i/>
      <sz val="8"/>
      <color indexed="17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0"/>
      <color indexed="2"/>
      <name val="Tahoma"/>
      <family val="2"/>
    </font>
    <font>
      <b/>
      <sz val="10"/>
      <color indexed="0"/>
      <name val="Tahoma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0"/>
      <name val="Tahoma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0"/>
      <color indexed="8"/>
      <name val="Times New Roman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8"/>
      <name val="Arial"/>
      <family val="2"/>
    </font>
    <font>
      <i/>
      <sz val="8"/>
      <color indexed="12"/>
      <name val="Arial"/>
      <family val="2"/>
    </font>
    <font>
      <b/>
      <sz val="8"/>
      <color indexed="17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i/>
      <sz val="8"/>
      <color indexed="8"/>
      <name val="Arial"/>
      <family val="2"/>
    </font>
    <font>
      <i/>
      <sz val="8"/>
      <color indexed="10"/>
      <name val="Arial"/>
      <family val="2"/>
    </font>
    <font>
      <b/>
      <sz val="8"/>
      <color indexed="21"/>
      <name val="Arial"/>
      <family val="2"/>
    </font>
    <font>
      <sz val="8"/>
      <color indexed="21"/>
      <name val="Arial"/>
      <family val="2"/>
    </font>
    <font>
      <sz val="8"/>
      <color indexed="48"/>
      <name val="Arial"/>
      <family val="2"/>
    </font>
    <font>
      <u/>
      <sz val="10"/>
      <name val="Arial"/>
      <family val="2"/>
    </font>
    <font>
      <sz val="10"/>
      <name val="MS Sans Serif"/>
      <family val="2"/>
    </font>
    <font>
      <sz val="10"/>
      <name val="Helv"/>
    </font>
    <font>
      <sz val="8"/>
      <color indexed="23"/>
      <name val="Arial"/>
      <family val="2"/>
    </font>
    <font>
      <b/>
      <sz val="8"/>
      <color indexed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sz val="8"/>
      <color rgb="FF238B45"/>
      <name val="Arial"/>
      <family val="2"/>
    </font>
    <font>
      <b/>
      <sz val="8"/>
      <color theme="0"/>
      <name val="Arial"/>
      <family val="2"/>
    </font>
    <font>
      <sz val="8"/>
      <color theme="0"/>
      <name val="Arial"/>
      <family val="2"/>
    </font>
    <font>
      <b/>
      <sz val="10"/>
      <color rgb="FFFF0000"/>
      <name val="Arial"/>
      <family val="2"/>
    </font>
    <font>
      <sz val="8"/>
      <color theme="0" tint="-0.249977111117893"/>
      <name val="Arial"/>
      <family val="2"/>
    </font>
    <font>
      <i/>
      <sz val="8"/>
      <color rgb="FF0070C0"/>
      <name val="Arial"/>
      <family val="2"/>
    </font>
    <font>
      <sz val="8"/>
      <color theme="1"/>
      <name val="Arial"/>
      <family val="2"/>
    </font>
    <font>
      <b/>
      <sz val="8"/>
      <color rgb="FF339933"/>
      <name val="Arial"/>
      <family val="2"/>
    </font>
    <font>
      <b/>
      <sz val="8"/>
      <color rgb="FF0070C0"/>
      <name val="Arial"/>
      <family val="2"/>
    </font>
    <font>
      <sz val="8"/>
      <color theme="4"/>
      <name val="Arial"/>
      <family val="2"/>
    </font>
    <font>
      <i/>
      <sz val="8"/>
      <color rgb="FF00B050"/>
      <name val="Arial"/>
      <family val="2"/>
    </font>
    <font>
      <sz val="8"/>
      <color rgb="FF008000"/>
      <name val="Arial"/>
      <family val="2"/>
    </font>
    <font>
      <sz val="8"/>
      <color rgb="FF238745"/>
      <name val="Arial"/>
      <family val="2"/>
    </font>
    <font>
      <sz val="8"/>
      <color rgb="FF2270AB"/>
      <name val="Arial"/>
      <family val="2"/>
    </font>
    <font>
      <sz val="8"/>
      <color rgb="FF0070C0"/>
      <name val="CIR Trade Gothic Light"/>
    </font>
    <font>
      <b/>
      <sz val="8"/>
      <color theme="1"/>
      <name val="Arial"/>
      <family val="2"/>
    </font>
    <font>
      <b/>
      <sz val="8"/>
      <color theme="9" tint="-0.249977111117893"/>
      <name val="Arial"/>
      <family val="2"/>
    </font>
    <font>
      <b/>
      <sz val="8"/>
      <color rgb="FF7030A0"/>
      <name val="Arial"/>
      <family val="2"/>
    </font>
    <font>
      <b/>
      <sz val="8"/>
      <color rgb="FF2270AB"/>
      <name val="Arial"/>
      <family val="2"/>
    </font>
    <font>
      <i/>
      <sz val="8"/>
      <color rgb="FF2270AB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rgb="FF7030A0"/>
      <name val="Arial"/>
      <family val="2"/>
    </font>
    <font>
      <sz val="8"/>
      <color rgb="FF00B050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8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65"/>
        <bgColor indexed="64"/>
      </patternFill>
    </fill>
  </fills>
  <borders count="8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3"/>
      </left>
      <right/>
      <top/>
      <bottom/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3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 style="thin">
        <color indexed="63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22"/>
      </bottom>
      <diagonal/>
    </border>
    <border>
      <left style="thin">
        <color indexed="64"/>
      </left>
      <right/>
      <top/>
      <bottom style="thin">
        <color indexed="63"/>
      </bottom>
      <diagonal/>
    </border>
    <border>
      <left style="thin">
        <color indexed="64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8"/>
      </left>
      <right style="thin">
        <color indexed="8"/>
      </right>
      <top/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63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93">
    <xf numFmtId="0" fontId="0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Fill="0" applyAlignment="0">
      <protection locked="0"/>
    </xf>
    <xf numFmtId="0" fontId="1" fillId="0" borderId="0"/>
    <xf numFmtId="0" fontId="1" fillId="0" borderId="0"/>
    <xf numFmtId="0" fontId="10" fillId="0" borderId="0" applyFill="0" applyAlignment="0"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 applyFill="0" applyAlignment="0">
      <protection locked="0"/>
    </xf>
    <xf numFmtId="0" fontId="1" fillId="0" borderId="0"/>
    <xf numFmtId="0" fontId="48" fillId="0" borderId="0"/>
    <xf numFmtId="0" fontId="98" fillId="0" borderId="0"/>
    <xf numFmtId="0" fontId="102" fillId="0" borderId="0"/>
    <xf numFmtId="0" fontId="48" fillId="0" borderId="0"/>
    <xf numFmtId="0" fontId="98" fillId="0" borderId="0"/>
    <xf numFmtId="0" fontId="102" fillId="0" borderId="0"/>
    <xf numFmtId="0" fontId="63" fillId="2" borderId="0" applyNumberFormat="0" applyBorder="0" applyAlignment="0" applyProtection="0"/>
    <xf numFmtId="0" fontId="63" fillId="3" borderId="0" applyNumberFormat="0" applyBorder="0" applyAlignment="0" applyProtection="0"/>
    <xf numFmtId="0" fontId="63" fillId="4" borderId="0" applyNumberFormat="0" applyBorder="0" applyAlignment="0" applyProtection="0"/>
    <xf numFmtId="0" fontId="63" fillId="2" borderId="0" applyNumberFormat="0" applyBorder="0" applyAlignment="0" applyProtection="0"/>
    <xf numFmtId="0" fontId="63" fillId="5" borderId="0" applyNumberFormat="0" applyBorder="0" applyAlignment="0" applyProtection="0"/>
    <xf numFmtId="0" fontId="63" fillId="4" borderId="0" applyNumberFormat="0" applyBorder="0" applyAlignment="0" applyProtection="0"/>
    <xf numFmtId="0" fontId="63" fillId="6" borderId="0" applyNumberFormat="0" applyBorder="0" applyAlignment="0" applyProtection="0"/>
    <xf numFmtId="0" fontId="63" fillId="3" borderId="0" applyNumberFormat="0" applyBorder="0" applyAlignment="0" applyProtection="0"/>
    <xf numFmtId="0" fontId="63" fillId="4" borderId="0" applyNumberFormat="0" applyBorder="0" applyAlignment="0" applyProtection="0"/>
    <xf numFmtId="0" fontId="63" fillId="6" borderId="0" applyNumberFormat="0" applyBorder="0" applyAlignment="0" applyProtection="0"/>
    <xf numFmtId="0" fontId="63" fillId="7" borderId="0" applyNumberFormat="0" applyBorder="0" applyAlignment="0" applyProtection="0"/>
    <xf numFmtId="0" fontId="63" fillId="4" borderId="0" applyNumberFormat="0" applyBorder="0" applyAlignment="0" applyProtection="0"/>
    <xf numFmtId="0" fontId="64" fillId="8" borderId="0" applyNumberFormat="0" applyBorder="0" applyAlignment="0" applyProtection="0"/>
    <xf numFmtId="0" fontId="64" fillId="3" borderId="0" applyNumberFormat="0" applyBorder="0" applyAlignment="0" applyProtection="0"/>
    <xf numFmtId="0" fontId="64" fillId="9" borderId="0" applyNumberFormat="0" applyBorder="0" applyAlignment="0" applyProtection="0"/>
    <xf numFmtId="0" fontId="64" fillId="6" borderId="0" applyNumberFormat="0" applyBorder="0" applyAlignment="0" applyProtection="0"/>
    <xf numFmtId="0" fontId="64" fillId="8" borderId="0" applyNumberFormat="0" applyBorder="0" applyAlignment="0" applyProtection="0"/>
    <xf numFmtId="0" fontId="64" fillId="4" borderId="0" applyNumberFormat="0" applyBorder="0" applyAlignment="0" applyProtection="0"/>
    <xf numFmtId="0" fontId="64" fillId="8" borderId="0" applyNumberFormat="0" applyBorder="0" applyAlignment="0" applyProtection="0"/>
    <xf numFmtId="0" fontId="64" fillId="3" borderId="0" applyNumberFormat="0" applyBorder="0" applyAlignment="0" applyProtection="0"/>
    <xf numFmtId="0" fontId="64" fillId="9" borderId="0" applyNumberFormat="0" applyBorder="0" applyAlignment="0" applyProtection="0"/>
    <xf numFmtId="0" fontId="64" fillId="10" borderId="0" applyNumberFormat="0" applyBorder="0" applyAlignment="0" applyProtection="0"/>
    <xf numFmtId="0" fontId="64" fillId="8" borderId="0" applyNumberFormat="0" applyBorder="0" applyAlignment="0" applyProtection="0"/>
    <xf numFmtId="0" fontId="64" fillId="3" borderId="0" applyNumberFormat="0" applyBorder="0" applyAlignment="0" applyProtection="0"/>
    <xf numFmtId="0" fontId="65" fillId="11" borderId="0" applyNumberFormat="0" applyBorder="0" applyAlignment="0" applyProtection="0"/>
    <xf numFmtId="0" fontId="40" fillId="0" borderId="0" applyNumberFormat="0" applyFill="0" applyBorder="0" applyAlignment="0" applyProtection="0"/>
    <xf numFmtId="0" fontId="49" fillId="0" borderId="0"/>
    <xf numFmtId="0" fontId="66" fillId="0" borderId="0"/>
    <xf numFmtId="0" fontId="49" fillId="0" borderId="0"/>
    <xf numFmtId="0" fontId="66" fillId="0" borderId="0"/>
    <xf numFmtId="0" fontId="49" fillId="0" borderId="0"/>
    <xf numFmtId="0" fontId="66" fillId="0" borderId="0"/>
    <xf numFmtId="0" fontId="49" fillId="0" borderId="0"/>
    <xf numFmtId="0" fontId="66" fillId="0" borderId="0"/>
    <xf numFmtId="0" fontId="66" fillId="0" borderId="0"/>
    <xf numFmtId="0" fontId="66" fillId="0" borderId="0"/>
    <xf numFmtId="0" fontId="49" fillId="0" borderId="0"/>
    <xf numFmtId="0" fontId="66" fillId="0" borderId="0"/>
    <xf numFmtId="0" fontId="49" fillId="0" borderId="0"/>
    <xf numFmtId="0" fontId="66" fillId="0" borderId="0"/>
    <xf numFmtId="0" fontId="49" fillId="0" borderId="0"/>
    <xf numFmtId="0" fontId="66" fillId="0" borderId="0"/>
    <xf numFmtId="0" fontId="66" fillId="0" borderId="0"/>
    <xf numFmtId="0" fontId="103" fillId="0" borderId="0"/>
    <xf numFmtId="0" fontId="49" fillId="0" borderId="0"/>
    <xf numFmtId="0" fontId="66" fillId="0" borderId="0"/>
    <xf numFmtId="0" fontId="49" fillId="0" borderId="0"/>
    <xf numFmtId="0" fontId="66" fillId="0" borderId="0"/>
    <xf numFmtId="0" fontId="67" fillId="12" borderId="1" applyNumberFormat="0" applyAlignment="0" applyProtection="0"/>
    <xf numFmtId="0" fontId="68" fillId="13" borderId="2" applyNumberFormat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3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6" fillId="0" borderId="0" applyFon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/>
    <xf numFmtId="0" fontId="71" fillId="14" borderId="0"/>
    <xf numFmtId="0" fontId="72" fillId="15" borderId="0" applyNumberFormat="0" applyBorder="0" applyAlignment="0" applyProtection="0"/>
    <xf numFmtId="0" fontId="73" fillId="0" borderId="3" applyNumberFormat="0" applyFill="0" applyAlignment="0" applyProtection="0"/>
    <xf numFmtId="0" fontId="74" fillId="0" borderId="4" applyNumberFormat="0" applyFill="0" applyAlignment="0" applyProtection="0"/>
    <xf numFmtId="0" fontId="75" fillId="0" borderId="5" applyNumberFormat="0" applyFill="0" applyAlignment="0" applyProtection="0"/>
    <xf numFmtId="0" fontId="75" fillId="0" borderId="0" applyNumberFormat="0" applyFill="0" applyBorder="0" applyAlignment="0" applyProtection="0"/>
    <xf numFmtId="0" fontId="76" fillId="0" borderId="0">
      <alignment wrapText="1"/>
    </xf>
    <xf numFmtId="0" fontId="77" fillId="4" borderId="1" applyNumberFormat="0" applyAlignment="0" applyProtection="0"/>
    <xf numFmtId="0" fontId="77" fillId="16" borderId="0"/>
    <xf numFmtId="0" fontId="78" fillId="0" borderId="6" applyNumberFormat="0" applyFill="0" applyAlignment="0" applyProtection="0"/>
    <xf numFmtId="0" fontId="71" fillId="0" borderId="0"/>
    <xf numFmtId="0" fontId="79" fillId="0" borderId="0"/>
    <xf numFmtId="0" fontId="80" fillId="0" borderId="0"/>
    <xf numFmtId="0" fontId="81" fillId="4" borderId="0" applyNumberFormat="0" applyBorder="0" applyAlignment="0" applyProtection="0"/>
    <xf numFmtId="0" fontId="1" fillId="0" borderId="0"/>
    <xf numFmtId="0" fontId="10" fillId="0" borderId="0"/>
    <xf numFmtId="37" fontId="36" fillId="0" borderId="0"/>
    <xf numFmtId="0" fontId="34" fillId="0" borderId="0"/>
    <xf numFmtId="0" fontId="6" fillId="0" borderId="0"/>
    <xf numFmtId="0" fontId="6" fillId="0" borderId="0"/>
    <xf numFmtId="0" fontId="10" fillId="0" borderId="0" applyNumberFormat="0" applyFill="0" applyBorder="0" applyAlignment="0" applyProtection="0"/>
    <xf numFmtId="0" fontId="34" fillId="0" borderId="0"/>
    <xf numFmtId="0" fontId="1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212" fontId="1" fillId="0" borderId="0"/>
    <xf numFmtId="0" fontId="8" fillId="0" borderId="0"/>
    <xf numFmtId="0" fontId="99" fillId="0" borderId="0"/>
    <xf numFmtId="0" fontId="34" fillId="0" borderId="0"/>
    <xf numFmtId="0" fontId="1" fillId="4" borderId="7" applyNumberFormat="0" applyFont="0" applyAlignment="0" applyProtection="0"/>
    <xf numFmtId="0" fontId="82" fillId="12" borderId="8" applyNumberFormat="0" applyAlignment="0" applyProtection="0"/>
    <xf numFmtId="0" fontId="50" fillId="0" borderId="0">
      <alignment vertical="center"/>
    </xf>
    <xf numFmtId="0" fontId="80" fillId="0" borderId="0"/>
    <xf numFmtId="9" fontId="1" fillId="0" borderId="0" applyFont="0" applyFill="0" applyBorder="0" applyAlignment="0" applyProtection="0"/>
    <xf numFmtId="0" fontId="10" fillId="16" borderId="0" applyNumberFormat="0" applyFont="0" applyBorder="0" applyAlignment="0" applyProtection="0"/>
    <xf numFmtId="0" fontId="51" fillId="0" borderId="0"/>
    <xf numFmtId="0" fontId="83" fillId="0" borderId="0"/>
    <xf numFmtId="0" fontId="51" fillId="0" borderId="0"/>
    <xf numFmtId="0" fontId="83" fillId="0" borderId="0"/>
    <xf numFmtId="0" fontId="51" fillId="0" borderId="0"/>
    <xf numFmtId="0" fontId="83" fillId="0" borderId="0"/>
    <xf numFmtId="0" fontId="51" fillId="0" borderId="0"/>
    <xf numFmtId="0" fontId="83" fillId="0" borderId="0"/>
    <xf numFmtId="0" fontId="83" fillId="0" borderId="0"/>
    <xf numFmtId="0" fontId="83" fillId="0" borderId="0"/>
    <xf numFmtId="0" fontId="51" fillId="0" borderId="0"/>
    <xf numFmtId="0" fontId="83" fillId="0" borderId="0"/>
    <xf numFmtId="0" fontId="51" fillId="0" borderId="0"/>
    <xf numFmtId="0" fontId="83" fillId="0" borderId="0"/>
    <xf numFmtId="0" fontId="51" fillId="0" borderId="0"/>
    <xf numFmtId="0" fontId="83" fillId="0" borderId="0"/>
    <xf numFmtId="0" fontId="83" fillId="0" borderId="0"/>
    <xf numFmtId="0" fontId="104" fillId="0" borderId="0"/>
    <xf numFmtId="0" fontId="51" fillId="0" borderId="0"/>
    <xf numFmtId="0" fontId="83" fillId="0" borderId="0"/>
    <xf numFmtId="0" fontId="51" fillId="0" borderId="0"/>
    <xf numFmtId="0" fontId="83" fillId="0" borderId="0"/>
    <xf numFmtId="0" fontId="51" fillId="0" borderId="9">
      <alignment horizontal="centerContinuous"/>
    </xf>
    <xf numFmtId="0" fontId="83" fillId="0" borderId="9">
      <alignment horizontal="centerContinuous"/>
    </xf>
    <xf numFmtId="0" fontId="51" fillId="0" borderId="9">
      <alignment horizontal="centerContinuous"/>
    </xf>
    <xf numFmtId="0" fontId="83" fillId="0" borderId="9">
      <alignment horizontal="centerContinuous"/>
    </xf>
    <xf numFmtId="0" fontId="51" fillId="0" borderId="9">
      <alignment horizontal="centerContinuous"/>
    </xf>
    <xf numFmtId="0" fontId="83" fillId="0" borderId="9">
      <alignment horizontal="centerContinuous"/>
    </xf>
    <xf numFmtId="0" fontId="51" fillId="0" borderId="9">
      <alignment horizontal="centerContinuous"/>
    </xf>
    <xf numFmtId="0" fontId="83" fillId="0" borderId="9">
      <alignment horizontal="centerContinuous"/>
    </xf>
    <xf numFmtId="0" fontId="83" fillId="0" borderId="9">
      <alignment horizontal="centerContinuous"/>
    </xf>
    <xf numFmtId="0" fontId="83" fillId="0" borderId="9">
      <alignment horizontal="centerContinuous"/>
    </xf>
    <xf numFmtId="0" fontId="51" fillId="0" borderId="9">
      <alignment horizontal="centerContinuous"/>
    </xf>
    <xf numFmtId="0" fontId="83" fillId="0" borderId="9">
      <alignment horizontal="centerContinuous"/>
    </xf>
    <xf numFmtId="0" fontId="51" fillId="0" borderId="9">
      <alignment horizontal="centerContinuous"/>
    </xf>
    <xf numFmtId="0" fontId="83" fillId="0" borderId="9">
      <alignment horizontal="centerContinuous"/>
    </xf>
    <xf numFmtId="0" fontId="51" fillId="0" borderId="9">
      <alignment horizontal="centerContinuous"/>
    </xf>
    <xf numFmtId="0" fontId="83" fillId="0" borderId="9">
      <alignment horizontal="centerContinuous"/>
    </xf>
    <xf numFmtId="0" fontId="83" fillId="0" borderId="9">
      <alignment horizontal="centerContinuous"/>
    </xf>
    <xf numFmtId="0" fontId="104" fillId="0" borderId="9">
      <alignment horizontal="centerContinuous"/>
    </xf>
    <xf numFmtId="0" fontId="51" fillId="0" borderId="9">
      <alignment horizontal="centerContinuous"/>
    </xf>
    <xf numFmtId="0" fontId="83" fillId="0" borderId="9">
      <alignment horizontal="centerContinuous"/>
    </xf>
    <xf numFmtId="0" fontId="51" fillId="0" borderId="9">
      <alignment horizontal="centerContinuous"/>
    </xf>
    <xf numFmtId="0" fontId="83" fillId="0" borderId="9">
      <alignment horizontal="centerContinuous"/>
    </xf>
    <xf numFmtId="0" fontId="52" fillId="0" borderId="9"/>
    <xf numFmtId="0" fontId="10" fillId="0" borderId="0" applyFill="0" applyAlignment="0">
      <protection locked="0"/>
    </xf>
    <xf numFmtId="41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41" fontId="10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41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0" fontId="84" fillId="0" borderId="0" applyNumberFormat="0" applyFill="0" applyBorder="0" applyAlignment="0" applyProtection="0"/>
    <xf numFmtId="0" fontId="85" fillId="0" borderId="10" applyNumberFormat="0" applyFill="0" applyAlignment="0" applyProtection="0"/>
    <xf numFmtId="0" fontId="86" fillId="0" borderId="0" applyNumberFormat="0" applyFill="0" applyBorder="0" applyAlignment="0" applyProtection="0"/>
    <xf numFmtId="0" fontId="10" fillId="0" borderId="0"/>
    <xf numFmtId="0" fontId="1" fillId="16" borderId="0" applyNumberFormat="0" applyFont="0" applyBorder="0" applyAlignment="0" applyProtection="0"/>
    <xf numFmtId="44" fontId="130" fillId="0" borderId="0" applyFont="0" applyFill="0" applyBorder="0" applyAlignment="0" applyProtection="0"/>
    <xf numFmtId="0" fontId="133" fillId="0" borderId="0"/>
  </cellStyleXfs>
  <cellXfs count="2143">
    <xf numFmtId="0" fontId="0" fillId="0" borderId="0" xfId="0"/>
    <xf numFmtId="41" fontId="22" fillId="18" borderId="13" xfId="106" applyNumberFormat="1" applyFont="1" applyFill="1" applyBorder="1" applyAlignment="1">
      <alignment vertical="center"/>
    </xf>
    <xf numFmtId="0" fontId="4" fillId="18" borderId="14" xfId="106" applyFont="1" applyFill="1" applyBorder="1" applyAlignment="1">
      <alignment vertical="center"/>
    </xf>
    <xf numFmtId="0" fontId="4" fillId="18" borderId="15" xfId="106" applyFont="1" applyFill="1" applyBorder="1" applyAlignment="1">
      <alignment vertical="center"/>
    </xf>
    <xf numFmtId="41" fontId="22" fillId="18" borderId="16" xfId="106" applyNumberFormat="1" applyFont="1" applyFill="1" applyBorder="1" applyAlignment="1">
      <alignment vertical="center"/>
    </xf>
    <xf numFmtId="0" fontId="4" fillId="18" borderId="17" xfId="106" applyFont="1" applyFill="1" applyBorder="1"/>
    <xf numFmtId="0" fontId="4" fillId="18" borderId="12" xfId="106" applyFont="1" applyFill="1" applyBorder="1"/>
    <xf numFmtId="0" fontId="25" fillId="18" borderId="14" xfId="106" applyFont="1" applyFill="1" applyBorder="1"/>
    <xf numFmtId="0" fontId="25" fillId="18" borderId="15" xfId="106" applyFont="1" applyFill="1" applyBorder="1"/>
    <xf numFmtId="0" fontId="16" fillId="18" borderId="13" xfId="109" applyFont="1" applyFill="1" applyBorder="1"/>
    <xf numFmtId="0" fontId="4" fillId="18" borderId="14" xfId="106" applyFont="1" applyFill="1" applyBorder="1"/>
    <xf numFmtId="0" fontId="4" fillId="18" borderId="15" xfId="106" applyFont="1" applyFill="1" applyBorder="1"/>
    <xf numFmtId="0" fontId="16" fillId="18" borderId="13" xfId="109" applyFont="1" applyFill="1" applyBorder="1" applyAlignment="1">
      <alignment vertical="center"/>
    </xf>
    <xf numFmtId="0" fontId="7" fillId="18" borderId="14" xfId="106" applyFont="1" applyFill="1" applyBorder="1" applyAlignment="1">
      <alignment vertical="center"/>
    </xf>
    <xf numFmtId="0" fontId="30" fillId="18" borderId="15" xfId="106" applyFont="1" applyFill="1" applyBorder="1" applyAlignment="1">
      <alignment vertical="center"/>
    </xf>
    <xf numFmtId="0" fontId="7" fillId="0" borderId="0" xfId="0" applyFont="1"/>
    <xf numFmtId="0" fontId="7" fillId="18" borderId="14" xfId="106" applyFont="1" applyFill="1" applyBorder="1"/>
    <xf numFmtId="0" fontId="30" fillId="18" borderId="15" xfId="106" applyFont="1" applyFill="1" applyBorder="1"/>
    <xf numFmtId="0" fontId="4" fillId="0" borderId="0" xfId="0" applyFont="1"/>
    <xf numFmtId="183" fontId="15" fillId="17" borderId="0" xfId="105" applyNumberFormat="1" applyFont="1" applyFill="1" applyBorder="1" applyAlignment="1">
      <alignment horizontal="right"/>
    </xf>
    <xf numFmtId="187" fontId="4" fillId="17" borderId="19" xfId="103" applyNumberFormat="1" applyFont="1" applyFill="1" applyBorder="1"/>
    <xf numFmtId="0" fontId="15" fillId="19" borderId="18" xfId="103" applyFont="1" applyFill="1" applyBorder="1"/>
    <xf numFmtId="188" fontId="4" fillId="19" borderId="18" xfId="103" applyNumberFormat="1" applyFont="1" applyFill="1" applyBorder="1" applyAlignment="1">
      <alignment horizontal="center"/>
    </xf>
    <xf numFmtId="0" fontId="7" fillId="0" borderId="0" xfId="0" applyFont="1" applyBorder="1"/>
    <xf numFmtId="0" fontId="0" fillId="0" borderId="0" xfId="0" applyFill="1"/>
    <xf numFmtId="0" fontId="26" fillId="20" borderId="0" xfId="111" applyFont="1" applyFill="1" applyBorder="1" applyAlignment="1" applyProtection="1">
      <alignment horizontal="left"/>
    </xf>
    <xf numFmtId="182" fontId="14" fillId="20" borderId="0" xfId="0" applyNumberFormat="1" applyFont="1" applyFill="1" applyAlignment="1"/>
    <xf numFmtId="187" fontId="4" fillId="20" borderId="13" xfId="105" applyNumberFormat="1" applyFont="1" applyFill="1" applyBorder="1" applyAlignment="1" applyProtection="1">
      <alignment horizontal="left"/>
      <protection locked="0"/>
    </xf>
    <xf numFmtId="173" fontId="17" fillId="20" borderId="15" xfId="103" applyNumberFormat="1" applyFont="1" applyFill="1" applyBorder="1"/>
    <xf numFmtId="173" fontId="4" fillId="20" borderId="15" xfId="103" applyNumberFormat="1" applyFont="1" applyFill="1" applyBorder="1"/>
    <xf numFmtId="173" fontId="4" fillId="20" borderId="14" xfId="103" applyNumberFormat="1" applyFont="1" applyFill="1" applyBorder="1"/>
    <xf numFmtId="0" fontId="12" fillId="0" borderId="0" xfId="0" quotePrefix="1" applyFont="1" applyFill="1" applyAlignment="1" applyProtection="1">
      <alignment horizontal="left"/>
    </xf>
    <xf numFmtId="187" fontId="4" fillId="0" borderId="0" xfId="103" applyNumberFormat="1" applyFont="1" applyFill="1"/>
    <xf numFmtId="0" fontId="25" fillId="18" borderId="13" xfId="106" applyFont="1" applyFill="1" applyBorder="1"/>
    <xf numFmtId="7" fontId="4" fillId="0" borderId="0" xfId="111" applyNumberFormat="1" applyFont="1" applyFill="1" applyBorder="1" applyAlignment="1" applyProtection="1">
      <alignment horizontal="right"/>
    </xf>
    <xf numFmtId="182" fontId="4" fillId="0" borderId="15" xfId="111" applyNumberFormat="1" applyFont="1" applyFill="1" applyBorder="1" applyAlignment="1" applyProtection="1">
      <alignment horizontal="right"/>
    </xf>
    <xf numFmtId="182" fontId="4" fillId="0" borderId="14" xfId="111" applyNumberFormat="1" applyFont="1" applyFill="1" applyBorder="1" applyAlignment="1" applyProtection="1">
      <alignment horizontal="right"/>
    </xf>
    <xf numFmtId="182" fontId="4" fillId="0" borderId="20" xfId="111" applyNumberFormat="1" applyFont="1" applyFill="1" applyBorder="1" applyAlignment="1" applyProtection="1">
      <alignment horizontal="right"/>
    </xf>
    <xf numFmtId="182" fontId="4" fillId="0" borderId="0" xfId="111" applyNumberFormat="1" applyFont="1" applyFill="1" applyBorder="1" applyAlignment="1" applyProtection="1">
      <alignment horizontal="right"/>
    </xf>
    <xf numFmtId="0" fontId="10" fillId="0" borderId="0" xfId="0" applyFont="1"/>
    <xf numFmtId="173" fontId="4" fillId="0" borderId="0" xfId="111" applyNumberFormat="1" applyFont="1" applyFill="1" applyBorder="1" applyAlignment="1" applyProtection="1">
      <alignment horizontal="right"/>
    </xf>
    <xf numFmtId="173" fontId="4" fillId="0" borderId="20" xfId="111" applyNumberFormat="1" applyFont="1" applyFill="1" applyBorder="1" applyAlignment="1" applyProtection="1">
      <alignment horizontal="right"/>
    </xf>
    <xf numFmtId="0" fontId="0" fillId="0" borderId="0" xfId="0" applyBorder="1"/>
    <xf numFmtId="187" fontId="4" fillId="0" borderId="0" xfId="103" applyNumberFormat="1" applyFont="1" applyFill="1" applyAlignment="1" applyProtection="1">
      <alignment horizontal="left"/>
    </xf>
    <xf numFmtId="187" fontId="15" fillId="0" borderId="0" xfId="103" applyNumberFormat="1" applyFont="1" applyFill="1" applyAlignment="1" applyProtection="1">
      <alignment horizontal="left"/>
    </xf>
    <xf numFmtId="187" fontId="15" fillId="0" borderId="18" xfId="103" applyNumberFormat="1" applyFont="1" applyFill="1" applyBorder="1" applyAlignment="1" applyProtection="1">
      <alignment horizontal="left" vertical="center"/>
    </xf>
    <xf numFmtId="187" fontId="15" fillId="0" borderId="0" xfId="103" applyNumberFormat="1" applyFont="1" applyFill="1" applyBorder="1" applyAlignment="1" applyProtection="1">
      <alignment horizontal="left" vertical="center"/>
    </xf>
    <xf numFmtId="173" fontId="4" fillId="17" borderId="0" xfId="111" applyNumberFormat="1" applyFont="1" applyFill="1" applyAlignment="1"/>
    <xf numFmtId="173" fontId="17" fillId="0" borderId="20" xfId="111" applyNumberFormat="1" applyFont="1" applyFill="1" applyBorder="1" applyAlignment="1"/>
    <xf numFmtId="173" fontId="4" fillId="0" borderId="0" xfId="111" applyNumberFormat="1" applyFont="1" applyFill="1" applyAlignment="1"/>
    <xf numFmtId="173" fontId="17" fillId="0" borderId="0" xfId="111" applyNumberFormat="1" applyFont="1" applyFill="1" applyAlignment="1"/>
    <xf numFmtId="173" fontId="4" fillId="0" borderId="20" xfId="111" applyNumberFormat="1" applyFont="1" applyFill="1" applyBorder="1" applyAlignment="1"/>
    <xf numFmtId="173" fontId="17" fillId="17" borderId="0" xfId="111" applyNumberFormat="1" applyFont="1" applyFill="1" applyAlignment="1"/>
    <xf numFmtId="169" fontId="15" fillId="20" borderId="21" xfId="111" applyNumberFormat="1" applyFont="1" applyFill="1" applyBorder="1" applyAlignment="1" applyProtection="1"/>
    <xf numFmtId="169" fontId="15" fillId="20" borderId="22" xfId="111" applyNumberFormat="1" applyFont="1" applyFill="1" applyBorder="1" applyAlignment="1" applyProtection="1"/>
    <xf numFmtId="169" fontId="15" fillId="20" borderId="23" xfId="105" applyNumberFormat="1" applyFont="1" applyFill="1" applyBorder="1" applyAlignment="1" applyProtection="1">
      <alignment horizontal="left" vertical="center"/>
      <protection locked="0"/>
    </xf>
    <xf numFmtId="169" fontId="5" fillId="20" borderId="24" xfId="103" applyNumberFormat="1" applyFont="1" applyFill="1" applyBorder="1" applyAlignment="1" applyProtection="1">
      <alignment horizontal="right" vertical="center"/>
    </xf>
    <xf numFmtId="169" fontId="15" fillId="20" borderId="18" xfId="103" applyNumberFormat="1" applyFont="1" applyFill="1" applyBorder="1" applyAlignment="1" applyProtection="1">
      <alignment horizontal="right" vertical="center"/>
    </xf>
    <xf numFmtId="169" fontId="5" fillId="20" borderId="18" xfId="103" applyNumberFormat="1" applyFont="1" applyFill="1" applyBorder="1" applyAlignment="1" applyProtection="1">
      <alignment horizontal="right" vertical="center"/>
    </xf>
    <xf numFmtId="169" fontId="15" fillId="20" borderId="24" xfId="103" applyNumberFormat="1" applyFont="1" applyFill="1" applyBorder="1" applyAlignment="1" applyProtection="1">
      <alignment horizontal="right" vertical="center"/>
    </xf>
    <xf numFmtId="173" fontId="7" fillId="0" borderId="0" xfId="0" applyNumberFormat="1" applyFont="1" applyFill="1" applyBorder="1"/>
    <xf numFmtId="173" fontId="7" fillId="0" borderId="25" xfId="0" applyNumberFormat="1" applyFont="1" applyFill="1" applyBorder="1"/>
    <xf numFmtId="0" fontId="7" fillId="0" borderId="25" xfId="96" applyFont="1" applyFill="1" applyBorder="1"/>
    <xf numFmtId="173" fontId="7" fillId="0" borderId="20" xfId="0" applyNumberFormat="1" applyFont="1" applyFill="1" applyBorder="1"/>
    <xf numFmtId="165" fontId="28" fillId="0" borderId="0" xfId="0" applyNumberFormat="1" applyFont="1" applyFill="1" applyBorder="1"/>
    <xf numFmtId="165" fontId="28" fillId="0" borderId="25" xfId="0" applyNumberFormat="1" applyFont="1" applyFill="1" applyBorder="1"/>
    <xf numFmtId="165" fontId="28" fillId="0" borderId="20" xfId="0" applyNumberFormat="1" applyFont="1" applyFill="1" applyBorder="1"/>
    <xf numFmtId="0" fontId="10" fillId="0" borderId="0" xfId="0" applyFont="1" applyFill="1" applyBorder="1" applyAlignment="1">
      <alignment horizontal="right"/>
    </xf>
    <xf numFmtId="0" fontId="10" fillId="0" borderId="0" xfId="0" applyFont="1" applyFill="1" applyBorder="1"/>
    <xf numFmtId="0" fontId="9" fillId="0" borderId="0" xfId="0" applyFont="1" applyFill="1" applyBorder="1"/>
    <xf numFmtId="0" fontId="4" fillId="0" borderId="0" xfId="0" applyFont="1" applyFill="1" applyBorder="1"/>
    <xf numFmtId="0" fontId="0" fillId="0" borderId="0" xfId="0" applyFill="1" applyBorder="1"/>
    <xf numFmtId="0" fontId="15" fillId="0" borderId="0" xfId="0" applyFont="1" applyFill="1" applyBorder="1"/>
    <xf numFmtId="0" fontId="4" fillId="0" borderId="0" xfId="0" applyFont="1" applyFill="1"/>
    <xf numFmtId="49" fontId="0" fillId="0" borderId="0" xfId="0" applyNumberFormat="1"/>
    <xf numFmtId="0" fontId="14" fillId="18" borderId="14" xfId="106" applyFont="1" applyFill="1" applyBorder="1"/>
    <xf numFmtId="169" fontId="14" fillId="18" borderId="14" xfId="106" applyNumberFormat="1" applyFont="1" applyFill="1" applyBorder="1"/>
    <xf numFmtId="169" fontId="14" fillId="18" borderId="15" xfId="106" applyNumberFormat="1" applyFont="1" applyFill="1" applyBorder="1"/>
    <xf numFmtId="0" fontId="4" fillId="20" borderId="18" xfId="0" applyFont="1" applyFill="1" applyBorder="1"/>
    <xf numFmtId="0" fontId="4" fillId="18" borderId="13" xfId="106" applyFont="1" applyFill="1" applyBorder="1"/>
    <xf numFmtId="0" fontId="4" fillId="18" borderId="0" xfId="106" applyFont="1" applyFill="1" applyBorder="1"/>
    <xf numFmtId="169" fontId="14" fillId="18" borderId="20" xfId="106" applyNumberFormat="1" applyFont="1" applyFill="1" applyBorder="1"/>
    <xf numFmtId="169" fontId="14" fillId="18" borderId="0" xfId="106" applyNumberFormat="1" applyFont="1" applyFill="1" applyBorder="1"/>
    <xf numFmtId="169" fontId="14" fillId="18" borderId="26" xfId="106" applyNumberFormat="1" applyFont="1" applyFill="1" applyBorder="1"/>
    <xf numFmtId="173" fontId="4" fillId="0" borderId="0" xfId="0" applyNumberFormat="1" applyFont="1" applyFill="1"/>
    <xf numFmtId="0" fontId="1" fillId="0" borderId="0" xfId="0" applyFont="1"/>
    <xf numFmtId="0" fontId="1" fillId="0" borderId="0" xfId="0" applyFont="1" applyFill="1" applyBorder="1"/>
    <xf numFmtId="0" fontId="4" fillId="0" borderId="25" xfId="104" applyFont="1" applyFill="1" applyBorder="1"/>
    <xf numFmtId="170" fontId="18" fillId="0" borderId="26" xfId="73" applyNumberFormat="1" applyFont="1" applyFill="1" applyBorder="1" applyAlignment="1">
      <alignment horizontal="right"/>
    </xf>
    <xf numFmtId="170" fontId="4" fillId="0" borderId="0" xfId="73" applyNumberFormat="1" applyFont="1" applyFill="1" applyBorder="1" applyAlignment="1">
      <alignment horizontal="right"/>
    </xf>
    <xf numFmtId="7" fontId="18" fillId="0" borderId="0" xfId="106" applyNumberFormat="1" applyFont="1" applyFill="1" applyBorder="1" applyAlignment="1">
      <alignment vertical="center"/>
    </xf>
    <xf numFmtId="9" fontId="4" fillId="0" borderId="26" xfId="116" applyFont="1" applyFill="1" applyBorder="1"/>
    <xf numFmtId="9" fontId="4" fillId="0" borderId="18" xfId="116" applyFont="1" applyFill="1" applyBorder="1"/>
    <xf numFmtId="9" fontId="4" fillId="0" borderId="0" xfId="116" applyFont="1" applyFill="1" applyBorder="1"/>
    <xf numFmtId="9" fontId="15" fillId="20" borderId="0" xfId="106" applyNumberFormat="1" applyFont="1" applyFill="1" applyBorder="1"/>
    <xf numFmtId="165" fontId="20" fillId="20" borderId="0" xfId="106" applyNumberFormat="1" applyFont="1" applyFill="1" applyBorder="1"/>
    <xf numFmtId="165" fontId="20" fillId="20" borderId="20" xfId="106" applyNumberFormat="1" applyFont="1" applyFill="1" applyBorder="1"/>
    <xf numFmtId="0" fontId="7" fillId="0" borderId="0" xfId="0" applyFont="1" applyFill="1"/>
    <xf numFmtId="185" fontId="4" fillId="0" borderId="15" xfId="163" applyNumberFormat="1" applyFont="1" applyFill="1" applyBorder="1">
      <protection locked="0"/>
    </xf>
    <xf numFmtId="178" fontId="4" fillId="0" borderId="20" xfId="163" applyNumberFormat="1" applyFont="1" applyFill="1" applyBorder="1">
      <protection locked="0"/>
    </xf>
    <xf numFmtId="173" fontId="4" fillId="0" borderId="20" xfId="163" applyNumberFormat="1" applyFont="1" applyFill="1" applyBorder="1">
      <protection locked="0"/>
    </xf>
    <xf numFmtId="169" fontId="12" fillId="0" borderId="24" xfId="0" applyNumberFormat="1" applyFont="1" applyFill="1" applyBorder="1" applyAlignment="1" applyProtection="1">
      <alignment horizontal="left"/>
    </xf>
    <xf numFmtId="0" fontId="4" fillId="18" borderId="13" xfId="106" applyFont="1" applyFill="1" applyBorder="1" applyAlignment="1">
      <alignment vertical="center"/>
    </xf>
    <xf numFmtId="165" fontId="7" fillId="0" borderId="0" xfId="116" applyNumberFormat="1" applyFont="1" applyFill="1"/>
    <xf numFmtId="165" fontId="17" fillId="0" borderId="0" xfId="116" applyNumberFormat="1" applyFont="1" applyFill="1" applyBorder="1"/>
    <xf numFmtId="0" fontId="16" fillId="18" borderId="15" xfId="109" applyFont="1" applyFill="1" applyBorder="1"/>
    <xf numFmtId="9" fontId="13" fillId="20" borderId="0" xfId="106" applyNumberFormat="1" applyFont="1" applyFill="1" applyBorder="1" applyAlignment="1">
      <alignment horizontal="right"/>
    </xf>
    <xf numFmtId="9" fontId="13" fillId="20" borderId="25" xfId="106" applyNumberFormat="1" applyFont="1" applyFill="1" applyBorder="1" applyAlignment="1">
      <alignment horizontal="right"/>
    </xf>
    <xf numFmtId="9" fontId="13" fillId="20" borderId="20" xfId="106" applyNumberFormat="1" applyFont="1" applyFill="1" applyBorder="1" applyAlignment="1">
      <alignment horizontal="right"/>
    </xf>
    <xf numFmtId="9" fontId="4" fillId="0" borderId="0" xfId="107" applyNumberFormat="1" applyFont="1" applyFill="1" applyBorder="1"/>
    <xf numFmtId="173" fontId="4" fillId="0" borderId="0" xfId="106" applyNumberFormat="1" applyFont="1" applyFill="1" applyBorder="1"/>
    <xf numFmtId="0" fontId="6" fillId="20" borderId="0" xfId="100" applyFont="1" applyFill="1"/>
    <xf numFmtId="0" fontId="15" fillId="20" borderId="0" xfId="0" applyFont="1" applyFill="1" applyProtection="1"/>
    <xf numFmtId="0" fontId="15" fillId="20" borderId="0" xfId="0" applyFont="1" applyFill="1"/>
    <xf numFmtId="173" fontId="0" fillId="0" borderId="0" xfId="0" applyNumberFormat="1"/>
    <xf numFmtId="198" fontId="14" fillId="20" borderId="0" xfId="72" applyNumberFormat="1" applyFont="1" applyFill="1" applyAlignment="1"/>
    <xf numFmtId="0" fontId="4" fillId="18" borderId="31" xfId="106" applyFont="1" applyFill="1" applyBorder="1" applyAlignment="1">
      <alignment vertical="center"/>
    </xf>
    <xf numFmtId="7" fontId="62" fillId="0" borderId="0" xfId="106" applyNumberFormat="1" applyFont="1" applyFill="1" applyBorder="1"/>
    <xf numFmtId="7" fontId="58" fillId="0" borderId="25" xfId="106" applyNumberFormat="1" applyFont="1" applyFill="1" applyBorder="1"/>
    <xf numFmtId="7" fontId="58" fillId="0" borderId="0" xfId="106" applyNumberFormat="1" applyFont="1" applyFill="1" applyBorder="1"/>
    <xf numFmtId="7" fontId="58" fillId="0" borderId="26" xfId="106" applyNumberFormat="1" applyFont="1" applyFill="1" applyBorder="1"/>
    <xf numFmtId="7" fontId="58" fillId="0" borderId="20" xfId="106" applyNumberFormat="1" applyFont="1" applyFill="1" applyBorder="1"/>
    <xf numFmtId="7" fontId="2" fillId="0" borderId="0" xfId="0" applyNumberFormat="1" applyFont="1" applyFill="1" applyBorder="1"/>
    <xf numFmtId="7" fontId="20" fillId="0" borderId="0" xfId="106" applyNumberFormat="1" applyFont="1" applyFill="1" applyBorder="1"/>
    <xf numFmtId="0" fontId="35" fillId="0" borderId="0" xfId="111" applyFont="1" applyFill="1" applyBorder="1" applyAlignment="1" applyProtection="1">
      <alignment horizontal="left"/>
    </xf>
    <xf numFmtId="0" fontId="15" fillId="17" borderId="0" xfId="111" applyFont="1" applyFill="1" applyBorder="1"/>
    <xf numFmtId="169" fontId="15" fillId="20" borderId="0" xfId="111" applyNumberFormat="1" applyFont="1" applyFill="1" applyBorder="1" applyAlignment="1" applyProtection="1">
      <alignment horizontal="left"/>
    </xf>
    <xf numFmtId="185" fontId="4" fillId="0" borderId="0" xfId="163" applyNumberFormat="1" applyFont="1" applyFill="1" applyBorder="1">
      <protection locked="0"/>
    </xf>
    <xf numFmtId="178" fontId="4" fillId="0" borderId="0" xfId="163" applyNumberFormat="1" applyFont="1" applyFill="1" applyBorder="1">
      <protection locked="0"/>
    </xf>
    <xf numFmtId="173" fontId="4" fillId="0" borderId="0" xfId="163" applyNumberFormat="1" applyFont="1" applyFill="1" applyBorder="1">
      <protection locked="0"/>
    </xf>
    <xf numFmtId="0" fontId="7" fillId="0" borderId="0" xfId="96" applyFont="1" applyFill="1" applyBorder="1"/>
    <xf numFmtId="41" fontId="22" fillId="18" borderId="12" xfId="106" applyNumberFormat="1" applyFont="1" applyFill="1" applyBorder="1" applyAlignment="1">
      <alignment vertical="center"/>
    </xf>
    <xf numFmtId="41" fontId="22" fillId="18" borderId="14" xfId="106" applyNumberFormat="1" applyFont="1" applyFill="1" applyBorder="1" applyAlignment="1">
      <alignment vertical="center"/>
    </xf>
    <xf numFmtId="200" fontId="27" fillId="0" borderId="16" xfId="0" applyNumberFormat="1" applyFont="1" applyFill="1" applyBorder="1" applyAlignment="1">
      <alignment horizontal="centerContinuous"/>
    </xf>
    <xf numFmtId="187" fontId="27" fillId="0" borderId="12" xfId="0" applyNumberFormat="1" applyFont="1" applyFill="1" applyBorder="1" applyAlignment="1">
      <alignment horizontal="centerContinuous"/>
    </xf>
    <xf numFmtId="200" fontId="27" fillId="0" borderId="15" xfId="0" applyNumberFormat="1" applyFont="1" applyFill="1" applyBorder="1" applyAlignment="1">
      <alignment horizontal="center"/>
    </xf>
    <xf numFmtId="0" fontId="15" fillId="0" borderId="0" xfId="106" applyFont="1" applyFill="1" applyBorder="1" applyAlignment="1">
      <alignment horizontal="center"/>
    </xf>
    <xf numFmtId="183" fontId="27" fillId="0" borderId="0" xfId="0" applyNumberFormat="1" applyFont="1" applyFill="1" applyBorder="1" applyAlignment="1">
      <alignment horizontal="right"/>
    </xf>
    <xf numFmtId="201" fontId="27" fillId="0" borderId="16" xfId="0" applyNumberFormat="1" applyFont="1" applyFill="1" applyBorder="1" applyAlignment="1">
      <alignment horizontal="centerContinuous"/>
    </xf>
    <xf numFmtId="201" fontId="27" fillId="0" borderId="15" xfId="0" applyNumberFormat="1" applyFont="1" applyFill="1" applyBorder="1" applyAlignment="1">
      <alignment horizontal="center"/>
    </xf>
    <xf numFmtId="172" fontId="29" fillId="18" borderId="32" xfId="0" applyNumberFormat="1" applyFont="1" applyFill="1" applyBorder="1" applyAlignment="1">
      <alignment horizontal="center"/>
    </xf>
    <xf numFmtId="172" fontId="29" fillId="18" borderId="33" xfId="0" applyNumberFormat="1" applyFont="1" applyFill="1" applyBorder="1" applyAlignment="1">
      <alignment horizontal="center"/>
    </xf>
    <xf numFmtId="172" fontId="27" fillId="0" borderId="34" xfId="0" applyNumberFormat="1" applyFont="1" applyFill="1" applyBorder="1" applyAlignment="1">
      <alignment horizontal="right"/>
    </xf>
    <xf numFmtId="172" fontId="15" fillId="0" borderId="19" xfId="106" applyNumberFormat="1" applyFont="1" applyFill="1" applyBorder="1" applyAlignment="1">
      <alignment horizontal="center"/>
    </xf>
    <xf numFmtId="172" fontId="27" fillId="0" borderId="19" xfId="0" applyNumberFormat="1" applyFont="1" applyFill="1" applyBorder="1" applyAlignment="1">
      <alignment horizontal="right"/>
    </xf>
    <xf numFmtId="172" fontId="27" fillId="0" borderId="33" xfId="0" applyNumberFormat="1" applyFont="1" applyFill="1" applyBorder="1" applyAlignment="1">
      <alignment horizontal="center"/>
    </xf>
    <xf numFmtId="172" fontId="27" fillId="0" borderId="32" xfId="0" applyNumberFormat="1" applyFont="1" applyFill="1" applyBorder="1" applyAlignment="1">
      <alignment horizontal="center"/>
    </xf>
    <xf numFmtId="172" fontId="27" fillId="0" borderId="35" xfId="0" applyNumberFormat="1" applyFont="1" applyFill="1" applyBorder="1" applyAlignment="1">
      <alignment horizontal="center"/>
    </xf>
    <xf numFmtId="41" fontId="15" fillId="0" borderId="25" xfId="106" applyNumberFormat="1" applyFont="1" applyFill="1" applyBorder="1"/>
    <xf numFmtId="0" fontId="7" fillId="0" borderId="0" xfId="0" applyFont="1" applyFill="1" applyBorder="1"/>
    <xf numFmtId="9" fontId="15" fillId="0" borderId="0" xfId="107" applyNumberFormat="1" applyFont="1" applyFill="1" applyBorder="1"/>
    <xf numFmtId="0" fontId="15" fillId="0" borderId="0" xfId="0" applyFont="1"/>
    <xf numFmtId="0" fontId="16" fillId="18" borderId="0" xfId="107" applyFont="1" applyFill="1" applyBorder="1" applyAlignment="1">
      <alignment horizontal="left"/>
    </xf>
    <xf numFmtId="0" fontId="16" fillId="18" borderId="0" xfId="107" applyFont="1" applyFill="1" applyBorder="1" applyAlignment="1">
      <alignment horizontal="right"/>
    </xf>
    <xf numFmtId="0" fontId="16" fillId="18" borderId="25" xfId="107" applyFont="1" applyFill="1" applyBorder="1" applyAlignment="1">
      <alignment horizontal="left"/>
    </xf>
    <xf numFmtId="0" fontId="10" fillId="18" borderId="0" xfId="107" applyFill="1" applyBorder="1" applyAlignment="1"/>
    <xf numFmtId="0" fontId="16" fillId="18" borderId="0" xfId="107" applyFont="1" applyFill="1" applyAlignment="1">
      <alignment horizontal="right"/>
    </xf>
    <xf numFmtId="0" fontId="16" fillId="18" borderId="26" xfId="107" applyFont="1" applyFill="1" applyBorder="1" applyAlignment="1">
      <alignment horizontal="right"/>
    </xf>
    <xf numFmtId="0" fontId="16" fillId="18" borderId="0" xfId="107" applyFont="1" applyFill="1" applyAlignment="1">
      <alignment horizontal="left"/>
    </xf>
    <xf numFmtId="0" fontId="10" fillId="18" borderId="0" xfId="107" applyFill="1"/>
    <xf numFmtId="0" fontId="15" fillId="0" borderId="0" xfId="109" applyFont="1" applyFill="1" applyBorder="1" applyAlignment="1">
      <alignment vertical="center"/>
    </xf>
    <xf numFmtId="9" fontId="15" fillId="0" borderId="25" xfId="107" applyNumberFormat="1" applyFont="1" applyFill="1" applyBorder="1"/>
    <xf numFmtId="9" fontId="15" fillId="0" borderId="26" xfId="107" applyNumberFormat="1" applyFont="1" applyFill="1" applyBorder="1"/>
    <xf numFmtId="9" fontId="15" fillId="0" borderId="20" xfId="107" applyNumberFormat="1" applyFont="1" applyFill="1" applyBorder="1"/>
    <xf numFmtId="165" fontId="15" fillId="0" borderId="0" xfId="107" applyNumberFormat="1" applyFont="1" applyFill="1" applyBorder="1"/>
    <xf numFmtId="165" fontId="15" fillId="0" borderId="25" xfId="107" applyNumberFormat="1" applyFont="1" applyFill="1" applyBorder="1"/>
    <xf numFmtId="165" fontId="15" fillId="0" borderId="20" xfId="107" applyNumberFormat="1" applyFont="1" applyFill="1" applyBorder="1"/>
    <xf numFmtId="0" fontId="4" fillId="0" borderId="0" xfId="107" applyFont="1" applyFill="1" applyBorder="1" applyAlignment="1">
      <alignment horizontal="left"/>
    </xf>
    <xf numFmtId="165" fontId="4" fillId="0" borderId="20" xfId="107" applyNumberFormat="1" applyFont="1" applyFill="1" applyBorder="1"/>
    <xf numFmtId="9" fontId="15" fillId="0" borderId="18" xfId="107" applyNumberFormat="1" applyFont="1" applyFill="1" applyBorder="1"/>
    <xf numFmtId="9" fontId="15" fillId="0" borderId="23" xfId="107" applyNumberFormat="1" applyFont="1" applyFill="1" applyBorder="1"/>
    <xf numFmtId="0" fontId="0" fillId="0" borderId="25" xfId="0" applyBorder="1"/>
    <xf numFmtId="0" fontId="15" fillId="0" borderId="18" xfId="107" applyFont="1" applyFill="1" applyBorder="1" applyAlignment="1">
      <alignment horizontal="left"/>
    </xf>
    <xf numFmtId="0" fontId="9" fillId="0" borderId="23" xfId="107" applyFont="1" applyFill="1" applyBorder="1" applyAlignment="1"/>
    <xf numFmtId="0" fontId="0" fillId="0" borderId="25" xfId="0" applyFill="1" applyBorder="1"/>
    <xf numFmtId="0" fontId="15" fillId="0" borderId="23" xfId="107" applyFont="1" applyFill="1" applyBorder="1" applyAlignment="1">
      <alignment horizontal="left"/>
    </xf>
    <xf numFmtId="9" fontId="4" fillId="0" borderId="25" xfId="107" applyNumberFormat="1" applyFont="1" applyFill="1" applyBorder="1"/>
    <xf numFmtId="0" fontId="15" fillId="0" borderId="24" xfId="107" applyFont="1" applyFill="1" applyBorder="1" applyAlignment="1">
      <alignment horizontal="left"/>
    </xf>
    <xf numFmtId="0" fontId="15" fillId="0" borderId="20" xfId="109" applyFont="1" applyFill="1" applyBorder="1" applyAlignment="1">
      <alignment vertical="center"/>
    </xf>
    <xf numFmtId="0" fontId="15" fillId="0" borderId="25" xfId="109" applyFont="1" applyFill="1" applyBorder="1" applyAlignment="1">
      <alignment horizontal="left"/>
    </xf>
    <xf numFmtId="0" fontId="13" fillId="0" borderId="25" xfId="109" applyFont="1" applyFill="1" applyBorder="1" applyAlignment="1">
      <alignment horizontal="left"/>
    </xf>
    <xf numFmtId="0" fontId="15" fillId="0" borderId="23" xfId="109" applyFont="1" applyFill="1" applyBorder="1" applyAlignment="1">
      <alignment horizontal="left"/>
    </xf>
    <xf numFmtId="0" fontId="4" fillId="0" borderId="25" xfId="109" applyFont="1" applyFill="1" applyBorder="1" applyAlignment="1"/>
    <xf numFmtId="0" fontId="4" fillId="0" borderId="25" xfId="109" applyFont="1" applyFill="1" applyBorder="1" applyAlignment="1">
      <alignment horizontal="left"/>
    </xf>
    <xf numFmtId="0" fontId="4" fillId="0" borderId="25" xfId="109" applyFont="1" applyFill="1" applyBorder="1" applyAlignment="1">
      <alignment horizontal="left" wrapText="1"/>
    </xf>
    <xf numFmtId="169" fontId="15" fillId="20" borderId="20" xfId="109" applyNumberFormat="1" applyFont="1" applyFill="1" applyBorder="1" applyAlignment="1">
      <alignment horizontal="left" indent="2"/>
    </xf>
    <xf numFmtId="169" fontId="27" fillId="20" borderId="0" xfId="106" applyNumberFormat="1" applyFont="1" applyFill="1" applyBorder="1" applyAlignment="1">
      <alignment horizontal="center"/>
    </xf>
    <xf numFmtId="169" fontId="15" fillId="20" borderId="0" xfId="106" applyNumberFormat="1" applyFont="1" applyFill="1" applyBorder="1" applyAlignment="1">
      <alignment horizontal="center"/>
    </xf>
    <xf numFmtId="169" fontId="15" fillId="20" borderId="26" xfId="106" applyNumberFormat="1" applyFont="1" applyFill="1" applyBorder="1" applyAlignment="1">
      <alignment horizontal="center"/>
    </xf>
    <xf numFmtId="169" fontId="15" fillId="20" borderId="20" xfId="106" applyNumberFormat="1" applyFont="1" applyFill="1" applyBorder="1" applyAlignment="1">
      <alignment horizontal="center"/>
    </xf>
    <xf numFmtId="169" fontId="27" fillId="20" borderId="29" xfId="106" applyNumberFormat="1" applyFont="1" applyFill="1" applyBorder="1" applyAlignment="1">
      <alignment horizontal="center"/>
    </xf>
    <xf numFmtId="169" fontId="15" fillId="20" borderId="0" xfId="72" applyNumberFormat="1" applyFont="1" applyFill="1" applyBorder="1" applyAlignment="1">
      <alignment horizontal="center"/>
    </xf>
    <xf numFmtId="169" fontId="15" fillId="20" borderId="25" xfId="106" applyNumberFormat="1" applyFont="1" applyFill="1" applyBorder="1" applyAlignment="1">
      <alignment horizontal="center"/>
    </xf>
    <xf numFmtId="169" fontId="7" fillId="20" borderId="0" xfId="106" applyNumberFormat="1" applyFont="1" applyFill="1" applyBorder="1"/>
    <xf numFmtId="165" fontId="7" fillId="0" borderId="24" xfId="116" applyNumberFormat="1" applyFont="1" applyFill="1" applyBorder="1" applyAlignment="1">
      <alignment horizontal="center"/>
    </xf>
    <xf numFmtId="9" fontId="17" fillId="0" borderId="0" xfId="107" applyNumberFormat="1" applyFont="1" applyFill="1" applyBorder="1"/>
    <xf numFmtId="165" fontId="17" fillId="0" borderId="25" xfId="107" applyNumberFormat="1" applyFont="1" applyFill="1" applyBorder="1"/>
    <xf numFmtId="165" fontId="17" fillId="0" borderId="0" xfId="107" applyNumberFormat="1" applyFont="1" applyFill="1" applyBorder="1"/>
    <xf numFmtId="165" fontId="17" fillId="0" borderId="26" xfId="107" applyNumberFormat="1" applyFont="1" applyFill="1" applyBorder="1"/>
    <xf numFmtId="186" fontId="15" fillId="0" borderId="0" xfId="72" applyNumberFormat="1" applyFont="1" applyFill="1" applyBorder="1"/>
    <xf numFmtId="186" fontId="17" fillId="0" borderId="25" xfId="72" applyNumberFormat="1" applyFont="1" applyFill="1" applyBorder="1"/>
    <xf numFmtId="186" fontId="17" fillId="0" borderId="0" xfId="72" applyNumberFormat="1" applyFont="1" applyFill="1" applyBorder="1"/>
    <xf numFmtId="186" fontId="4" fillId="0" borderId="26" xfId="72" applyNumberFormat="1" applyFont="1" applyFill="1" applyBorder="1"/>
    <xf numFmtId="186" fontId="17" fillId="0" borderId="20" xfId="72" applyNumberFormat="1" applyFont="1" applyFill="1" applyBorder="1"/>
    <xf numFmtId="186" fontId="19" fillId="0" borderId="0" xfId="72" applyNumberFormat="1" applyFont="1" applyFill="1" applyBorder="1"/>
    <xf numFmtId="186" fontId="4" fillId="0" borderId="20" xfId="72" applyNumberFormat="1" applyFont="1" applyFill="1" applyBorder="1"/>
    <xf numFmtId="186" fontId="4" fillId="0" borderId="25" xfId="72" applyNumberFormat="1" applyFont="1" applyFill="1" applyBorder="1"/>
    <xf numFmtId="186" fontId="4" fillId="0" borderId="0" xfId="72" applyNumberFormat="1" applyFont="1" applyFill="1" applyBorder="1"/>
    <xf numFmtId="186" fontId="10" fillId="0" borderId="0" xfId="72" applyNumberFormat="1" applyFont="1" applyFill="1" applyBorder="1"/>
    <xf numFmtId="0" fontId="90" fillId="0" borderId="0" xfId="100" applyFont="1" applyFill="1" applyBorder="1" applyAlignment="1" applyProtection="1">
      <alignment horizontal="left"/>
    </xf>
    <xf numFmtId="0" fontId="1" fillId="0" borderId="0" xfId="0" applyFont="1" applyFill="1"/>
    <xf numFmtId="9" fontId="1" fillId="0" borderId="0" xfId="116" applyFont="1" applyFill="1"/>
    <xf numFmtId="9" fontId="1" fillId="0" borderId="0" xfId="0" applyNumberFormat="1" applyFont="1" applyFill="1"/>
    <xf numFmtId="0" fontId="91" fillId="0" borderId="0" xfId="100" applyFont="1" applyFill="1" applyBorder="1" applyAlignment="1" applyProtection="1">
      <alignment horizontal="left"/>
    </xf>
    <xf numFmtId="0" fontId="1" fillId="0" borderId="18" xfId="0" applyFont="1" applyFill="1" applyBorder="1"/>
    <xf numFmtId="202" fontId="1" fillId="0" borderId="18" xfId="0" applyNumberFormat="1" applyFont="1" applyFill="1" applyBorder="1"/>
    <xf numFmtId="0" fontId="92" fillId="0" borderId="36" xfId="100" applyFont="1" applyFill="1" applyBorder="1" applyAlignment="1" applyProtection="1">
      <alignment horizontal="left"/>
    </xf>
    <xf numFmtId="0" fontId="7" fillId="0" borderId="36" xfId="0" applyFont="1" applyFill="1" applyBorder="1"/>
    <xf numFmtId="37" fontId="7" fillId="0" borderId="36" xfId="0" applyNumberFormat="1" applyFont="1" applyFill="1" applyBorder="1"/>
    <xf numFmtId="167" fontId="7" fillId="0" borderId="36" xfId="72" applyNumberFormat="1" applyFont="1" applyFill="1" applyBorder="1"/>
    <xf numFmtId="198" fontId="7" fillId="0" borderId="36" xfId="72" applyNumberFormat="1" applyFont="1" applyFill="1" applyBorder="1"/>
    <xf numFmtId="0" fontId="7" fillId="0" borderId="0" xfId="100" applyFont="1" applyFill="1" applyBorder="1" applyAlignment="1">
      <alignment horizontal="left"/>
    </xf>
    <xf numFmtId="10" fontId="7" fillId="0" borderId="0" xfId="0" applyNumberFormat="1" applyFont="1" applyFill="1"/>
    <xf numFmtId="37" fontId="7" fillId="0" borderId="0" xfId="0" applyNumberFormat="1" applyFont="1" applyFill="1"/>
    <xf numFmtId="0" fontId="7" fillId="0" borderId="0" xfId="0" applyFont="1" applyFill="1" applyBorder="1" applyAlignment="1">
      <alignment horizontal="center"/>
    </xf>
    <xf numFmtId="0" fontId="7" fillId="0" borderId="0" xfId="100" applyFont="1" applyFill="1" applyBorder="1" applyAlignment="1">
      <alignment horizontal="center"/>
    </xf>
    <xf numFmtId="0" fontId="7" fillId="20" borderId="0" xfId="0" applyFont="1" applyFill="1" applyBorder="1" applyAlignment="1">
      <alignment horizontal="center"/>
    </xf>
    <xf numFmtId="0" fontId="7" fillId="20" borderId="0" xfId="0" applyFont="1" applyFill="1" applyBorder="1" applyAlignment="1" applyProtection="1">
      <alignment horizontal="center"/>
    </xf>
    <xf numFmtId="0" fontId="7" fillId="20" borderId="0" xfId="102" applyFont="1" applyFill="1" applyBorder="1"/>
    <xf numFmtId="0" fontId="27" fillId="0" borderId="0" xfId="0" applyFont="1" applyFill="1" applyBorder="1" applyAlignment="1" applyProtection="1">
      <alignment horizontal="left"/>
    </xf>
    <xf numFmtId="200" fontId="27" fillId="0" borderId="13" xfId="0" applyNumberFormat="1" applyFont="1" applyFill="1" applyBorder="1" applyAlignment="1">
      <alignment horizontal="centerContinuous"/>
    </xf>
    <xf numFmtId="200" fontId="27" fillId="0" borderId="14" xfId="0" applyNumberFormat="1" applyFont="1" applyFill="1" applyBorder="1" applyAlignment="1">
      <alignment horizontal="centerContinuous"/>
    </xf>
    <xf numFmtId="200" fontId="27" fillId="0" borderId="31" xfId="0" applyNumberFormat="1" applyFont="1" applyFill="1" applyBorder="1" applyAlignment="1">
      <alignment horizontal="centerContinuous"/>
    </xf>
    <xf numFmtId="201" fontId="27" fillId="0" borderId="13" xfId="0" applyNumberFormat="1" applyFont="1" applyFill="1" applyBorder="1" applyAlignment="1">
      <alignment horizontal="centerContinuous"/>
    </xf>
    <xf numFmtId="0" fontId="7" fillId="0" borderId="27" xfId="0" applyNumberFormat="1" applyFont="1" applyFill="1" applyBorder="1"/>
    <xf numFmtId="0" fontId="27" fillId="0" borderId="27" xfId="0" applyNumberFormat="1" applyFont="1" applyFill="1" applyBorder="1" applyAlignment="1">
      <alignment horizontal="center"/>
    </xf>
    <xf numFmtId="0" fontId="27" fillId="0" borderId="30" xfId="0" applyNumberFormat="1" applyFont="1" applyFill="1" applyBorder="1" applyAlignment="1">
      <alignment horizontal="center"/>
    </xf>
    <xf numFmtId="172" fontId="29" fillId="18" borderId="37" xfId="0" applyNumberFormat="1" applyFont="1" applyFill="1" applyBorder="1" applyAlignment="1">
      <alignment horizontal="right"/>
    </xf>
    <xf numFmtId="172" fontId="29" fillId="18" borderId="27" xfId="0" applyNumberFormat="1" applyFont="1" applyFill="1" applyBorder="1" applyAlignment="1">
      <alignment horizontal="center"/>
    </xf>
    <xf numFmtId="0" fontId="27" fillId="0" borderId="38" xfId="0" applyNumberFormat="1" applyFont="1" applyFill="1" applyBorder="1" applyAlignment="1">
      <alignment horizontal="right"/>
    </xf>
    <xf numFmtId="0" fontId="27" fillId="0" borderId="27" xfId="0" applyNumberFormat="1" applyFont="1" applyFill="1" applyBorder="1" applyAlignment="1">
      <alignment horizontal="right"/>
    </xf>
    <xf numFmtId="172" fontId="27" fillId="0" borderId="27" xfId="0" applyNumberFormat="1" applyFont="1" applyFill="1" applyBorder="1" applyAlignment="1">
      <alignment horizontal="center"/>
    </xf>
    <xf numFmtId="172" fontId="27" fillId="0" borderId="37" xfId="0" applyNumberFormat="1" applyFont="1" applyFill="1" applyBorder="1" applyAlignment="1">
      <alignment horizontal="right"/>
    </xf>
    <xf numFmtId="0" fontId="27" fillId="0" borderId="0" xfId="0" applyNumberFormat="1" applyFont="1" applyFill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Fill="1" applyBorder="1" applyAlignment="1">
      <alignment horizontal="center"/>
    </xf>
    <xf numFmtId="0" fontId="27" fillId="0" borderId="39" xfId="0" applyNumberFormat="1" applyFont="1" applyFill="1" applyBorder="1" applyAlignment="1">
      <alignment horizontal="center"/>
    </xf>
    <xf numFmtId="0" fontId="27" fillId="0" borderId="40" xfId="0" applyNumberFormat="1" applyFont="1" applyFill="1" applyBorder="1" applyAlignment="1">
      <alignment horizontal="center"/>
    </xf>
    <xf numFmtId="0" fontId="27" fillId="0" borderId="41" xfId="0" applyNumberFormat="1" applyFont="1" applyFill="1" applyBorder="1" applyAlignment="1">
      <alignment horizontal="center"/>
    </xf>
    <xf numFmtId="172" fontId="29" fillId="0" borderId="25" xfId="0" applyNumberFormat="1" applyFont="1" applyFill="1" applyBorder="1" applyAlignment="1">
      <alignment horizontal="center"/>
    </xf>
    <xf numFmtId="172" fontId="29" fillId="0" borderId="0" xfId="0" applyNumberFormat="1" applyFont="1" applyFill="1" applyBorder="1" applyAlignment="1">
      <alignment horizontal="center"/>
    </xf>
    <xf numFmtId="172" fontId="27" fillId="0" borderId="0" xfId="0" applyNumberFormat="1" applyFont="1" applyFill="1" applyBorder="1" applyAlignment="1">
      <alignment horizontal="center"/>
    </xf>
    <xf numFmtId="37" fontId="7" fillId="0" borderId="0" xfId="0" applyNumberFormat="1" applyFont="1" applyFill="1" applyBorder="1" applyAlignment="1" applyProtection="1"/>
    <xf numFmtId="10" fontId="30" fillId="0" borderId="0" xfId="116" applyNumberFormat="1" applyFont="1" applyFill="1" applyBorder="1" applyAlignment="1" applyProtection="1"/>
    <xf numFmtId="173" fontId="7" fillId="0" borderId="0" xfId="0" applyNumberFormat="1" applyFont="1" applyFill="1" applyAlignment="1">
      <alignment horizontal="right"/>
    </xf>
    <xf numFmtId="173" fontId="30" fillId="0" borderId="20" xfId="0" applyNumberFormat="1" applyFont="1" applyFill="1" applyBorder="1" applyAlignment="1">
      <alignment horizontal="right"/>
    </xf>
    <xf numFmtId="173" fontId="30" fillId="0" borderId="25" xfId="0" applyNumberFormat="1" applyFont="1" applyFill="1" applyBorder="1" applyAlignment="1">
      <alignment horizontal="right"/>
    </xf>
    <xf numFmtId="173" fontId="30" fillId="0" borderId="0" xfId="0" applyNumberFormat="1" applyFont="1" applyFill="1" applyBorder="1" applyAlignment="1">
      <alignment horizontal="right"/>
    </xf>
    <xf numFmtId="173" fontId="7" fillId="0" borderId="41" xfId="0" applyNumberFormat="1" applyFont="1" applyFill="1" applyBorder="1" applyAlignment="1">
      <alignment horizontal="right"/>
    </xf>
    <xf numFmtId="173" fontId="7" fillId="0" borderId="25" xfId="0" applyNumberFormat="1" applyFont="1" applyFill="1" applyBorder="1" applyAlignment="1">
      <alignment horizontal="right"/>
    </xf>
    <xf numFmtId="173" fontId="7" fillId="0" borderId="0" xfId="0" applyNumberFormat="1" applyFont="1" applyFill="1" applyBorder="1" applyAlignment="1">
      <alignment horizontal="right"/>
    </xf>
    <xf numFmtId="173" fontId="7" fillId="0" borderId="42" xfId="0" applyNumberFormat="1" applyFont="1" applyFill="1" applyBorder="1" applyAlignment="1">
      <alignment horizontal="right"/>
    </xf>
    <xf numFmtId="169" fontId="7" fillId="0" borderId="0" xfId="0" applyNumberFormat="1" applyFont="1" applyFill="1" applyAlignment="1" applyProtection="1"/>
    <xf numFmtId="169" fontId="7" fillId="0" borderId="0" xfId="0" applyNumberFormat="1" applyFont="1" applyFill="1"/>
    <xf numFmtId="173" fontId="7" fillId="0" borderId="0" xfId="0" applyNumberFormat="1" applyFont="1" applyFill="1" applyBorder="1" applyAlignment="1" applyProtection="1"/>
    <xf numFmtId="173" fontId="7" fillId="0" borderId="0" xfId="0" applyNumberFormat="1" applyFont="1" applyFill="1"/>
    <xf numFmtId="173" fontId="7" fillId="0" borderId="0" xfId="0" applyNumberFormat="1" applyFont="1" applyFill="1" applyBorder="1" applyAlignment="1" applyProtection="1">
      <alignment horizontal="left"/>
    </xf>
    <xf numFmtId="14" fontId="7" fillId="0" borderId="0" xfId="0" applyNumberFormat="1" applyFont="1" applyFill="1" applyBorder="1" applyAlignment="1" applyProtection="1">
      <alignment horizontal="right"/>
    </xf>
    <xf numFmtId="173" fontId="41" fillId="0" borderId="25" xfId="0" applyNumberFormat="1" applyFont="1" applyFill="1" applyBorder="1" applyAlignment="1">
      <alignment horizontal="right"/>
    </xf>
    <xf numFmtId="173" fontId="41" fillId="0" borderId="0" xfId="0" applyNumberFormat="1" applyFont="1" applyFill="1" applyBorder="1" applyAlignment="1">
      <alignment horizontal="right"/>
    </xf>
    <xf numFmtId="173" fontId="27" fillId="0" borderId="43" xfId="0" applyNumberFormat="1" applyFont="1" applyFill="1" applyBorder="1" applyAlignment="1" applyProtection="1">
      <alignment horizontal="left"/>
    </xf>
    <xf numFmtId="173" fontId="27" fillId="0" borderId="44" xfId="0" applyNumberFormat="1" applyFont="1" applyFill="1" applyBorder="1" applyAlignment="1" applyProtection="1">
      <alignment horizontal="left"/>
    </xf>
    <xf numFmtId="173" fontId="7" fillId="0" borderId="44" xfId="0" applyNumberFormat="1" applyFont="1" applyFill="1" applyBorder="1" applyAlignment="1">
      <alignment horizontal="right"/>
    </xf>
    <xf numFmtId="173" fontId="27" fillId="0" borderId="45" xfId="0" applyNumberFormat="1" applyFont="1" applyFill="1" applyBorder="1" applyAlignment="1">
      <alignment horizontal="right"/>
    </xf>
    <xf numFmtId="173" fontId="27" fillId="0" borderId="46" xfId="0" applyNumberFormat="1" applyFont="1" applyFill="1" applyBorder="1" applyAlignment="1">
      <alignment horizontal="right"/>
    </xf>
    <xf numFmtId="173" fontId="27" fillId="0" borderId="44" xfId="0" applyNumberFormat="1" applyFont="1" applyFill="1" applyBorder="1" applyAlignment="1">
      <alignment horizontal="right"/>
    </xf>
    <xf numFmtId="173" fontId="27" fillId="0" borderId="47" xfId="0" applyNumberFormat="1" applyFont="1" applyFill="1" applyBorder="1" applyAlignment="1">
      <alignment horizontal="right"/>
    </xf>
    <xf numFmtId="173" fontId="27" fillId="0" borderId="43" xfId="0" applyNumberFormat="1" applyFont="1" applyFill="1" applyBorder="1" applyAlignment="1">
      <alignment horizontal="right"/>
    </xf>
    <xf numFmtId="173" fontId="7" fillId="0" borderId="0" xfId="0" applyNumberFormat="1" applyFont="1" applyFill="1" applyAlignment="1" applyProtection="1"/>
    <xf numFmtId="173" fontId="93" fillId="0" borderId="0" xfId="0" applyNumberFormat="1" applyFont="1" applyFill="1" applyBorder="1" applyAlignment="1" applyProtection="1"/>
    <xf numFmtId="173" fontId="27" fillId="0" borderId="0" xfId="0" applyNumberFormat="1" applyFont="1" applyFill="1" applyBorder="1" applyAlignment="1" applyProtection="1"/>
    <xf numFmtId="43" fontId="43" fillId="0" borderId="48" xfId="72" applyFont="1" applyFill="1" applyBorder="1" applyAlignment="1">
      <alignment horizontal="right"/>
    </xf>
    <xf numFmtId="43" fontId="43" fillId="0" borderId="20" xfId="72" applyFont="1" applyFill="1" applyBorder="1" applyAlignment="1">
      <alignment horizontal="right"/>
    </xf>
    <xf numFmtId="43" fontId="43" fillId="0" borderId="25" xfId="72" applyFont="1" applyFill="1" applyBorder="1" applyAlignment="1">
      <alignment horizontal="right"/>
    </xf>
    <xf numFmtId="43" fontId="43" fillId="0" borderId="0" xfId="72" applyFont="1" applyFill="1" applyBorder="1" applyAlignment="1">
      <alignment horizontal="right"/>
    </xf>
    <xf numFmtId="43" fontId="43" fillId="0" borderId="49" xfId="72" applyFont="1" applyFill="1" applyBorder="1" applyAlignment="1">
      <alignment horizontal="right"/>
    </xf>
    <xf numFmtId="43" fontId="43" fillId="0" borderId="50" xfId="72" applyFont="1" applyFill="1" applyBorder="1" applyAlignment="1">
      <alignment horizontal="right"/>
    </xf>
    <xf numFmtId="173" fontId="7" fillId="0" borderId="51" xfId="0" applyNumberFormat="1" applyFont="1" applyFill="1" applyBorder="1" applyAlignment="1">
      <alignment horizontal="right"/>
    </xf>
    <xf numFmtId="173" fontId="27" fillId="0" borderId="0" xfId="0" applyNumberFormat="1" applyFont="1" applyFill="1" applyAlignment="1" applyProtection="1"/>
    <xf numFmtId="173" fontId="30" fillId="0" borderId="0" xfId="0" applyNumberFormat="1" applyFont="1" applyFill="1" applyAlignment="1">
      <alignment horizontal="right"/>
    </xf>
    <xf numFmtId="173" fontId="30" fillId="0" borderId="42" xfId="0" applyNumberFormat="1" applyFont="1" applyFill="1" applyBorder="1" applyAlignment="1">
      <alignment horizontal="right"/>
    </xf>
    <xf numFmtId="173" fontId="27" fillId="0" borderId="8" xfId="0" applyNumberFormat="1" applyFont="1" applyFill="1" applyBorder="1" applyAlignment="1">
      <alignment horizontal="right"/>
    </xf>
    <xf numFmtId="169" fontId="7" fillId="0" borderId="0" xfId="0" applyNumberFormat="1" applyFont="1" applyFill="1" applyAlignment="1">
      <alignment horizontal="right"/>
    </xf>
    <xf numFmtId="169" fontId="7" fillId="0" borderId="51" xfId="0" applyNumberFormat="1" applyFont="1" applyFill="1" applyBorder="1" applyAlignment="1">
      <alignment horizontal="right"/>
    </xf>
    <xf numFmtId="169" fontId="7" fillId="0" borderId="25" xfId="0" applyNumberFormat="1" applyFont="1" applyFill="1" applyBorder="1" applyAlignment="1">
      <alignment horizontal="right"/>
    </xf>
    <xf numFmtId="169" fontId="7" fillId="0" borderId="41" xfId="0" applyNumberFormat="1" applyFont="1" applyFill="1" applyBorder="1" applyAlignment="1">
      <alignment horizontal="right"/>
    </xf>
    <xf numFmtId="0" fontId="7" fillId="0" borderId="13" xfId="0" applyFont="1" applyFill="1" applyBorder="1"/>
    <xf numFmtId="0" fontId="7" fillId="0" borderId="14" xfId="0" applyFont="1" applyFill="1" applyBorder="1"/>
    <xf numFmtId="173" fontId="30" fillId="0" borderId="15" xfId="0" applyNumberFormat="1" applyFont="1" applyBorder="1"/>
    <xf numFmtId="0" fontId="7" fillId="0" borderId="14" xfId="0" applyFont="1" applyBorder="1"/>
    <xf numFmtId="173" fontId="7" fillId="0" borderId="15" xfId="0" applyNumberFormat="1" applyFont="1" applyBorder="1"/>
    <xf numFmtId="173" fontId="7" fillId="0" borderId="13" xfId="0" applyNumberFormat="1" applyFont="1" applyBorder="1"/>
    <xf numFmtId="173" fontId="7" fillId="0" borderId="14" xfId="0" applyNumberFormat="1" applyFont="1" applyBorder="1"/>
    <xf numFmtId="173" fontId="7" fillId="0" borderId="31" xfId="0" applyNumberFormat="1" applyFont="1" applyBorder="1"/>
    <xf numFmtId="0" fontId="7" fillId="0" borderId="25" xfId="0" applyFont="1" applyFill="1" applyBorder="1"/>
    <xf numFmtId="173" fontId="30" fillId="0" borderId="20" xfId="0" applyNumberFormat="1" applyFont="1" applyBorder="1"/>
    <xf numFmtId="173" fontId="30" fillId="0" borderId="25" xfId="0" applyNumberFormat="1" applyFont="1" applyBorder="1"/>
    <xf numFmtId="173" fontId="30" fillId="0" borderId="0" xfId="0" applyNumberFormat="1" applyFont="1" applyBorder="1"/>
    <xf numFmtId="173" fontId="30" fillId="0" borderId="26" xfId="0" applyNumberFormat="1" applyFont="1" applyBorder="1"/>
    <xf numFmtId="173" fontId="7" fillId="0" borderId="20" xfId="0" applyNumberFormat="1" applyFont="1" applyBorder="1"/>
    <xf numFmtId="173" fontId="7" fillId="0" borderId="26" xfId="0" applyNumberFormat="1" applyFont="1" applyBorder="1"/>
    <xf numFmtId="173" fontId="7" fillId="0" borderId="25" xfId="0" applyNumberFormat="1" applyFont="1" applyBorder="1"/>
    <xf numFmtId="173" fontId="7" fillId="0" borderId="0" xfId="0" applyNumberFormat="1" applyFont="1" applyBorder="1"/>
    <xf numFmtId="0" fontId="7" fillId="0" borderId="23" xfId="0" applyFont="1" applyFill="1" applyBorder="1"/>
    <xf numFmtId="0" fontId="7" fillId="0" borderId="18" xfId="0" applyFont="1" applyFill="1" applyBorder="1"/>
    <xf numFmtId="165" fontId="7" fillId="0" borderId="24" xfId="116" applyNumberFormat="1" applyFont="1" applyBorder="1"/>
    <xf numFmtId="0" fontId="7" fillId="0" borderId="18" xfId="0" applyFont="1" applyBorder="1"/>
    <xf numFmtId="165" fontId="7" fillId="0" borderId="23" xfId="116" applyNumberFormat="1" applyFont="1" applyBorder="1"/>
    <xf numFmtId="165" fontId="7" fillId="0" borderId="18" xfId="0" applyNumberFormat="1" applyFont="1" applyBorder="1"/>
    <xf numFmtId="165" fontId="7" fillId="0" borderId="28" xfId="0" applyNumberFormat="1" applyFont="1" applyBorder="1" applyAlignment="1">
      <alignment horizontal="right"/>
    </xf>
    <xf numFmtId="165" fontId="7" fillId="0" borderId="24" xfId="0" applyNumberFormat="1" applyFont="1" applyBorder="1"/>
    <xf numFmtId="165" fontId="7" fillId="0" borderId="28" xfId="116" applyNumberFormat="1" applyFont="1" applyBorder="1"/>
    <xf numFmtId="0" fontId="11" fillId="0" borderId="0" xfId="100" applyFont="1" applyFill="1" applyBorder="1" applyAlignment="1" applyProtection="1">
      <alignment horizontal="left"/>
    </xf>
    <xf numFmtId="173" fontId="30" fillId="0" borderId="41" xfId="0" applyNumberFormat="1" applyFont="1" applyFill="1" applyBorder="1" applyAlignment="1">
      <alignment horizontal="right"/>
    </xf>
    <xf numFmtId="165" fontId="7" fillId="0" borderId="0" xfId="116" applyNumberFormat="1" applyFont="1" applyFill="1" applyAlignment="1" applyProtection="1"/>
    <xf numFmtId="165" fontId="7" fillId="0" borderId="0" xfId="116" applyNumberFormat="1" applyFont="1" applyFill="1" applyAlignment="1">
      <alignment horizontal="right"/>
    </xf>
    <xf numFmtId="165" fontId="30" fillId="0" borderId="20" xfId="116" applyNumberFormat="1" applyFont="1" applyFill="1" applyBorder="1" applyAlignment="1">
      <alignment horizontal="right"/>
    </xf>
    <xf numFmtId="165" fontId="30" fillId="0" borderId="25" xfId="116" applyNumberFormat="1" applyFont="1" applyFill="1" applyBorder="1" applyAlignment="1">
      <alignment horizontal="right"/>
    </xf>
    <xf numFmtId="165" fontId="30" fillId="0" borderId="0" xfId="116" applyNumberFormat="1" applyFont="1" applyFill="1" applyBorder="1" applyAlignment="1">
      <alignment horizontal="right"/>
    </xf>
    <xf numFmtId="165" fontId="7" fillId="0" borderId="51" xfId="116" applyNumberFormat="1" applyFont="1" applyFill="1" applyBorder="1" applyAlignment="1">
      <alignment horizontal="right"/>
    </xf>
    <xf numFmtId="165" fontId="30" fillId="0" borderId="41" xfId="116" applyNumberFormat="1" applyFont="1" applyFill="1" applyBorder="1" applyAlignment="1">
      <alignment horizontal="right"/>
    </xf>
    <xf numFmtId="165" fontId="30" fillId="0" borderId="0" xfId="116" applyNumberFormat="1" applyFont="1" applyFill="1" applyAlignment="1">
      <alignment horizontal="right"/>
    </xf>
    <xf numFmtId="165" fontId="7" fillId="0" borderId="41" xfId="116" applyNumberFormat="1" applyFont="1" applyFill="1" applyBorder="1" applyAlignment="1">
      <alignment horizontal="right"/>
    </xf>
    <xf numFmtId="165" fontId="7" fillId="0" borderId="0" xfId="116" applyNumberFormat="1" applyFont="1"/>
    <xf numFmtId="165" fontId="30" fillId="0" borderId="24" xfId="0" applyNumberFormat="1" applyFont="1" applyBorder="1"/>
    <xf numFmtId="0" fontId="30" fillId="0" borderId="18" xfId="0" applyFont="1" applyBorder="1"/>
    <xf numFmtId="165" fontId="30" fillId="0" borderId="23" xfId="116" applyNumberFormat="1" applyFont="1" applyBorder="1"/>
    <xf numFmtId="165" fontId="30" fillId="0" borderId="18" xfId="0" applyNumberFormat="1" applyFont="1" applyBorder="1"/>
    <xf numFmtId="165" fontId="30" fillId="0" borderId="28" xfId="116" applyNumberFormat="1" applyFont="1" applyBorder="1"/>
    <xf numFmtId="0" fontId="9" fillId="0" borderId="0" xfId="0" applyFont="1" applyFill="1"/>
    <xf numFmtId="0" fontId="15" fillId="0" borderId="0" xfId="0" applyFont="1" applyBorder="1"/>
    <xf numFmtId="173" fontId="4" fillId="0" borderId="0" xfId="0" applyNumberFormat="1" applyFont="1" applyFill="1" applyBorder="1"/>
    <xf numFmtId="9" fontId="17" fillId="0" borderId="0" xfId="116" applyFont="1" applyFill="1" applyBorder="1"/>
    <xf numFmtId="0" fontId="13" fillId="0" borderId="0" xfId="109" applyFont="1" applyFill="1" applyBorder="1" applyAlignment="1">
      <alignment horizontal="left"/>
    </xf>
    <xf numFmtId="0" fontId="4" fillId="0" borderId="0" xfId="109" applyFont="1" applyFill="1" applyBorder="1" applyAlignment="1">
      <alignment horizontal="left"/>
    </xf>
    <xf numFmtId="0" fontId="9" fillId="0" borderId="0" xfId="100" applyFont="1" applyFill="1" applyBorder="1" applyAlignment="1" applyProtection="1">
      <alignment horizontal="left"/>
    </xf>
    <xf numFmtId="0" fontId="4" fillId="0" borderId="0" xfId="106" applyFont="1" applyFill="1" applyBorder="1"/>
    <xf numFmtId="165" fontId="4" fillId="0" borderId="0" xfId="106" applyNumberFormat="1" applyFont="1" applyFill="1" applyBorder="1"/>
    <xf numFmtId="9" fontId="4" fillId="0" borderId="0" xfId="106" applyNumberFormat="1" applyFont="1" applyFill="1" applyBorder="1"/>
    <xf numFmtId="44" fontId="4" fillId="0" borderId="0" xfId="75" applyFont="1" applyFill="1" applyBorder="1"/>
    <xf numFmtId="43" fontId="4" fillId="0" borderId="0" xfId="106" applyNumberFormat="1" applyFont="1" applyFill="1" applyBorder="1"/>
    <xf numFmtId="166" fontId="7" fillId="0" borderId="0" xfId="0" applyNumberFormat="1" applyFont="1" applyFill="1" applyBorder="1" applyAlignment="1">
      <alignment vertical="center"/>
    </xf>
    <xf numFmtId="167" fontId="7" fillId="0" borderId="0" xfId="0" applyNumberFormat="1" applyFont="1" applyFill="1" applyBorder="1" applyAlignment="1">
      <alignment vertical="center"/>
    </xf>
    <xf numFmtId="167" fontId="7" fillId="0" borderId="0" xfId="0" applyNumberFormat="1" applyFont="1" applyFill="1" applyBorder="1"/>
    <xf numFmtId="168" fontId="7" fillId="0" borderId="0" xfId="0" applyNumberFormat="1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166" fontId="4" fillId="0" borderId="0" xfId="106" applyNumberFormat="1" applyFont="1" applyFill="1" applyBorder="1"/>
    <xf numFmtId="9" fontId="4" fillId="0" borderId="0" xfId="75" applyNumberFormat="1" applyFont="1" applyFill="1" applyBorder="1"/>
    <xf numFmtId="0" fontId="10" fillId="0" borderId="0" xfId="0" applyFont="1" applyFill="1"/>
    <xf numFmtId="0" fontId="12" fillId="0" borderId="36" xfId="100" applyFont="1" applyFill="1" applyBorder="1" applyAlignment="1" applyProtection="1">
      <alignment horizontal="left"/>
    </xf>
    <xf numFmtId="0" fontId="4" fillId="0" borderId="36" xfId="106" applyFont="1" applyFill="1" applyBorder="1"/>
    <xf numFmtId="169" fontId="4" fillId="0" borderId="36" xfId="106" applyNumberFormat="1" applyFont="1" applyFill="1" applyBorder="1"/>
    <xf numFmtId="44" fontId="4" fillId="0" borderId="36" xfId="106" applyNumberFormat="1" applyFont="1" applyFill="1" applyBorder="1"/>
    <xf numFmtId="9" fontId="13" fillId="0" borderId="36" xfId="106" applyNumberFormat="1" applyFont="1" applyFill="1" applyBorder="1"/>
    <xf numFmtId="170" fontId="4" fillId="0" borderId="36" xfId="106" applyNumberFormat="1" applyFont="1" applyFill="1" applyBorder="1"/>
    <xf numFmtId="43" fontId="4" fillId="0" borderId="36" xfId="106" applyNumberFormat="1" applyFont="1" applyFill="1" applyBorder="1"/>
    <xf numFmtId="8" fontId="4" fillId="0" borderId="36" xfId="106" applyNumberFormat="1" applyFont="1" applyFill="1" applyBorder="1"/>
    <xf numFmtId="165" fontId="4" fillId="0" borderId="36" xfId="106" applyNumberFormat="1" applyFont="1" applyFill="1" applyBorder="1"/>
    <xf numFmtId="9" fontId="4" fillId="0" borderId="36" xfId="106" applyNumberFormat="1" applyFont="1" applyFill="1" applyBorder="1"/>
    <xf numFmtId="167" fontId="4" fillId="0" borderId="36" xfId="72" applyNumberFormat="1" applyFont="1" applyFill="1" applyBorder="1"/>
    <xf numFmtId="7" fontId="4" fillId="0" borderId="36" xfId="106" applyNumberFormat="1" applyFont="1" applyFill="1" applyBorder="1"/>
    <xf numFmtId="0" fontId="4" fillId="0" borderId="0" xfId="100" applyFont="1" applyFill="1" applyBorder="1" applyAlignment="1">
      <alignment horizontal="left"/>
    </xf>
    <xf numFmtId="171" fontId="4" fillId="0" borderId="0" xfId="106" applyNumberFormat="1" applyFont="1" applyFill="1" applyBorder="1"/>
    <xf numFmtId="44" fontId="4" fillId="0" borderId="0" xfId="106" applyNumberFormat="1" applyFont="1" applyFill="1" applyBorder="1"/>
    <xf numFmtId="7" fontId="4" fillId="0" borderId="0" xfId="106" applyNumberFormat="1" applyFont="1" applyFill="1" applyBorder="1"/>
    <xf numFmtId="165" fontId="14" fillId="0" borderId="0" xfId="75" applyNumberFormat="1" applyFont="1" applyFill="1" applyBorder="1"/>
    <xf numFmtId="44" fontId="14" fillId="0" borderId="0" xfId="75" applyFont="1" applyFill="1" applyBorder="1"/>
    <xf numFmtId="9" fontId="14" fillId="0" borderId="0" xfId="116" applyFont="1" applyFill="1" applyBorder="1"/>
    <xf numFmtId="7" fontId="14" fillId="0" borderId="0" xfId="75" applyNumberFormat="1" applyFont="1" applyFill="1" applyBorder="1"/>
    <xf numFmtId="41" fontId="15" fillId="0" borderId="0" xfId="106" applyNumberFormat="1" applyFont="1" applyFill="1" applyBorder="1"/>
    <xf numFmtId="44" fontId="5" fillId="0" borderId="0" xfId="75" applyFont="1" applyFill="1" applyBorder="1"/>
    <xf numFmtId="177" fontId="5" fillId="0" borderId="20" xfId="106" applyNumberFormat="1" applyFont="1" applyFill="1" applyBorder="1"/>
    <xf numFmtId="174" fontId="19" fillId="0" borderId="25" xfId="75" applyNumberFormat="1" applyFont="1" applyFill="1" applyBorder="1"/>
    <xf numFmtId="174" fontId="19" fillId="0" borderId="0" xfId="75" applyNumberFormat="1" applyFont="1" applyFill="1" applyBorder="1"/>
    <xf numFmtId="174" fontId="15" fillId="0" borderId="25" xfId="75" applyNumberFormat="1" applyFont="1" applyFill="1" applyBorder="1"/>
    <xf numFmtId="174" fontId="15" fillId="0" borderId="0" xfId="75" applyNumberFormat="1" applyFont="1" applyFill="1" applyBorder="1"/>
    <xf numFmtId="169" fontId="18" fillId="0" borderId="26" xfId="106" applyNumberFormat="1" applyFont="1" applyFill="1" applyBorder="1"/>
    <xf numFmtId="41" fontId="4" fillId="0" borderId="0" xfId="106" applyNumberFormat="1" applyFont="1" applyFill="1" applyBorder="1"/>
    <xf numFmtId="170" fontId="4" fillId="0" borderId="20" xfId="106" applyNumberFormat="1" applyFont="1" applyFill="1" applyBorder="1"/>
    <xf numFmtId="169" fontId="4" fillId="0" borderId="26" xfId="106" applyNumberFormat="1" applyFont="1" applyFill="1" applyBorder="1"/>
    <xf numFmtId="169" fontId="4" fillId="0" borderId="0" xfId="106" applyNumberFormat="1" applyFont="1" applyFill="1" applyBorder="1"/>
    <xf numFmtId="170" fontId="18" fillId="0" borderId="26" xfId="106" applyNumberFormat="1" applyFont="1" applyFill="1" applyBorder="1"/>
    <xf numFmtId="170" fontId="18" fillId="0" borderId="0" xfId="106" applyNumberFormat="1" applyFont="1" applyFill="1" applyBorder="1"/>
    <xf numFmtId="170" fontId="18" fillId="0" borderId="25" xfId="106" applyNumberFormat="1" applyFont="1" applyFill="1" applyBorder="1"/>
    <xf numFmtId="170" fontId="18" fillId="0" borderId="20" xfId="106" applyNumberFormat="1" applyFont="1" applyFill="1" applyBorder="1"/>
    <xf numFmtId="170" fontId="4" fillId="0" borderId="25" xfId="106" applyNumberFormat="1" applyFont="1" applyFill="1" applyBorder="1"/>
    <xf numFmtId="170" fontId="4" fillId="0" borderId="0" xfId="106" applyNumberFormat="1" applyFont="1" applyFill="1" applyBorder="1"/>
    <xf numFmtId="6" fontId="4" fillId="0" borderId="26" xfId="106" applyNumberFormat="1" applyFont="1" applyFill="1" applyBorder="1"/>
    <xf numFmtId="41" fontId="4" fillId="0" borderId="25" xfId="106" applyNumberFormat="1" applyFont="1" applyFill="1" applyBorder="1"/>
    <xf numFmtId="170" fontId="17" fillId="0" borderId="0" xfId="106" applyNumberFormat="1" applyFont="1" applyFill="1" applyBorder="1"/>
    <xf numFmtId="170" fontId="17" fillId="0" borderId="25" xfId="106" applyNumberFormat="1" applyFont="1" applyFill="1" applyBorder="1"/>
    <xf numFmtId="41" fontId="4" fillId="0" borderId="0" xfId="106" applyNumberFormat="1" applyFont="1" applyFill="1"/>
    <xf numFmtId="6" fontId="15" fillId="0" borderId="26" xfId="106" applyNumberFormat="1" applyFont="1" applyFill="1" applyBorder="1"/>
    <xf numFmtId="177" fontId="5" fillId="0" borderId="0" xfId="106" applyNumberFormat="1" applyFont="1" applyFill="1" applyBorder="1"/>
    <xf numFmtId="169" fontId="5" fillId="0" borderId="0" xfId="106" applyNumberFormat="1" applyFont="1" applyFill="1" applyBorder="1"/>
    <xf numFmtId="177" fontId="5" fillId="0" borderId="25" xfId="106" applyNumberFormat="1" applyFont="1" applyFill="1" applyBorder="1"/>
    <xf numFmtId="9" fontId="13" fillId="0" borderId="0" xfId="106" applyNumberFormat="1" applyFont="1" applyFill="1" applyBorder="1"/>
    <xf numFmtId="177" fontId="5" fillId="0" borderId="26" xfId="106" applyNumberFormat="1" applyFont="1" applyFill="1" applyBorder="1"/>
    <xf numFmtId="177" fontId="15" fillId="0" borderId="25" xfId="106" applyNumberFormat="1" applyFont="1" applyFill="1" applyBorder="1"/>
    <xf numFmtId="177" fontId="15" fillId="0" borderId="0" xfId="106" applyNumberFormat="1" applyFont="1" applyFill="1" applyBorder="1"/>
    <xf numFmtId="170" fontId="17" fillId="0" borderId="0" xfId="73" applyNumberFormat="1" applyFont="1" applyFill="1" applyBorder="1" applyAlignment="1">
      <alignment horizontal="right"/>
    </xf>
    <xf numFmtId="9" fontId="13" fillId="0" borderId="25" xfId="106" applyNumberFormat="1" applyFont="1" applyFill="1" applyBorder="1"/>
    <xf numFmtId="170" fontId="17" fillId="0" borderId="25" xfId="73" applyNumberFormat="1" applyFont="1" applyFill="1" applyBorder="1" applyAlignment="1">
      <alignment horizontal="right"/>
    </xf>
    <xf numFmtId="10" fontId="4" fillId="0" borderId="0" xfId="106" applyNumberFormat="1" applyFont="1" applyFill="1" applyBorder="1"/>
    <xf numFmtId="170" fontId="4" fillId="0" borderId="25" xfId="73" applyNumberFormat="1" applyFont="1" applyFill="1" applyBorder="1" applyAlignment="1">
      <alignment horizontal="right"/>
    </xf>
    <xf numFmtId="41" fontId="4" fillId="0" borderId="20" xfId="106" applyNumberFormat="1" applyFont="1" applyFill="1" applyBorder="1"/>
    <xf numFmtId="173" fontId="4" fillId="0" borderId="26" xfId="106" applyNumberFormat="1" applyFont="1" applyFill="1" applyBorder="1"/>
    <xf numFmtId="173" fontId="18" fillId="0" borderId="0" xfId="106" applyNumberFormat="1" applyFont="1" applyFill="1" applyBorder="1"/>
    <xf numFmtId="173" fontId="18" fillId="0" borderId="20" xfId="106" applyNumberFormat="1" applyFont="1" applyFill="1" applyBorder="1"/>
    <xf numFmtId="173" fontId="4" fillId="0" borderId="20" xfId="106" applyNumberFormat="1" applyFont="1" applyFill="1" applyBorder="1"/>
    <xf numFmtId="173" fontId="18" fillId="0" borderId="26" xfId="106" applyNumberFormat="1" applyFont="1" applyFill="1" applyBorder="1"/>
    <xf numFmtId="173" fontId="18" fillId="0" borderId="25" xfId="106" applyNumberFormat="1" applyFont="1" applyFill="1" applyBorder="1"/>
    <xf numFmtId="173" fontId="17" fillId="0" borderId="0" xfId="106" applyNumberFormat="1" applyFont="1" applyFill="1" applyBorder="1"/>
    <xf numFmtId="173" fontId="17" fillId="0" borderId="20" xfId="106" applyNumberFormat="1" applyFont="1" applyFill="1" applyBorder="1"/>
    <xf numFmtId="169" fontId="15" fillId="0" borderId="28" xfId="106" applyNumberFormat="1" applyFont="1" applyFill="1" applyBorder="1"/>
    <xf numFmtId="169" fontId="5" fillId="0" borderId="18" xfId="106" applyNumberFormat="1" applyFont="1" applyFill="1" applyBorder="1"/>
    <xf numFmtId="169" fontId="5" fillId="0" borderId="24" xfId="106" applyNumberFormat="1" applyFont="1" applyFill="1" applyBorder="1"/>
    <xf numFmtId="169" fontId="15" fillId="0" borderId="24" xfId="106" applyNumberFormat="1" applyFont="1" applyFill="1" applyBorder="1"/>
    <xf numFmtId="169" fontId="15" fillId="0" borderId="0" xfId="106" applyNumberFormat="1" applyFont="1" applyFill="1" applyBorder="1"/>
    <xf numFmtId="169" fontId="15" fillId="0" borderId="26" xfId="106" applyNumberFormat="1" applyFont="1" applyFill="1" applyBorder="1"/>
    <xf numFmtId="169" fontId="15" fillId="0" borderId="20" xfId="106" applyNumberFormat="1" applyFont="1" applyFill="1" applyBorder="1"/>
    <xf numFmtId="41" fontId="15" fillId="0" borderId="20" xfId="106" applyNumberFormat="1" applyFont="1" applyFill="1" applyBorder="1"/>
    <xf numFmtId="173" fontId="4" fillId="0" borderId="26" xfId="0" applyNumberFormat="1" applyFont="1" applyFill="1" applyBorder="1" applyAlignment="1">
      <alignment horizontal="right"/>
    </xf>
    <xf numFmtId="173" fontId="15" fillId="0" borderId="26" xfId="0" applyNumberFormat="1" applyFont="1" applyFill="1" applyBorder="1" applyAlignment="1">
      <alignment horizontal="right"/>
    </xf>
    <xf numFmtId="173" fontId="5" fillId="0" borderId="0" xfId="106" applyNumberFormat="1" applyFont="1" applyFill="1" applyBorder="1"/>
    <xf numFmtId="173" fontId="5" fillId="0" borderId="20" xfId="106" applyNumberFormat="1" applyFont="1" applyFill="1" applyBorder="1"/>
    <xf numFmtId="173" fontId="15" fillId="0" borderId="20" xfId="106" applyNumberFormat="1" applyFont="1" applyFill="1" applyBorder="1"/>
    <xf numFmtId="173" fontId="15" fillId="0" borderId="0" xfId="106" applyNumberFormat="1" applyFont="1" applyFill="1" applyBorder="1"/>
    <xf numFmtId="173" fontId="17" fillId="0" borderId="0" xfId="73" applyNumberFormat="1" applyFont="1" applyFill="1" applyBorder="1" applyAlignment="1">
      <alignment horizontal="right"/>
    </xf>
    <xf numFmtId="173" fontId="4" fillId="0" borderId="0" xfId="73" applyNumberFormat="1" applyFont="1" applyFill="1" applyBorder="1" applyAlignment="1">
      <alignment horizontal="right"/>
    </xf>
    <xf numFmtId="170" fontId="12" fillId="0" borderId="26" xfId="106" applyNumberFormat="1" applyFont="1" applyFill="1" applyBorder="1"/>
    <xf numFmtId="170" fontId="12" fillId="0" borderId="20" xfId="106" applyNumberFormat="1" applyFont="1" applyFill="1" applyBorder="1"/>
    <xf numFmtId="170" fontId="13" fillId="0" borderId="20" xfId="106" applyNumberFormat="1" applyFont="1" applyFill="1" applyBorder="1"/>
    <xf numFmtId="173" fontId="0" fillId="0" borderId="0" xfId="0" applyNumberFormat="1" applyFill="1"/>
    <xf numFmtId="173" fontId="15" fillId="0" borderId="26" xfId="106" applyNumberFormat="1" applyFont="1" applyFill="1" applyBorder="1"/>
    <xf numFmtId="0" fontId="13" fillId="0" borderId="0" xfId="109" applyFont="1" applyFill="1" applyBorder="1"/>
    <xf numFmtId="179" fontId="13" fillId="0" borderId="26" xfId="106" applyNumberFormat="1" applyFont="1" applyFill="1" applyBorder="1"/>
    <xf numFmtId="176" fontId="21" fillId="0" borderId="0" xfId="73" applyNumberFormat="1" applyFont="1" applyFill="1" applyBorder="1" applyAlignment="1">
      <alignment horizontal="right"/>
    </xf>
    <xf numFmtId="41" fontId="13" fillId="0" borderId="20" xfId="106" applyNumberFormat="1" applyFont="1" applyFill="1" applyBorder="1"/>
    <xf numFmtId="176" fontId="12" fillId="0" borderId="0" xfId="73" applyNumberFormat="1" applyFont="1" applyFill="1" applyBorder="1" applyAlignment="1">
      <alignment horizontal="right"/>
    </xf>
    <xf numFmtId="171" fontId="13" fillId="0" borderId="20" xfId="106" applyNumberFormat="1" applyFont="1" applyFill="1" applyBorder="1"/>
    <xf numFmtId="171" fontId="13" fillId="0" borderId="0" xfId="73" applyNumberFormat="1" applyFont="1" applyFill="1" applyBorder="1" applyAlignment="1">
      <alignment horizontal="right"/>
    </xf>
    <xf numFmtId="0" fontId="13" fillId="0" borderId="0" xfId="0" applyFont="1" applyFill="1" applyBorder="1"/>
    <xf numFmtId="0" fontId="2" fillId="0" borderId="0" xfId="0" applyFont="1" applyFill="1"/>
    <xf numFmtId="199" fontId="13" fillId="0" borderId="28" xfId="106" applyNumberFormat="1" applyFont="1" applyFill="1" applyBorder="1"/>
    <xf numFmtId="199" fontId="17" fillId="0" borderId="0" xfId="72" applyNumberFormat="1" applyFont="1" applyFill="1" applyBorder="1" applyAlignment="1">
      <alignment horizontal="right"/>
    </xf>
    <xf numFmtId="199" fontId="4" fillId="0" borderId="20" xfId="72" applyNumberFormat="1" applyFont="1" applyFill="1" applyBorder="1"/>
    <xf numFmtId="199" fontId="4" fillId="0" borderId="24" xfId="72" applyNumberFormat="1" applyFont="1" applyFill="1" applyBorder="1"/>
    <xf numFmtId="199" fontId="17" fillId="0" borderId="25" xfId="72" applyNumberFormat="1" applyFont="1" applyFill="1" applyBorder="1" applyAlignment="1">
      <alignment horizontal="right"/>
    </xf>
    <xf numFmtId="199" fontId="4" fillId="0" borderId="0" xfId="72" applyNumberFormat="1" applyFont="1" applyFill="1" applyBorder="1" applyAlignment="1">
      <alignment horizontal="right"/>
    </xf>
    <xf numFmtId="199" fontId="4" fillId="0" borderId="24" xfId="72" applyNumberFormat="1" applyFont="1" applyFill="1" applyBorder="1" applyAlignment="1">
      <alignment horizontal="right"/>
    </xf>
    <xf numFmtId="199" fontId="4" fillId="0" borderId="26" xfId="72" applyNumberFormat="1" applyFont="1" applyFill="1" applyBorder="1" applyAlignment="1">
      <alignment horizontal="right"/>
    </xf>
    <xf numFmtId="176" fontId="13" fillId="0" borderId="24" xfId="73" applyNumberFormat="1" applyFont="1" applyFill="1" applyBorder="1" applyAlignment="1">
      <alignment horizontal="right"/>
    </xf>
    <xf numFmtId="41" fontId="13" fillId="0" borderId="24" xfId="106" applyNumberFormat="1" applyFont="1" applyFill="1" applyBorder="1"/>
    <xf numFmtId="170" fontId="13" fillId="0" borderId="0" xfId="73" applyNumberFormat="1" applyFont="1" applyFill="1" applyBorder="1" applyAlignment="1">
      <alignment horizontal="right"/>
    </xf>
    <xf numFmtId="165" fontId="15" fillId="0" borderId="0" xfId="106" applyNumberFormat="1" applyFont="1" applyFill="1" applyBorder="1"/>
    <xf numFmtId="9" fontId="45" fillId="0" borderId="0" xfId="106" applyNumberFormat="1" applyFont="1" applyFill="1" applyBorder="1"/>
    <xf numFmtId="165" fontId="45" fillId="0" borderId="20" xfId="106" applyNumberFormat="1" applyFont="1" applyFill="1" applyBorder="1"/>
    <xf numFmtId="165" fontId="15" fillId="0" borderId="0" xfId="106" applyNumberFormat="1" applyFont="1" applyFill="1"/>
    <xf numFmtId="165" fontId="45" fillId="0" borderId="25" xfId="106" applyNumberFormat="1" applyFont="1" applyFill="1" applyBorder="1"/>
    <xf numFmtId="165" fontId="45" fillId="0" borderId="0" xfId="106" applyNumberFormat="1" applyFont="1" applyFill="1" applyBorder="1"/>
    <xf numFmtId="165" fontId="15" fillId="0" borderId="20" xfId="106" applyNumberFormat="1" applyFont="1" applyFill="1" applyBorder="1"/>
    <xf numFmtId="165" fontId="20" fillId="0" borderId="20" xfId="106" applyNumberFormat="1" applyFont="1" applyFill="1" applyBorder="1"/>
    <xf numFmtId="165" fontId="20" fillId="0" borderId="0" xfId="106" applyNumberFormat="1" applyFont="1" applyFill="1" applyBorder="1"/>
    <xf numFmtId="41" fontId="4" fillId="0" borderId="25" xfId="106" applyNumberFormat="1" applyFont="1" applyFill="1" applyBorder="1" applyAlignment="1">
      <alignment horizontal="left" indent="1"/>
    </xf>
    <xf numFmtId="165" fontId="13" fillId="0" borderId="0" xfId="106" applyNumberFormat="1" applyFont="1" applyFill="1" applyBorder="1"/>
    <xf numFmtId="165" fontId="13" fillId="0" borderId="20" xfId="106" applyNumberFormat="1" applyFont="1" applyFill="1" applyBorder="1"/>
    <xf numFmtId="10" fontId="13" fillId="0" borderId="0" xfId="106" applyNumberFormat="1" applyFont="1" applyFill="1" applyBorder="1"/>
    <xf numFmtId="165" fontId="13" fillId="0" borderId="25" xfId="106" applyNumberFormat="1" applyFont="1" applyFill="1" applyBorder="1"/>
    <xf numFmtId="165" fontId="4" fillId="0" borderId="20" xfId="106" applyNumberFormat="1" applyFont="1" applyFill="1" applyBorder="1"/>
    <xf numFmtId="165" fontId="21" fillId="0" borderId="0" xfId="106" applyNumberFormat="1" applyFont="1" applyFill="1" applyBorder="1"/>
    <xf numFmtId="165" fontId="20" fillId="0" borderId="25" xfId="106" applyNumberFormat="1" applyFont="1" applyFill="1" applyBorder="1"/>
    <xf numFmtId="165" fontId="13" fillId="0" borderId="26" xfId="106" applyNumberFormat="1" applyFont="1" applyFill="1" applyBorder="1"/>
    <xf numFmtId="9" fontId="4" fillId="0" borderId="0" xfId="116" applyNumberFormat="1" applyFont="1" applyFill="1" applyBorder="1"/>
    <xf numFmtId="9" fontId="18" fillId="0" borderId="0" xfId="116" applyNumberFormat="1" applyFont="1" applyFill="1" applyBorder="1" applyAlignment="1">
      <alignment horizontal="right"/>
    </xf>
    <xf numFmtId="9" fontId="18" fillId="0" borderId="20" xfId="116" applyNumberFormat="1" applyFont="1" applyFill="1" applyBorder="1"/>
    <xf numFmtId="9" fontId="4" fillId="0" borderId="25" xfId="116" applyFont="1" applyFill="1" applyBorder="1"/>
    <xf numFmtId="165" fontId="18" fillId="0" borderId="20" xfId="116" applyNumberFormat="1" applyFont="1" applyFill="1" applyBorder="1"/>
    <xf numFmtId="9" fontId="18" fillId="0" borderId="25" xfId="116" applyNumberFormat="1" applyFont="1" applyFill="1" applyBorder="1" applyAlignment="1">
      <alignment horizontal="right"/>
    </xf>
    <xf numFmtId="165" fontId="18" fillId="0" borderId="25" xfId="116" applyNumberFormat="1" applyFont="1" applyFill="1" applyBorder="1" applyAlignment="1">
      <alignment horizontal="right"/>
    </xf>
    <xf numFmtId="165" fontId="18" fillId="0" borderId="0" xfId="116" applyNumberFormat="1" applyFont="1" applyFill="1" applyBorder="1" applyAlignment="1">
      <alignment horizontal="right"/>
    </xf>
    <xf numFmtId="9" fontId="4" fillId="0" borderId="20" xfId="116" applyNumberFormat="1" applyFont="1" applyFill="1" applyBorder="1"/>
    <xf numFmtId="165" fontId="4" fillId="0" borderId="20" xfId="116" applyNumberFormat="1" applyFont="1" applyFill="1" applyBorder="1"/>
    <xf numFmtId="165" fontId="54" fillId="0" borderId="0" xfId="116" applyNumberFormat="1" applyFont="1" applyFill="1" applyBorder="1" applyAlignment="1">
      <alignment horizontal="right"/>
    </xf>
    <xf numFmtId="165" fontId="17" fillId="0" borderId="0" xfId="116" applyNumberFormat="1" applyFont="1" applyFill="1" applyBorder="1" applyAlignment="1">
      <alignment horizontal="right"/>
    </xf>
    <xf numFmtId="165" fontId="4" fillId="0" borderId="0" xfId="116" applyNumberFormat="1" applyFont="1" applyFill="1" applyBorder="1"/>
    <xf numFmtId="9" fontId="4" fillId="0" borderId="0" xfId="116" applyFont="1" applyFill="1"/>
    <xf numFmtId="165" fontId="4" fillId="0" borderId="25" xfId="106" applyNumberFormat="1" applyFont="1" applyFill="1" applyBorder="1"/>
    <xf numFmtId="165" fontId="4" fillId="0" borderId="26" xfId="106" applyNumberFormat="1" applyFont="1" applyFill="1" applyBorder="1"/>
    <xf numFmtId="9" fontId="13" fillId="0" borderId="0" xfId="106" applyNumberFormat="1" applyFont="1" applyFill="1" applyBorder="1" applyAlignment="1">
      <alignment horizontal="right"/>
    </xf>
    <xf numFmtId="9" fontId="13" fillId="0" borderId="20" xfId="106" applyNumberFormat="1" applyFont="1" applyFill="1" applyBorder="1" applyAlignment="1">
      <alignment horizontal="right"/>
    </xf>
    <xf numFmtId="165" fontId="13" fillId="0" borderId="0" xfId="106" applyNumberFormat="1" applyFont="1" applyFill="1" applyBorder="1" applyAlignment="1">
      <alignment horizontal="right"/>
    </xf>
    <xf numFmtId="165" fontId="13" fillId="0" borderId="26" xfId="106" applyNumberFormat="1" applyFont="1" applyFill="1" applyBorder="1" applyAlignment="1">
      <alignment horizontal="right"/>
    </xf>
    <xf numFmtId="165" fontId="13" fillId="0" borderId="25" xfId="106" applyNumberFormat="1" applyFont="1" applyFill="1" applyBorder="1" applyAlignment="1">
      <alignment horizontal="right"/>
    </xf>
    <xf numFmtId="165" fontId="13" fillId="0" borderId="20" xfId="106" applyNumberFormat="1" applyFont="1" applyFill="1" applyBorder="1" applyAlignment="1">
      <alignment horizontal="right"/>
    </xf>
    <xf numFmtId="9" fontId="13" fillId="0" borderId="20" xfId="106" applyNumberFormat="1" applyFont="1" applyFill="1" applyBorder="1"/>
    <xf numFmtId="9" fontId="15" fillId="0" borderId="0" xfId="106" applyNumberFormat="1" applyFont="1" applyFill="1" applyBorder="1"/>
    <xf numFmtId="9" fontId="20" fillId="0" borderId="0" xfId="106" applyNumberFormat="1" applyFont="1" applyFill="1" applyBorder="1" applyAlignment="1">
      <alignment horizontal="right"/>
    </xf>
    <xf numFmtId="9" fontId="20" fillId="0" borderId="20" xfId="106" applyNumberFormat="1" applyFont="1" applyFill="1" applyBorder="1" applyAlignment="1">
      <alignment horizontal="right"/>
    </xf>
    <xf numFmtId="165" fontId="20" fillId="0" borderId="0" xfId="106" applyNumberFormat="1" applyFont="1" applyFill="1" applyBorder="1" applyAlignment="1">
      <alignment horizontal="right"/>
    </xf>
    <xf numFmtId="165" fontId="20" fillId="0" borderId="20" xfId="106" applyNumberFormat="1" applyFont="1" applyFill="1" applyBorder="1" applyAlignment="1">
      <alignment horizontal="right"/>
    </xf>
    <xf numFmtId="165" fontId="20" fillId="0" borderId="25" xfId="106" applyNumberFormat="1" applyFont="1" applyFill="1" applyBorder="1" applyAlignment="1">
      <alignment horizontal="right"/>
    </xf>
    <xf numFmtId="9" fontId="20" fillId="0" borderId="20" xfId="106" applyNumberFormat="1" applyFont="1" applyFill="1" applyBorder="1"/>
    <xf numFmtId="9" fontId="20" fillId="0" borderId="25" xfId="106" applyNumberFormat="1" applyFont="1" applyFill="1" applyBorder="1"/>
    <xf numFmtId="9" fontId="13" fillId="0" borderId="25" xfId="106" applyNumberFormat="1" applyFont="1" applyFill="1" applyBorder="1" applyAlignment="1">
      <alignment horizontal="right"/>
    </xf>
    <xf numFmtId="9" fontId="13" fillId="0" borderId="26" xfId="106" applyNumberFormat="1" applyFont="1" applyFill="1" applyBorder="1" applyAlignment="1">
      <alignment horizontal="right"/>
    </xf>
    <xf numFmtId="179" fontId="4" fillId="0" borderId="0" xfId="106" applyNumberFormat="1" applyFont="1" applyFill="1" applyBorder="1"/>
    <xf numFmtId="170" fontId="5" fillId="0" borderId="20" xfId="106" applyNumberFormat="1" applyFont="1" applyFill="1" applyBorder="1"/>
    <xf numFmtId="169" fontId="5" fillId="0" borderId="20" xfId="106" applyNumberFormat="1" applyFont="1" applyFill="1" applyBorder="1"/>
    <xf numFmtId="169" fontId="5" fillId="0" borderId="25" xfId="106" applyNumberFormat="1" applyFont="1" applyFill="1" applyBorder="1"/>
    <xf numFmtId="169" fontId="5" fillId="0" borderId="26" xfId="106" applyNumberFormat="1" applyFont="1" applyFill="1" applyBorder="1"/>
    <xf numFmtId="170" fontId="18" fillId="0" borderId="0" xfId="73" applyNumberFormat="1" applyFont="1" applyFill="1" applyBorder="1" applyAlignment="1">
      <alignment horizontal="right"/>
    </xf>
    <xf numFmtId="170" fontId="18" fillId="0" borderId="25" xfId="73" applyNumberFormat="1" applyFont="1" applyFill="1" applyBorder="1" applyAlignment="1">
      <alignment horizontal="right"/>
    </xf>
    <xf numFmtId="0" fontId="13" fillId="0" borderId="25" xfId="104" applyFont="1" applyFill="1" applyBorder="1"/>
    <xf numFmtId="9" fontId="13" fillId="0" borderId="0" xfId="73" applyNumberFormat="1" applyFont="1" applyFill="1" applyBorder="1" applyAlignment="1">
      <alignment horizontal="right"/>
    </xf>
    <xf numFmtId="9" fontId="13" fillId="0" borderId="25" xfId="73" applyNumberFormat="1" applyFont="1" applyFill="1" applyBorder="1" applyAlignment="1">
      <alignment horizontal="right"/>
    </xf>
    <xf numFmtId="9" fontId="13" fillId="0" borderId="26" xfId="73" applyNumberFormat="1" applyFont="1" applyFill="1" applyBorder="1" applyAlignment="1">
      <alignment horizontal="right"/>
    </xf>
    <xf numFmtId="9" fontId="21" fillId="0" borderId="0" xfId="73" applyNumberFormat="1" applyFont="1" applyFill="1" applyBorder="1" applyAlignment="1">
      <alignment horizontal="right"/>
    </xf>
    <xf numFmtId="170" fontId="18" fillId="0" borderId="20" xfId="73" applyNumberFormat="1" applyFont="1" applyFill="1" applyBorder="1" applyAlignment="1">
      <alignment horizontal="right"/>
    </xf>
    <xf numFmtId="170" fontId="17" fillId="0" borderId="26" xfId="73" applyNumberFormat="1" applyFont="1" applyFill="1" applyBorder="1" applyAlignment="1">
      <alignment horizontal="right"/>
    </xf>
    <xf numFmtId="170" fontId="4" fillId="0" borderId="20" xfId="73" applyNumberFormat="1" applyFont="1" applyFill="1" applyBorder="1" applyAlignment="1">
      <alignment horizontal="right"/>
    </xf>
    <xf numFmtId="9" fontId="12" fillId="0" borderId="0" xfId="73" applyNumberFormat="1" applyFont="1" applyFill="1" applyBorder="1" applyAlignment="1">
      <alignment horizontal="right"/>
    </xf>
    <xf numFmtId="9" fontId="12" fillId="0" borderId="20" xfId="106" applyNumberFormat="1" applyFont="1" applyFill="1" applyBorder="1"/>
    <xf numFmtId="43" fontId="13" fillId="0" borderId="0" xfId="72" applyFont="1" applyFill="1" applyBorder="1" applyAlignment="1">
      <alignment horizontal="right"/>
    </xf>
    <xf numFmtId="0" fontId="15" fillId="0" borderId="23" xfId="104" applyFont="1" applyFill="1" applyBorder="1"/>
    <xf numFmtId="179" fontId="4" fillId="0" borderId="18" xfId="106" applyNumberFormat="1" applyFont="1" applyFill="1" applyBorder="1"/>
    <xf numFmtId="170" fontId="5" fillId="0" borderId="18" xfId="106" applyNumberFormat="1" applyFont="1" applyFill="1" applyBorder="1"/>
    <xf numFmtId="170" fontId="5" fillId="0" borderId="24" xfId="106" applyNumberFormat="1" applyFont="1" applyFill="1" applyBorder="1"/>
    <xf numFmtId="41" fontId="4" fillId="0" borderId="18" xfId="106" applyNumberFormat="1" applyFont="1" applyFill="1" applyBorder="1"/>
    <xf numFmtId="170" fontId="5" fillId="0" borderId="23" xfId="106" applyNumberFormat="1" applyFont="1" applyFill="1" applyBorder="1"/>
    <xf numFmtId="170" fontId="15" fillId="0" borderId="24" xfId="106" applyNumberFormat="1" applyFont="1" applyFill="1" applyBorder="1"/>
    <xf numFmtId="170" fontId="0" fillId="0" borderId="0" xfId="0" applyNumberFormat="1" applyFill="1"/>
    <xf numFmtId="43" fontId="0" fillId="0" borderId="0" xfId="0" applyNumberFormat="1" applyFill="1"/>
    <xf numFmtId="9" fontId="13" fillId="0" borderId="0" xfId="116" applyFont="1" applyFill="1"/>
    <xf numFmtId="9" fontId="13" fillId="0" borderId="0" xfId="116" applyFont="1" applyFill="1" applyBorder="1"/>
    <xf numFmtId="43" fontId="15" fillId="0" borderId="13" xfId="72" applyFont="1" applyFill="1" applyBorder="1"/>
    <xf numFmtId="165" fontId="13" fillId="0" borderId="25" xfId="116" applyNumberFormat="1" applyFont="1" applyFill="1" applyBorder="1" applyAlignment="1">
      <alignment horizontal="left" indent="2"/>
    </xf>
    <xf numFmtId="9" fontId="7" fillId="0" borderId="0" xfId="116" applyFont="1" applyFill="1"/>
    <xf numFmtId="9" fontId="43" fillId="0" borderId="0" xfId="116" applyFont="1" applyFill="1"/>
    <xf numFmtId="0" fontId="18" fillId="0" borderId="0" xfId="100" applyFont="1" applyFill="1" applyBorder="1" applyAlignment="1" applyProtection="1">
      <alignment horizontal="left"/>
    </xf>
    <xf numFmtId="0" fontId="14" fillId="0" borderId="0" xfId="100" applyFont="1" applyFill="1" applyBorder="1" applyProtection="1"/>
    <xf numFmtId="0" fontId="4" fillId="0" borderId="0" xfId="100" applyFont="1" applyFill="1" applyBorder="1"/>
    <xf numFmtId="0" fontId="14" fillId="0" borderId="0" xfId="100" applyFont="1" applyFill="1" applyBorder="1"/>
    <xf numFmtId="0" fontId="32" fillId="0" borderId="0" xfId="100" applyFont="1" applyFill="1" applyBorder="1" applyProtection="1"/>
    <xf numFmtId="0" fontId="33" fillId="0" borderId="0" xfId="100" applyFont="1" applyFill="1" applyBorder="1" applyProtection="1"/>
    <xf numFmtId="0" fontId="32" fillId="0" borderId="36" xfId="100" applyFont="1" applyFill="1" applyBorder="1" applyProtection="1"/>
    <xf numFmtId="0" fontId="33" fillId="0" borderId="36" xfId="100" applyFont="1" applyFill="1" applyBorder="1" applyProtection="1"/>
    <xf numFmtId="0" fontId="4" fillId="0" borderId="0" xfId="100" applyFont="1" applyFill="1" applyAlignment="1">
      <alignment horizontal="left"/>
    </xf>
    <xf numFmtId="187" fontId="13" fillId="0" borderId="0" xfId="103" applyNumberFormat="1" applyFont="1" applyFill="1" applyBorder="1" applyAlignment="1" applyProtection="1">
      <alignment horizontal="left"/>
    </xf>
    <xf numFmtId="187" fontId="4" fillId="0" borderId="19" xfId="103" applyNumberFormat="1" applyFont="1" applyFill="1" applyBorder="1"/>
    <xf numFmtId="187" fontId="17" fillId="0" borderId="20" xfId="103" applyNumberFormat="1" applyFont="1" applyFill="1" applyBorder="1"/>
    <xf numFmtId="187" fontId="17" fillId="0" borderId="0" xfId="103" applyNumberFormat="1" applyFont="1" applyFill="1"/>
    <xf numFmtId="169" fontId="15" fillId="0" borderId="0" xfId="103" applyNumberFormat="1" applyFont="1" applyFill="1" applyAlignment="1" applyProtection="1">
      <alignment horizontal="left"/>
    </xf>
    <xf numFmtId="169" fontId="37" fillId="0" borderId="20" xfId="73" applyNumberFormat="1" applyFont="1" applyFill="1" applyBorder="1" applyAlignment="1">
      <alignment horizontal="right"/>
    </xf>
    <xf numFmtId="169" fontId="37" fillId="0" borderId="0" xfId="73" applyNumberFormat="1" applyFont="1" applyFill="1" applyBorder="1" applyAlignment="1">
      <alignment horizontal="right"/>
    </xf>
    <xf numFmtId="169" fontId="15" fillId="0" borderId="20" xfId="103" applyNumberFormat="1" applyFont="1" applyFill="1" applyBorder="1"/>
    <xf numFmtId="169" fontId="0" fillId="0" borderId="0" xfId="0" applyNumberFormat="1" applyFill="1"/>
    <xf numFmtId="173" fontId="38" fillId="0" borderId="20" xfId="73" applyNumberFormat="1" applyFont="1" applyFill="1" applyBorder="1" applyAlignment="1">
      <alignment horizontal="right"/>
    </xf>
    <xf numFmtId="173" fontId="39" fillId="0" borderId="0" xfId="73" applyNumberFormat="1" applyFont="1" applyFill="1" applyBorder="1" applyAlignment="1">
      <alignment horizontal="right"/>
    </xf>
    <xf numFmtId="173" fontId="38" fillId="0" borderId="0" xfId="73" applyNumberFormat="1" applyFont="1" applyFill="1" applyBorder="1" applyAlignment="1">
      <alignment horizontal="right"/>
    </xf>
    <xf numFmtId="173" fontId="4" fillId="0" borderId="20" xfId="103" applyNumberFormat="1" applyFont="1" applyFill="1" applyBorder="1"/>
    <xf numFmtId="173" fontId="4" fillId="0" borderId="0" xfId="103" applyNumberFormat="1" applyFont="1" applyFill="1"/>
    <xf numFmtId="173" fontId="17" fillId="0" borderId="0" xfId="103" applyNumberFormat="1" applyFont="1" applyFill="1"/>
    <xf numFmtId="173" fontId="4" fillId="0" borderId="0" xfId="116" applyNumberFormat="1" applyFont="1" applyFill="1" applyAlignment="1" applyProtection="1">
      <alignment horizontal="right"/>
    </xf>
    <xf numFmtId="173" fontId="17" fillId="0" borderId="0" xfId="116" applyNumberFormat="1" applyFont="1" applyFill="1" applyAlignment="1" applyProtection="1">
      <alignment horizontal="right"/>
    </xf>
    <xf numFmtId="173" fontId="17" fillId="0" borderId="20" xfId="103" applyNumberFormat="1" applyFont="1" applyFill="1" applyBorder="1"/>
    <xf numFmtId="173" fontId="15" fillId="0" borderId="20" xfId="47" applyNumberFormat="1" applyFont="1" applyFill="1" applyBorder="1" applyAlignment="1" applyProtection="1">
      <alignment horizontal="right"/>
    </xf>
    <xf numFmtId="173" fontId="15" fillId="0" borderId="0" xfId="47" applyNumberFormat="1" applyFont="1" applyFill="1" applyAlignment="1" applyProtection="1">
      <alignment horizontal="right"/>
    </xf>
    <xf numFmtId="173" fontId="15" fillId="0" borderId="24" xfId="103" applyNumberFormat="1" applyFont="1" applyFill="1" applyBorder="1" applyAlignment="1" applyProtection="1">
      <alignment horizontal="right" vertical="center"/>
    </xf>
    <xf numFmtId="173" fontId="15" fillId="0" borderId="18" xfId="103" applyNumberFormat="1" applyFont="1" applyFill="1" applyBorder="1" applyAlignment="1" applyProtection="1">
      <alignment horizontal="right" vertical="center"/>
    </xf>
    <xf numFmtId="173" fontId="19" fillId="0" borderId="20" xfId="103" applyNumberFormat="1" applyFont="1" applyFill="1" applyBorder="1" applyAlignment="1" applyProtection="1">
      <alignment horizontal="right" vertical="center"/>
    </xf>
    <xf numFmtId="173" fontId="15" fillId="0" borderId="0" xfId="103" applyNumberFormat="1" applyFont="1" applyFill="1" applyBorder="1" applyAlignment="1" applyProtection="1">
      <alignment horizontal="right" vertical="center"/>
    </xf>
    <xf numFmtId="173" fontId="19" fillId="0" borderId="0" xfId="103" applyNumberFormat="1" applyFont="1" applyFill="1" applyBorder="1" applyAlignment="1" applyProtection="1">
      <alignment horizontal="right" vertical="center"/>
    </xf>
    <xf numFmtId="173" fontId="15" fillId="0" borderId="20" xfId="103" applyNumberFormat="1" applyFont="1" applyFill="1" applyBorder="1" applyAlignment="1" applyProtection="1">
      <alignment horizontal="right" vertical="center"/>
    </xf>
    <xf numFmtId="173" fontId="4" fillId="0" borderId="20" xfId="103" applyNumberFormat="1" applyFont="1" applyFill="1" applyBorder="1" applyAlignment="1">
      <alignment horizontal="right"/>
    </xf>
    <xf numFmtId="173" fontId="4" fillId="0" borderId="0" xfId="103" applyNumberFormat="1" applyFont="1" applyFill="1" applyAlignment="1">
      <alignment horizontal="right"/>
    </xf>
    <xf numFmtId="173" fontId="17" fillId="0" borderId="20" xfId="103" applyNumberFormat="1" applyFont="1" applyFill="1" applyBorder="1" applyAlignment="1">
      <alignment horizontal="right"/>
    </xf>
    <xf numFmtId="173" fontId="17" fillId="0" borderId="0" xfId="103" applyNumberFormat="1" applyFont="1" applyFill="1" applyAlignment="1">
      <alignment horizontal="right"/>
    </xf>
    <xf numFmtId="187" fontId="15" fillId="0" borderId="33" xfId="103" applyNumberFormat="1" applyFont="1" applyFill="1" applyBorder="1" applyAlignment="1" applyProtection="1">
      <alignment horizontal="left"/>
    </xf>
    <xf numFmtId="173" fontId="15" fillId="0" borderId="56" xfId="103" applyNumberFormat="1" applyFont="1" applyFill="1" applyBorder="1" applyAlignment="1" applyProtection="1">
      <alignment horizontal="right"/>
    </xf>
    <xf numFmtId="173" fontId="15" fillId="0" borderId="33" xfId="103" applyNumberFormat="1" applyFont="1" applyFill="1" applyBorder="1" applyAlignment="1" applyProtection="1">
      <alignment horizontal="right"/>
    </xf>
    <xf numFmtId="43" fontId="4" fillId="0" borderId="0" xfId="72" applyFont="1" applyFill="1"/>
    <xf numFmtId="0" fontId="12" fillId="0" borderId="0" xfId="103" quotePrefix="1" applyFont="1" applyFill="1" applyAlignment="1" applyProtection="1">
      <alignment horizontal="left"/>
    </xf>
    <xf numFmtId="189" fontId="4" fillId="0" borderId="0" xfId="103" applyNumberFormat="1" applyFont="1" applyFill="1"/>
    <xf numFmtId="0" fontId="23" fillId="0" borderId="0" xfId="163" applyFont="1" applyFill="1" applyBorder="1">
      <protection locked="0"/>
    </xf>
    <xf numFmtId="0" fontId="4" fillId="0" borderId="15" xfId="163" applyFont="1" applyFill="1" applyBorder="1">
      <protection locked="0"/>
    </xf>
    <xf numFmtId="187" fontId="18" fillId="0" borderId="15" xfId="103" applyNumberFormat="1" applyFont="1" applyFill="1" applyBorder="1"/>
    <xf numFmtId="187" fontId="4" fillId="0" borderId="14" xfId="103" applyNumberFormat="1" applyFont="1" applyFill="1" applyBorder="1"/>
    <xf numFmtId="187" fontId="18" fillId="0" borderId="14" xfId="103" applyNumberFormat="1" applyFont="1" applyFill="1" applyBorder="1"/>
    <xf numFmtId="0" fontId="7" fillId="0" borderId="20" xfId="163" applyFont="1" applyFill="1" applyBorder="1">
      <protection locked="0"/>
    </xf>
    <xf numFmtId="7" fontId="7" fillId="0" borderId="20" xfId="75" applyNumberFormat="1" applyFont="1" applyFill="1" applyBorder="1"/>
    <xf numFmtId="7" fontId="7" fillId="0" borderId="0" xfId="75" applyNumberFormat="1" applyFont="1" applyFill="1" applyBorder="1"/>
    <xf numFmtId="9" fontId="7" fillId="0" borderId="20" xfId="116" applyFont="1" applyFill="1" applyBorder="1"/>
    <xf numFmtId="165" fontId="18" fillId="0" borderId="0" xfId="116" applyNumberFormat="1" applyFont="1" applyFill="1" applyBorder="1"/>
    <xf numFmtId="169" fontId="17" fillId="0" borderId="18" xfId="103" applyNumberFormat="1" applyFont="1" applyFill="1" applyBorder="1"/>
    <xf numFmtId="169" fontId="18" fillId="0" borderId="24" xfId="103" applyNumberFormat="1" applyFont="1" applyFill="1" applyBorder="1"/>
    <xf numFmtId="0" fontId="4" fillId="0" borderId="0" xfId="163" applyFont="1" applyFill="1" applyBorder="1">
      <protection locked="0"/>
    </xf>
    <xf numFmtId="187" fontId="19" fillId="0" borderId="15" xfId="103" applyNumberFormat="1" applyFont="1" applyFill="1" applyBorder="1"/>
    <xf numFmtId="187" fontId="5" fillId="0" borderId="14" xfId="103" applyNumberFormat="1" applyFont="1" applyFill="1" applyBorder="1"/>
    <xf numFmtId="187" fontId="5" fillId="0" borderId="15" xfId="103" applyNumberFormat="1" applyFont="1" applyFill="1" applyBorder="1"/>
    <xf numFmtId="0" fontId="4" fillId="0" borderId="0" xfId="163" applyFont="1" applyFill="1" applyBorder="1" applyAlignment="1">
      <alignment horizontal="left" indent="1"/>
      <protection locked="0"/>
    </xf>
    <xf numFmtId="187" fontId="4" fillId="0" borderId="0" xfId="103" applyNumberFormat="1" applyFont="1" applyFill="1" applyBorder="1"/>
    <xf numFmtId="187" fontId="17" fillId="0" borderId="0" xfId="103" applyNumberFormat="1" applyFont="1" applyFill="1" applyBorder="1"/>
    <xf numFmtId="187" fontId="18" fillId="0" borderId="20" xfId="103" applyNumberFormat="1" applyFont="1" applyFill="1" applyBorder="1"/>
    <xf numFmtId="187" fontId="18" fillId="0" borderId="0" xfId="103" applyNumberFormat="1" applyFont="1" applyFill="1" applyBorder="1"/>
    <xf numFmtId="187" fontId="5" fillId="0" borderId="20" xfId="103" applyNumberFormat="1" applyFont="1" applyFill="1" applyBorder="1"/>
    <xf numFmtId="187" fontId="15" fillId="0" borderId="0" xfId="103" applyNumberFormat="1" applyFont="1" applyFill="1" applyBorder="1"/>
    <xf numFmtId="187" fontId="5" fillId="0" borderId="0" xfId="103" applyNumberFormat="1" applyFont="1" applyFill="1" applyBorder="1"/>
    <xf numFmtId="169" fontId="4" fillId="0" borderId="0" xfId="163" applyNumberFormat="1" applyFont="1" applyFill="1" applyBorder="1">
      <protection locked="0"/>
    </xf>
    <xf numFmtId="169" fontId="17" fillId="0" borderId="20" xfId="103" applyNumberFormat="1" applyFont="1" applyFill="1" applyBorder="1"/>
    <xf numFmtId="169" fontId="4" fillId="0" borderId="0" xfId="103" applyNumberFormat="1" applyFont="1" applyFill="1" applyBorder="1"/>
    <xf numFmtId="169" fontId="17" fillId="0" borderId="0" xfId="103" applyNumberFormat="1" applyFont="1" applyFill="1" applyBorder="1"/>
    <xf numFmtId="169" fontId="18" fillId="0" borderId="20" xfId="103" applyNumberFormat="1" applyFont="1" applyFill="1" applyBorder="1"/>
    <xf numFmtId="169" fontId="4" fillId="0" borderId="20" xfId="103" applyNumberFormat="1" applyFont="1" applyFill="1" applyBorder="1"/>
    <xf numFmtId="0" fontId="13" fillId="0" borderId="0" xfId="163" applyFont="1" applyFill="1" applyBorder="1">
      <protection locked="0"/>
    </xf>
    <xf numFmtId="9" fontId="18" fillId="0" borderId="20" xfId="116" applyFont="1" applyFill="1" applyBorder="1"/>
    <xf numFmtId="9" fontId="18" fillId="0" borderId="0" xfId="116" applyFont="1" applyFill="1" applyBorder="1"/>
    <xf numFmtId="187" fontId="4" fillId="0" borderId="20" xfId="103" applyNumberFormat="1" applyFont="1" applyFill="1" applyBorder="1"/>
    <xf numFmtId="165" fontId="4" fillId="0" borderId="0" xfId="116" applyNumberFormat="1" applyFont="1" applyFill="1" applyBorder="1" applyAlignment="1">
      <alignment horizontal="right"/>
    </xf>
    <xf numFmtId="189" fontId="4" fillId="0" borderId="20" xfId="103" applyNumberFormat="1" applyFont="1" applyFill="1" applyBorder="1"/>
    <xf numFmtId="187" fontId="18" fillId="0" borderId="24" xfId="103" applyNumberFormat="1" applyFont="1" applyFill="1" applyBorder="1"/>
    <xf numFmtId="187" fontId="4" fillId="0" borderId="18" xfId="103" applyNumberFormat="1" applyFont="1" applyFill="1" applyBorder="1"/>
    <xf numFmtId="187" fontId="18" fillId="0" borderId="18" xfId="103" applyNumberFormat="1" applyFont="1" applyFill="1" applyBorder="1"/>
    <xf numFmtId="0" fontId="13" fillId="0" borderId="0" xfId="163" applyFont="1" applyFill="1" applyBorder="1" applyAlignment="1">
      <alignment horizontal="left" indent="1"/>
      <protection locked="0"/>
    </xf>
    <xf numFmtId="165" fontId="18" fillId="0" borderId="24" xfId="116" applyNumberFormat="1" applyFont="1" applyFill="1" applyBorder="1"/>
    <xf numFmtId="165" fontId="4" fillId="0" borderId="18" xfId="116" applyNumberFormat="1" applyFont="1" applyFill="1" applyBorder="1"/>
    <xf numFmtId="165" fontId="18" fillId="0" borderId="18" xfId="116" applyNumberFormat="1" applyFont="1" applyFill="1" applyBorder="1"/>
    <xf numFmtId="0" fontId="4" fillId="0" borderId="0" xfId="103" applyFont="1" applyFill="1"/>
    <xf numFmtId="37" fontId="4" fillId="0" borderId="0" xfId="103" applyNumberFormat="1" applyFont="1" applyFill="1"/>
    <xf numFmtId="0" fontId="4" fillId="0" borderId="0" xfId="103" applyFont="1" applyFill="1" applyAlignment="1">
      <alignment horizontal="left" indent="1"/>
    </xf>
    <xf numFmtId="0" fontId="4" fillId="0" borderId="0" xfId="103" quotePrefix="1" applyFont="1" applyFill="1" applyAlignment="1">
      <alignment horizontal="left" indent="1"/>
    </xf>
    <xf numFmtId="37" fontId="17" fillId="0" borderId="0" xfId="103" applyNumberFormat="1" applyFont="1" applyFill="1"/>
    <xf numFmtId="0" fontId="17" fillId="0" borderId="0" xfId="103" applyFont="1" applyFill="1"/>
    <xf numFmtId="9" fontId="17" fillId="0" borderId="0" xfId="103" applyNumberFormat="1" applyFont="1" applyFill="1" applyAlignment="1"/>
    <xf numFmtId="0" fontId="17" fillId="0" borderId="0" xfId="103" applyFont="1" applyFill="1" applyAlignment="1">
      <alignment horizontal="left" indent="1"/>
    </xf>
    <xf numFmtId="0" fontId="32" fillId="0" borderId="0" xfId="100" applyFont="1" applyFill="1" applyBorder="1" applyAlignment="1" applyProtection="1">
      <alignment horizontal="center"/>
    </xf>
    <xf numFmtId="0" fontId="12" fillId="0" borderId="0" xfId="100" applyFont="1" applyFill="1" applyBorder="1" applyAlignment="1" applyProtection="1">
      <alignment horizontal="left"/>
    </xf>
    <xf numFmtId="5" fontId="4" fillId="0" borderId="0" xfId="100" applyNumberFormat="1" applyFont="1" applyFill="1" applyAlignment="1">
      <alignment horizontal="left"/>
    </xf>
    <xf numFmtId="0" fontId="15" fillId="0" borderId="0" xfId="111" applyFont="1" applyFill="1" applyAlignment="1" applyProtection="1">
      <alignment horizontal="left"/>
    </xf>
    <xf numFmtId="0" fontId="4" fillId="0" borderId="0" xfId="111" applyFont="1" applyFill="1" applyBorder="1" applyAlignment="1">
      <alignment horizontal="center"/>
    </xf>
    <xf numFmtId="0" fontId="4" fillId="0" borderId="20" xfId="111" applyFont="1" applyFill="1" applyBorder="1" applyAlignment="1">
      <alignment horizontal="center"/>
    </xf>
    <xf numFmtId="0" fontId="4" fillId="0" borderId="0" xfId="111" applyFont="1" applyFill="1" applyAlignment="1">
      <alignment horizontal="center"/>
    </xf>
    <xf numFmtId="5" fontId="4" fillId="0" borderId="20" xfId="111" applyNumberFormat="1" applyFont="1" applyFill="1" applyBorder="1" applyAlignment="1">
      <alignment horizontal="center"/>
    </xf>
    <xf numFmtId="9" fontId="4" fillId="0" borderId="20" xfId="116" applyFont="1" applyFill="1" applyBorder="1" applyAlignment="1">
      <alignment horizontal="center"/>
    </xf>
    <xf numFmtId="169" fontId="4" fillId="0" borderId="0" xfId="111" applyNumberFormat="1" applyFont="1" applyFill="1" applyAlignment="1" applyProtection="1">
      <alignment horizontal="left"/>
    </xf>
    <xf numFmtId="169" fontId="4" fillId="0" borderId="0" xfId="111" applyNumberFormat="1" applyFont="1" applyFill="1" applyBorder="1" applyAlignment="1"/>
    <xf numFmtId="169" fontId="4" fillId="0" borderId="20" xfId="111" applyNumberFormat="1" applyFont="1" applyFill="1" applyBorder="1" applyAlignment="1"/>
    <xf numFmtId="169" fontId="4" fillId="0" borderId="0" xfId="111" applyNumberFormat="1" applyFont="1" applyFill="1" applyAlignment="1"/>
    <xf numFmtId="173" fontId="7" fillId="0" borderId="0" xfId="0" applyNumberFormat="1" applyFont="1" applyFill="1" applyAlignment="1" applyProtection="1">
      <alignment horizontal="left" indent="1"/>
    </xf>
    <xf numFmtId="173" fontId="17" fillId="0" borderId="0" xfId="111" applyNumberFormat="1" applyFont="1" applyFill="1" applyBorder="1" applyAlignment="1"/>
    <xf numFmtId="173" fontId="4" fillId="0" borderId="0" xfId="111" applyNumberFormat="1" applyFont="1" applyFill="1" applyAlignment="1" applyProtection="1">
      <alignment horizontal="left"/>
    </xf>
    <xf numFmtId="173" fontId="17" fillId="0" borderId="0" xfId="111" applyNumberFormat="1" applyFont="1" applyFill="1" applyBorder="1" applyAlignment="1" applyProtection="1"/>
    <xf numFmtId="173" fontId="17" fillId="0" borderId="20" xfId="111" applyNumberFormat="1" applyFont="1" applyFill="1" applyBorder="1" applyAlignment="1" applyProtection="1"/>
    <xf numFmtId="173" fontId="4" fillId="0" borderId="0" xfId="111" applyNumberFormat="1" applyFont="1" applyFill="1" applyAlignment="1" applyProtection="1"/>
    <xf numFmtId="173" fontId="17" fillId="0" borderId="0" xfId="111" applyNumberFormat="1" applyFont="1" applyFill="1" applyAlignment="1" applyProtection="1"/>
    <xf numFmtId="173" fontId="4" fillId="0" borderId="20" xfId="111" applyNumberFormat="1" applyFont="1" applyFill="1" applyBorder="1" applyAlignment="1" applyProtection="1"/>
    <xf numFmtId="173" fontId="15" fillId="0" borderId="0" xfId="111" applyNumberFormat="1" applyFont="1" applyFill="1" applyBorder="1" applyAlignment="1" applyProtection="1">
      <alignment horizontal="left"/>
    </xf>
    <xf numFmtId="173" fontId="15" fillId="0" borderId="0" xfId="111" applyNumberFormat="1" applyFont="1" applyFill="1" applyBorder="1" applyAlignment="1" applyProtection="1"/>
    <xf numFmtId="173" fontId="15" fillId="0" borderId="24" xfId="111" applyNumberFormat="1" applyFont="1" applyFill="1" applyBorder="1" applyAlignment="1" applyProtection="1"/>
    <xf numFmtId="173" fontId="15" fillId="0" borderId="18" xfId="111" applyNumberFormat="1" applyFont="1" applyFill="1" applyBorder="1" applyAlignment="1" applyProtection="1"/>
    <xf numFmtId="173" fontId="15" fillId="0" borderId="0" xfId="111" applyNumberFormat="1" applyFont="1" applyFill="1" applyAlignment="1" applyProtection="1">
      <alignment horizontal="left"/>
    </xf>
    <xf numFmtId="173" fontId="4" fillId="0" borderId="0" xfId="111" applyNumberFormat="1" applyFont="1" applyFill="1" applyBorder="1" applyAlignment="1"/>
    <xf numFmtId="173" fontId="4" fillId="0" borderId="0" xfId="111" applyNumberFormat="1" applyFont="1" applyFill="1" applyBorder="1" applyAlignment="1" applyProtection="1"/>
    <xf numFmtId="173" fontId="4" fillId="0" borderId="0" xfId="111" applyNumberFormat="1" applyFont="1" applyFill="1" applyBorder="1" applyAlignment="1" applyProtection="1">
      <alignment horizontal="left"/>
    </xf>
    <xf numFmtId="173" fontId="17" fillId="0" borderId="0" xfId="74" applyNumberFormat="1" applyFont="1" applyFill="1" applyAlignment="1" applyProtection="1"/>
    <xf numFmtId="173" fontId="17" fillId="0" borderId="0" xfId="74" applyNumberFormat="1" applyFont="1" applyFill="1" applyBorder="1" applyAlignment="1" applyProtection="1"/>
    <xf numFmtId="173" fontId="17" fillId="0" borderId="20" xfId="74" applyNumberFormat="1" applyFont="1" applyFill="1" applyBorder="1" applyAlignment="1" applyProtection="1"/>
    <xf numFmtId="0" fontId="4" fillId="0" borderId="0" xfId="111" applyFont="1" applyFill="1" applyAlignment="1" applyProtection="1">
      <alignment horizontal="left"/>
    </xf>
    <xf numFmtId="7" fontId="4" fillId="0" borderId="0" xfId="111" applyNumberFormat="1" applyFont="1" applyFill="1" applyBorder="1" applyAlignment="1" applyProtection="1">
      <alignment horizontal="center"/>
    </xf>
    <xf numFmtId="182" fontId="4" fillId="0" borderId="0" xfId="111" applyNumberFormat="1" applyFont="1" applyFill="1" applyAlignment="1" applyProtection="1">
      <alignment horizontal="center"/>
    </xf>
    <xf numFmtId="184" fontId="4" fillId="0" borderId="0" xfId="111" applyNumberFormat="1" applyFont="1" applyFill="1" applyAlignment="1" applyProtection="1">
      <alignment horizontal="center"/>
    </xf>
    <xf numFmtId="182" fontId="4" fillId="0" borderId="0" xfId="111" applyNumberFormat="1" applyFont="1" applyFill="1" applyAlignment="1">
      <alignment horizontal="center"/>
    </xf>
    <xf numFmtId="184" fontId="4" fillId="0" borderId="0" xfId="111" applyNumberFormat="1" applyFont="1" applyFill="1" applyBorder="1" applyAlignment="1" applyProtection="1">
      <alignment horizontal="right"/>
    </xf>
    <xf numFmtId="184" fontId="18" fillId="0" borderId="15" xfId="111" applyNumberFormat="1" applyFont="1" applyFill="1" applyBorder="1" applyAlignment="1" applyProtection="1">
      <alignment horizontal="right"/>
    </xf>
    <xf numFmtId="184" fontId="4" fillId="0" borderId="14" xfId="111" applyNumberFormat="1" applyFont="1" applyFill="1" applyBorder="1" applyAlignment="1" applyProtection="1">
      <alignment horizontal="right"/>
    </xf>
    <xf numFmtId="184" fontId="18" fillId="0" borderId="14" xfId="111" applyNumberFormat="1" applyFont="1" applyFill="1" applyBorder="1" applyAlignment="1" applyProtection="1">
      <alignment horizontal="right"/>
    </xf>
    <xf numFmtId="0" fontId="4" fillId="0" borderId="20" xfId="163" applyFont="1" applyFill="1" applyBorder="1">
      <protection locked="0"/>
    </xf>
    <xf numFmtId="184" fontId="18" fillId="0" borderId="20" xfId="111" applyNumberFormat="1" applyFont="1" applyFill="1" applyBorder="1" applyAlignment="1" applyProtection="1">
      <alignment horizontal="right"/>
    </xf>
    <xf numFmtId="184" fontId="18" fillId="0" borderId="0" xfId="111" applyNumberFormat="1" applyFont="1" applyFill="1" applyBorder="1" applyAlignment="1" applyProtection="1">
      <alignment horizontal="right"/>
    </xf>
    <xf numFmtId="0" fontId="4" fillId="0" borderId="24" xfId="163" applyFont="1" applyFill="1" applyBorder="1">
      <protection locked="0"/>
    </xf>
    <xf numFmtId="7" fontId="4" fillId="0" borderId="24" xfId="111" applyNumberFormat="1" applyFont="1" applyFill="1" applyBorder="1" applyAlignment="1" applyProtection="1">
      <alignment horizontal="right"/>
    </xf>
    <xf numFmtId="182" fontId="4" fillId="0" borderId="18" xfId="111" applyNumberFormat="1" applyFont="1" applyFill="1" applyBorder="1" applyAlignment="1" applyProtection="1">
      <alignment horizontal="right"/>
    </xf>
    <xf numFmtId="7" fontId="4" fillId="0" borderId="18" xfId="111" applyNumberFormat="1" applyFont="1" applyFill="1" applyBorder="1" applyAlignment="1" applyProtection="1">
      <alignment horizontal="right"/>
    </xf>
    <xf numFmtId="182" fontId="4" fillId="0" borderId="0" xfId="111" applyNumberFormat="1" applyFont="1" applyFill="1" applyAlignment="1" applyProtection="1">
      <alignment horizontal="right"/>
    </xf>
    <xf numFmtId="184" fontId="4" fillId="0" borderId="0" xfId="111" applyNumberFormat="1" applyFont="1" applyFill="1" applyAlignment="1" applyProtection="1">
      <alignment horizontal="right"/>
    </xf>
    <xf numFmtId="182" fontId="4" fillId="0" borderId="0" xfId="111" applyNumberFormat="1" applyFont="1" applyFill="1" applyAlignment="1">
      <alignment horizontal="right"/>
    </xf>
    <xf numFmtId="165" fontId="4" fillId="0" borderId="15" xfId="163" applyNumberFormat="1" applyFont="1" applyFill="1" applyBorder="1">
      <protection locked="0"/>
    </xf>
    <xf numFmtId="165" fontId="4" fillId="0" borderId="0" xfId="163" applyNumberFormat="1" applyFont="1" applyFill="1" applyBorder="1">
      <protection locked="0"/>
    </xf>
    <xf numFmtId="165" fontId="4" fillId="0" borderId="15" xfId="116" applyNumberFormat="1" applyFont="1" applyFill="1" applyBorder="1" applyAlignment="1" applyProtection="1">
      <alignment horizontal="right"/>
    </xf>
    <xf numFmtId="165" fontId="4" fillId="0" borderId="14" xfId="116" applyNumberFormat="1" applyFont="1" applyFill="1" applyBorder="1" applyAlignment="1" applyProtection="1">
      <alignment horizontal="right"/>
    </xf>
    <xf numFmtId="165" fontId="4" fillId="0" borderId="20" xfId="163" applyNumberFormat="1" applyFont="1" applyFill="1" applyBorder="1">
      <protection locked="0"/>
    </xf>
    <xf numFmtId="165" fontId="4" fillId="0" borderId="20" xfId="116" applyNumberFormat="1" applyFont="1" applyFill="1" applyBorder="1" applyAlignment="1" applyProtection="1">
      <alignment horizontal="right"/>
    </xf>
    <xf numFmtId="165" fontId="4" fillId="0" borderId="0" xfId="116" applyNumberFormat="1" applyFont="1" applyFill="1" applyBorder="1" applyAlignment="1" applyProtection="1">
      <alignment horizontal="right"/>
    </xf>
    <xf numFmtId="165" fontId="4" fillId="0" borderId="24" xfId="116" applyNumberFormat="1" applyFont="1" applyFill="1" applyBorder="1" applyProtection="1">
      <protection locked="0"/>
    </xf>
    <xf numFmtId="165" fontId="4" fillId="0" borderId="0" xfId="116" applyNumberFormat="1" applyFont="1" applyFill="1" applyBorder="1" applyProtection="1">
      <protection locked="0"/>
    </xf>
    <xf numFmtId="165" fontId="4" fillId="0" borderId="24" xfId="116" applyNumberFormat="1" applyFont="1" applyFill="1" applyBorder="1" applyAlignment="1" applyProtection="1">
      <alignment horizontal="right"/>
    </xf>
    <xf numFmtId="165" fontId="4" fillId="0" borderId="18" xfId="116" applyNumberFormat="1" applyFont="1" applyFill="1" applyBorder="1" applyAlignment="1" applyProtection="1">
      <alignment horizontal="right"/>
    </xf>
    <xf numFmtId="165" fontId="10" fillId="0" borderId="0" xfId="116" applyNumberFormat="1" applyFont="1" applyFill="1"/>
    <xf numFmtId="173" fontId="18" fillId="0" borderId="24" xfId="111" applyNumberFormat="1" applyFont="1" applyFill="1" applyBorder="1" applyAlignment="1" applyProtection="1">
      <alignment horizontal="right"/>
    </xf>
    <xf numFmtId="173" fontId="4" fillId="0" borderId="18" xfId="111" applyNumberFormat="1" applyFont="1" applyFill="1" applyBorder="1" applyAlignment="1" applyProtection="1">
      <alignment horizontal="right"/>
    </xf>
    <xf numFmtId="173" fontId="18" fillId="0" borderId="18" xfId="111" applyNumberFormat="1" applyFont="1" applyFill="1" applyBorder="1" applyAlignment="1" applyProtection="1">
      <alignment horizontal="right"/>
    </xf>
    <xf numFmtId="178" fontId="23" fillId="0" borderId="0" xfId="163" applyNumberFormat="1" applyFont="1" applyFill="1" applyBorder="1">
      <protection locked="0"/>
    </xf>
    <xf numFmtId="185" fontId="4" fillId="0" borderId="0" xfId="111" applyNumberFormat="1" applyFont="1" applyFill="1" applyBorder="1" applyAlignment="1" applyProtection="1">
      <alignment horizontal="right"/>
    </xf>
    <xf numFmtId="185" fontId="18" fillId="0" borderId="15" xfId="111" applyNumberFormat="1" applyFont="1" applyFill="1" applyBorder="1" applyAlignment="1" applyProtection="1">
      <alignment horizontal="right"/>
    </xf>
    <xf numFmtId="185" fontId="4" fillId="0" borderId="14" xfId="111" applyNumberFormat="1" applyFont="1" applyFill="1" applyBorder="1" applyAlignment="1" applyProtection="1">
      <alignment horizontal="right"/>
    </xf>
    <xf numFmtId="185" fontId="18" fillId="0" borderId="14" xfId="111" applyNumberFormat="1" applyFont="1" applyFill="1" applyBorder="1" applyAlignment="1" applyProtection="1">
      <alignment horizontal="right"/>
    </xf>
    <xf numFmtId="178" fontId="4" fillId="0" borderId="20" xfId="101" applyNumberFormat="1" applyFont="1" applyFill="1" applyBorder="1"/>
    <xf numFmtId="178" fontId="4" fillId="0" borderId="0" xfId="101" applyNumberFormat="1" applyFont="1" applyFill="1" applyBorder="1"/>
    <xf numFmtId="185" fontId="18" fillId="0" borderId="20" xfId="111" applyNumberFormat="1" applyFont="1" applyFill="1" applyBorder="1" applyAlignment="1" applyProtection="1">
      <alignment horizontal="right"/>
    </xf>
    <xf numFmtId="185" fontId="18" fillId="0" borderId="0" xfId="111" applyNumberFormat="1" applyFont="1" applyFill="1" applyBorder="1" applyAlignment="1" applyProtection="1">
      <alignment horizontal="right"/>
    </xf>
    <xf numFmtId="178" fontId="7" fillId="0" borderId="20" xfId="101" applyNumberFormat="1" applyFont="1" applyFill="1" applyBorder="1"/>
    <xf numFmtId="178" fontId="7" fillId="0" borderId="0" xfId="101" applyNumberFormat="1" applyFont="1" applyFill="1" applyBorder="1"/>
    <xf numFmtId="178" fontId="7" fillId="0" borderId="24" xfId="101" applyNumberFormat="1" applyFont="1" applyFill="1" applyBorder="1"/>
    <xf numFmtId="185" fontId="18" fillId="0" borderId="24" xfId="111" applyNumberFormat="1" applyFont="1" applyFill="1" applyBorder="1" applyAlignment="1" applyProtection="1">
      <alignment horizontal="right"/>
    </xf>
    <xf numFmtId="185" fontId="4" fillId="0" borderId="18" xfId="111" applyNumberFormat="1" applyFont="1" applyFill="1" applyBorder="1" applyAlignment="1" applyProtection="1">
      <alignment horizontal="right"/>
    </xf>
    <xf numFmtId="185" fontId="18" fillId="0" borderId="18" xfId="111" applyNumberFormat="1" applyFont="1" applyFill="1" applyBorder="1" applyAlignment="1" applyProtection="1">
      <alignment horizontal="right"/>
    </xf>
    <xf numFmtId="167" fontId="4" fillId="0" borderId="0" xfId="72" applyNumberFormat="1" applyFont="1" applyFill="1" applyBorder="1" applyAlignment="1" applyProtection="1">
      <alignment horizontal="right"/>
    </xf>
    <xf numFmtId="167" fontId="17" fillId="0" borderId="15" xfId="72" applyNumberFormat="1" applyFont="1" applyFill="1" applyBorder="1" applyAlignment="1" applyProtection="1">
      <alignment horizontal="right"/>
    </xf>
    <xf numFmtId="182" fontId="17" fillId="0" borderId="14" xfId="111" applyNumberFormat="1" applyFont="1" applyFill="1" applyBorder="1" applyAlignment="1" applyProtection="1">
      <alignment horizontal="right"/>
    </xf>
    <xf numFmtId="182" fontId="18" fillId="0" borderId="15" xfId="111" applyNumberFormat="1" applyFont="1" applyFill="1" applyBorder="1" applyAlignment="1" applyProtection="1">
      <alignment horizontal="right"/>
    </xf>
    <xf numFmtId="184" fontId="4" fillId="0" borderId="18" xfId="111" applyNumberFormat="1" applyFont="1" applyFill="1" applyBorder="1" applyAlignment="1" applyProtection="1">
      <alignment horizontal="right"/>
    </xf>
    <xf numFmtId="182" fontId="4" fillId="0" borderId="18" xfId="111" applyNumberFormat="1" applyFont="1" applyFill="1" applyBorder="1" applyAlignment="1">
      <alignment horizontal="right"/>
    </xf>
    <xf numFmtId="184" fontId="17" fillId="0" borderId="15" xfId="111" applyNumberFormat="1" applyFont="1" applyFill="1" applyBorder="1" applyAlignment="1" applyProtection="1">
      <alignment horizontal="right"/>
    </xf>
    <xf numFmtId="184" fontId="17" fillId="0" borderId="20" xfId="111" applyNumberFormat="1" applyFont="1" applyFill="1" applyBorder="1" applyAlignment="1" applyProtection="1">
      <alignment horizontal="right"/>
    </xf>
    <xf numFmtId="184" fontId="4" fillId="0" borderId="20" xfId="111" applyNumberFormat="1" applyFont="1" applyFill="1" applyBorder="1" applyAlignment="1" applyProtection="1">
      <alignment horizontal="right"/>
    </xf>
    <xf numFmtId="187" fontId="4" fillId="0" borderId="0" xfId="163" applyNumberFormat="1" applyFont="1" applyFill="1" applyBorder="1" applyAlignment="1">
      <alignment horizontal="left" indent="1"/>
      <protection locked="0"/>
    </xf>
    <xf numFmtId="184" fontId="17" fillId="0" borderId="0" xfId="111" applyNumberFormat="1" applyFont="1" applyFill="1" applyBorder="1" applyAlignment="1" applyProtection="1">
      <alignment horizontal="right"/>
    </xf>
    <xf numFmtId="38" fontId="4" fillId="0" borderId="0" xfId="163" applyNumberFormat="1" applyFont="1" applyFill="1" applyBorder="1" applyAlignment="1">
      <alignment horizontal="left" indent="1"/>
      <protection locked="0"/>
    </xf>
    <xf numFmtId="38" fontId="4" fillId="0" borderId="0" xfId="163" applyNumberFormat="1" applyFont="1" applyFill="1" applyBorder="1">
      <protection locked="0"/>
    </xf>
    <xf numFmtId="184" fontId="18" fillId="0" borderId="24" xfId="111" applyNumberFormat="1" applyFont="1" applyFill="1" applyBorder="1" applyAlignment="1" applyProtection="1">
      <alignment horizontal="right"/>
    </xf>
    <xf numFmtId="184" fontId="18" fillId="0" borderId="18" xfId="111" applyNumberFormat="1" applyFont="1" applyFill="1" applyBorder="1" applyAlignment="1" applyProtection="1">
      <alignment horizontal="right"/>
    </xf>
    <xf numFmtId="0" fontId="23" fillId="0" borderId="0" xfId="111" applyFont="1" applyFill="1" applyBorder="1"/>
    <xf numFmtId="178" fontId="4" fillId="0" borderId="0" xfId="99" applyNumberFormat="1" applyFont="1" applyFill="1" applyBorder="1" applyAlignment="1">
      <alignment horizontal="right"/>
    </xf>
    <xf numFmtId="0" fontId="0" fillId="0" borderId="0" xfId="0" applyFill="1" applyAlignment="1">
      <alignment horizontal="right"/>
    </xf>
    <xf numFmtId="0" fontId="4" fillId="0" borderId="0" xfId="0" applyFont="1" applyFill="1" applyAlignment="1">
      <alignment horizontal="right"/>
    </xf>
    <xf numFmtId="186" fontId="4" fillId="0" borderId="0" xfId="72" applyNumberFormat="1" applyFont="1" applyFill="1" applyBorder="1" applyAlignment="1">
      <alignment horizontal="right"/>
    </xf>
    <xf numFmtId="186" fontId="17" fillId="0" borderId="15" xfId="72" applyNumberFormat="1" applyFont="1" applyFill="1" applyBorder="1" applyAlignment="1">
      <alignment horizontal="right"/>
    </xf>
    <xf numFmtId="186" fontId="4" fillId="0" borderId="14" xfId="72" applyNumberFormat="1" applyFont="1" applyFill="1" applyBorder="1" applyAlignment="1">
      <alignment horizontal="right"/>
    </xf>
    <xf numFmtId="186" fontId="4" fillId="0" borderId="15" xfId="72" applyNumberFormat="1" applyFont="1" applyFill="1" applyBorder="1" applyAlignment="1">
      <alignment horizontal="right"/>
    </xf>
    <xf numFmtId="186" fontId="18" fillId="0" borderId="14" xfId="72" applyNumberFormat="1" applyFont="1" applyFill="1" applyBorder="1" applyAlignment="1">
      <alignment horizontal="right"/>
    </xf>
    <xf numFmtId="186" fontId="18" fillId="0" borderId="15" xfId="72" applyNumberFormat="1" applyFont="1" applyFill="1" applyBorder="1" applyAlignment="1">
      <alignment horizontal="right"/>
    </xf>
    <xf numFmtId="173" fontId="4" fillId="0" borderId="0" xfId="163" applyNumberFormat="1" applyFont="1" applyFill="1" applyBorder="1" applyAlignment="1">
      <alignment horizontal="left" indent="1"/>
      <protection locked="0"/>
    </xf>
    <xf numFmtId="186" fontId="4" fillId="0" borderId="20" xfId="72" applyNumberFormat="1" applyFont="1" applyFill="1" applyBorder="1" applyAlignment="1">
      <alignment horizontal="right"/>
    </xf>
    <xf numFmtId="186" fontId="18" fillId="0" borderId="20" xfId="72" applyNumberFormat="1" applyFont="1" applyFill="1" applyBorder="1" applyAlignment="1">
      <alignment horizontal="right"/>
    </xf>
    <xf numFmtId="0" fontId="13" fillId="0" borderId="0" xfId="163" applyFont="1" applyFill="1" applyBorder="1" applyAlignment="1">
      <alignment horizontal="left" indent="2"/>
      <protection locked="0"/>
    </xf>
    <xf numFmtId="165" fontId="4" fillId="0" borderId="20" xfId="116" applyNumberFormat="1" applyFont="1" applyFill="1" applyBorder="1" applyAlignment="1">
      <alignment horizontal="right"/>
    </xf>
    <xf numFmtId="186" fontId="17" fillId="0" borderId="20" xfId="72" applyNumberFormat="1" applyFont="1" applyFill="1" applyBorder="1" applyAlignment="1">
      <alignment horizontal="right"/>
    </xf>
    <xf numFmtId="186" fontId="17" fillId="0" borderId="0" xfId="72" applyNumberFormat="1" applyFont="1" applyFill="1" applyBorder="1" applyAlignment="1">
      <alignment horizontal="right"/>
    </xf>
    <xf numFmtId="186" fontId="18" fillId="0" borderId="0" xfId="72" applyNumberFormat="1" applyFont="1" applyFill="1" applyBorder="1" applyAlignment="1">
      <alignment horizontal="right"/>
    </xf>
    <xf numFmtId="165" fontId="13" fillId="0" borderId="0" xfId="163" applyNumberFormat="1" applyFont="1" applyFill="1" applyBorder="1" applyAlignment="1">
      <alignment horizontal="left" indent="2"/>
      <protection locked="0"/>
    </xf>
    <xf numFmtId="178" fontId="4" fillId="0" borderId="20" xfId="99" applyNumberFormat="1" applyFont="1" applyFill="1" applyBorder="1" applyAlignment="1">
      <alignment horizontal="right"/>
    </xf>
    <xf numFmtId="186" fontId="4" fillId="0" borderId="0" xfId="99" applyNumberFormat="1" applyFont="1" applyFill="1" applyBorder="1" applyAlignment="1">
      <alignment horizontal="right"/>
    </xf>
    <xf numFmtId="186" fontId="18" fillId="0" borderId="20" xfId="99" applyNumberFormat="1" applyFont="1" applyFill="1" applyBorder="1" applyAlignment="1">
      <alignment horizontal="right"/>
    </xf>
    <xf numFmtId="186" fontId="18" fillId="0" borderId="0" xfId="99" applyNumberFormat="1" applyFont="1" applyFill="1" applyBorder="1" applyAlignment="1">
      <alignment horizontal="right"/>
    </xf>
    <xf numFmtId="186" fontId="4" fillId="0" borderId="0" xfId="116" applyNumberFormat="1" applyFont="1" applyFill="1" applyBorder="1" applyAlignment="1">
      <alignment horizontal="right"/>
    </xf>
    <xf numFmtId="186" fontId="4" fillId="0" borderId="20" xfId="116" applyNumberFormat="1" applyFont="1" applyFill="1" applyBorder="1" applyAlignment="1">
      <alignment horizontal="right"/>
    </xf>
    <xf numFmtId="186" fontId="17" fillId="0" borderId="20" xfId="116" applyNumberFormat="1" applyFont="1" applyFill="1" applyBorder="1" applyAlignment="1">
      <alignment horizontal="right"/>
    </xf>
    <xf numFmtId="186" fontId="4" fillId="0" borderId="20" xfId="99" applyNumberFormat="1" applyFont="1" applyFill="1" applyBorder="1" applyAlignment="1">
      <alignment horizontal="right"/>
    </xf>
    <xf numFmtId="186" fontId="4" fillId="0" borderId="24" xfId="99" applyNumberFormat="1" applyFont="1" applyFill="1" applyBorder="1" applyAlignment="1">
      <alignment horizontal="right"/>
    </xf>
    <xf numFmtId="186" fontId="4" fillId="0" borderId="18" xfId="99" applyNumberFormat="1" applyFont="1" applyFill="1" applyBorder="1" applyAlignment="1">
      <alignment horizontal="right"/>
    </xf>
    <xf numFmtId="41" fontId="4" fillId="0" borderId="0" xfId="163" applyNumberFormat="1" applyFont="1" applyFill="1" applyBorder="1">
      <protection locked="0"/>
    </xf>
    <xf numFmtId="186" fontId="17" fillId="0" borderId="15" xfId="99" applyNumberFormat="1" applyFont="1" applyFill="1" applyBorder="1" applyAlignment="1">
      <alignment horizontal="right"/>
    </xf>
    <xf numFmtId="186" fontId="4" fillId="0" borderId="14" xfId="99" applyNumberFormat="1" applyFont="1" applyFill="1" applyBorder="1" applyAlignment="1">
      <alignment horizontal="right"/>
    </xf>
    <xf numFmtId="186" fontId="18" fillId="0" borderId="14" xfId="99" applyNumberFormat="1" applyFont="1" applyFill="1" applyBorder="1" applyAlignment="1">
      <alignment horizontal="right"/>
    </xf>
    <xf numFmtId="186" fontId="18" fillId="0" borderId="15" xfId="99" applyNumberFormat="1" applyFont="1" applyFill="1" applyBorder="1" applyAlignment="1">
      <alignment horizontal="right"/>
    </xf>
    <xf numFmtId="41" fontId="4" fillId="0" borderId="0" xfId="163" applyNumberFormat="1" applyFont="1" applyFill="1" applyBorder="1" applyAlignment="1">
      <alignment horizontal="left" indent="1"/>
      <protection locked="0"/>
    </xf>
    <xf numFmtId="186" fontId="17" fillId="0" borderId="20" xfId="99" applyNumberFormat="1" applyFont="1" applyFill="1" applyBorder="1" applyAlignment="1">
      <alignment horizontal="right"/>
    </xf>
    <xf numFmtId="186" fontId="17" fillId="0" borderId="0" xfId="99" applyNumberFormat="1" applyFont="1" applyFill="1" applyBorder="1" applyAlignment="1">
      <alignment horizontal="right"/>
    </xf>
    <xf numFmtId="0" fontId="4" fillId="0" borderId="0" xfId="163" applyFont="1" applyFill="1" applyBorder="1" applyAlignment="1">
      <alignment horizontal="left" indent="2"/>
      <protection locked="0"/>
    </xf>
    <xf numFmtId="186" fontId="18" fillId="0" borderId="24" xfId="99" applyNumberFormat="1" applyFont="1" applyFill="1" applyBorder="1" applyAlignment="1">
      <alignment horizontal="right"/>
    </xf>
    <xf numFmtId="186" fontId="18" fillId="0" borderId="18" xfId="99" applyNumberFormat="1" applyFont="1" applyFill="1" applyBorder="1" applyAlignment="1">
      <alignment horizontal="right"/>
    </xf>
    <xf numFmtId="37" fontId="4" fillId="0" borderId="0" xfId="0" applyNumberFormat="1" applyFont="1" applyFill="1" applyBorder="1"/>
    <xf numFmtId="37" fontId="20" fillId="0" borderId="0" xfId="98" applyFont="1" applyFill="1" applyBorder="1"/>
    <xf numFmtId="0" fontId="4" fillId="0" borderId="0" xfId="99" applyFont="1" applyFill="1" applyBorder="1" applyAlignment="1">
      <alignment horizontal="right"/>
    </xf>
    <xf numFmtId="0" fontId="4" fillId="0" borderId="0" xfId="99" applyFont="1" applyFill="1" applyAlignment="1">
      <alignment horizontal="right"/>
    </xf>
    <xf numFmtId="0" fontId="25" fillId="0" borderId="0" xfId="99" applyFont="1" applyFill="1" applyBorder="1" applyAlignment="1">
      <alignment horizontal="right"/>
    </xf>
    <xf numFmtId="0" fontId="25" fillId="0" borderId="18" xfId="99" applyFont="1" applyFill="1" applyBorder="1" applyAlignment="1">
      <alignment horizontal="right"/>
    </xf>
    <xf numFmtId="178" fontId="25" fillId="0" borderId="18" xfId="99" applyNumberFormat="1" applyFont="1" applyFill="1" applyBorder="1" applyAlignment="1">
      <alignment horizontal="right"/>
    </xf>
    <xf numFmtId="173" fontId="4" fillId="0" borderId="0" xfId="99" applyNumberFormat="1" applyFont="1" applyFill="1" applyBorder="1" applyAlignment="1">
      <alignment horizontal="right"/>
    </xf>
    <xf numFmtId="173" fontId="17" fillId="0" borderId="15" xfId="99" applyNumberFormat="1" applyFont="1" applyFill="1" applyBorder="1" applyAlignment="1">
      <alignment horizontal="right"/>
    </xf>
    <xf numFmtId="173" fontId="4" fillId="0" borderId="14" xfId="99" applyNumberFormat="1" applyFont="1" applyFill="1" applyBorder="1" applyAlignment="1">
      <alignment horizontal="right"/>
    </xf>
    <xf numFmtId="173" fontId="17" fillId="0" borderId="14" xfId="99" applyNumberFormat="1" applyFont="1" applyFill="1" applyBorder="1" applyAlignment="1">
      <alignment horizontal="right"/>
    </xf>
    <xf numFmtId="0" fontId="4" fillId="0" borderId="20" xfId="99" applyFont="1" applyFill="1" applyBorder="1" applyAlignment="1">
      <alignment horizontal="right"/>
    </xf>
    <xf numFmtId="0" fontId="17" fillId="0" borderId="20" xfId="99" applyFont="1" applyFill="1" applyBorder="1" applyAlignment="1">
      <alignment horizontal="right"/>
    </xf>
    <xf numFmtId="165" fontId="17" fillId="0" borderId="20" xfId="116" applyNumberFormat="1" applyFont="1" applyFill="1" applyBorder="1" applyAlignment="1">
      <alignment horizontal="right"/>
    </xf>
    <xf numFmtId="182" fontId="17" fillId="0" borderId="24" xfId="99" applyNumberFormat="1" applyFont="1" applyFill="1" applyBorder="1" applyAlignment="1">
      <alignment horizontal="right"/>
    </xf>
    <xf numFmtId="182" fontId="17" fillId="0" borderId="18" xfId="99" applyNumberFormat="1" applyFont="1" applyFill="1" applyBorder="1" applyAlignment="1">
      <alignment horizontal="right"/>
    </xf>
    <xf numFmtId="182" fontId="4" fillId="0" borderId="24" xfId="99" applyNumberFormat="1" applyFont="1" applyFill="1" applyBorder="1" applyAlignment="1">
      <alignment horizontal="right"/>
    </xf>
    <xf numFmtId="165" fontId="17" fillId="0" borderId="18" xfId="116" applyNumberFormat="1" applyFont="1" applyFill="1" applyBorder="1" applyAlignment="1">
      <alignment horizontal="right"/>
    </xf>
    <xf numFmtId="165" fontId="17" fillId="0" borderId="24" xfId="116" applyNumberFormat="1" applyFont="1" applyFill="1" applyBorder="1" applyAlignment="1">
      <alignment horizontal="right"/>
    </xf>
    <xf numFmtId="173" fontId="46" fillId="0" borderId="25" xfId="0" applyNumberFormat="1" applyFont="1" applyFill="1" applyBorder="1"/>
    <xf numFmtId="173" fontId="46" fillId="0" borderId="0" xfId="0" applyNumberFormat="1" applyFont="1" applyFill="1" applyBorder="1"/>
    <xf numFmtId="173" fontId="46" fillId="0" borderId="20" xfId="0" applyNumberFormat="1" applyFont="1" applyFill="1" applyBorder="1"/>
    <xf numFmtId="0" fontId="27" fillId="0" borderId="25" xfId="96" applyFont="1" applyFill="1" applyBorder="1"/>
    <xf numFmtId="0" fontId="27" fillId="0" borderId="0" xfId="96" applyFont="1" applyFill="1" applyBorder="1"/>
    <xf numFmtId="165" fontId="13" fillId="0" borderId="0" xfId="116" applyNumberFormat="1" applyFont="1" applyFill="1" applyBorder="1"/>
    <xf numFmtId="165" fontId="12" fillId="0" borderId="25" xfId="116" applyNumberFormat="1" applyFont="1" applyFill="1" applyBorder="1"/>
    <xf numFmtId="0" fontId="13" fillId="0" borderId="25" xfId="0" applyFont="1" applyFill="1" applyBorder="1"/>
    <xf numFmtId="165" fontId="12" fillId="0" borderId="0" xfId="116" applyNumberFormat="1" applyFont="1" applyFill="1" applyBorder="1"/>
    <xf numFmtId="165" fontId="12" fillId="0" borderId="20" xfId="116" applyNumberFormat="1" applyFont="1" applyFill="1" applyBorder="1"/>
    <xf numFmtId="184" fontId="7" fillId="0" borderId="0" xfId="0" applyNumberFormat="1" applyFont="1" applyFill="1" applyBorder="1"/>
    <xf numFmtId="184" fontId="46" fillId="0" borderId="25" xfId="0" applyNumberFormat="1" applyFont="1" applyFill="1" applyBorder="1"/>
    <xf numFmtId="184" fontId="46" fillId="0" borderId="0" xfId="0" applyNumberFormat="1" applyFont="1" applyFill="1" applyBorder="1"/>
    <xf numFmtId="184" fontId="46" fillId="0" borderId="20" xfId="0" applyNumberFormat="1" applyFont="1" applyFill="1" applyBorder="1"/>
    <xf numFmtId="0" fontId="13" fillId="0" borderId="25" xfId="96" applyFont="1" applyFill="1" applyBorder="1"/>
    <xf numFmtId="0" fontId="13" fillId="0" borderId="0" xfId="96" applyFont="1" applyFill="1" applyBorder="1"/>
    <xf numFmtId="184" fontId="13" fillId="0" borderId="0" xfId="0" applyNumberFormat="1" applyFont="1" applyFill="1" applyBorder="1"/>
    <xf numFmtId="184" fontId="12" fillId="0" borderId="25" xfId="0" applyNumberFormat="1" applyFont="1" applyFill="1" applyBorder="1"/>
    <xf numFmtId="184" fontId="12" fillId="0" borderId="0" xfId="0" applyNumberFormat="1" applyFont="1" applyFill="1" applyBorder="1"/>
    <xf numFmtId="184" fontId="12" fillId="0" borderId="20" xfId="0" applyNumberFormat="1" applyFont="1" applyFill="1" applyBorder="1"/>
    <xf numFmtId="0" fontId="7" fillId="0" borderId="20" xfId="0" applyFont="1" applyFill="1" applyBorder="1"/>
    <xf numFmtId="0" fontId="7" fillId="0" borderId="23" xfId="96" applyFont="1" applyFill="1" applyBorder="1"/>
    <xf numFmtId="173" fontId="46" fillId="0" borderId="23" xfId="0" applyNumberFormat="1" applyFont="1" applyFill="1" applyBorder="1"/>
    <xf numFmtId="173" fontId="7" fillId="0" borderId="23" xfId="0" applyNumberFormat="1" applyFont="1" applyFill="1" applyBorder="1"/>
    <xf numFmtId="173" fontId="46" fillId="0" borderId="18" xfId="0" applyNumberFormat="1" applyFont="1" applyFill="1" applyBorder="1"/>
    <xf numFmtId="173" fontId="46" fillId="0" borderId="24" xfId="0" applyNumberFormat="1" applyFont="1" applyFill="1" applyBorder="1"/>
    <xf numFmtId="173" fontId="7" fillId="0" borderId="18" xfId="0" applyNumberFormat="1" applyFont="1" applyFill="1" applyBorder="1"/>
    <xf numFmtId="0" fontId="7" fillId="0" borderId="0" xfId="100" applyFont="1" applyFill="1" applyBorder="1" applyAlignment="1" applyProtection="1">
      <alignment horizontal="left"/>
    </xf>
    <xf numFmtId="0" fontId="7" fillId="0" borderId="0" xfId="106" applyFont="1" applyFill="1" applyBorder="1"/>
    <xf numFmtId="9" fontId="7" fillId="0" borderId="0" xfId="106" applyNumberFormat="1" applyFont="1" applyFill="1" applyBorder="1"/>
    <xf numFmtId="0" fontId="27" fillId="0" borderId="0" xfId="100" applyFont="1" applyFill="1" applyBorder="1" applyAlignment="1" applyProtection="1">
      <alignment horizontal="left"/>
    </xf>
    <xf numFmtId="37" fontId="7" fillId="0" borderId="0" xfId="72" applyNumberFormat="1" applyFont="1" applyFill="1" applyBorder="1"/>
    <xf numFmtId="0" fontId="27" fillId="0" borderId="18" xfId="100" applyFont="1" applyFill="1" applyBorder="1" applyAlignment="1" applyProtection="1">
      <alignment horizontal="left"/>
    </xf>
    <xf numFmtId="0" fontId="7" fillId="0" borderId="18" xfId="106" applyFont="1" applyFill="1" applyBorder="1"/>
    <xf numFmtId="9" fontId="7" fillId="0" borderId="18" xfId="106" applyNumberFormat="1" applyFont="1" applyFill="1" applyBorder="1"/>
    <xf numFmtId="0" fontId="28" fillId="0" borderId="0" xfId="100" applyFont="1" applyFill="1" applyBorder="1" applyAlignment="1" applyProtection="1">
      <alignment horizontal="left"/>
    </xf>
    <xf numFmtId="0" fontId="7" fillId="0" borderId="0" xfId="106" applyFont="1" applyFill="1" applyBorder="1" applyAlignment="1">
      <alignment horizontal="center"/>
    </xf>
    <xf numFmtId="41" fontId="4" fillId="0" borderId="19" xfId="106" applyNumberFormat="1" applyFont="1" applyFill="1" applyBorder="1"/>
    <xf numFmtId="0" fontId="15" fillId="0" borderId="19" xfId="106" applyFont="1" applyFill="1" applyBorder="1" applyAlignment="1">
      <alignment horizontal="center"/>
    </xf>
    <xf numFmtId="169" fontId="15" fillId="0" borderId="20" xfId="109" applyNumberFormat="1" applyFont="1" applyFill="1" applyBorder="1" applyAlignment="1">
      <alignment horizontal="left"/>
    </xf>
    <xf numFmtId="169" fontId="15" fillId="0" borderId="0" xfId="106" applyNumberFormat="1" applyFont="1" applyFill="1" applyAlignment="1">
      <alignment horizontal="center"/>
    </xf>
    <xf numFmtId="169" fontId="15" fillId="0" borderId="13" xfId="106" applyNumberFormat="1" applyFont="1" applyFill="1" applyBorder="1"/>
    <xf numFmtId="169" fontId="15" fillId="0" borderId="14" xfId="106" applyNumberFormat="1" applyFont="1" applyFill="1" applyBorder="1"/>
    <xf numFmtId="169" fontId="15" fillId="0" borderId="20" xfId="106" applyNumberFormat="1" applyFont="1" applyFill="1" applyBorder="1" applyAlignment="1">
      <alignment horizontal="center"/>
    </xf>
    <xf numFmtId="169" fontId="15" fillId="0" borderId="14" xfId="72" applyNumberFormat="1" applyFont="1" applyFill="1" applyBorder="1"/>
    <xf numFmtId="169" fontId="15" fillId="0" borderId="0" xfId="106" applyNumberFormat="1" applyFont="1" applyFill="1"/>
    <xf numFmtId="173" fontId="4" fillId="0" borderId="20" xfId="109" applyNumberFormat="1" applyFont="1" applyFill="1" applyBorder="1" applyAlignment="1">
      <alignment horizontal="left" indent="2"/>
    </xf>
    <xf numFmtId="173" fontId="27" fillId="0" borderId="0" xfId="106" applyNumberFormat="1" applyFont="1" applyFill="1" applyAlignment="1">
      <alignment horizontal="center"/>
    </xf>
    <xf numFmtId="173" fontId="30" fillId="0" borderId="25" xfId="72" applyNumberFormat="1" applyFont="1" applyFill="1" applyBorder="1"/>
    <xf numFmtId="173" fontId="30" fillId="0" borderId="0" xfId="72" applyNumberFormat="1" applyFont="1" applyFill="1" applyBorder="1"/>
    <xf numFmtId="173" fontId="17" fillId="0" borderId="20" xfId="106" applyNumberFormat="1" applyFont="1" applyFill="1" applyBorder="1" applyAlignment="1">
      <alignment horizontal="center"/>
    </xf>
    <xf numFmtId="173" fontId="4" fillId="0" borderId="20" xfId="106" applyNumberFormat="1" applyFont="1" applyFill="1" applyBorder="1" applyAlignment="1">
      <alignment horizontal="center"/>
    </xf>
    <xf numFmtId="173" fontId="60" fillId="0" borderId="0" xfId="72" applyNumberFormat="1" applyFont="1" applyFill="1" applyBorder="1"/>
    <xf numFmtId="173" fontId="7" fillId="0" borderId="20" xfId="106" applyNumberFormat="1" applyFont="1" applyFill="1" applyBorder="1" applyAlignment="1">
      <alignment horizontal="center"/>
    </xf>
    <xf numFmtId="173" fontId="7" fillId="0" borderId="0" xfId="106" applyNumberFormat="1" applyFont="1" applyFill="1"/>
    <xf numFmtId="173" fontId="7" fillId="0" borderId="0" xfId="72" applyNumberFormat="1" applyFont="1" applyFill="1" applyBorder="1"/>
    <xf numFmtId="169" fontId="15" fillId="0" borderId="25" xfId="106" applyNumberFormat="1" applyFont="1" applyFill="1" applyBorder="1"/>
    <xf numFmtId="169" fontId="15" fillId="0" borderId="0" xfId="72" applyNumberFormat="1" applyFont="1" applyFill="1" applyBorder="1"/>
    <xf numFmtId="169" fontId="27" fillId="0" borderId="25" xfId="106" applyNumberFormat="1" applyFont="1" applyFill="1" applyBorder="1"/>
    <xf numFmtId="173" fontId="4" fillId="0" borderId="34" xfId="109" applyNumberFormat="1" applyFont="1" applyFill="1" applyBorder="1" applyAlignment="1">
      <alignment horizontal="left" indent="2"/>
    </xf>
    <xf numFmtId="173" fontId="27" fillId="0" borderId="19" xfId="106" applyNumberFormat="1" applyFont="1" applyFill="1" applyBorder="1" applyAlignment="1">
      <alignment horizontal="center"/>
    </xf>
    <xf numFmtId="173" fontId="30" fillId="0" borderId="57" xfId="72" applyNumberFormat="1" applyFont="1" applyFill="1" applyBorder="1"/>
    <xf numFmtId="173" fontId="30" fillId="0" borderId="19" xfId="72" applyNumberFormat="1" applyFont="1" applyFill="1" applyBorder="1"/>
    <xf numFmtId="173" fontId="30" fillId="0" borderId="55" xfId="72" applyNumberFormat="1" applyFont="1" applyFill="1" applyBorder="1"/>
    <xf numFmtId="173" fontId="17" fillId="0" borderId="34" xfId="106" applyNumberFormat="1" applyFont="1" applyFill="1" applyBorder="1" applyAlignment="1">
      <alignment horizontal="center"/>
    </xf>
    <xf numFmtId="173" fontId="4" fillId="0" borderId="34" xfId="106" applyNumberFormat="1" applyFont="1" applyFill="1" applyBorder="1" applyAlignment="1">
      <alignment horizontal="center"/>
    </xf>
    <xf numFmtId="173" fontId="60" fillId="0" borderId="19" xfId="72" applyNumberFormat="1" applyFont="1" applyFill="1" applyBorder="1"/>
    <xf numFmtId="173" fontId="7" fillId="0" borderId="19" xfId="106" applyNumberFormat="1" applyFont="1" applyFill="1" applyBorder="1"/>
    <xf numFmtId="165" fontId="4" fillId="0" borderId="20" xfId="116" applyNumberFormat="1" applyFont="1" applyFill="1" applyBorder="1" applyAlignment="1">
      <alignment horizontal="left" indent="2"/>
    </xf>
    <xf numFmtId="165" fontId="4" fillId="0" borderId="0" xfId="116" applyNumberFormat="1" applyFont="1" applyFill="1" applyBorder="1" applyAlignment="1">
      <alignment horizontal="center"/>
    </xf>
    <xf numFmtId="165" fontId="4" fillId="0" borderId="25" xfId="116" applyNumberFormat="1" applyFont="1" applyFill="1" applyBorder="1" applyAlignment="1">
      <alignment horizontal="center"/>
    </xf>
    <xf numFmtId="165" fontId="4" fillId="0" borderId="26" xfId="116" applyNumberFormat="1" applyFont="1" applyFill="1" applyBorder="1" applyAlignment="1">
      <alignment horizontal="center"/>
    </xf>
    <xf numFmtId="165" fontId="4" fillId="0" borderId="20" xfId="116" applyNumberFormat="1" applyFont="1" applyFill="1" applyBorder="1" applyAlignment="1">
      <alignment horizontal="center"/>
    </xf>
    <xf numFmtId="0" fontId="27" fillId="0" borderId="18" xfId="106" applyFont="1" applyFill="1" applyBorder="1" applyAlignment="1">
      <alignment horizontal="center"/>
    </xf>
    <xf numFmtId="165" fontId="7" fillId="0" borderId="23" xfId="116" applyNumberFormat="1" applyFont="1" applyFill="1" applyBorder="1" applyAlignment="1">
      <alignment horizontal="center"/>
    </xf>
    <xf numFmtId="165" fontId="7" fillId="0" borderId="18" xfId="116" applyNumberFormat="1" applyFont="1" applyFill="1" applyBorder="1" applyAlignment="1">
      <alignment horizontal="center"/>
    </xf>
    <xf numFmtId="165" fontId="7" fillId="0" borderId="28" xfId="116" applyNumberFormat="1" applyFont="1" applyFill="1" applyBorder="1" applyAlignment="1">
      <alignment horizontal="center"/>
    </xf>
    <xf numFmtId="9" fontId="30" fillId="0" borderId="24" xfId="116" applyFont="1" applyFill="1" applyBorder="1"/>
    <xf numFmtId="165" fontId="30" fillId="0" borderId="23" xfId="116" applyNumberFormat="1" applyFont="1" applyFill="1" applyBorder="1" applyAlignment="1">
      <alignment horizontal="center"/>
    </xf>
    <xf numFmtId="165" fontId="30" fillId="0" borderId="18" xfId="116" applyNumberFormat="1" applyFont="1" applyFill="1" applyBorder="1" applyAlignment="1">
      <alignment horizontal="center"/>
    </xf>
    <xf numFmtId="165" fontId="30" fillId="0" borderId="28" xfId="116" applyNumberFormat="1" applyFont="1" applyFill="1" applyBorder="1" applyAlignment="1">
      <alignment horizontal="center"/>
    </xf>
    <xf numFmtId="165" fontId="30" fillId="0" borderId="24" xfId="116" applyNumberFormat="1" applyFont="1" applyFill="1" applyBorder="1" applyAlignment="1">
      <alignment horizontal="center"/>
    </xf>
    <xf numFmtId="165" fontId="55" fillId="0" borderId="23" xfId="116" applyNumberFormat="1" applyFont="1" applyFill="1" applyBorder="1" applyAlignment="1">
      <alignment horizontal="center"/>
    </xf>
    <xf numFmtId="165" fontId="55" fillId="0" borderId="18" xfId="116" applyNumberFormat="1" applyFont="1" applyFill="1" applyBorder="1" applyAlignment="1">
      <alignment horizontal="center"/>
    </xf>
    <xf numFmtId="165" fontId="55" fillId="0" borderId="28" xfId="116" applyNumberFormat="1" applyFont="1" applyFill="1" applyBorder="1" applyAlignment="1">
      <alignment horizontal="center"/>
    </xf>
    <xf numFmtId="165" fontId="59" fillId="0" borderId="23" xfId="116" applyNumberFormat="1" applyFont="1" applyFill="1" applyBorder="1" applyAlignment="1">
      <alignment horizontal="center"/>
    </xf>
    <xf numFmtId="165" fontId="59" fillId="0" borderId="18" xfId="116" applyNumberFormat="1" applyFont="1" applyFill="1" applyBorder="1" applyAlignment="1">
      <alignment horizontal="center"/>
    </xf>
    <xf numFmtId="169" fontId="15" fillId="0" borderId="16" xfId="109" applyNumberFormat="1" applyFont="1" applyFill="1" applyBorder="1"/>
    <xf numFmtId="169" fontId="15" fillId="0" borderId="23" xfId="106" applyNumberFormat="1" applyFont="1" applyFill="1" applyBorder="1"/>
    <xf numFmtId="169" fontId="19" fillId="0" borderId="12" xfId="106" applyNumberFormat="1" applyFont="1" applyFill="1" applyBorder="1"/>
    <xf numFmtId="169" fontId="19" fillId="0" borderId="11" xfId="106" applyNumberFormat="1" applyFont="1" applyFill="1" applyBorder="1"/>
    <xf numFmtId="169" fontId="19" fillId="0" borderId="17" xfId="106" applyNumberFormat="1" applyFont="1" applyFill="1" applyBorder="1"/>
    <xf numFmtId="169" fontId="15" fillId="0" borderId="16" xfId="106" applyNumberFormat="1" applyFont="1" applyFill="1" applyBorder="1"/>
    <xf numFmtId="169" fontId="19" fillId="0" borderId="23" xfId="106" applyNumberFormat="1" applyFont="1" applyFill="1" applyBorder="1"/>
    <xf numFmtId="169" fontId="19" fillId="0" borderId="12" xfId="72" applyNumberFormat="1" applyFont="1" applyFill="1" applyBorder="1"/>
    <xf numFmtId="169" fontId="15" fillId="0" borderId="11" xfId="106" applyNumberFormat="1" applyFont="1" applyFill="1" applyBorder="1"/>
    <xf numFmtId="169" fontId="15" fillId="0" borderId="12" xfId="106" applyNumberFormat="1" applyFont="1" applyFill="1" applyBorder="1"/>
    <xf numFmtId="169" fontId="15" fillId="0" borderId="17" xfId="106" applyNumberFormat="1" applyFont="1" applyFill="1" applyBorder="1"/>
    <xf numFmtId="169" fontId="4" fillId="0" borderId="13" xfId="106" applyNumberFormat="1" applyFont="1" applyFill="1" applyBorder="1"/>
    <xf numFmtId="165" fontId="13" fillId="0" borderId="13" xfId="106" applyNumberFormat="1" applyFont="1" applyFill="1" applyBorder="1"/>
    <xf numFmtId="169" fontId="4" fillId="0" borderId="15" xfId="106" applyNumberFormat="1" applyFont="1" applyFill="1" applyBorder="1"/>
    <xf numFmtId="165" fontId="13" fillId="0" borderId="31" xfId="106" applyNumberFormat="1" applyFont="1" applyFill="1" applyBorder="1"/>
    <xf numFmtId="165" fontId="13" fillId="0" borderId="15" xfId="106" applyNumberFormat="1" applyFont="1" applyFill="1" applyBorder="1"/>
    <xf numFmtId="9" fontId="21" fillId="0" borderId="25" xfId="106" applyNumberFormat="1" applyFont="1" applyFill="1" applyBorder="1"/>
    <xf numFmtId="9" fontId="21" fillId="0" borderId="0" xfId="106" applyNumberFormat="1" applyFont="1" applyFill="1" applyBorder="1"/>
    <xf numFmtId="9" fontId="21" fillId="0" borderId="31" xfId="106" applyNumberFormat="1" applyFont="1" applyFill="1" applyBorder="1"/>
    <xf numFmtId="9" fontId="13" fillId="0" borderId="15" xfId="106" applyNumberFormat="1" applyFont="1" applyFill="1" applyBorder="1"/>
    <xf numFmtId="165" fontId="21" fillId="0" borderId="25" xfId="106" applyNumberFormat="1" applyFont="1" applyFill="1" applyBorder="1"/>
    <xf numFmtId="165" fontId="7" fillId="0" borderId="0" xfId="106" applyNumberFormat="1" applyFont="1" applyFill="1" applyBorder="1"/>
    <xf numFmtId="0" fontId="13" fillId="0" borderId="18" xfId="109" applyFont="1" applyFill="1" applyBorder="1"/>
    <xf numFmtId="169" fontId="4" fillId="0" borderId="23" xfId="106" applyNumberFormat="1" applyFont="1" applyFill="1" applyBorder="1"/>
    <xf numFmtId="165" fontId="13" fillId="0" borderId="23" xfId="116" applyNumberFormat="1" applyFont="1" applyFill="1" applyBorder="1"/>
    <xf numFmtId="165" fontId="13" fillId="0" borderId="18" xfId="116" applyNumberFormat="1" applyFont="1" applyFill="1" applyBorder="1"/>
    <xf numFmtId="165" fontId="13" fillId="0" borderId="28" xfId="116" applyNumberFormat="1" applyFont="1" applyFill="1" applyBorder="1"/>
    <xf numFmtId="169" fontId="4" fillId="0" borderId="24" xfId="106" applyNumberFormat="1" applyFont="1" applyFill="1" applyBorder="1"/>
    <xf numFmtId="165" fontId="13" fillId="0" borderId="24" xfId="116" applyNumberFormat="1" applyFont="1" applyFill="1" applyBorder="1"/>
    <xf numFmtId="9" fontId="13" fillId="0" borderId="18" xfId="116" applyFont="1" applyFill="1" applyBorder="1"/>
    <xf numFmtId="9" fontId="13" fillId="0" borderId="28" xfId="116" applyFont="1" applyFill="1" applyBorder="1"/>
    <xf numFmtId="9" fontId="13" fillId="0" borderId="24" xfId="116" applyFont="1" applyFill="1" applyBorder="1"/>
    <xf numFmtId="165" fontId="21" fillId="0" borderId="28" xfId="116" applyNumberFormat="1" applyFont="1" applyFill="1" applyBorder="1"/>
    <xf numFmtId="165" fontId="4" fillId="0" borderId="18" xfId="106" applyNumberFormat="1" applyFont="1" applyFill="1" applyBorder="1"/>
    <xf numFmtId="165" fontId="21" fillId="0" borderId="23" xfId="116" applyNumberFormat="1" applyFont="1" applyFill="1" applyBorder="1"/>
    <xf numFmtId="165" fontId="21" fillId="0" borderId="18" xfId="116" applyNumberFormat="1" applyFont="1" applyFill="1" applyBorder="1"/>
    <xf numFmtId="0" fontId="17" fillId="0" borderId="0" xfId="0" applyFont="1" applyFill="1"/>
    <xf numFmtId="7" fontId="7" fillId="0" borderId="0" xfId="0" applyNumberFormat="1" applyFont="1" applyFill="1"/>
    <xf numFmtId="165" fontId="7" fillId="0" borderId="0" xfId="0" applyNumberFormat="1" applyFont="1" applyFill="1"/>
    <xf numFmtId="169" fontId="13" fillId="0" borderId="13" xfId="109" applyNumberFormat="1" applyFont="1" applyFill="1" applyBorder="1"/>
    <xf numFmtId="169" fontId="7" fillId="0" borderId="20" xfId="106" applyNumberFormat="1" applyFont="1" applyFill="1" applyBorder="1"/>
    <xf numFmtId="169" fontId="7" fillId="0" borderId="0" xfId="106" applyNumberFormat="1" applyFont="1" applyFill="1" applyBorder="1"/>
    <xf numFmtId="169" fontId="30" fillId="0" borderId="20" xfId="106" applyNumberFormat="1" applyFont="1" applyFill="1" applyBorder="1"/>
    <xf numFmtId="169" fontId="30" fillId="0" borderId="0" xfId="106" applyNumberFormat="1" applyFont="1" applyFill="1" applyBorder="1"/>
    <xf numFmtId="169" fontId="30" fillId="0" borderId="0" xfId="72" applyNumberFormat="1" applyFont="1" applyFill="1" applyBorder="1"/>
    <xf numFmtId="169" fontId="7" fillId="0" borderId="26" xfId="106" applyNumberFormat="1" applyFont="1" applyFill="1" applyBorder="1"/>
    <xf numFmtId="169" fontId="30" fillId="0" borderId="25" xfId="106" applyNumberFormat="1" applyFont="1" applyFill="1" applyBorder="1"/>
    <xf numFmtId="169" fontId="7" fillId="0" borderId="25" xfId="106" applyNumberFormat="1" applyFont="1" applyFill="1" applyBorder="1"/>
    <xf numFmtId="0" fontId="7" fillId="0" borderId="20" xfId="106" applyFont="1" applyFill="1" applyBorder="1"/>
    <xf numFmtId="178" fontId="7" fillId="0" borderId="0" xfId="106" applyNumberFormat="1" applyFont="1" applyFill="1" applyBorder="1"/>
    <xf numFmtId="178" fontId="7" fillId="0" borderId="20" xfId="106" applyNumberFormat="1" applyFont="1" applyFill="1" applyBorder="1"/>
    <xf numFmtId="9" fontId="13" fillId="0" borderId="26" xfId="106" applyNumberFormat="1" applyFont="1" applyFill="1" applyBorder="1"/>
    <xf numFmtId="0" fontId="7" fillId="0" borderId="26" xfId="106" applyFont="1" applyFill="1" applyBorder="1"/>
    <xf numFmtId="0" fontId="7" fillId="0" borderId="25" xfId="106" applyFont="1" applyFill="1" applyBorder="1"/>
    <xf numFmtId="0" fontId="13" fillId="0" borderId="25" xfId="109" applyFont="1" applyFill="1" applyBorder="1" applyAlignment="1">
      <alignment horizontal="left" indent="1"/>
    </xf>
    <xf numFmtId="166" fontId="7" fillId="0" borderId="0" xfId="106" applyNumberFormat="1" applyFont="1" applyFill="1" applyBorder="1"/>
    <xf numFmtId="166" fontId="7" fillId="0" borderId="20" xfId="106" applyNumberFormat="1" applyFont="1" applyFill="1" applyBorder="1"/>
    <xf numFmtId="9" fontId="88" fillId="0" borderId="25" xfId="106" applyNumberFormat="1" applyFont="1" applyFill="1" applyBorder="1"/>
    <xf numFmtId="9" fontId="88" fillId="0" borderId="0" xfId="106" applyNumberFormat="1" applyFont="1" applyFill="1" applyBorder="1"/>
    <xf numFmtId="173" fontId="13" fillId="0" borderId="25" xfId="109" applyNumberFormat="1" applyFont="1" applyFill="1" applyBorder="1"/>
    <xf numFmtId="173" fontId="7" fillId="0" borderId="20" xfId="106" applyNumberFormat="1" applyFont="1" applyFill="1" applyBorder="1"/>
    <xf numFmtId="173" fontId="7" fillId="0" borderId="0" xfId="106" applyNumberFormat="1" applyFont="1" applyFill="1" applyBorder="1"/>
    <xf numFmtId="173" fontId="30" fillId="0" borderId="20" xfId="106" applyNumberFormat="1" applyFont="1" applyFill="1" applyBorder="1"/>
    <xf numFmtId="173" fontId="30" fillId="0" borderId="0" xfId="106" applyNumberFormat="1" applyFont="1" applyFill="1" applyBorder="1"/>
    <xf numFmtId="173" fontId="30" fillId="0" borderId="25" xfId="106" applyNumberFormat="1" applyFont="1" applyFill="1" applyBorder="1"/>
    <xf numFmtId="173" fontId="7" fillId="0" borderId="25" xfId="106" applyNumberFormat="1" applyFont="1" applyFill="1" applyBorder="1"/>
    <xf numFmtId="173" fontId="13" fillId="0" borderId="25" xfId="109" applyNumberFormat="1" applyFont="1" applyFill="1" applyBorder="1" applyAlignment="1">
      <alignment horizontal="left"/>
    </xf>
    <xf numFmtId="173" fontId="7" fillId="0" borderId="26" xfId="106" applyNumberFormat="1" applyFont="1" applyFill="1" applyBorder="1"/>
    <xf numFmtId="178" fontId="4" fillId="0" borderId="0" xfId="106" applyNumberFormat="1" applyFont="1" applyFill="1" applyBorder="1"/>
    <xf numFmtId="0" fontId="4" fillId="0" borderId="20" xfId="106" applyFont="1" applyFill="1" applyBorder="1"/>
    <xf numFmtId="178" fontId="4" fillId="0" borderId="20" xfId="106" applyNumberFormat="1" applyFont="1" applyFill="1" applyBorder="1"/>
    <xf numFmtId="0" fontId="4" fillId="0" borderId="26" xfId="106" applyFont="1" applyFill="1" applyBorder="1"/>
    <xf numFmtId="0" fontId="4" fillId="0" borderId="18" xfId="106" applyFont="1" applyFill="1" applyBorder="1"/>
    <xf numFmtId="9" fontId="13" fillId="0" borderId="23" xfId="106" applyNumberFormat="1" applyFont="1" applyFill="1" applyBorder="1"/>
    <xf numFmtId="0" fontId="4" fillId="0" borderId="25" xfId="106" applyFont="1" applyFill="1" applyBorder="1"/>
    <xf numFmtId="9" fontId="13" fillId="0" borderId="28" xfId="106" applyNumberFormat="1" applyFont="1" applyFill="1" applyBorder="1"/>
    <xf numFmtId="169" fontId="15" fillId="0" borderId="12" xfId="72" applyNumberFormat="1" applyFont="1" applyFill="1" applyBorder="1"/>
    <xf numFmtId="9" fontId="13" fillId="0" borderId="31" xfId="106" applyNumberFormat="1" applyFont="1" applyFill="1" applyBorder="1"/>
    <xf numFmtId="165" fontId="13" fillId="0" borderId="20" xfId="116" applyNumberFormat="1" applyFont="1" applyFill="1" applyBorder="1"/>
    <xf numFmtId="9" fontId="13" fillId="0" borderId="20" xfId="116" applyFont="1" applyFill="1" applyBorder="1"/>
    <xf numFmtId="198" fontId="14" fillId="0" borderId="0" xfId="72" applyNumberFormat="1" applyFont="1" applyFill="1" applyBorder="1"/>
    <xf numFmtId="198" fontId="0" fillId="0" borderId="0" xfId="72" applyNumberFormat="1" applyFont="1" applyFill="1"/>
    <xf numFmtId="0" fontId="56" fillId="0" borderId="0" xfId="106" applyFont="1" applyFill="1" applyBorder="1"/>
    <xf numFmtId="9" fontId="53" fillId="0" borderId="0" xfId="116" applyFont="1" applyFill="1" applyBorder="1"/>
    <xf numFmtId="169" fontId="53" fillId="0" borderId="0" xfId="116" applyNumberFormat="1" applyFont="1" applyFill="1" applyBorder="1"/>
    <xf numFmtId="169" fontId="14" fillId="0" borderId="0" xfId="106" applyNumberFormat="1" applyFont="1" applyFill="1" applyBorder="1"/>
    <xf numFmtId="169" fontId="13" fillId="0" borderId="20" xfId="109" applyNumberFormat="1" applyFont="1" applyFill="1" applyBorder="1"/>
    <xf numFmtId="169" fontId="30" fillId="0" borderId="26" xfId="106" applyNumberFormat="1" applyFont="1" applyFill="1" applyBorder="1"/>
    <xf numFmtId="169" fontId="4" fillId="0" borderId="20" xfId="106" applyNumberFormat="1" applyFont="1" applyFill="1" applyBorder="1"/>
    <xf numFmtId="0" fontId="13" fillId="0" borderId="20" xfId="109" applyFont="1" applyFill="1" applyBorder="1" applyAlignment="1">
      <alignment horizontal="left" indent="2"/>
    </xf>
    <xf numFmtId="1" fontId="7" fillId="0" borderId="0" xfId="106" applyNumberFormat="1" applyFont="1" applyFill="1" applyBorder="1"/>
    <xf numFmtId="1" fontId="7" fillId="0" borderId="26" xfId="106" applyNumberFormat="1" applyFont="1" applyFill="1" applyBorder="1"/>
    <xf numFmtId="9" fontId="7" fillId="0" borderId="0" xfId="116" applyFont="1" applyFill="1" applyBorder="1"/>
    <xf numFmtId="9" fontId="7" fillId="0" borderId="26" xfId="116" applyFont="1" applyFill="1" applyBorder="1"/>
    <xf numFmtId="9" fontId="21" fillId="0" borderId="26" xfId="106" applyNumberFormat="1" applyFont="1" applyFill="1" applyBorder="1"/>
    <xf numFmtId="9" fontId="7" fillId="0" borderId="25" xfId="116" applyFont="1" applyFill="1" applyBorder="1"/>
    <xf numFmtId="173" fontId="13" fillId="0" borderId="20" xfId="109" applyNumberFormat="1" applyFont="1" applyFill="1" applyBorder="1"/>
    <xf numFmtId="1" fontId="7" fillId="0" borderId="25" xfId="106" applyNumberFormat="1" applyFont="1" applyFill="1" applyBorder="1"/>
    <xf numFmtId="0" fontId="7" fillId="0" borderId="24" xfId="106" applyFont="1" applyFill="1" applyBorder="1"/>
    <xf numFmtId="0" fontId="17" fillId="0" borderId="0" xfId="106" applyFont="1" applyFill="1" applyBorder="1"/>
    <xf numFmtId="0" fontId="17" fillId="0" borderId="25" xfId="106" applyFont="1" applyFill="1" applyBorder="1"/>
    <xf numFmtId="0" fontId="17" fillId="0" borderId="20" xfId="106" applyFont="1" applyFill="1" applyBorder="1"/>
    <xf numFmtId="169" fontId="15" fillId="0" borderId="17" xfId="109" applyNumberFormat="1" applyFont="1" applyFill="1" applyBorder="1" applyAlignment="1">
      <alignment horizontal="left" indent="1"/>
    </xf>
    <xf numFmtId="169" fontId="7" fillId="0" borderId="15" xfId="106" applyNumberFormat="1" applyFont="1" applyFill="1" applyBorder="1"/>
    <xf numFmtId="169" fontId="55" fillId="0" borderId="11" xfId="106" applyNumberFormat="1" applyFont="1" applyFill="1" applyBorder="1"/>
    <xf numFmtId="9" fontId="7" fillId="0" borderId="15" xfId="106" applyNumberFormat="1" applyFont="1" applyFill="1" applyBorder="1"/>
    <xf numFmtId="9" fontId="13" fillId="0" borderId="13" xfId="106" applyNumberFormat="1" applyFont="1" applyFill="1" applyBorder="1"/>
    <xf numFmtId="9" fontId="13" fillId="0" borderId="14" xfId="106" applyNumberFormat="1" applyFont="1" applyFill="1" applyBorder="1"/>
    <xf numFmtId="0" fontId="13" fillId="0" borderId="23" xfId="109" applyFont="1" applyFill="1" applyBorder="1" applyAlignment="1">
      <alignment horizontal="left" indent="1"/>
    </xf>
    <xf numFmtId="0" fontId="7" fillId="0" borderId="23" xfId="106" applyFont="1" applyFill="1" applyBorder="1"/>
    <xf numFmtId="169" fontId="7" fillId="0" borderId="18" xfId="106" applyNumberFormat="1" applyFont="1" applyFill="1" applyBorder="1"/>
    <xf numFmtId="169" fontId="7" fillId="0" borderId="24" xfId="106" applyNumberFormat="1" applyFont="1" applyFill="1" applyBorder="1"/>
    <xf numFmtId="9" fontId="13" fillId="0" borderId="24" xfId="106" applyNumberFormat="1" applyFont="1" applyFill="1" applyBorder="1"/>
    <xf numFmtId="165" fontId="13" fillId="0" borderId="18" xfId="106" applyNumberFormat="1" applyFont="1" applyFill="1" applyBorder="1"/>
    <xf numFmtId="165" fontId="13" fillId="0" borderId="23" xfId="106" applyNumberFormat="1" applyFont="1" applyFill="1" applyBorder="1"/>
    <xf numFmtId="9" fontId="7" fillId="0" borderId="24" xfId="106" applyNumberFormat="1" applyFont="1" applyFill="1" applyBorder="1"/>
    <xf numFmtId="9" fontId="13" fillId="0" borderId="18" xfId="106" applyNumberFormat="1" applyFont="1" applyFill="1" applyBorder="1"/>
    <xf numFmtId="9" fontId="7" fillId="0" borderId="23" xfId="106" applyNumberFormat="1" applyFont="1" applyFill="1" applyBorder="1"/>
    <xf numFmtId="43" fontId="42" fillId="0" borderId="0" xfId="72" applyFont="1" applyFill="1" applyBorder="1" applyAlignment="1">
      <alignment horizontal="left" indent="1"/>
    </xf>
    <xf numFmtId="43" fontId="14" fillId="0" borderId="0" xfId="72" applyFont="1" applyFill="1" applyBorder="1"/>
    <xf numFmtId="43" fontId="56" fillId="0" borderId="0" xfId="72" applyFont="1" applyFill="1"/>
    <xf numFmtId="0" fontId="42" fillId="0" borderId="0" xfId="109" applyFont="1" applyFill="1" applyBorder="1" applyAlignment="1">
      <alignment horizontal="left" indent="1"/>
    </xf>
    <xf numFmtId="0" fontId="14" fillId="0" borderId="0" xfId="106" applyFont="1" applyFill="1" applyBorder="1"/>
    <xf numFmtId="169" fontId="15" fillId="0" borderId="16" xfId="109" applyNumberFormat="1" applyFont="1" applyFill="1" applyBorder="1" applyAlignment="1">
      <alignment horizontal="left" indent="1"/>
    </xf>
    <xf numFmtId="169" fontId="7" fillId="0" borderId="12" xfId="106" applyNumberFormat="1" applyFont="1" applyFill="1" applyBorder="1"/>
    <xf numFmtId="169" fontId="30" fillId="0" borderId="17" xfId="106" applyNumberFormat="1" applyFont="1" applyFill="1" applyBorder="1"/>
    <xf numFmtId="169" fontId="30" fillId="0" borderId="16" xfId="106" applyNumberFormat="1" applyFont="1" applyFill="1" applyBorder="1"/>
    <xf numFmtId="169" fontId="30" fillId="0" borderId="12" xfId="106" applyNumberFormat="1" applyFont="1" applyFill="1" applyBorder="1"/>
    <xf numFmtId="169" fontId="30" fillId="0" borderId="12" xfId="72" applyNumberFormat="1" applyFont="1" applyFill="1" applyBorder="1"/>
    <xf numFmtId="169" fontId="7" fillId="0" borderId="17" xfId="106" applyNumberFormat="1" applyFont="1" applyFill="1" applyBorder="1"/>
    <xf numFmtId="169" fontId="7" fillId="0" borderId="16" xfId="106" applyNumberFormat="1" applyFont="1" applyFill="1" applyBorder="1"/>
    <xf numFmtId="169" fontId="7" fillId="0" borderId="11" xfId="106" applyNumberFormat="1" applyFont="1" applyFill="1" applyBorder="1"/>
    <xf numFmtId="0" fontId="13" fillId="0" borderId="25" xfId="109" applyFont="1" applyFill="1" applyBorder="1" applyAlignment="1">
      <alignment horizontal="left" indent="2"/>
    </xf>
    <xf numFmtId="178" fontId="7" fillId="0" borderId="25" xfId="106" applyNumberFormat="1" applyFont="1" applyFill="1" applyBorder="1"/>
    <xf numFmtId="0" fontId="13" fillId="0" borderId="24" xfId="109" applyFont="1" applyFill="1" applyBorder="1" applyAlignment="1">
      <alignment horizontal="left" indent="2"/>
    </xf>
    <xf numFmtId="9" fontId="88" fillId="0" borderId="24" xfId="106" applyNumberFormat="1" applyFont="1" applyFill="1" applyBorder="1"/>
    <xf numFmtId="0" fontId="17" fillId="0" borderId="18" xfId="106" applyFont="1" applyFill="1" applyBorder="1"/>
    <xf numFmtId="9" fontId="88" fillId="0" borderId="23" xfId="106" applyNumberFormat="1" applyFont="1" applyFill="1" applyBorder="1"/>
    <xf numFmtId="9" fontId="88" fillId="0" borderId="18" xfId="106" applyNumberFormat="1" applyFont="1" applyFill="1" applyBorder="1"/>
    <xf numFmtId="9" fontId="21" fillId="0" borderId="18" xfId="106" applyNumberFormat="1" applyFont="1" applyFill="1" applyBorder="1"/>
    <xf numFmtId="165" fontId="13" fillId="0" borderId="24" xfId="106" applyNumberFormat="1" applyFont="1" applyFill="1" applyBorder="1"/>
    <xf numFmtId="9" fontId="21" fillId="0" borderId="23" xfId="106" applyNumberFormat="1" applyFont="1" applyFill="1" applyBorder="1"/>
    <xf numFmtId="9" fontId="21" fillId="0" borderId="28" xfId="106" applyNumberFormat="1" applyFont="1" applyFill="1" applyBorder="1"/>
    <xf numFmtId="169" fontId="7" fillId="0" borderId="0" xfId="72" applyNumberFormat="1" applyFont="1" applyFill="1" applyBorder="1"/>
    <xf numFmtId="9" fontId="28" fillId="0" borderId="0" xfId="106" applyNumberFormat="1" applyFont="1" applyFill="1" applyBorder="1"/>
    <xf numFmtId="9" fontId="28" fillId="0" borderId="25" xfId="106" applyNumberFormat="1" applyFont="1" applyFill="1" applyBorder="1"/>
    <xf numFmtId="0" fontId="13" fillId="0" borderId="0" xfId="106" applyFont="1" applyFill="1" applyBorder="1"/>
    <xf numFmtId="9" fontId="13" fillId="0" borderId="25" xfId="116" applyFont="1" applyFill="1" applyBorder="1"/>
    <xf numFmtId="0" fontId="13" fillId="0" borderId="20" xfId="106" applyFont="1" applyFill="1" applyBorder="1"/>
    <xf numFmtId="0" fontId="13" fillId="0" borderId="25" xfId="106" applyFont="1" applyFill="1" applyBorder="1"/>
    <xf numFmtId="0" fontId="13" fillId="0" borderId="24" xfId="106" applyFont="1" applyFill="1" applyBorder="1"/>
    <xf numFmtId="0" fontId="21" fillId="0" borderId="0" xfId="106" applyFont="1" applyFill="1" applyBorder="1"/>
    <xf numFmtId="0" fontId="21" fillId="0" borderId="25" xfId="106" applyFont="1" applyFill="1" applyBorder="1"/>
    <xf numFmtId="0" fontId="21" fillId="0" borderId="20" xfId="106" applyFont="1" applyFill="1" applyBorder="1"/>
    <xf numFmtId="0" fontId="15" fillId="0" borderId="20" xfId="109" applyFont="1" applyFill="1" applyBorder="1" applyAlignment="1">
      <alignment horizontal="left"/>
    </xf>
    <xf numFmtId="0" fontId="15" fillId="0" borderId="0" xfId="106" applyFont="1" applyFill="1" applyAlignment="1">
      <alignment horizontal="center"/>
    </xf>
    <xf numFmtId="9" fontId="15" fillId="0" borderId="0" xfId="116" applyFont="1" applyFill="1" applyBorder="1"/>
    <xf numFmtId="9" fontId="15" fillId="0" borderId="26" xfId="116" applyFont="1" applyFill="1" applyBorder="1"/>
    <xf numFmtId="9" fontId="15" fillId="0" borderId="20" xfId="116" applyFont="1" applyFill="1" applyBorder="1"/>
    <xf numFmtId="9" fontId="15" fillId="0" borderId="25" xfId="116" applyFont="1" applyFill="1" applyBorder="1"/>
    <xf numFmtId="0" fontId="15" fillId="0" borderId="0" xfId="106" applyFont="1" applyFill="1"/>
    <xf numFmtId="0" fontId="4" fillId="0" borderId="20" xfId="109" applyFont="1" applyFill="1" applyBorder="1" applyAlignment="1">
      <alignment horizontal="left" indent="2"/>
    </xf>
    <xf numFmtId="0" fontId="27" fillId="0" borderId="0" xfId="106" applyFont="1" applyFill="1" applyAlignment="1">
      <alignment horizontal="center"/>
    </xf>
    <xf numFmtId="9" fontId="4" fillId="0" borderId="20" xfId="116" applyFont="1" applyFill="1" applyBorder="1"/>
    <xf numFmtId="0" fontId="7" fillId="0" borderId="0" xfId="106" applyFont="1" applyFill="1"/>
    <xf numFmtId="0" fontId="4" fillId="0" borderId="24" xfId="109" applyFont="1" applyFill="1" applyBorder="1" applyAlignment="1">
      <alignment horizontal="left" indent="2"/>
    </xf>
    <xf numFmtId="9" fontId="4" fillId="0" borderId="19" xfId="116" applyFont="1" applyFill="1" applyBorder="1"/>
    <xf numFmtId="9" fontId="4" fillId="0" borderId="55" xfId="116" applyFont="1" applyFill="1" applyBorder="1"/>
    <xf numFmtId="0" fontId="27" fillId="0" borderId="19" xfId="106" applyFont="1" applyFill="1" applyBorder="1" applyAlignment="1">
      <alignment horizontal="center"/>
    </xf>
    <xf numFmtId="9" fontId="4" fillId="0" borderId="57" xfId="116" applyFont="1" applyFill="1" applyBorder="1"/>
    <xf numFmtId="0" fontId="7" fillId="0" borderId="19" xfId="106" applyFont="1" applyFill="1" applyBorder="1"/>
    <xf numFmtId="9" fontId="4" fillId="0" borderId="28" xfId="116" applyFont="1" applyFill="1" applyBorder="1"/>
    <xf numFmtId="9" fontId="4" fillId="0" borderId="24" xfId="116" applyFont="1" applyFill="1" applyBorder="1"/>
    <xf numFmtId="0" fontId="27" fillId="0" borderId="23" xfId="106" applyFont="1" applyFill="1" applyBorder="1" applyAlignment="1">
      <alignment horizontal="center"/>
    </xf>
    <xf numFmtId="0" fontId="27" fillId="0" borderId="0" xfId="106" applyFont="1" applyFill="1" applyBorder="1" applyAlignment="1">
      <alignment horizontal="center"/>
    </xf>
    <xf numFmtId="9" fontId="17" fillId="0" borderId="20" xfId="116" applyFont="1" applyFill="1" applyBorder="1"/>
    <xf numFmtId="9" fontId="17" fillId="0" borderId="26" xfId="116" applyFont="1" applyFill="1" applyBorder="1"/>
    <xf numFmtId="9" fontId="17" fillId="0" borderId="0" xfId="116" applyFont="1" applyFill="1" applyBorder="1" applyAlignment="1">
      <alignment horizontal="right"/>
    </xf>
    <xf numFmtId="0" fontId="15" fillId="0" borderId="0" xfId="0" applyFont="1" applyFill="1"/>
    <xf numFmtId="0" fontId="16" fillId="0" borderId="0" xfId="107" applyFont="1" applyFill="1" applyBorder="1" applyAlignment="1">
      <alignment horizontal="left"/>
    </xf>
    <xf numFmtId="172" fontId="31" fillId="0" borderId="0" xfId="107" quotePrefix="1" applyNumberFormat="1" applyFont="1" applyFill="1" applyBorder="1" applyAlignment="1">
      <alignment horizontal="center"/>
    </xf>
    <xf numFmtId="172" fontId="31" fillId="0" borderId="29" xfId="107" quotePrefix="1" applyNumberFormat="1" applyFont="1" applyFill="1" applyBorder="1" applyAlignment="1">
      <alignment horizontal="center"/>
    </xf>
    <xf numFmtId="0" fontId="4" fillId="0" borderId="0" xfId="109" applyFont="1" applyFill="1" applyBorder="1" applyAlignment="1">
      <alignment vertical="center"/>
    </xf>
    <xf numFmtId="165" fontId="4" fillId="0" borderId="25" xfId="116" applyNumberFormat="1" applyFont="1" applyFill="1" applyBorder="1"/>
    <xf numFmtId="165" fontId="4" fillId="0" borderId="0" xfId="107" applyNumberFormat="1" applyFont="1" applyFill="1" applyBorder="1"/>
    <xf numFmtId="165" fontId="4" fillId="0" borderId="25" xfId="107" applyNumberFormat="1" applyFont="1" applyFill="1" applyBorder="1"/>
    <xf numFmtId="165" fontId="61" fillId="0" borderId="0" xfId="107" applyNumberFormat="1" applyFont="1" applyFill="1" applyBorder="1"/>
    <xf numFmtId="165" fontId="61" fillId="0" borderId="25" xfId="107" applyNumberFormat="1" applyFont="1" applyFill="1" applyBorder="1"/>
    <xf numFmtId="9" fontId="4" fillId="0" borderId="20" xfId="107" applyNumberFormat="1" applyFont="1" applyFill="1" applyBorder="1"/>
    <xf numFmtId="0" fontId="0" fillId="0" borderId="20" xfId="0" applyFill="1" applyBorder="1"/>
    <xf numFmtId="9" fontId="4" fillId="0" borderId="26" xfId="107" applyNumberFormat="1" applyFont="1" applyFill="1" applyBorder="1"/>
    <xf numFmtId="0" fontId="4" fillId="0" borderId="0" xfId="0" applyFont="1" applyFill="1" applyBorder="1" applyAlignment="1">
      <alignment horizontal="left"/>
    </xf>
    <xf numFmtId="9" fontId="17" fillId="0" borderId="20" xfId="107" applyNumberFormat="1" applyFont="1" applyFill="1" applyBorder="1"/>
    <xf numFmtId="0" fontId="53" fillId="0" borderId="25" xfId="107" applyFont="1" applyFill="1" applyBorder="1" applyAlignment="1"/>
    <xf numFmtId="9" fontId="17" fillId="0" borderId="25" xfId="107" applyNumberFormat="1" applyFont="1" applyFill="1" applyBorder="1"/>
    <xf numFmtId="0" fontId="10" fillId="0" borderId="25" xfId="107" applyFont="1" applyFill="1" applyBorder="1" applyAlignment="1"/>
    <xf numFmtId="0" fontId="10" fillId="0" borderId="20" xfId="107" applyFont="1" applyFill="1" applyBorder="1" applyAlignment="1"/>
    <xf numFmtId="0" fontId="10" fillId="0" borderId="0" xfId="107" applyFont="1" applyFill="1"/>
    <xf numFmtId="0" fontId="15" fillId="0" borderId="0" xfId="0" applyFont="1" applyFill="1" applyBorder="1" applyAlignment="1">
      <alignment horizontal="left"/>
    </xf>
    <xf numFmtId="0" fontId="15" fillId="0" borderId="20" xfId="0" applyFont="1" applyFill="1" applyBorder="1" applyAlignment="1">
      <alignment horizontal="left"/>
    </xf>
    <xf numFmtId="0" fontId="9" fillId="0" borderId="25" xfId="107" applyFont="1" applyFill="1" applyBorder="1" applyAlignment="1"/>
    <xf numFmtId="0" fontId="15" fillId="0" borderId="25" xfId="0" applyFont="1" applyFill="1" applyBorder="1" applyAlignment="1">
      <alignment horizontal="left"/>
    </xf>
    <xf numFmtId="0" fontId="4" fillId="0" borderId="20" xfId="0" applyFont="1" applyFill="1" applyBorder="1" applyAlignment="1">
      <alignment horizontal="left"/>
    </xf>
    <xf numFmtId="0" fontId="4" fillId="0" borderId="25" xfId="0" applyFont="1" applyFill="1" applyBorder="1" applyAlignment="1">
      <alignment horizontal="left"/>
    </xf>
    <xf numFmtId="0" fontId="4" fillId="0" borderId="20" xfId="107" applyFont="1" applyFill="1" applyBorder="1" applyAlignment="1">
      <alignment horizontal="left"/>
    </xf>
    <xf numFmtId="0" fontId="4" fillId="0" borderId="25" xfId="107" applyFont="1" applyFill="1" applyBorder="1" applyAlignment="1">
      <alignment horizontal="left"/>
    </xf>
    <xf numFmtId="0" fontId="10" fillId="0" borderId="20" xfId="107" applyFont="1" applyFill="1" applyBorder="1"/>
    <xf numFmtId="0" fontId="10" fillId="0" borderId="25" xfId="107" applyFont="1" applyFill="1" applyBorder="1"/>
    <xf numFmtId="0" fontId="4" fillId="0" borderId="20" xfId="109" applyFont="1" applyFill="1" applyBorder="1" applyAlignment="1">
      <alignment vertical="center"/>
    </xf>
    <xf numFmtId="0" fontId="4" fillId="0" borderId="25" xfId="109" applyFont="1" applyFill="1" applyBorder="1" applyAlignment="1">
      <alignment vertical="center"/>
    </xf>
    <xf numFmtId="0" fontId="4" fillId="0" borderId="20" xfId="0" applyFont="1" applyFill="1" applyBorder="1"/>
    <xf numFmtId="0" fontId="4" fillId="0" borderId="25" xfId="0" applyFont="1" applyFill="1" applyBorder="1"/>
    <xf numFmtId="9" fontId="7" fillId="0" borderId="0" xfId="0" applyNumberFormat="1" applyFont="1" applyFill="1"/>
    <xf numFmtId="165" fontId="15" fillId="0" borderId="25" xfId="116" applyNumberFormat="1" applyFont="1" applyFill="1" applyBorder="1" applyAlignment="1">
      <alignment horizontal="center"/>
    </xf>
    <xf numFmtId="165" fontId="15" fillId="0" borderId="0" xfId="116" applyNumberFormat="1" applyFont="1" applyFill="1" applyBorder="1" applyAlignment="1">
      <alignment horizontal="center"/>
    </xf>
    <xf numFmtId="165" fontId="89" fillId="0" borderId="25" xfId="116" applyNumberFormat="1" applyFont="1" applyFill="1" applyBorder="1" applyAlignment="1">
      <alignment horizontal="center"/>
    </xf>
    <xf numFmtId="165" fontId="89" fillId="0" borderId="0" xfId="116" applyNumberFormat="1" applyFont="1" applyFill="1" applyBorder="1" applyAlignment="1">
      <alignment horizontal="center"/>
    </xf>
    <xf numFmtId="165" fontId="89" fillId="0" borderId="20" xfId="116" applyNumberFormat="1" applyFont="1" applyFill="1" applyBorder="1" applyAlignment="1">
      <alignment horizontal="center"/>
    </xf>
    <xf numFmtId="165" fontId="89" fillId="0" borderId="13" xfId="116" applyNumberFormat="1" applyFont="1" applyFill="1" applyBorder="1" applyAlignment="1">
      <alignment horizontal="center"/>
    </xf>
    <xf numFmtId="9" fontId="61" fillId="0" borderId="20" xfId="106" applyNumberFormat="1" applyFont="1" applyFill="1" applyBorder="1"/>
    <xf numFmtId="165" fontId="61" fillId="0" borderId="25" xfId="116" applyNumberFormat="1" applyFont="1" applyFill="1" applyBorder="1" applyAlignment="1">
      <alignment horizontal="center"/>
    </xf>
    <xf numFmtId="165" fontId="61" fillId="0" borderId="0" xfId="116" applyNumberFormat="1" applyFont="1" applyFill="1" applyBorder="1" applyAlignment="1">
      <alignment horizontal="center"/>
    </xf>
    <xf numFmtId="165" fontId="61" fillId="0" borderId="26" xfId="116" applyNumberFormat="1" applyFont="1" applyFill="1" applyBorder="1" applyAlignment="1">
      <alignment horizontal="center"/>
    </xf>
    <xf numFmtId="165" fontId="61" fillId="0" borderId="20" xfId="116" applyNumberFormat="1" applyFont="1" applyFill="1" applyBorder="1" applyAlignment="1">
      <alignment horizontal="center"/>
    </xf>
    <xf numFmtId="165" fontId="15" fillId="0" borderId="20" xfId="116" applyNumberFormat="1" applyFont="1" applyFill="1" applyBorder="1" applyAlignment="1">
      <alignment horizontal="center"/>
    </xf>
    <xf numFmtId="165" fontId="15" fillId="0" borderId="0" xfId="106" applyNumberFormat="1" applyFont="1" applyFill="1" applyAlignment="1">
      <alignment horizontal="center"/>
    </xf>
    <xf numFmtId="165" fontId="27" fillId="0" borderId="0" xfId="106" applyNumberFormat="1" applyFont="1" applyFill="1" applyAlignment="1">
      <alignment horizontal="center"/>
    </xf>
    <xf numFmtId="165" fontId="7" fillId="0" borderId="0" xfId="106" applyNumberFormat="1" applyFont="1" applyFill="1"/>
    <xf numFmtId="165" fontId="27" fillId="0" borderId="25" xfId="106" applyNumberFormat="1" applyFont="1" applyFill="1" applyBorder="1" applyAlignment="1">
      <alignment horizontal="center"/>
    </xf>
    <xf numFmtId="165" fontId="7" fillId="0" borderId="25" xfId="106" applyNumberFormat="1" applyFont="1" applyFill="1" applyBorder="1"/>
    <xf numFmtId="165" fontId="17" fillId="0" borderId="25" xfId="116" applyNumberFormat="1" applyFont="1" applyFill="1" applyBorder="1" applyAlignment="1">
      <alignment horizontal="center"/>
    </xf>
    <xf numFmtId="165" fontId="17" fillId="0" borderId="0" xfId="116" applyNumberFormat="1" applyFont="1" applyFill="1" applyBorder="1" applyAlignment="1">
      <alignment horizontal="center"/>
    </xf>
    <xf numFmtId="165" fontId="17" fillId="0" borderId="26" xfId="116" applyNumberFormat="1" applyFont="1" applyFill="1" applyBorder="1" applyAlignment="1">
      <alignment horizontal="center"/>
    </xf>
    <xf numFmtId="0" fontId="15" fillId="0" borderId="18" xfId="106" applyFont="1" applyFill="1" applyBorder="1" applyAlignment="1">
      <alignment horizontal="center"/>
    </xf>
    <xf numFmtId="165" fontId="15" fillId="0" borderId="23" xfId="116" applyNumberFormat="1" applyFont="1" applyFill="1" applyBorder="1" applyAlignment="1">
      <alignment horizontal="center"/>
    </xf>
    <xf numFmtId="165" fontId="15" fillId="0" borderId="18" xfId="116" applyNumberFormat="1" applyFont="1" applyFill="1" applyBorder="1" applyAlignment="1">
      <alignment horizontal="center"/>
    </xf>
    <xf numFmtId="165" fontId="15" fillId="0" borderId="28" xfId="116" applyNumberFormat="1" applyFont="1" applyFill="1" applyBorder="1" applyAlignment="1">
      <alignment horizontal="center"/>
    </xf>
    <xf numFmtId="165" fontId="15" fillId="0" borderId="24" xfId="116" applyNumberFormat="1" applyFont="1" applyFill="1" applyBorder="1" applyAlignment="1">
      <alignment horizontal="center"/>
    </xf>
    <xf numFmtId="165" fontId="15" fillId="0" borderId="18" xfId="106" applyNumberFormat="1" applyFont="1" applyFill="1" applyBorder="1" applyAlignment="1">
      <alignment horizontal="center"/>
    </xf>
    <xf numFmtId="165" fontId="89" fillId="0" borderId="23" xfId="116" applyNumberFormat="1" applyFont="1" applyFill="1" applyBorder="1" applyAlignment="1">
      <alignment horizontal="center"/>
    </xf>
    <xf numFmtId="165" fontId="89" fillId="0" borderId="18" xfId="116" applyNumberFormat="1" applyFont="1" applyFill="1" applyBorder="1" applyAlignment="1">
      <alignment horizontal="center"/>
    </xf>
    <xf numFmtId="165" fontId="89" fillId="0" borderId="28" xfId="116" applyNumberFormat="1" applyFont="1" applyFill="1" applyBorder="1" applyAlignment="1">
      <alignment horizontal="center"/>
    </xf>
    <xf numFmtId="165" fontId="89" fillId="0" borderId="24" xfId="116" applyNumberFormat="1" applyFont="1" applyFill="1" applyBorder="1" applyAlignment="1">
      <alignment horizontal="center"/>
    </xf>
    <xf numFmtId="165" fontId="15" fillId="0" borderId="23" xfId="106" applyNumberFormat="1" applyFont="1" applyFill="1" applyBorder="1" applyAlignment="1">
      <alignment horizontal="center"/>
    </xf>
    <xf numFmtId="165" fontId="15" fillId="0" borderId="23" xfId="106" applyNumberFormat="1" applyFont="1" applyFill="1" applyBorder="1"/>
    <xf numFmtId="9" fontId="88" fillId="0" borderId="0" xfId="116" applyFont="1" applyFill="1" applyBorder="1"/>
    <xf numFmtId="7" fontId="4" fillId="0" borderId="24" xfId="103" applyNumberFormat="1" applyFont="1" applyFill="1" applyBorder="1"/>
    <xf numFmtId="7" fontId="4" fillId="0" borderId="18" xfId="103" applyNumberFormat="1" applyFont="1" applyFill="1" applyBorder="1"/>
    <xf numFmtId="169" fontId="27" fillId="0" borderId="0" xfId="106" applyNumberFormat="1" applyFont="1" applyFill="1" applyBorder="1"/>
    <xf numFmtId="165" fontId="15" fillId="0" borderId="26" xfId="116" applyNumberFormat="1" applyFont="1" applyFill="1" applyBorder="1" applyAlignment="1">
      <alignment horizontal="center"/>
    </xf>
    <xf numFmtId="165" fontId="89" fillId="0" borderId="26" xfId="116" applyNumberFormat="1" applyFont="1" applyFill="1" applyBorder="1" applyAlignment="1">
      <alignment horizontal="center"/>
    </xf>
    <xf numFmtId="165" fontId="15" fillId="0" borderId="25" xfId="106" applyNumberFormat="1" applyFont="1" applyFill="1" applyBorder="1" applyAlignment="1">
      <alignment horizontal="center"/>
    </xf>
    <xf numFmtId="165" fontId="15" fillId="0" borderId="25" xfId="106" applyNumberFormat="1" applyFont="1" applyFill="1" applyBorder="1"/>
    <xf numFmtId="165" fontId="94" fillId="0" borderId="0" xfId="116" applyNumberFormat="1" applyFont="1" applyFill="1" applyBorder="1" applyAlignment="1">
      <alignment horizontal="center"/>
    </xf>
    <xf numFmtId="171" fontId="13" fillId="0" borderId="26" xfId="73" applyNumberFormat="1" applyFont="1" applyFill="1" applyBorder="1" applyAlignment="1">
      <alignment horizontal="right"/>
    </xf>
    <xf numFmtId="171" fontId="13" fillId="0" borderId="20" xfId="73" applyNumberFormat="1" applyFont="1" applyFill="1" applyBorder="1" applyAlignment="1">
      <alignment horizontal="right"/>
    </xf>
    <xf numFmtId="169" fontId="61" fillId="0" borderId="25" xfId="106" applyNumberFormat="1" applyFont="1" applyFill="1" applyBorder="1"/>
    <xf numFmtId="169" fontId="61" fillId="0" borderId="0" xfId="106" applyNumberFormat="1" applyFont="1" applyFill="1" applyBorder="1"/>
    <xf numFmtId="169" fontId="61" fillId="0" borderId="26" xfId="106" applyNumberFormat="1" applyFont="1" applyFill="1" applyBorder="1"/>
    <xf numFmtId="170" fontId="61" fillId="0" borderId="25" xfId="106" applyNumberFormat="1" applyFont="1" applyFill="1" applyBorder="1"/>
    <xf numFmtId="170" fontId="61" fillId="0" borderId="0" xfId="106" applyNumberFormat="1" applyFont="1" applyFill="1" applyBorder="1"/>
    <xf numFmtId="170" fontId="61" fillId="0" borderId="26" xfId="106" applyNumberFormat="1" applyFont="1" applyFill="1" applyBorder="1"/>
    <xf numFmtId="169" fontId="61" fillId="0" borderId="20" xfId="106" applyNumberFormat="1" applyFont="1" applyFill="1" applyBorder="1"/>
    <xf numFmtId="170" fontId="61" fillId="0" borderId="20" xfId="106" applyNumberFormat="1" applyFont="1" applyFill="1" applyBorder="1"/>
    <xf numFmtId="41" fontId="61" fillId="0" borderId="0" xfId="106" applyNumberFormat="1" applyFont="1" applyFill="1" applyBorder="1"/>
    <xf numFmtId="173" fontId="61" fillId="0" borderId="0" xfId="106" applyNumberFormat="1" applyFont="1" applyFill="1" applyBorder="1"/>
    <xf numFmtId="173" fontId="61" fillId="0" borderId="20" xfId="106" applyNumberFormat="1" applyFont="1" applyFill="1" applyBorder="1"/>
    <xf numFmtId="174" fontId="19" fillId="0" borderId="26" xfId="75" applyNumberFormat="1" applyFont="1" applyFill="1" applyBorder="1"/>
    <xf numFmtId="170" fontId="17" fillId="0" borderId="26" xfId="106" applyNumberFormat="1" applyFont="1" applyFill="1" applyBorder="1"/>
    <xf numFmtId="165" fontId="7" fillId="0" borderId="0" xfId="116" applyNumberFormat="1" applyFont="1" applyFill="1" applyBorder="1"/>
    <xf numFmtId="165" fontId="53" fillId="0" borderId="0" xfId="116" applyNumberFormat="1" applyFont="1" applyFill="1" applyBorder="1"/>
    <xf numFmtId="165" fontId="14" fillId="0" borderId="0" xfId="106" applyNumberFormat="1" applyFont="1" applyFill="1" applyBorder="1"/>
    <xf numFmtId="165" fontId="0" fillId="0" borderId="0" xfId="0" applyNumberFormat="1" applyFill="1" applyBorder="1"/>
    <xf numFmtId="165" fontId="95" fillId="0" borderId="0" xfId="0" applyNumberFormat="1" applyFont="1" applyAlignment="1">
      <alignment horizontal="right"/>
    </xf>
    <xf numFmtId="165" fontId="95" fillId="0" borderId="25" xfId="107" quotePrefix="1" applyNumberFormat="1" applyFont="1" applyFill="1" applyBorder="1" applyAlignment="1">
      <alignment horizontal="right"/>
    </xf>
    <xf numFmtId="165" fontId="95" fillId="0" borderId="0" xfId="107" quotePrefix="1" applyNumberFormat="1" applyFont="1" applyFill="1" applyBorder="1" applyAlignment="1">
      <alignment horizontal="right"/>
    </xf>
    <xf numFmtId="165" fontId="95" fillId="0" borderId="20" xfId="107" quotePrefix="1" applyNumberFormat="1" applyFont="1" applyFill="1" applyBorder="1" applyAlignment="1">
      <alignment horizontal="right"/>
    </xf>
    <xf numFmtId="165" fontId="7" fillId="0" borderId="0" xfId="0" applyNumberFormat="1" applyFont="1"/>
    <xf numFmtId="0" fontId="15" fillId="20" borderId="18" xfId="109" applyFont="1" applyFill="1" applyBorder="1" applyAlignment="1">
      <alignment vertical="center"/>
    </xf>
    <xf numFmtId="0" fontId="9" fillId="20" borderId="18" xfId="107" applyFont="1" applyFill="1" applyBorder="1"/>
    <xf numFmtId="9" fontId="15" fillId="20" borderId="18" xfId="107" applyNumberFormat="1" applyFont="1" applyFill="1" applyBorder="1"/>
    <xf numFmtId="165" fontId="15" fillId="20" borderId="24" xfId="107" applyNumberFormat="1" applyFont="1" applyFill="1" applyBorder="1"/>
    <xf numFmtId="165" fontId="15" fillId="20" borderId="18" xfId="107" applyNumberFormat="1" applyFont="1" applyFill="1" applyBorder="1"/>
    <xf numFmtId="165" fontId="15" fillId="20" borderId="23" xfId="107" applyNumberFormat="1" applyFont="1" applyFill="1" applyBorder="1"/>
    <xf numFmtId="9" fontId="15" fillId="20" borderId="24" xfId="107" applyNumberFormat="1" applyFont="1" applyFill="1" applyBorder="1"/>
    <xf numFmtId="9" fontId="15" fillId="20" borderId="23" xfId="107" applyNumberFormat="1" applyFont="1" applyFill="1" applyBorder="1"/>
    <xf numFmtId="165" fontId="15" fillId="20" borderId="28" xfId="107" applyNumberFormat="1" applyFont="1" applyFill="1" applyBorder="1"/>
    <xf numFmtId="9" fontId="7" fillId="0" borderId="25" xfId="0" applyNumberFormat="1" applyFont="1" applyFill="1" applyBorder="1"/>
    <xf numFmtId="9" fontId="7" fillId="0" borderId="0" xfId="0" applyNumberFormat="1" applyFont="1" applyFill="1" applyBorder="1"/>
    <xf numFmtId="9" fontId="7" fillId="0" borderId="26" xfId="0" applyNumberFormat="1" applyFont="1" applyFill="1" applyBorder="1"/>
    <xf numFmtId="206" fontId="18" fillId="0" borderId="0" xfId="111" applyNumberFormat="1" applyFont="1" applyFill="1" applyBorder="1" applyAlignment="1" applyProtection="1">
      <alignment horizontal="right"/>
    </xf>
    <xf numFmtId="43" fontId="43" fillId="0" borderId="0" xfId="72" applyNumberFormat="1" applyFont="1" applyFill="1" applyBorder="1" applyAlignment="1">
      <alignment horizontal="right"/>
    </xf>
    <xf numFmtId="169" fontId="15" fillId="20" borderId="58" xfId="106" applyNumberFormat="1" applyFont="1" applyFill="1" applyBorder="1" applyAlignment="1">
      <alignment horizontal="center"/>
    </xf>
    <xf numFmtId="169" fontId="17" fillId="0" borderId="0" xfId="111" applyNumberFormat="1" applyFont="1" applyFill="1" applyAlignment="1"/>
    <xf numFmtId="169" fontId="17" fillId="0" borderId="0" xfId="111" applyNumberFormat="1" applyFont="1" applyFill="1" applyAlignment="1" applyProtection="1"/>
    <xf numFmtId="169" fontId="15" fillId="0" borderId="18" xfId="111" applyNumberFormat="1" applyFont="1" applyFill="1" applyBorder="1" applyAlignment="1" applyProtection="1"/>
    <xf numFmtId="169" fontId="17" fillId="0" borderId="0" xfId="74" applyNumberFormat="1" applyFont="1" applyFill="1" applyAlignment="1" applyProtection="1"/>
    <xf numFmtId="186" fontId="96" fillId="0" borderId="0" xfId="72" applyNumberFormat="1" applyFont="1" applyFill="1" applyBorder="1" applyAlignment="1">
      <alignment horizontal="right"/>
    </xf>
    <xf numFmtId="6" fontId="4" fillId="0" borderId="0" xfId="106" applyNumberFormat="1" applyFont="1" applyFill="1" applyBorder="1"/>
    <xf numFmtId="172" fontId="27" fillId="0" borderId="0" xfId="0" applyNumberFormat="1" applyFont="1" applyFill="1" applyBorder="1" applyAlignment="1">
      <alignment horizontal="right"/>
    </xf>
    <xf numFmtId="172" fontId="29" fillId="18" borderId="16" xfId="0" applyNumberFormat="1" applyFont="1" applyFill="1" applyBorder="1" applyAlignment="1">
      <alignment horizontal="center"/>
    </xf>
    <xf numFmtId="172" fontId="29" fillId="18" borderId="12" xfId="0" applyNumberFormat="1" applyFont="1" applyFill="1" applyBorder="1" applyAlignment="1">
      <alignment horizontal="center"/>
    </xf>
    <xf numFmtId="172" fontId="27" fillId="0" borderId="24" xfId="0" applyNumberFormat="1" applyFont="1" applyFill="1" applyBorder="1" applyAlignment="1">
      <alignment horizontal="right"/>
    </xf>
    <xf numFmtId="172" fontId="27" fillId="0" borderId="16" xfId="0" applyNumberFormat="1" applyFont="1" applyFill="1" applyBorder="1" applyAlignment="1">
      <alignment horizontal="center"/>
    </xf>
    <xf numFmtId="172" fontId="27" fillId="0" borderId="12" xfId="0" applyNumberFormat="1" applyFont="1" applyFill="1" applyBorder="1" applyAlignment="1">
      <alignment horizontal="center"/>
    </xf>
    <xf numFmtId="172" fontId="27" fillId="0" borderId="11" xfId="0" applyNumberFormat="1" applyFont="1" applyFill="1" applyBorder="1" applyAlignment="1">
      <alignment horizontal="center"/>
    </xf>
    <xf numFmtId="0" fontId="4" fillId="0" borderId="24" xfId="106" applyFont="1" applyFill="1" applyBorder="1"/>
    <xf numFmtId="9" fontId="45" fillId="0" borderId="25" xfId="106" applyNumberFormat="1" applyFont="1" applyFill="1" applyBorder="1"/>
    <xf numFmtId="10" fontId="13" fillId="0" borderId="25" xfId="106" applyNumberFormat="1" applyFont="1" applyFill="1" applyBorder="1"/>
    <xf numFmtId="0" fontId="15" fillId="0" borderId="20" xfId="0" applyFont="1" applyFill="1" applyBorder="1"/>
    <xf numFmtId="9" fontId="7" fillId="0" borderId="20" xfId="0" applyNumberFormat="1" applyFont="1" applyFill="1" applyBorder="1"/>
    <xf numFmtId="165" fontId="7" fillId="0" borderId="24" xfId="0" applyNumberFormat="1" applyFont="1" applyFill="1" applyBorder="1"/>
    <xf numFmtId="10" fontId="0" fillId="0" borderId="0" xfId="0" applyNumberFormat="1"/>
    <xf numFmtId="10" fontId="0" fillId="0" borderId="0" xfId="0" applyNumberFormat="1" applyBorder="1"/>
    <xf numFmtId="10" fontId="0" fillId="0" borderId="0" xfId="116" applyNumberFormat="1" applyFont="1"/>
    <xf numFmtId="165" fontId="7" fillId="0" borderId="0" xfId="0" applyNumberFormat="1" applyFont="1" applyFill="1" applyBorder="1"/>
    <xf numFmtId="7" fontId="7" fillId="0" borderId="0" xfId="0" applyNumberFormat="1" applyFont="1" applyFill="1" applyBorder="1"/>
    <xf numFmtId="0" fontId="47" fillId="0" borderId="0" xfId="0" applyFont="1" applyFill="1" applyBorder="1"/>
    <xf numFmtId="169" fontId="15" fillId="0" borderId="20" xfId="106" applyNumberFormat="1" applyFont="1" applyFill="1" applyBorder="1" applyAlignment="1">
      <alignment horizontal="right"/>
    </xf>
    <xf numFmtId="165" fontId="28" fillId="0" borderId="20" xfId="106" applyNumberFormat="1" applyFont="1" applyFill="1" applyBorder="1"/>
    <xf numFmtId="165" fontId="7" fillId="0" borderId="20" xfId="106" applyNumberFormat="1" applyFont="1" applyFill="1" applyBorder="1"/>
    <xf numFmtId="165" fontId="28" fillId="0" borderId="0" xfId="106" applyNumberFormat="1" applyFont="1" applyFill="1" applyBorder="1"/>
    <xf numFmtId="165" fontId="28" fillId="0" borderId="25" xfId="106" applyNumberFormat="1" applyFont="1" applyFill="1" applyBorder="1"/>
    <xf numFmtId="178" fontId="4" fillId="0" borderId="18" xfId="106" applyNumberFormat="1" applyFont="1" applyFill="1" applyBorder="1"/>
    <xf numFmtId="178" fontId="4" fillId="0" borderId="24" xfId="106" applyNumberFormat="1" applyFont="1" applyFill="1" applyBorder="1"/>
    <xf numFmtId="165" fontId="4" fillId="0" borderId="24" xfId="106" applyNumberFormat="1" applyFont="1" applyFill="1" applyBorder="1"/>
    <xf numFmtId="0" fontId="4" fillId="0" borderId="28" xfId="106" applyFont="1" applyFill="1" applyBorder="1"/>
    <xf numFmtId="0" fontId="4" fillId="0" borderId="23" xfId="106" applyFont="1" applyFill="1" applyBorder="1"/>
    <xf numFmtId="43" fontId="7" fillId="0" borderId="0" xfId="0" applyNumberFormat="1" applyFont="1" applyFill="1" applyBorder="1"/>
    <xf numFmtId="169" fontId="14" fillId="0" borderId="0" xfId="72" applyNumberFormat="1" applyFont="1" applyFill="1" applyBorder="1"/>
    <xf numFmtId="9" fontId="28" fillId="0" borderId="0" xfId="116" applyFont="1" applyFill="1" applyBorder="1"/>
    <xf numFmtId="169" fontId="27" fillId="0" borderId="12" xfId="106" applyNumberFormat="1" applyFont="1" applyFill="1" applyBorder="1"/>
    <xf numFmtId="165" fontId="28" fillId="0" borderId="18" xfId="106" applyNumberFormat="1" applyFont="1" applyFill="1" applyBorder="1"/>
    <xf numFmtId="186" fontId="7" fillId="0" borderId="0" xfId="72" applyNumberFormat="1" applyFont="1" applyFill="1" applyBorder="1"/>
    <xf numFmtId="186" fontId="7" fillId="0" borderId="0" xfId="0" applyNumberFormat="1" applyFont="1" applyFill="1"/>
    <xf numFmtId="165" fontId="13" fillId="0" borderId="28" xfId="106" applyNumberFormat="1" applyFont="1" applyFill="1" applyBorder="1"/>
    <xf numFmtId="169" fontId="7" fillId="0" borderId="31" xfId="106" applyNumberFormat="1" applyFont="1" applyFill="1" applyBorder="1"/>
    <xf numFmtId="186" fontId="43" fillId="0" borderId="25" xfId="72" applyNumberFormat="1" applyFont="1" applyFill="1" applyBorder="1" applyAlignment="1">
      <alignment horizontal="right"/>
    </xf>
    <xf numFmtId="170" fontId="12" fillId="0" borderId="0" xfId="106" applyNumberFormat="1" applyFont="1" applyFill="1" applyBorder="1"/>
    <xf numFmtId="173" fontId="53" fillId="0" borderId="0" xfId="116" applyNumberFormat="1" applyFont="1" applyFill="1" applyBorder="1"/>
    <xf numFmtId="169" fontId="7" fillId="0" borderId="0" xfId="0" applyNumberFormat="1" applyFont="1" applyFill="1" applyBorder="1"/>
    <xf numFmtId="173" fontId="7" fillId="0" borderId="0" xfId="0" quotePrefix="1" applyNumberFormat="1" applyFont="1" applyFill="1"/>
    <xf numFmtId="186" fontId="17" fillId="0" borderId="0" xfId="106" applyNumberFormat="1" applyFont="1" applyFill="1" applyBorder="1"/>
    <xf numFmtId="186" fontId="4" fillId="0" borderId="0" xfId="106" applyNumberFormat="1" applyFont="1" applyFill="1" applyBorder="1"/>
    <xf numFmtId="39" fontId="17" fillId="0" borderId="0" xfId="103" applyNumberFormat="1" applyFont="1" applyFill="1" applyAlignment="1">
      <alignment horizontal="right"/>
    </xf>
    <xf numFmtId="39" fontId="4" fillId="0" borderId="24" xfId="163" applyNumberFormat="1" applyFont="1" applyFill="1" applyBorder="1">
      <protection locked="0"/>
    </xf>
    <xf numFmtId="39" fontId="4" fillId="0" borderId="0" xfId="163" applyNumberFormat="1" applyFont="1" applyFill="1" applyBorder="1">
      <protection locked="0"/>
    </xf>
    <xf numFmtId="39" fontId="4" fillId="0" borderId="0" xfId="111" applyNumberFormat="1" applyFont="1" applyFill="1" applyBorder="1" applyAlignment="1" applyProtection="1">
      <alignment horizontal="right"/>
    </xf>
    <xf numFmtId="39" fontId="18" fillId="0" borderId="24" xfId="111" applyNumberFormat="1" applyFont="1" applyFill="1" applyBorder="1" applyAlignment="1" applyProtection="1">
      <alignment horizontal="right"/>
    </xf>
    <xf numFmtId="39" fontId="4" fillId="0" borderId="18" xfId="111" applyNumberFormat="1" applyFont="1" applyFill="1" applyBorder="1" applyAlignment="1" applyProtection="1">
      <alignment horizontal="right"/>
    </xf>
    <xf numFmtId="39" fontId="18" fillId="0" borderId="18" xfId="111" applyNumberFormat="1" applyFont="1" applyFill="1" applyBorder="1" applyAlignment="1" applyProtection="1">
      <alignment horizontal="right"/>
    </xf>
    <xf numFmtId="39" fontId="0" fillId="0" borderId="0" xfId="0" applyNumberFormat="1" applyFill="1"/>
    <xf numFmtId="39" fontId="7" fillId="0" borderId="0" xfId="0" applyNumberFormat="1" applyFont="1" applyFill="1"/>
    <xf numFmtId="165" fontId="14" fillId="0" borderId="0" xfId="116" applyNumberFormat="1" applyFont="1" applyFill="1" applyBorder="1"/>
    <xf numFmtId="9" fontId="7" fillId="0" borderId="0" xfId="116" applyFont="1" applyFill="1" applyBorder="1" applyAlignment="1">
      <alignment vertical="center"/>
    </xf>
    <xf numFmtId="165" fontId="7" fillId="0" borderId="0" xfId="116" applyNumberFormat="1" applyFont="1" applyFill="1" applyBorder="1" applyAlignment="1">
      <alignment vertical="center"/>
    </xf>
    <xf numFmtId="0" fontId="97" fillId="0" borderId="0" xfId="0" applyFont="1" applyFill="1" applyAlignment="1">
      <alignment horizontal="center"/>
    </xf>
    <xf numFmtId="165" fontId="15" fillId="0" borderId="18" xfId="107" applyNumberFormat="1" applyFont="1" applyFill="1" applyBorder="1"/>
    <xf numFmtId="165" fontId="15" fillId="0" borderId="24" xfId="107" applyNumberFormat="1" applyFont="1" applyFill="1" applyBorder="1"/>
    <xf numFmtId="204" fontId="7" fillId="0" borderId="20" xfId="0" applyNumberFormat="1" applyFont="1" applyFill="1" applyBorder="1"/>
    <xf numFmtId="173" fontId="47" fillId="0" borderId="0" xfId="0" applyNumberFormat="1" applyFont="1" applyFill="1" applyAlignment="1">
      <alignment horizontal="center"/>
    </xf>
    <xf numFmtId="173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204" fontId="46" fillId="0" borderId="0" xfId="0" applyNumberFormat="1" applyFont="1" applyFill="1" applyBorder="1" applyAlignment="1">
      <alignment horizontal="center"/>
    </xf>
    <xf numFmtId="198" fontId="4" fillId="0" borderId="0" xfId="72" applyNumberFormat="1" applyFont="1" applyFill="1" applyBorder="1"/>
    <xf numFmtId="173" fontId="38" fillId="17" borderId="0" xfId="73" applyNumberFormat="1" applyFont="1" applyFill="1" applyBorder="1" applyAlignment="1">
      <alignment horizontal="right"/>
    </xf>
    <xf numFmtId="173" fontId="17" fillId="17" borderId="0" xfId="103" applyNumberFormat="1" applyFont="1" applyFill="1" applyAlignment="1">
      <alignment horizontal="right"/>
    </xf>
    <xf numFmtId="173" fontId="17" fillId="17" borderId="0" xfId="111" applyNumberFormat="1" applyFont="1" applyFill="1" applyAlignment="1" applyProtection="1"/>
    <xf numFmtId="173" fontId="15" fillId="17" borderId="18" xfId="111" applyNumberFormat="1" applyFont="1" applyFill="1" applyBorder="1" applyAlignment="1" applyProtection="1"/>
    <xf numFmtId="173" fontId="17" fillId="17" borderId="0" xfId="111" applyNumberFormat="1" applyFont="1" applyFill="1" applyBorder="1" applyAlignment="1" applyProtection="1"/>
    <xf numFmtId="173" fontId="4" fillId="17" borderId="0" xfId="111" applyNumberFormat="1" applyFont="1" applyFill="1" applyBorder="1" applyAlignment="1" applyProtection="1"/>
    <xf numFmtId="173" fontId="15" fillId="0" borderId="0" xfId="0" applyNumberFormat="1" applyFont="1" applyFill="1" applyBorder="1"/>
    <xf numFmtId="165" fontId="15" fillId="0" borderId="23" xfId="107" applyNumberFormat="1" applyFont="1" applyFill="1" applyBorder="1"/>
    <xf numFmtId="9" fontId="15" fillId="20" borderId="20" xfId="106" applyNumberFormat="1" applyFont="1" applyFill="1" applyBorder="1"/>
    <xf numFmtId="9" fontId="4" fillId="0" borderId="20" xfId="106" applyNumberFormat="1" applyFont="1" applyFill="1" applyBorder="1"/>
    <xf numFmtId="9" fontId="15" fillId="0" borderId="20" xfId="106" applyNumberFormat="1" applyFont="1" applyFill="1" applyBorder="1"/>
    <xf numFmtId="0" fontId="10" fillId="0" borderId="13" xfId="0" applyFont="1" applyFill="1" applyBorder="1"/>
    <xf numFmtId="0" fontId="10" fillId="0" borderId="14" xfId="0" applyFont="1" applyFill="1" applyBorder="1" applyAlignment="1">
      <alignment horizontal="right"/>
    </xf>
    <xf numFmtId="0" fontId="15" fillId="0" borderId="14" xfId="106" applyFont="1" applyFill="1" applyBorder="1" applyAlignment="1">
      <alignment horizontal="center"/>
    </xf>
    <xf numFmtId="183" fontId="27" fillId="0" borderId="14" xfId="0" applyNumberFormat="1" applyFont="1" applyFill="1" applyBorder="1" applyAlignment="1">
      <alignment horizontal="right"/>
    </xf>
    <xf numFmtId="173" fontId="4" fillId="0" borderId="25" xfId="106" applyNumberFormat="1" applyFont="1" applyFill="1" applyBorder="1"/>
    <xf numFmtId="173" fontId="4" fillId="0" borderId="25" xfId="106" applyNumberFormat="1" applyFont="1" applyFill="1" applyBorder="1" applyAlignment="1">
      <alignment horizontal="left" indent="1"/>
    </xf>
    <xf numFmtId="41" fontId="15" fillId="0" borderId="23" xfId="106" applyNumberFormat="1" applyFont="1" applyFill="1" applyBorder="1"/>
    <xf numFmtId="173" fontId="15" fillId="0" borderId="25" xfId="106" applyNumberFormat="1" applyFont="1" applyFill="1" applyBorder="1" applyAlignment="1">
      <alignment horizontal="left" indent="1"/>
    </xf>
    <xf numFmtId="170" fontId="13" fillId="0" borderId="25" xfId="109" applyNumberFormat="1" applyFont="1" applyFill="1" applyBorder="1"/>
    <xf numFmtId="0" fontId="15" fillId="20" borderId="0" xfId="0" applyFont="1" applyFill="1" applyAlignment="1">
      <alignment horizontal="right"/>
    </xf>
    <xf numFmtId="0" fontId="15" fillId="20" borderId="0" xfId="0" applyFont="1" applyFill="1" applyAlignment="1" applyProtection="1">
      <alignment horizontal="right"/>
    </xf>
    <xf numFmtId="169" fontId="18" fillId="0" borderId="24" xfId="103" applyNumberFormat="1" applyFont="1" applyFill="1" applyBorder="1" applyAlignment="1">
      <alignment horizontal="right"/>
    </xf>
    <xf numFmtId="0" fontId="16" fillId="18" borderId="13" xfId="0" applyFont="1" applyFill="1" applyBorder="1"/>
    <xf numFmtId="0" fontId="25" fillId="18" borderId="14" xfId="0" applyFont="1" applyFill="1" applyBorder="1"/>
    <xf numFmtId="0" fontId="25" fillId="18" borderId="13" xfId="0" applyFont="1" applyFill="1" applyBorder="1"/>
    <xf numFmtId="0" fontId="25" fillId="18" borderId="15" xfId="0" applyFont="1" applyFill="1" applyBorder="1"/>
    <xf numFmtId="0" fontId="7" fillId="0" borderId="25" xfId="0" applyFont="1" applyBorder="1" applyAlignment="1">
      <alignment horizontal="left" indent="2"/>
    </xf>
    <xf numFmtId="0" fontId="7" fillId="0" borderId="25" xfId="0" applyFont="1" applyBorder="1"/>
    <xf numFmtId="0" fontId="7" fillId="0" borderId="20" xfId="0" applyFont="1" applyBorder="1"/>
    <xf numFmtId="178" fontId="7" fillId="0" borderId="25" xfId="0" applyNumberFormat="1" applyFont="1" applyBorder="1"/>
    <xf numFmtId="178" fontId="7" fillId="0" borderId="0" xfId="0" applyNumberFormat="1" applyFont="1" applyBorder="1"/>
    <xf numFmtId="178" fontId="7" fillId="0" borderId="20" xfId="0" applyNumberFormat="1" applyFont="1" applyBorder="1"/>
    <xf numFmtId="0" fontId="7" fillId="21" borderId="25" xfId="0" applyFont="1" applyFill="1" applyBorder="1" applyAlignment="1">
      <alignment horizontal="left" indent="2"/>
    </xf>
    <xf numFmtId="0" fontId="7" fillId="21" borderId="0" xfId="0" applyFont="1" applyFill="1" applyBorder="1"/>
    <xf numFmtId="0" fontId="7" fillId="21" borderId="25" xfId="0" applyFont="1" applyFill="1" applyBorder="1"/>
    <xf numFmtId="0" fontId="7" fillId="21" borderId="20" xfId="0" applyFont="1" applyFill="1" applyBorder="1"/>
    <xf numFmtId="178" fontId="7" fillId="21" borderId="25" xfId="0" applyNumberFormat="1" applyFont="1" applyFill="1" applyBorder="1"/>
    <xf numFmtId="178" fontId="7" fillId="21" borderId="0" xfId="0" applyNumberFormat="1" applyFont="1" applyFill="1" applyBorder="1"/>
    <xf numFmtId="178" fontId="7" fillId="21" borderId="20" xfId="0" applyNumberFormat="1" applyFont="1" applyFill="1" applyBorder="1"/>
    <xf numFmtId="0" fontId="7" fillId="0" borderId="23" xfId="0" applyFont="1" applyBorder="1" applyAlignment="1">
      <alignment horizontal="left" indent="2"/>
    </xf>
    <xf numFmtId="0" fontId="7" fillId="0" borderId="23" xfId="0" applyFont="1" applyBorder="1"/>
    <xf numFmtId="0" fontId="7" fillId="0" borderId="24" xfId="0" applyFont="1" applyBorder="1"/>
    <xf numFmtId="178" fontId="7" fillId="0" borderId="23" xfId="0" applyNumberFormat="1" applyFont="1" applyBorder="1"/>
    <xf numFmtId="178" fontId="7" fillId="0" borderId="18" xfId="0" applyNumberFormat="1" applyFont="1" applyBorder="1"/>
    <xf numFmtId="178" fontId="7" fillId="0" borderId="24" xfId="0" applyNumberFormat="1" applyFont="1" applyBorder="1"/>
    <xf numFmtId="43" fontId="4" fillId="0" borderId="0" xfId="72" applyFont="1" applyFill="1" applyBorder="1"/>
    <xf numFmtId="186" fontId="10" fillId="0" borderId="25" xfId="72" applyNumberFormat="1" applyFont="1" applyFill="1" applyBorder="1" applyAlignment="1"/>
    <xf numFmtId="0" fontId="15" fillId="20" borderId="25" xfId="109" applyFont="1" applyFill="1" applyBorder="1" applyAlignment="1"/>
    <xf numFmtId="0" fontId="15" fillId="20" borderId="16" xfId="107" applyFont="1" applyFill="1" applyBorder="1" applyAlignment="1">
      <alignment horizontal="left"/>
    </xf>
    <xf numFmtId="0" fontId="15" fillId="20" borderId="12" xfId="107" applyFont="1" applyFill="1" applyBorder="1" applyAlignment="1">
      <alignment horizontal="left"/>
    </xf>
    <xf numFmtId="186" fontId="15" fillId="20" borderId="12" xfId="72" applyNumberFormat="1" applyFont="1" applyFill="1" applyBorder="1"/>
    <xf numFmtId="186" fontId="15" fillId="20" borderId="17" xfId="72" applyNumberFormat="1" applyFont="1" applyFill="1" applyBorder="1"/>
    <xf numFmtId="186" fontId="9" fillId="20" borderId="16" xfId="72" applyNumberFormat="1" applyFont="1" applyFill="1" applyBorder="1" applyAlignment="1"/>
    <xf numFmtId="186" fontId="15" fillId="20" borderId="16" xfId="72" applyNumberFormat="1" applyFont="1" applyFill="1" applyBorder="1"/>
    <xf numFmtId="43" fontId="15" fillId="20" borderId="18" xfId="72" applyFont="1" applyFill="1" applyBorder="1"/>
    <xf numFmtId="0" fontId="4" fillId="0" borderId="14" xfId="109" applyFont="1" applyFill="1" applyBorder="1" applyAlignment="1">
      <alignment vertical="center"/>
    </xf>
    <xf numFmtId="0" fontId="25" fillId="0" borderId="14" xfId="107" applyFont="1" applyFill="1" applyBorder="1" applyAlignment="1">
      <alignment horizontal="left"/>
    </xf>
    <xf numFmtId="0" fontId="17" fillId="18" borderId="15" xfId="106" applyFont="1" applyFill="1" applyBorder="1"/>
    <xf numFmtId="0" fontId="17" fillId="18" borderId="59" xfId="106" applyFont="1" applyFill="1" applyBorder="1"/>
    <xf numFmtId="0" fontId="17" fillId="18" borderId="60" xfId="106" applyFont="1" applyFill="1" applyBorder="1"/>
    <xf numFmtId="43" fontId="4" fillId="0" borderId="14" xfId="72" quotePrefix="1" applyFont="1" applyFill="1" applyBorder="1" applyAlignment="1">
      <alignment horizontal="center"/>
    </xf>
    <xf numFmtId="0" fontId="15" fillId="20" borderId="18" xfId="107" applyFont="1" applyFill="1" applyBorder="1"/>
    <xf numFmtId="186" fontId="4" fillId="0" borderId="14" xfId="72" quotePrefix="1" applyNumberFormat="1" applyFont="1" applyFill="1" applyBorder="1" applyAlignment="1">
      <alignment horizontal="center"/>
    </xf>
    <xf numFmtId="186" fontId="15" fillId="20" borderId="18" xfId="72" applyNumberFormat="1" applyFont="1" applyFill="1" applyBorder="1"/>
    <xf numFmtId="186" fontId="4" fillId="0" borderId="15" xfId="72" quotePrefix="1" applyNumberFormat="1" applyFont="1" applyFill="1" applyBorder="1" applyAlignment="1">
      <alignment horizontal="center"/>
    </xf>
    <xf numFmtId="186" fontId="15" fillId="20" borderId="24" xfId="72" applyNumberFormat="1" applyFont="1" applyFill="1" applyBorder="1"/>
    <xf numFmtId="0" fontId="15" fillId="20" borderId="0" xfId="0" applyFont="1" applyFill="1" applyBorder="1" applyAlignment="1">
      <alignment horizontal="left"/>
    </xf>
    <xf numFmtId="186" fontId="15" fillId="20" borderId="0" xfId="72" applyNumberFormat="1" applyFont="1" applyFill="1" applyBorder="1"/>
    <xf numFmtId="186" fontId="15" fillId="20" borderId="20" xfId="72" applyNumberFormat="1" applyFont="1" applyFill="1" applyBorder="1"/>
    <xf numFmtId="186" fontId="9" fillId="20" borderId="25" xfId="72" applyNumberFormat="1" applyFont="1" applyFill="1" applyBorder="1" applyAlignment="1"/>
    <xf numFmtId="186" fontId="15" fillId="20" borderId="25" xfId="72" applyNumberFormat="1" applyFont="1" applyFill="1" applyBorder="1"/>
    <xf numFmtId="0" fontId="9" fillId="0" borderId="25" xfId="0" applyFont="1" applyFill="1" applyBorder="1"/>
    <xf numFmtId="0" fontId="15" fillId="20" borderId="25" xfId="0" applyFont="1" applyFill="1" applyBorder="1" applyAlignment="1">
      <alignment horizontal="left" indent="1"/>
    </xf>
    <xf numFmtId="0" fontId="15" fillId="20" borderId="0" xfId="0" applyFont="1" applyFill="1" applyBorder="1"/>
    <xf numFmtId="0" fontId="15" fillId="20" borderId="25" xfId="0" applyFont="1" applyFill="1" applyBorder="1"/>
    <xf numFmtId="0" fontId="15" fillId="20" borderId="20" xfId="0" applyFont="1" applyFill="1" applyBorder="1"/>
    <xf numFmtId="165" fontId="89" fillId="20" borderId="25" xfId="0" applyNumberFormat="1" applyFont="1" applyFill="1" applyBorder="1"/>
    <xf numFmtId="165" fontId="89" fillId="20" borderId="0" xfId="0" applyNumberFormat="1" applyFont="1" applyFill="1" applyBorder="1"/>
    <xf numFmtId="165" fontId="89" fillId="20" borderId="20" xfId="0" applyNumberFormat="1" applyFont="1" applyFill="1" applyBorder="1"/>
    <xf numFmtId="7" fontId="58" fillId="0" borderId="20" xfId="106" applyNumberFormat="1" applyFont="1" applyFill="1" applyBorder="1" applyAlignment="1">
      <alignment horizontal="right"/>
    </xf>
    <xf numFmtId="212" fontId="4" fillId="0" borderId="0" xfId="108" applyFont="1" applyFill="1" applyBorder="1"/>
    <xf numFmtId="41" fontId="15" fillId="0" borderId="0" xfId="108" applyNumberFormat="1" applyFont="1" applyAlignment="1">
      <alignment horizontal="center"/>
    </xf>
    <xf numFmtId="212" fontId="15" fillId="0" borderId="0" xfId="108" applyFont="1" applyAlignment="1">
      <alignment horizontal="center"/>
    </xf>
    <xf numFmtId="200" fontId="15" fillId="0" borderId="16" xfId="108" applyNumberFormat="1" applyFont="1" applyFill="1" applyBorder="1" applyAlignment="1">
      <alignment horizontal="centerContinuous"/>
    </xf>
    <xf numFmtId="187" fontId="15" fillId="0" borderId="12" xfId="108" applyNumberFormat="1" applyFont="1" applyFill="1" applyBorder="1" applyAlignment="1">
      <alignment horizontal="centerContinuous"/>
    </xf>
    <xf numFmtId="200" fontId="15" fillId="0" borderId="15" xfId="108" applyNumberFormat="1" applyFont="1" applyFill="1" applyBorder="1" applyAlignment="1">
      <alignment horizontal="center"/>
    </xf>
    <xf numFmtId="187" fontId="15" fillId="0" borderId="11" xfId="108" applyNumberFormat="1" applyFont="1" applyFill="1" applyBorder="1" applyAlignment="1">
      <alignment horizontal="centerContinuous"/>
    </xf>
    <xf numFmtId="183" fontId="15" fillId="0" borderId="0" xfId="108" applyNumberFormat="1" applyFont="1" applyFill="1" applyBorder="1" applyAlignment="1">
      <alignment horizontal="right"/>
    </xf>
    <xf numFmtId="201" fontId="15" fillId="0" borderId="16" xfId="108" applyNumberFormat="1" applyFont="1" applyFill="1" applyBorder="1" applyAlignment="1">
      <alignment horizontal="centerContinuous"/>
    </xf>
    <xf numFmtId="201" fontId="15" fillId="0" borderId="15" xfId="108" applyNumberFormat="1" applyFont="1" applyFill="1" applyBorder="1" applyAlignment="1">
      <alignment horizontal="center"/>
    </xf>
    <xf numFmtId="212" fontId="4" fillId="0" borderId="0" xfId="108" applyFont="1" applyBorder="1"/>
    <xf numFmtId="41" fontId="15" fillId="0" borderId="0" xfId="108" applyNumberFormat="1" applyFont="1" applyFill="1" applyAlignment="1">
      <alignment horizontal="center"/>
    </xf>
    <xf numFmtId="212" fontId="15" fillId="0" borderId="0" xfId="108" applyFont="1" applyFill="1" applyAlignment="1">
      <alignment horizontal="center"/>
    </xf>
    <xf numFmtId="172" fontId="16" fillId="18" borderId="32" xfId="108" applyNumberFormat="1" applyFont="1" applyFill="1" applyBorder="1" applyAlignment="1">
      <alignment horizontal="center"/>
    </xf>
    <xf numFmtId="172" fontId="16" fillId="18" borderId="33" xfId="108" applyNumberFormat="1" applyFont="1" applyFill="1" applyBorder="1" applyAlignment="1">
      <alignment horizontal="center"/>
    </xf>
    <xf numFmtId="172" fontId="15" fillId="0" borderId="34" xfId="108" applyNumberFormat="1" applyFont="1" applyFill="1" applyBorder="1" applyAlignment="1">
      <alignment horizontal="right"/>
    </xf>
    <xf numFmtId="172" fontId="16" fillId="18" borderId="35" xfId="108" applyNumberFormat="1" applyFont="1" applyFill="1" applyBorder="1" applyAlignment="1">
      <alignment horizontal="center"/>
    </xf>
    <xf numFmtId="172" fontId="15" fillId="0" borderId="19" xfId="108" applyNumberFormat="1" applyFont="1" applyFill="1" applyBorder="1" applyAlignment="1">
      <alignment horizontal="right"/>
    </xf>
    <xf numFmtId="172" fontId="15" fillId="0" borderId="32" xfId="108" applyNumberFormat="1" applyFont="1" applyFill="1" applyBorder="1" applyAlignment="1">
      <alignment horizontal="center"/>
    </xf>
    <xf numFmtId="172" fontId="15" fillId="0" borderId="33" xfId="108" applyNumberFormat="1" applyFont="1" applyFill="1" applyBorder="1" applyAlignment="1">
      <alignment horizontal="center"/>
    </xf>
    <xf numFmtId="0" fontId="16" fillId="18" borderId="16" xfId="110" applyFont="1" applyFill="1" applyBorder="1" applyAlignment="1">
      <alignment vertical="center"/>
    </xf>
    <xf numFmtId="212" fontId="4" fillId="18" borderId="12" xfId="108" applyFont="1" applyFill="1" applyBorder="1"/>
    <xf numFmtId="212" fontId="4" fillId="18" borderId="16" xfId="108" applyFont="1" applyFill="1" applyBorder="1"/>
    <xf numFmtId="212" fontId="17" fillId="18" borderId="17" xfId="108" applyFont="1" applyFill="1" applyBorder="1"/>
    <xf numFmtId="212" fontId="4" fillId="18" borderId="11" xfId="108" applyFont="1" applyFill="1" applyBorder="1"/>
    <xf numFmtId="173" fontId="4" fillId="0" borderId="25" xfId="108" applyNumberFormat="1" applyFont="1" applyFill="1" applyBorder="1" applyAlignment="1">
      <alignment horizontal="left"/>
    </xf>
    <xf numFmtId="173" fontId="4" fillId="0" borderId="0" xfId="108" applyNumberFormat="1" applyFont="1" applyFill="1" applyBorder="1"/>
    <xf numFmtId="173" fontId="17" fillId="0" borderId="25" xfId="108" applyNumberFormat="1" applyFont="1" applyFill="1" applyBorder="1" applyAlignment="1">
      <alignment horizontal="right"/>
    </xf>
    <xf numFmtId="173" fontId="17" fillId="0" borderId="0" xfId="108" applyNumberFormat="1" applyFont="1" applyFill="1" applyBorder="1" applyAlignment="1">
      <alignment horizontal="right"/>
    </xf>
    <xf numFmtId="173" fontId="4" fillId="0" borderId="20" xfId="108" applyNumberFormat="1" applyFont="1" applyFill="1" applyBorder="1" applyAlignment="1">
      <alignment horizontal="right"/>
    </xf>
    <xf numFmtId="173" fontId="4" fillId="0" borderId="0" xfId="108" applyNumberFormat="1" applyFont="1" applyFill="1" applyBorder="1" applyAlignment="1">
      <alignment horizontal="right"/>
    </xf>
    <xf numFmtId="173" fontId="4" fillId="0" borderId="26" xfId="108" applyNumberFormat="1" applyFont="1" applyFill="1" applyBorder="1" applyAlignment="1">
      <alignment horizontal="right"/>
    </xf>
    <xf numFmtId="173" fontId="17" fillId="0" borderId="20" xfId="108" applyNumberFormat="1" applyFont="1" applyFill="1" applyBorder="1" applyAlignment="1">
      <alignment horizontal="right"/>
    </xf>
    <xf numFmtId="173" fontId="4" fillId="0" borderId="25" xfId="108" applyNumberFormat="1" applyFont="1" applyFill="1" applyBorder="1" applyAlignment="1">
      <alignment horizontal="right"/>
    </xf>
    <xf numFmtId="169" fontId="4" fillId="0" borderId="25" xfId="110" applyNumberFormat="1" applyFont="1" applyFill="1" applyBorder="1" applyAlignment="1">
      <alignment horizontal="left"/>
    </xf>
    <xf numFmtId="169" fontId="4" fillId="0" borderId="0" xfId="108" applyNumberFormat="1" applyFont="1" applyFill="1" applyBorder="1"/>
    <xf numFmtId="169" fontId="100" fillId="0" borderId="25" xfId="110" applyNumberFormat="1" applyFont="1" applyFill="1" applyBorder="1" applyAlignment="1">
      <alignment horizontal="left" indent="1"/>
    </xf>
    <xf numFmtId="169" fontId="100" fillId="0" borderId="0" xfId="108" applyNumberFormat="1" applyFont="1" applyFill="1" applyBorder="1"/>
    <xf numFmtId="173" fontId="100" fillId="0" borderId="25" xfId="108" applyNumberFormat="1" applyFont="1" applyFill="1" applyBorder="1" applyAlignment="1">
      <alignment horizontal="right"/>
    </xf>
    <xf numFmtId="173" fontId="100" fillId="0" borderId="0" xfId="108" applyNumberFormat="1" applyFont="1" applyFill="1" applyBorder="1" applyAlignment="1">
      <alignment horizontal="right"/>
    </xf>
    <xf numFmtId="173" fontId="100" fillId="0" borderId="20" xfId="108" applyNumberFormat="1" applyFont="1" applyFill="1" applyBorder="1" applyAlignment="1">
      <alignment horizontal="right"/>
    </xf>
    <xf numFmtId="173" fontId="100" fillId="0" borderId="26" xfId="108" applyNumberFormat="1" applyFont="1" applyFill="1" applyBorder="1" applyAlignment="1">
      <alignment horizontal="right"/>
    </xf>
    <xf numFmtId="169" fontId="15" fillId="0" borderId="16" xfId="108" applyNumberFormat="1" applyFont="1" applyFill="1" applyBorder="1"/>
    <xf numFmtId="169" fontId="4" fillId="0" borderId="12" xfId="108" applyNumberFormat="1" applyFont="1" applyFill="1" applyBorder="1"/>
    <xf numFmtId="173" fontId="15" fillId="0" borderId="16" xfId="108" applyNumberFormat="1" applyFont="1" applyFill="1" applyBorder="1" applyAlignment="1">
      <alignment horizontal="right"/>
    </xf>
    <xf numFmtId="173" fontId="15" fillId="0" borderId="12" xfId="108" applyNumberFormat="1" applyFont="1" applyFill="1" applyBorder="1" applyAlignment="1">
      <alignment horizontal="right"/>
    </xf>
    <xf numFmtId="173" fontId="15" fillId="0" borderId="17" xfId="108" applyNumberFormat="1" applyFont="1" applyFill="1" applyBorder="1" applyAlignment="1">
      <alignment horizontal="right"/>
    </xf>
    <xf numFmtId="173" fontId="4" fillId="0" borderId="12" xfId="108" applyNumberFormat="1" applyFont="1" applyFill="1" applyBorder="1" applyAlignment="1">
      <alignment horizontal="right"/>
    </xf>
    <xf numFmtId="173" fontId="15" fillId="0" borderId="11" xfId="108" applyNumberFormat="1" applyFont="1" applyFill="1" applyBorder="1" applyAlignment="1">
      <alignment horizontal="right"/>
    </xf>
    <xf numFmtId="173" fontId="89" fillId="0" borderId="16" xfId="108" applyNumberFormat="1" applyFont="1" applyFill="1" applyBorder="1" applyAlignment="1">
      <alignment horizontal="right"/>
    </xf>
    <xf numFmtId="173" fontId="89" fillId="0" borderId="12" xfId="108" applyNumberFormat="1" applyFont="1" applyFill="1" applyBorder="1" applyAlignment="1">
      <alignment horizontal="right"/>
    </xf>
    <xf numFmtId="173" fontId="89" fillId="0" borderId="17" xfId="108" applyNumberFormat="1" applyFont="1" applyFill="1" applyBorder="1" applyAlignment="1">
      <alignment horizontal="right"/>
    </xf>
    <xf numFmtId="184" fontId="14" fillId="0" borderId="0" xfId="108" applyNumberFormat="1" applyFont="1" applyFill="1" applyAlignment="1">
      <alignment horizontal="center"/>
    </xf>
    <xf numFmtId="212" fontId="14" fillId="0" borderId="0" xfId="108" applyFont="1" applyFill="1" applyBorder="1"/>
    <xf numFmtId="165" fontId="16" fillId="18" borderId="16" xfId="110" applyNumberFormat="1" applyFont="1" applyFill="1" applyBorder="1" applyAlignment="1">
      <alignment vertical="center"/>
    </xf>
    <xf numFmtId="165" fontId="4" fillId="18" borderId="12" xfId="108" applyNumberFormat="1" applyFont="1" applyFill="1" applyBorder="1"/>
    <xf numFmtId="165" fontId="4" fillId="18" borderId="16" xfId="108" applyNumberFormat="1" applyFont="1" applyFill="1" applyBorder="1"/>
    <xf numFmtId="165" fontId="17" fillId="18" borderId="17" xfId="108" applyNumberFormat="1" applyFont="1" applyFill="1" applyBorder="1"/>
    <xf numFmtId="165" fontId="4" fillId="18" borderId="11" xfId="108" applyNumberFormat="1" applyFont="1" applyFill="1" applyBorder="1"/>
    <xf numFmtId="165" fontId="4" fillId="0" borderId="25" xfId="108" applyNumberFormat="1" applyFont="1" applyFill="1" applyBorder="1" applyAlignment="1">
      <alignment horizontal="left"/>
    </xf>
    <xf numFmtId="165" fontId="4" fillId="0" borderId="0" xfId="108" applyNumberFormat="1" applyFont="1" applyFill="1" applyBorder="1"/>
    <xf numFmtId="165" fontId="4" fillId="0" borderId="25" xfId="108" applyNumberFormat="1" applyFont="1" applyFill="1" applyBorder="1" applyAlignment="1">
      <alignment horizontal="right"/>
    </xf>
    <xf numFmtId="165" fontId="4" fillId="0" borderId="0" xfId="108" applyNumberFormat="1" applyFont="1" applyFill="1" applyBorder="1" applyAlignment="1">
      <alignment horizontal="right"/>
    </xf>
    <xf numFmtId="165" fontId="4" fillId="0" borderId="20" xfId="108" applyNumberFormat="1" applyFont="1" applyFill="1" applyBorder="1" applyAlignment="1">
      <alignment horizontal="right"/>
    </xf>
    <xf numFmtId="165" fontId="17" fillId="0" borderId="25" xfId="108" applyNumberFormat="1" applyFont="1" applyFill="1" applyBorder="1" applyAlignment="1">
      <alignment horizontal="right"/>
    </xf>
    <xf numFmtId="165" fontId="17" fillId="0" borderId="0" xfId="108" applyNumberFormat="1" applyFont="1" applyFill="1" applyBorder="1" applyAlignment="1">
      <alignment horizontal="right"/>
    </xf>
    <xf numFmtId="165" fontId="17" fillId="0" borderId="20" xfId="108" applyNumberFormat="1" applyFont="1" applyFill="1" applyBorder="1" applyAlignment="1">
      <alignment horizontal="right"/>
    </xf>
    <xf numFmtId="165" fontId="4" fillId="0" borderId="25" xfId="110" applyNumberFormat="1" applyFont="1" applyFill="1" applyBorder="1" applyAlignment="1">
      <alignment horizontal="left"/>
    </xf>
    <xf numFmtId="165" fontId="100" fillId="0" borderId="25" xfId="110" applyNumberFormat="1" applyFont="1" applyFill="1" applyBorder="1" applyAlignment="1">
      <alignment horizontal="left" indent="1"/>
    </xf>
    <xf numFmtId="165" fontId="100" fillId="0" borderId="0" xfId="108" applyNumberFormat="1" applyFont="1" applyFill="1" applyBorder="1"/>
    <xf numFmtId="165" fontId="100" fillId="0" borderId="25" xfId="108" applyNumberFormat="1" applyFont="1" applyFill="1" applyBorder="1" applyAlignment="1">
      <alignment horizontal="right"/>
    </xf>
    <xf numFmtId="165" fontId="100" fillId="0" borderId="0" xfId="108" applyNumberFormat="1" applyFont="1" applyFill="1" applyBorder="1" applyAlignment="1">
      <alignment horizontal="right"/>
    </xf>
    <xf numFmtId="165" fontId="100" fillId="0" borderId="20" xfId="108" applyNumberFormat="1" applyFont="1" applyFill="1" applyBorder="1" applyAlignment="1">
      <alignment horizontal="right"/>
    </xf>
    <xf numFmtId="165" fontId="15" fillId="0" borderId="16" xfId="108" applyNumberFormat="1" applyFont="1" applyFill="1" applyBorder="1"/>
    <xf numFmtId="165" fontId="4" fillId="0" borderId="12" xfId="108" applyNumberFormat="1" applyFont="1" applyFill="1" applyBorder="1"/>
    <xf numFmtId="165" fontId="15" fillId="0" borderId="16" xfId="108" applyNumberFormat="1" applyFont="1" applyFill="1" applyBorder="1" applyAlignment="1">
      <alignment horizontal="right"/>
    </xf>
    <xf numFmtId="165" fontId="15" fillId="0" borderId="12" xfId="108" applyNumberFormat="1" applyFont="1" applyFill="1" applyBorder="1" applyAlignment="1">
      <alignment horizontal="right"/>
    </xf>
    <xf numFmtId="165" fontId="15" fillId="0" borderId="17" xfId="108" applyNumberFormat="1" applyFont="1" applyFill="1" applyBorder="1" applyAlignment="1">
      <alignment horizontal="right"/>
    </xf>
    <xf numFmtId="165" fontId="4" fillId="0" borderId="12" xfId="108" applyNumberFormat="1" applyFont="1" applyFill="1" applyBorder="1" applyAlignment="1">
      <alignment horizontal="right"/>
    </xf>
    <xf numFmtId="165" fontId="19" fillId="0" borderId="16" xfId="108" applyNumberFormat="1" applyFont="1" applyFill="1" applyBorder="1" applyAlignment="1">
      <alignment horizontal="right"/>
    </xf>
    <xf numFmtId="165" fontId="19" fillId="0" borderId="12" xfId="108" applyNumberFormat="1" applyFont="1" applyFill="1" applyBorder="1" applyAlignment="1">
      <alignment horizontal="right"/>
    </xf>
    <xf numFmtId="165" fontId="19" fillId="0" borderId="17" xfId="108" applyNumberFormat="1" applyFont="1" applyFill="1" applyBorder="1" applyAlignment="1">
      <alignment horizontal="right"/>
    </xf>
    <xf numFmtId="212" fontId="4" fillId="0" borderId="0" xfId="108" applyFont="1" applyFill="1"/>
    <xf numFmtId="165" fontId="17" fillId="0" borderId="15" xfId="108" applyNumberFormat="1" applyFont="1" applyFill="1" applyBorder="1" applyAlignment="1">
      <alignment horizontal="right"/>
    </xf>
    <xf numFmtId="173" fontId="4" fillId="0" borderId="15" xfId="108" applyNumberFormat="1" applyFont="1" applyFill="1" applyBorder="1" applyAlignment="1">
      <alignment horizontal="right"/>
    </xf>
    <xf numFmtId="173" fontId="4" fillId="0" borderId="24" xfId="108" applyNumberFormat="1" applyFont="1" applyFill="1" applyBorder="1" applyAlignment="1">
      <alignment horizontal="right"/>
    </xf>
    <xf numFmtId="0" fontId="4" fillId="0" borderId="23" xfId="109" applyFont="1" applyFill="1" applyBorder="1" applyAlignment="1">
      <alignment horizontal="left"/>
    </xf>
    <xf numFmtId="0" fontId="10" fillId="0" borderId="0" xfId="107" applyFont="1" applyFill="1" applyBorder="1"/>
    <xf numFmtId="165" fontId="4" fillId="0" borderId="18" xfId="108" applyNumberFormat="1" applyFont="1" applyFill="1" applyBorder="1" applyAlignment="1">
      <alignment horizontal="right"/>
    </xf>
    <xf numFmtId="165" fontId="15" fillId="0" borderId="18" xfId="108" applyNumberFormat="1" applyFont="1" applyFill="1" applyBorder="1" applyAlignment="1">
      <alignment horizontal="right"/>
    </xf>
    <xf numFmtId="165" fontId="15" fillId="0" borderId="23" xfId="108" applyNumberFormat="1" applyFont="1" applyFill="1" applyBorder="1" applyAlignment="1">
      <alignment horizontal="right"/>
    </xf>
    <xf numFmtId="165" fontId="4" fillId="0" borderId="25" xfId="116" applyNumberFormat="1" applyFont="1" applyFill="1" applyBorder="1" applyAlignment="1">
      <alignment horizontal="right"/>
    </xf>
    <xf numFmtId="165" fontId="4" fillId="0" borderId="23" xfId="116" applyNumberFormat="1" applyFont="1" applyFill="1" applyBorder="1" applyAlignment="1">
      <alignment horizontal="right"/>
    </xf>
    <xf numFmtId="165" fontId="4" fillId="0" borderId="18" xfId="116" applyNumberFormat="1" applyFont="1" applyFill="1" applyBorder="1" applyAlignment="1">
      <alignment horizontal="right"/>
    </xf>
    <xf numFmtId="165" fontId="4" fillId="0" borderId="24" xfId="116" applyNumberFormat="1" applyFont="1" applyFill="1" applyBorder="1" applyAlignment="1">
      <alignment horizontal="right"/>
    </xf>
    <xf numFmtId="165" fontId="4" fillId="0" borderId="23" xfId="116" applyNumberFormat="1" applyFont="1" applyFill="1" applyBorder="1"/>
    <xf numFmtId="0" fontId="4" fillId="0" borderId="18" xfId="109" applyFont="1" applyFill="1" applyBorder="1" applyAlignment="1">
      <alignment horizontal="left"/>
    </xf>
    <xf numFmtId="9" fontId="4" fillId="0" borderId="20" xfId="116" applyFont="1" applyFill="1" applyBorder="1" applyAlignment="1">
      <alignment horizontal="right"/>
    </xf>
    <xf numFmtId="9" fontId="4" fillId="0" borderId="25" xfId="116" applyFont="1" applyFill="1" applyBorder="1" applyAlignment="1">
      <alignment horizontal="right"/>
    </xf>
    <xf numFmtId="9" fontId="4" fillId="0" borderId="0" xfId="116" applyFont="1" applyFill="1" applyBorder="1" applyAlignment="1">
      <alignment horizontal="right"/>
    </xf>
    <xf numFmtId="211" fontId="15" fillId="0" borderId="12" xfId="108" applyNumberFormat="1" applyFont="1" applyFill="1" applyBorder="1" applyAlignment="1">
      <alignment horizontal="right"/>
    </xf>
    <xf numFmtId="173" fontId="5" fillId="0" borderId="12" xfId="108" applyNumberFormat="1" applyFont="1" applyFill="1" applyBorder="1" applyAlignment="1">
      <alignment horizontal="right"/>
    </xf>
    <xf numFmtId="165" fontId="4" fillId="0" borderId="31" xfId="108" applyNumberFormat="1" applyFont="1" applyFill="1" applyBorder="1" applyAlignment="1">
      <alignment horizontal="right"/>
    </xf>
    <xf numFmtId="165" fontId="4" fillId="0" borderId="26" xfId="108" applyNumberFormat="1" applyFont="1" applyFill="1" applyBorder="1" applyAlignment="1">
      <alignment horizontal="right"/>
    </xf>
    <xf numFmtId="165" fontId="100" fillId="0" borderId="26" xfId="108" applyNumberFormat="1" applyFont="1" applyFill="1" applyBorder="1" applyAlignment="1">
      <alignment horizontal="right"/>
    </xf>
    <xf numFmtId="165" fontId="4" fillId="0" borderId="23" xfId="108" applyNumberFormat="1" applyFont="1" applyFill="1" applyBorder="1" applyAlignment="1">
      <alignment horizontal="right"/>
    </xf>
    <xf numFmtId="165" fontId="15" fillId="0" borderId="11" xfId="108" applyNumberFormat="1" applyFont="1" applyFill="1" applyBorder="1" applyAlignment="1">
      <alignment horizontal="right"/>
    </xf>
    <xf numFmtId="173" fontId="18" fillId="0" borderId="20" xfId="108" applyNumberFormat="1" applyFont="1" applyFill="1" applyBorder="1" applyAlignment="1">
      <alignment horizontal="right"/>
    </xf>
    <xf numFmtId="173" fontId="18" fillId="0" borderId="25" xfId="108" applyNumberFormat="1" applyFont="1" applyFill="1" applyBorder="1" applyAlignment="1">
      <alignment horizontal="right"/>
    </xf>
    <xf numFmtId="173" fontId="18" fillId="0" borderId="0" xfId="108" applyNumberFormat="1" applyFont="1" applyFill="1" applyBorder="1" applyAlignment="1">
      <alignment horizontal="right"/>
    </xf>
    <xf numFmtId="7" fontId="4" fillId="0" borderId="18" xfId="103" applyNumberFormat="1" applyFont="1" applyFill="1" applyBorder="1" applyAlignment="1">
      <alignment horizontal="right"/>
    </xf>
    <xf numFmtId="165" fontId="17" fillId="17" borderId="25" xfId="107" applyNumberFormat="1" applyFont="1" applyFill="1" applyBorder="1"/>
    <xf numFmtId="0" fontId="101" fillId="0" borderId="0" xfId="106" applyFont="1" applyFill="1" applyBorder="1"/>
    <xf numFmtId="0" fontId="4" fillId="0" borderId="25" xfId="0" applyFont="1" applyBorder="1" applyAlignment="1">
      <alignment horizontal="left" indent="2"/>
    </xf>
    <xf numFmtId="0" fontId="4" fillId="22" borderId="0" xfId="0" applyFont="1" applyFill="1"/>
    <xf numFmtId="9" fontId="4" fillId="22" borderId="0" xfId="0" applyNumberFormat="1" applyFont="1" applyFill="1"/>
    <xf numFmtId="0" fontId="15" fillId="23" borderId="0" xfId="0" applyFont="1" applyFill="1" applyBorder="1"/>
    <xf numFmtId="172" fontId="16" fillId="23" borderId="0" xfId="0" applyNumberFormat="1" applyFont="1" applyFill="1" applyBorder="1" applyAlignment="1" applyProtection="1">
      <alignment horizontal="center"/>
    </xf>
    <xf numFmtId="204" fontId="4" fillId="0" borderId="0" xfId="0" applyNumberFormat="1" applyFont="1" applyFill="1" applyBorder="1" applyAlignment="1">
      <alignment horizontal="center"/>
    </xf>
    <xf numFmtId="165" fontId="15" fillId="0" borderId="0" xfId="0" applyNumberFormat="1" applyFont="1" applyFill="1" applyBorder="1" applyAlignment="1">
      <alignment horizontal="left"/>
    </xf>
    <xf numFmtId="204" fontId="15" fillId="0" borderId="0" xfId="0" applyNumberFormat="1" applyFont="1" applyFill="1" applyBorder="1" applyAlignment="1">
      <alignment horizontal="center"/>
    </xf>
    <xf numFmtId="165" fontId="4" fillId="0" borderId="0" xfId="0" applyNumberFormat="1" applyFont="1" applyFill="1" applyBorder="1" applyAlignment="1">
      <alignment horizontal="left" indent="1"/>
    </xf>
    <xf numFmtId="0" fontId="87" fillId="0" borderId="24" xfId="109" applyFont="1" applyFill="1" applyBorder="1" applyAlignment="1">
      <alignment horizontal="left"/>
    </xf>
    <xf numFmtId="198" fontId="42" fillId="0" borderId="0" xfId="72" applyNumberFormat="1" applyFont="1" applyFill="1" applyBorder="1" applyAlignment="1">
      <alignment horizontal="left" indent="1"/>
    </xf>
    <xf numFmtId="0" fontId="16" fillId="18" borderId="14" xfId="109" applyFont="1" applyFill="1" applyBorder="1" applyAlignment="1">
      <alignment vertical="center"/>
    </xf>
    <xf numFmtId="169" fontId="15" fillId="0" borderId="26" xfId="109" applyNumberFormat="1" applyFont="1" applyFill="1" applyBorder="1" applyAlignment="1">
      <alignment horizontal="left"/>
    </xf>
    <xf numFmtId="0" fontId="13" fillId="0" borderId="18" xfId="109" applyFont="1" applyFill="1" applyBorder="1" applyAlignment="1">
      <alignment horizontal="left" indent="1"/>
    </xf>
    <xf numFmtId="0" fontId="53" fillId="0" borderId="0" xfId="109" applyFont="1" applyFill="1" applyBorder="1" applyAlignment="1">
      <alignment horizontal="left" indent="1"/>
    </xf>
    <xf numFmtId="0" fontId="16" fillId="18" borderId="31" xfId="109" applyFont="1" applyFill="1" applyBorder="1"/>
    <xf numFmtId="41" fontId="22" fillId="18" borderId="15" xfId="106" applyNumberFormat="1" applyFont="1" applyFill="1" applyBorder="1" applyAlignment="1">
      <alignment vertical="center"/>
    </xf>
    <xf numFmtId="41" fontId="4" fillId="0" borderId="20" xfId="106" applyNumberFormat="1" applyFont="1" applyFill="1" applyBorder="1" applyAlignment="1">
      <alignment horizontal="left" indent="1"/>
    </xf>
    <xf numFmtId="9" fontId="4" fillId="0" borderId="20" xfId="116" applyFont="1" applyFill="1" applyBorder="1" applyAlignment="1">
      <alignment horizontal="left"/>
    </xf>
    <xf numFmtId="41" fontId="23" fillId="0" borderId="20" xfId="106" applyNumberFormat="1" applyFont="1" applyFill="1" applyBorder="1"/>
    <xf numFmtId="41" fontId="15" fillId="20" borderId="20" xfId="106" applyNumberFormat="1" applyFont="1" applyFill="1" applyBorder="1"/>
    <xf numFmtId="0" fontId="4" fillId="0" borderId="61" xfId="109" applyFont="1" applyFill="1" applyBorder="1"/>
    <xf numFmtId="0" fontId="4" fillId="0" borderId="20" xfId="109" applyFont="1" applyFill="1" applyBorder="1"/>
    <xf numFmtId="186" fontId="4" fillId="0" borderId="20" xfId="72" applyNumberFormat="1" applyFont="1" applyFill="1" applyBorder="1" applyAlignment="1">
      <alignment horizontal="left" indent="1"/>
    </xf>
    <xf numFmtId="7" fontId="13" fillId="0" borderId="20" xfId="109" applyNumberFormat="1" applyFont="1" applyFill="1" applyBorder="1" applyAlignment="1">
      <alignment horizontal="left" indent="1"/>
    </xf>
    <xf numFmtId="173" fontId="4" fillId="0" borderId="20" xfId="104" applyNumberFormat="1" applyFont="1" applyFill="1" applyBorder="1"/>
    <xf numFmtId="0" fontId="13" fillId="0" borderId="20" xfId="109" applyFont="1" applyFill="1" applyBorder="1"/>
    <xf numFmtId="165" fontId="0" fillId="0" borderId="0" xfId="116" applyNumberFormat="1" applyFont="1"/>
    <xf numFmtId="204" fontId="4" fillId="24" borderId="0" xfId="0" applyNumberFormat="1" applyFont="1" applyFill="1" applyBorder="1" applyAlignment="1">
      <alignment horizontal="left" indent="1"/>
    </xf>
    <xf numFmtId="204" fontId="4" fillId="24" borderId="0" xfId="0" applyNumberFormat="1" applyFont="1" applyFill="1" applyBorder="1" applyAlignment="1">
      <alignment horizontal="center"/>
    </xf>
    <xf numFmtId="204" fontId="15" fillId="24" borderId="0" xfId="0" applyNumberFormat="1" applyFont="1" applyFill="1" applyBorder="1" applyAlignment="1">
      <alignment horizontal="left"/>
    </xf>
    <xf numFmtId="204" fontId="15" fillId="24" borderId="0" xfId="0" applyNumberFormat="1" applyFont="1" applyFill="1" applyBorder="1" applyAlignment="1">
      <alignment horizontal="center"/>
    </xf>
    <xf numFmtId="0" fontId="0" fillId="25" borderId="0" xfId="0" applyFill="1"/>
    <xf numFmtId="0" fontId="15" fillId="25" borderId="0" xfId="0" applyFont="1" applyFill="1" applyBorder="1"/>
    <xf numFmtId="43" fontId="7" fillId="0" borderId="0" xfId="72" applyFont="1" applyFill="1" applyBorder="1"/>
    <xf numFmtId="168" fontId="4" fillId="0" borderId="0" xfId="106" applyNumberFormat="1" applyFont="1" applyFill="1" applyBorder="1"/>
    <xf numFmtId="191" fontId="0" fillId="0" borderId="0" xfId="0" applyNumberFormat="1" applyBorder="1"/>
    <xf numFmtId="186" fontId="17" fillId="0" borderId="24" xfId="72" applyNumberFormat="1" applyFont="1" applyFill="1" applyBorder="1"/>
    <xf numFmtId="167" fontId="17" fillId="0" borderId="24" xfId="72" applyNumberFormat="1" applyFont="1" applyFill="1" applyBorder="1"/>
    <xf numFmtId="187" fontId="18" fillId="0" borderId="20" xfId="103" applyNumberFormat="1" applyFont="1" applyFill="1" applyBorder="1" applyAlignment="1">
      <alignment horizontal="right"/>
    </xf>
    <xf numFmtId="165" fontId="4" fillId="0" borderId="13" xfId="108" applyNumberFormat="1" applyFont="1" applyFill="1" applyBorder="1" applyAlignment="1">
      <alignment horizontal="right"/>
    </xf>
    <xf numFmtId="173" fontId="4" fillId="0" borderId="0" xfId="0" applyNumberFormat="1" applyFont="1" applyFill="1" applyBorder="1" applyAlignment="1" applyProtection="1">
      <alignment horizontal="left"/>
    </xf>
    <xf numFmtId="14" fontId="4" fillId="0" borderId="0" xfId="0" applyNumberFormat="1" applyFont="1" applyFill="1" applyBorder="1" applyAlignment="1" applyProtection="1">
      <alignment horizontal="right"/>
    </xf>
    <xf numFmtId="10" fontId="17" fillId="0" borderId="0" xfId="116" applyNumberFormat="1" applyFont="1" applyFill="1" applyBorder="1" applyAlignment="1" applyProtection="1">
      <alignment horizontal="right"/>
    </xf>
    <xf numFmtId="9" fontId="14" fillId="0" borderId="0" xfId="72" applyNumberFormat="1" applyFont="1" applyFill="1" applyBorder="1"/>
    <xf numFmtId="9" fontId="14" fillId="0" borderId="0" xfId="106" applyNumberFormat="1" applyFont="1" applyFill="1" applyBorder="1"/>
    <xf numFmtId="214" fontId="7" fillId="0" borderId="0" xfId="0" applyNumberFormat="1" applyFont="1" applyFill="1" applyBorder="1" applyAlignment="1">
      <alignment vertical="center"/>
    </xf>
    <xf numFmtId="215" fontId="4" fillId="0" borderId="0" xfId="75" applyNumberFormat="1" applyFont="1" applyFill="1" applyBorder="1"/>
    <xf numFmtId="173" fontId="17" fillId="0" borderId="26" xfId="106" applyNumberFormat="1" applyFont="1" applyFill="1" applyBorder="1"/>
    <xf numFmtId="165" fontId="0" fillId="0" borderId="0" xfId="0" applyNumberFormat="1"/>
    <xf numFmtId="165" fontId="0" fillId="0" borderId="0" xfId="0" applyNumberFormat="1" applyFill="1"/>
    <xf numFmtId="10" fontId="4" fillId="0" borderId="0" xfId="72" applyNumberFormat="1" applyFont="1" applyFill="1" applyBorder="1"/>
    <xf numFmtId="169" fontId="4" fillId="0" borderId="18" xfId="106" applyNumberFormat="1" applyFont="1" applyFill="1" applyBorder="1"/>
    <xf numFmtId="9" fontId="4" fillId="0" borderId="34" xfId="116" applyFont="1" applyFill="1" applyBorder="1"/>
    <xf numFmtId="9" fontId="96" fillId="0" borderId="20" xfId="116" applyFont="1" applyFill="1" applyBorder="1"/>
    <xf numFmtId="0" fontId="13" fillId="0" borderId="0" xfId="100" applyFont="1" applyFill="1" applyBorder="1" applyAlignment="1">
      <alignment horizontal="left"/>
    </xf>
    <xf numFmtId="5" fontId="4" fillId="0" borderId="0" xfId="100" applyNumberFormat="1" applyFont="1" applyFill="1" applyBorder="1" applyAlignment="1">
      <alignment horizontal="left"/>
    </xf>
    <xf numFmtId="182" fontId="4" fillId="0" borderId="0" xfId="100" applyNumberFormat="1" applyFont="1" applyFill="1" applyBorder="1" applyAlignment="1">
      <alignment horizontal="left"/>
    </xf>
    <xf numFmtId="173" fontId="107" fillId="0" borderId="0" xfId="111" applyNumberFormat="1" applyFont="1" applyFill="1" applyAlignment="1"/>
    <xf numFmtId="165" fontId="4" fillId="0" borderId="0" xfId="103" applyNumberFormat="1" applyFont="1" applyFill="1"/>
    <xf numFmtId="9" fontId="4" fillId="0" borderId="0" xfId="108" applyNumberFormat="1" applyFont="1" applyFill="1"/>
    <xf numFmtId="0" fontId="35" fillId="0" borderId="15" xfId="111" applyFont="1" applyFill="1" applyBorder="1" applyAlignment="1" applyProtection="1">
      <alignment horizontal="left"/>
    </xf>
    <xf numFmtId="0" fontId="15" fillId="0" borderId="34" xfId="111" applyFont="1" applyFill="1" applyBorder="1"/>
    <xf numFmtId="0" fontId="15" fillId="0" borderId="20" xfId="111" applyFont="1" applyFill="1" applyBorder="1" applyAlignment="1" applyProtection="1">
      <alignment horizontal="left"/>
    </xf>
    <xf numFmtId="169" fontId="4" fillId="0" borderId="20" xfId="111" applyNumberFormat="1" applyFont="1" applyFill="1" applyBorder="1" applyAlignment="1" applyProtection="1">
      <alignment horizontal="left"/>
    </xf>
    <xf numFmtId="173" fontId="7" fillId="0" borderId="20" xfId="0" applyNumberFormat="1" applyFont="1" applyFill="1" applyBorder="1" applyAlignment="1" applyProtection="1">
      <alignment horizontal="left" indent="1"/>
    </xf>
    <xf numFmtId="173" fontId="4" fillId="0" borderId="20" xfId="111" applyNumberFormat="1" applyFont="1" applyFill="1" applyBorder="1" applyAlignment="1" applyProtection="1">
      <alignment horizontal="left"/>
    </xf>
    <xf numFmtId="173" fontId="15" fillId="0" borderId="24" xfId="111" applyNumberFormat="1" applyFont="1" applyFill="1" applyBorder="1" applyAlignment="1" applyProtection="1">
      <alignment horizontal="left"/>
    </xf>
    <xf numFmtId="173" fontId="15" fillId="0" borderId="20" xfId="111" applyNumberFormat="1" applyFont="1" applyFill="1" applyBorder="1" applyAlignment="1" applyProtection="1">
      <alignment horizontal="left"/>
    </xf>
    <xf numFmtId="173" fontId="4" fillId="0" borderId="15" xfId="111" applyNumberFormat="1" applyFont="1" applyFill="1" applyBorder="1" applyAlignment="1" applyProtection="1">
      <alignment horizontal="left"/>
    </xf>
    <xf numFmtId="169" fontId="15" fillId="20" borderId="17" xfId="111" applyNumberFormat="1" applyFont="1" applyFill="1" applyBorder="1" applyAlignment="1" applyProtection="1">
      <alignment horizontal="left"/>
    </xf>
    <xf numFmtId="169" fontId="4" fillId="0" borderId="25" xfId="111" applyNumberFormat="1" applyFont="1" applyFill="1" applyBorder="1" applyAlignment="1"/>
    <xf numFmtId="173" fontId="4" fillId="0" borderId="25" xfId="111" applyNumberFormat="1" applyFont="1" applyFill="1" applyBorder="1" applyAlignment="1"/>
    <xf numFmtId="173" fontId="4" fillId="0" borderId="25" xfId="111" applyNumberFormat="1" applyFont="1" applyFill="1" applyBorder="1" applyAlignment="1" applyProtection="1"/>
    <xf numFmtId="173" fontId="15" fillId="0" borderId="23" xfId="111" applyNumberFormat="1" applyFont="1" applyFill="1" applyBorder="1" applyAlignment="1" applyProtection="1"/>
    <xf numFmtId="0" fontId="4" fillId="0" borderId="54" xfId="111" applyFont="1" applyFill="1" applyBorder="1" applyAlignment="1">
      <alignment horizontal="center"/>
    </xf>
    <xf numFmtId="169" fontId="15" fillId="20" borderId="62" xfId="111" applyNumberFormat="1" applyFont="1" applyFill="1" applyBorder="1" applyAlignment="1" applyProtection="1"/>
    <xf numFmtId="173" fontId="17" fillId="0" borderId="25" xfId="111" applyNumberFormat="1" applyFont="1" applyFill="1" applyBorder="1" applyAlignment="1"/>
    <xf numFmtId="173" fontId="17" fillId="0" borderId="25" xfId="111" applyNumberFormat="1" applyFont="1" applyFill="1" applyBorder="1" applyAlignment="1" applyProtection="1"/>
    <xf numFmtId="173" fontId="17" fillId="0" borderId="25" xfId="74" applyNumberFormat="1" applyFont="1" applyFill="1" applyBorder="1" applyAlignment="1" applyProtection="1"/>
    <xf numFmtId="173" fontId="4" fillId="0" borderId="20" xfId="0" applyNumberFormat="1" applyFont="1" applyFill="1" applyBorder="1"/>
    <xf numFmtId="165" fontId="4" fillId="0" borderId="18" xfId="0" applyNumberFormat="1" applyFont="1" applyFill="1" applyBorder="1"/>
    <xf numFmtId="168" fontId="4" fillId="0" borderId="36" xfId="106" applyNumberFormat="1" applyFont="1" applyFill="1" applyBorder="1"/>
    <xf numFmtId="10" fontId="13" fillId="0" borderId="0" xfId="73" applyNumberFormat="1" applyFont="1" applyFill="1" applyBorder="1" applyAlignment="1">
      <alignment horizontal="right"/>
    </xf>
    <xf numFmtId="0" fontId="13" fillId="0" borderId="13" xfId="109" applyFont="1" applyFill="1" applyBorder="1"/>
    <xf numFmtId="0" fontId="13" fillId="0" borderId="23" xfId="109" applyFont="1" applyFill="1" applyBorder="1"/>
    <xf numFmtId="169" fontId="15" fillId="20" borderId="25" xfId="106" applyNumberFormat="1" applyFont="1" applyFill="1" applyBorder="1" applyAlignment="1">
      <alignment horizontal="right"/>
    </xf>
    <xf numFmtId="169" fontId="15" fillId="20" borderId="0" xfId="106" applyNumberFormat="1" applyFont="1" applyFill="1" applyBorder="1" applyAlignment="1">
      <alignment horizontal="right"/>
    </xf>
    <xf numFmtId="169" fontId="15" fillId="20" borderId="26" xfId="106" applyNumberFormat="1" applyFont="1" applyFill="1" applyBorder="1" applyAlignment="1">
      <alignment horizontal="right"/>
    </xf>
    <xf numFmtId="165" fontId="4" fillId="0" borderId="26" xfId="116" applyNumberFormat="1" applyFont="1" applyFill="1" applyBorder="1" applyAlignment="1">
      <alignment horizontal="right"/>
    </xf>
    <xf numFmtId="169" fontId="15" fillId="0" borderId="0" xfId="106" applyNumberFormat="1" applyFont="1" applyFill="1" applyAlignment="1">
      <alignment horizontal="right"/>
    </xf>
    <xf numFmtId="169" fontId="15" fillId="0" borderId="13" xfId="106" applyNumberFormat="1" applyFont="1" applyFill="1" applyBorder="1" applyAlignment="1">
      <alignment horizontal="right"/>
    </xf>
    <xf numFmtId="169" fontId="15" fillId="0" borderId="14" xfId="106" applyNumberFormat="1" applyFont="1" applyFill="1" applyBorder="1" applyAlignment="1">
      <alignment horizontal="right"/>
    </xf>
    <xf numFmtId="173" fontId="4" fillId="0" borderId="20" xfId="106" applyNumberFormat="1" applyFont="1" applyFill="1" applyBorder="1" applyAlignment="1">
      <alignment horizontal="right"/>
    </xf>
    <xf numFmtId="173" fontId="7" fillId="0" borderId="0" xfId="106" applyNumberFormat="1" applyFont="1" applyFill="1" applyAlignment="1">
      <alignment horizontal="right"/>
    </xf>
    <xf numFmtId="173" fontId="30" fillId="0" borderId="25" xfId="72" applyNumberFormat="1" applyFont="1" applyFill="1" applyBorder="1" applyAlignment="1">
      <alignment horizontal="right"/>
    </xf>
    <xf numFmtId="173" fontId="30" fillId="0" borderId="0" xfId="72" applyNumberFormat="1" applyFont="1" applyFill="1" applyBorder="1" applyAlignment="1">
      <alignment horizontal="right"/>
    </xf>
    <xf numFmtId="173" fontId="7" fillId="0" borderId="0" xfId="72" applyNumberFormat="1" applyFont="1" applyFill="1" applyBorder="1" applyAlignment="1">
      <alignment horizontal="right"/>
    </xf>
    <xf numFmtId="173" fontId="7" fillId="0" borderId="25" xfId="72" applyNumberFormat="1" applyFont="1" applyFill="1" applyBorder="1" applyAlignment="1">
      <alignment horizontal="right"/>
    </xf>
    <xf numFmtId="169" fontId="15" fillId="0" borderId="25" xfId="106" applyNumberFormat="1" applyFont="1" applyFill="1" applyBorder="1" applyAlignment="1">
      <alignment horizontal="right"/>
    </xf>
    <xf numFmtId="169" fontId="27" fillId="0" borderId="0" xfId="106" applyNumberFormat="1" applyFont="1" applyFill="1" applyBorder="1" applyAlignment="1">
      <alignment horizontal="right"/>
    </xf>
    <xf numFmtId="169" fontId="15" fillId="0" borderId="0" xfId="106" applyNumberFormat="1" applyFont="1" applyFill="1" applyBorder="1" applyAlignment="1">
      <alignment horizontal="right"/>
    </xf>
    <xf numFmtId="173" fontId="4" fillId="0" borderId="34" xfId="106" applyNumberFormat="1" applyFont="1" applyFill="1" applyBorder="1" applyAlignment="1">
      <alignment horizontal="right"/>
    </xf>
    <xf numFmtId="173" fontId="7" fillId="0" borderId="19" xfId="106" applyNumberFormat="1" applyFont="1" applyFill="1" applyBorder="1" applyAlignment="1">
      <alignment horizontal="right"/>
    </xf>
    <xf numFmtId="173" fontId="30" fillId="0" borderId="57" xfId="72" applyNumberFormat="1" applyFont="1" applyFill="1" applyBorder="1" applyAlignment="1">
      <alignment horizontal="right"/>
    </xf>
    <xf numFmtId="173" fontId="30" fillId="0" borderId="19" xfId="72" applyNumberFormat="1" applyFont="1" applyFill="1" applyBorder="1" applyAlignment="1">
      <alignment horizontal="right"/>
    </xf>
    <xf numFmtId="169" fontId="15" fillId="20" borderId="63" xfId="106" applyNumberFormat="1" applyFont="1" applyFill="1" applyBorder="1" applyAlignment="1">
      <alignment horizontal="right"/>
    </xf>
    <xf numFmtId="169" fontId="7" fillId="20" borderId="0" xfId="106" applyNumberFormat="1" applyFont="1" applyFill="1" applyBorder="1" applyAlignment="1">
      <alignment horizontal="right"/>
    </xf>
    <xf numFmtId="169" fontId="15" fillId="20" borderId="20" xfId="106" applyNumberFormat="1" applyFont="1" applyFill="1" applyBorder="1" applyAlignment="1">
      <alignment horizontal="right"/>
    </xf>
    <xf numFmtId="9" fontId="108" fillId="0" borderId="25" xfId="107" applyNumberFormat="1" applyFont="1" applyFill="1" applyBorder="1"/>
    <xf numFmtId="9" fontId="108" fillId="0" borderId="0" xfId="107" applyNumberFormat="1" applyFont="1" applyFill="1" applyBorder="1" applyAlignment="1">
      <alignment horizontal="right"/>
    </xf>
    <xf numFmtId="7" fontId="14" fillId="0" borderId="0" xfId="106" applyNumberFormat="1" applyFont="1" applyFill="1" applyBorder="1"/>
    <xf numFmtId="9" fontId="4" fillId="0" borderId="0" xfId="103" applyNumberFormat="1" applyFont="1" applyFill="1"/>
    <xf numFmtId="187" fontId="108" fillId="0" borderId="0" xfId="103" applyNumberFormat="1" applyFont="1" applyFill="1"/>
    <xf numFmtId="178" fontId="7" fillId="0" borderId="15" xfId="101" applyNumberFormat="1" applyFont="1" applyFill="1" applyBorder="1"/>
    <xf numFmtId="178" fontId="4" fillId="0" borderId="24" xfId="101" applyNumberFormat="1" applyFont="1" applyFill="1" applyBorder="1"/>
    <xf numFmtId="0" fontId="15" fillId="0" borderId="24" xfId="109" applyFont="1" applyFill="1" applyBorder="1" applyAlignment="1">
      <alignment horizontal="left"/>
    </xf>
    <xf numFmtId="9" fontId="15" fillId="0" borderId="18" xfId="116" applyFont="1" applyFill="1" applyBorder="1"/>
    <xf numFmtId="9" fontId="15" fillId="0" borderId="28" xfId="116" applyFont="1" applyFill="1" applyBorder="1"/>
    <xf numFmtId="9" fontId="15" fillId="0" borderId="24" xfId="116" applyFont="1" applyFill="1" applyBorder="1"/>
    <xf numFmtId="9" fontId="15" fillId="0" borderId="23" xfId="116" applyFont="1" applyFill="1" applyBorder="1"/>
    <xf numFmtId="0" fontId="15" fillId="0" borderId="18" xfId="106" applyFont="1" applyFill="1" applyBorder="1"/>
    <xf numFmtId="9" fontId="4" fillId="0" borderId="23" xfId="116" applyFont="1" applyFill="1" applyBorder="1"/>
    <xf numFmtId="0" fontId="4" fillId="0" borderId="18" xfId="107" applyFont="1" applyFill="1" applyBorder="1" applyAlignment="1">
      <alignment horizontal="left"/>
    </xf>
    <xf numFmtId="9" fontId="4" fillId="0" borderId="18" xfId="107" applyNumberFormat="1" applyFont="1" applyFill="1" applyBorder="1"/>
    <xf numFmtId="9" fontId="4" fillId="0" borderId="24" xfId="107" applyNumberFormat="1" applyFont="1" applyFill="1" applyBorder="1"/>
    <xf numFmtId="9" fontId="4" fillId="0" borderId="23" xfId="107" applyNumberFormat="1" applyFont="1" applyFill="1" applyBorder="1"/>
    <xf numFmtId="9" fontId="4" fillId="0" borderId="28" xfId="107" applyNumberFormat="1" applyFont="1" applyFill="1" applyBorder="1"/>
    <xf numFmtId="0" fontId="4" fillId="0" borderId="25" xfId="109" applyFont="1" applyFill="1" applyBorder="1" applyAlignment="1">
      <alignment horizontal="left" indent="2"/>
    </xf>
    <xf numFmtId="0" fontId="4" fillId="0" borderId="23" xfId="109" applyFont="1" applyFill="1" applyBorder="1" applyAlignment="1">
      <alignment horizontal="left" indent="2"/>
    </xf>
    <xf numFmtId="0" fontId="15" fillId="0" borderId="13" xfId="109" applyFont="1" applyFill="1" applyBorder="1" applyAlignment="1">
      <alignment vertical="center"/>
    </xf>
    <xf numFmtId="0" fontId="4" fillId="0" borderId="25" xfId="109" applyFont="1" applyFill="1" applyBorder="1" applyAlignment="1">
      <alignment horizontal="left" vertical="center" indent="2"/>
    </xf>
    <xf numFmtId="0" fontId="15" fillId="0" borderId="25" xfId="109" applyFont="1" applyFill="1" applyBorder="1" applyAlignment="1">
      <alignment vertical="center"/>
    </xf>
    <xf numFmtId="0" fontId="4" fillId="0" borderId="25" xfId="109" applyFont="1" applyFill="1" applyBorder="1" applyAlignment="1">
      <alignment horizontal="left" vertical="center" indent="1"/>
    </xf>
    <xf numFmtId="0" fontId="15" fillId="20" borderId="23" xfId="109" applyFont="1" applyFill="1" applyBorder="1" applyAlignment="1">
      <alignment vertical="center"/>
    </xf>
    <xf numFmtId="0" fontId="16" fillId="18" borderId="13" xfId="107" applyFont="1" applyFill="1" applyBorder="1" applyAlignment="1">
      <alignment horizontal="left"/>
    </xf>
    <xf numFmtId="0" fontId="4" fillId="22" borderId="0" xfId="0" applyFont="1" applyFill="1" applyBorder="1"/>
    <xf numFmtId="0" fontId="16" fillId="18" borderId="23" xfId="107" applyFont="1" applyFill="1" applyBorder="1" applyAlignment="1">
      <alignment horizontal="left"/>
    </xf>
    <xf numFmtId="0" fontId="4" fillId="22" borderId="25" xfId="0" applyFont="1" applyFill="1" applyBorder="1"/>
    <xf numFmtId="0" fontId="4" fillId="0" borderId="23" xfId="109" applyFont="1" applyFill="1" applyBorder="1" applyAlignment="1">
      <alignment vertical="center"/>
    </xf>
    <xf numFmtId="0" fontId="4" fillId="0" borderId="25" xfId="109" applyFont="1" applyFill="1" applyBorder="1" applyAlignment="1">
      <alignment horizontal="left" indent="1"/>
    </xf>
    <xf numFmtId="0" fontId="14" fillId="0" borderId="25" xfId="109" applyFont="1" applyFill="1" applyBorder="1" applyAlignment="1">
      <alignment horizontal="left"/>
    </xf>
    <xf numFmtId="9" fontId="109" fillId="0" borderId="0" xfId="116" applyFont="1" applyFill="1" applyBorder="1"/>
    <xf numFmtId="9" fontId="4" fillId="0" borderId="18" xfId="116" applyFont="1" applyFill="1" applyBorder="1" applyAlignment="1">
      <alignment horizontal="right"/>
    </xf>
    <xf numFmtId="0" fontId="110" fillId="28" borderId="13" xfId="104" applyFont="1" applyFill="1" applyBorder="1"/>
    <xf numFmtId="179" fontId="111" fillId="28" borderId="14" xfId="106" applyNumberFormat="1" applyFont="1" applyFill="1" applyBorder="1"/>
    <xf numFmtId="170" fontId="111" fillId="28" borderId="14" xfId="73" applyNumberFormat="1" applyFont="1" applyFill="1" applyBorder="1" applyAlignment="1">
      <alignment horizontal="right"/>
    </xf>
    <xf numFmtId="176" fontId="111" fillId="28" borderId="14" xfId="73" applyNumberFormat="1" applyFont="1" applyFill="1" applyBorder="1" applyAlignment="1">
      <alignment horizontal="right"/>
    </xf>
    <xf numFmtId="9" fontId="111" fillId="28" borderId="15" xfId="106" applyNumberFormat="1" applyFont="1" applyFill="1" applyBorder="1"/>
    <xf numFmtId="41" fontId="111" fillId="28" borderId="14" xfId="106" applyNumberFormat="1" applyFont="1" applyFill="1" applyBorder="1"/>
    <xf numFmtId="7" fontId="111" fillId="28" borderId="14" xfId="73" applyNumberFormat="1" applyFont="1" applyFill="1" applyBorder="1" applyAlignment="1">
      <alignment horizontal="right"/>
    </xf>
    <xf numFmtId="171" fontId="111" fillId="28" borderId="14" xfId="73" applyNumberFormat="1" applyFont="1" applyFill="1" applyBorder="1" applyAlignment="1">
      <alignment horizontal="right"/>
    </xf>
    <xf numFmtId="170" fontId="111" fillId="28" borderId="13" xfId="106" applyNumberFormat="1" applyFont="1" applyFill="1" applyBorder="1"/>
    <xf numFmtId="9" fontId="111" fillId="28" borderId="14" xfId="73" applyNumberFormat="1" applyFont="1" applyFill="1" applyBorder="1" applyAlignment="1">
      <alignment horizontal="right"/>
    </xf>
    <xf numFmtId="170" fontId="111" fillId="28" borderId="31" xfId="106" applyNumberFormat="1" applyFont="1" applyFill="1" applyBorder="1"/>
    <xf numFmtId="176" fontId="111" fillId="28" borderId="15" xfId="106" applyNumberFormat="1" applyFont="1" applyFill="1" applyBorder="1"/>
    <xf numFmtId="170" fontId="111" fillId="28" borderId="14" xfId="106" applyNumberFormat="1" applyFont="1" applyFill="1" applyBorder="1"/>
    <xf numFmtId="167" fontId="4" fillId="27" borderId="15" xfId="72" applyNumberFormat="1" applyFont="1" applyFill="1" applyBorder="1" applyAlignment="1" applyProtection="1">
      <alignment horizontal="right"/>
    </xf>
    <xf numFmtId="167" fontId="4" fillId="27" borderId="14" xfId="111" applyNumberFormat="1" applyFont="1" applyFill="1" applyBorder="1" applyAlignment="1" applyProtection="1">
      <alignment horizontal="right"/>
    </xf>
    <xf numFmtId="167" fontId="4" fillId="27" borderId="15" xfId="111" applyNumberFormat="1" applyFont="1" applyFill="1" applyBorder="1" applyAlignment="1" applyProtection="1">
      <alignment horizontal="right"/>
    </xf>
    <xf numFmtId="167" fontId="4" fillId="27" borderId="20" xfId="111" applyNumberFormat="1" applyFont="1" applyFill="1" applyBorder="1" applyAlignment="1" applyProtection="1">
      <alignment horizontal="right"/>
    </xf>
    <xf numFmtId="167" fontId="4" fillId="27" borderId="0" xfId="111" applyNumberFormat="1" applyFont="1" applyFill="1" applyBorder="1" applyAlignment="1" applyProtection="1">
      <alignment horizontal="right"/>
    </xf>
    <xf numFmtId="167" fontId="4" fillId="27" borderId="18" xfId="111" applyNumberFormat="1" applyFont="1" applyFill="1" applyBorder="1" applyAlignment="1" applyProtection="1">
      <alignment horizontal="right"/>
    </xf>
    <xf numFmtId="178" fontId="7" fillId="27" borderId="15" xfId="101" applyNumberFormat="1" applyFont="1" applyFill="1" applyBorder="1"/>
    <xf numFmtId="178" fontId="7" fillId="27" borderId="0" xfId="101" applyNumberFormat="1" applyFont="1" applyFill="1" applyBorder="1"/>
    <xf numFmtId="167" fontId="4" fillId="27" borderId="0" xfId="72" applyNumberFormat="1" applyFont="1" applyFill="1" applyBorder="1" applyAlignment="1" applyProtection="1">
      <alignment horizontal="right"/>
    </xf>
    <xf numFmtId="178" fontId="4" fillId="27" borderId="20" xfId="101" applyNumberFormat="1" applyFont="1" applyFill="1" applyBorder="1"/>
    <xf numFmtId="178" fontId="4" fillId="27" borderId="0" xfId="101" applyNumberFormat="1" applyFont="1" applyFill="1" applyBorder="1"/>
    <xf numFmtId="173" fontId="4" fillId="27" borderId="0" xfId="111" applyNumberFormat="1" applyFont="1" applyFill="1" applyBorder="1" applyAlignment="1" applyProtection="1">
      <alignment horizontal="right"/>
    </xf>
    <xf numFmtId="178" fontId="4" fillId="27" borderId="24" xfId="101" applyNumberFormat="1" applyFont="1" applyFill="1" applyBorder="1"/>
    <xf numFmtId="43" fontId="4" fillId="27" borderId="24" xfId="111" applyNumberFormat="1" applyFont="1" applyFill="1" applyBorder="1" applyAlignment="1" applyProtection="1">
      <alignment horizontal="right"/>
    </xf>
    <xf numFmtId="43" fontId="4" fillId="27" borderId="18" xfId="111" applyNumberFormat="1" applyFont="1" applyFill="1" applyBorder="1" applyAlignment="1" applyProtection="1">
      <alignment horizontal="right"/>
    </xf>
    <xf numFmtId="5" fontId="17" fillId="0" borderId="0" xfId="74" applyNumberFormat="1" applyFont="1" applyFill="1" applyAlignment="1" applyProtection="1"/>
    <xf numFmtId="182" fontId="18" fillId="0" borderId="0" xfId="111" applyNumberFormat="1" applyFont="1" applyFill="1" applyBorder="1" applyAlignment="1" applyProtection="1">
      <alignment horizontal="right"/>
    </xf>
    <xf numFmtId="182" fontId="18" fillId="0" borderId="20" xfId="111" applyNumberFormat="1" applyFont="1" applyFill="1" applyBorder="1" applyAlignment="1" applyProtection="1">
      <alignment horizontal="right"/>
    </xf>
    <xf numFmtId="165" fontId="4" fillId="0" borderId="26" xfId="116" applyNumberFormat="1" applyFont="1" applyFill="1" applyBorder="1"/>
    <xf numFmtId="165" fontId="4" fillId="0" borderId="26" xfId="107" applyNumberFormat="1" applyFont="1" applyFill="1" applyBorder="1"/>
    <xf numFmtId="212" fontId="0" fillId="0" borderId="0" xfId="116" applyNumberFormat="1" applyFont="1"/>
    <xf numFmtId="173" fontId="17" fillId="0" borderId="0" xfId="0" applyNumberFormat="1" applyFont="1" applyFill="1" applyBorder="1" applyAlignment="1">
      <alignment horizontal="right"/>
    </xf>
    <xf numFmtId="0" fontId="4" fillId="0" borderId="25" xfId="111" applyFont="1" applyFill="1" applyBorder="1" applyAlignment="1">
      <alignment horizontal="center"/>
    </xf>
    <xf numFmtId="9" fontId="13" fillId="0" borderId="24" xfId="73" applyNumberFormat="1" applyFont="1" applyFill="1" applyBorder="1" applyAlignment="1">
      <alignment horizontal="right"/>
    </xf>
    <xf numFmtId="9" fontId="4" fillId="0" borderId="0" xfId="111" applyNumberFormat="1" applyFont="1" applyFill="1" applyAlignment="1" applyProtection="1">
      <alignment horizontal="right"/>
    </xf>
    <xf numFmtId="43" fontId="7" fillId="0" borderId="0" xfId="72" applyFont="1" applyFill="1"/>
    <xf numFmtId="0" fontId="4" fillId="29" borderId="25" xfId="109" applyFont="1" applyFill="1" applyBorder="1" applyAlignment="1">
      <alignment horizontal="left" vertical="center" indent="1"/>
    </xf>
    <xf numFmtId="0" fontId="0" fillId="29" borderId="0" xfId="0" applyFill="1" applyBorder="1"/>
    <xf numFmtId="165" fontId="17" fillId="29" borderId="0" xfId="107" applyNumberFormat="1" applyFont="1" applyFill="1" applyBorder="1"/>
    <xf numFmtId="165" fontId="4" fillId="29" borderId="20" xfId="107" applyNumberFormat="1" applyFont="1" applyFill="1" applyBorder="1"/>
    <xf numFmtId="9" fontId="4" fillId="29" borderId="0" xfId="107" applyNumberFormat="1" applyFont="1" applyFill="1" applyBorder="1"/>
    <xf numFmtId="165" fontId="4" fillId="29" borderId="25" xfId="107" applyNumberFormat="1" applyFont="1" applyFill="1" applyBorder="1"/>
    <xf numFmtId="165" fontId="4" fillId="29" borderId="0" xfId="107" applyNumberFormat="1" applyFont="1" applyFill="1" applyBorder="1"/>
    <xf numFmtId="165" fontId="17" fillId="29" borderId="25" xfId="107" applyNumberFormat="1" applyFont="1" applyFill="1" applyBorder="1"/>
    <xf numFmtId="9" fontId="15" fillId="29" borderId="0" xfId="107" applyNumberFormat="1" applyFont="1" applyFill="1" applyBorder="1"/>
    <xf numFmtId="9" fontId="15" fillId="29" borderId="25" xfId="107" applyNumberFormat="1" applyFont="1" applyFill="1" applyBorder="1"/>
    <xf numFmtId="165" fontId="17" fillId="29" borderId="26" xfId="107" applyNumberFormat="1" applyFont="1" applyFill="1" applyBorder="1"/>
    <xf numFmtId="165" fontId="4" fillId="17" borderId="25" xfId="107" applyNumberFormat="1" applyFont="1" applyFill="1" applyBorder="1"/>
    <xf numFmtId="10" fontId="4" fillId="0" borderId="0" xfId="0" applyNumberFormat="1" applyFont="1" applyBorder="1"/>
    <xf numFmtId="10" fontId="4" fillId="0" borderId="0" xfId="116" applyNumberFormat="1" applyFont="1"/>
    <xf numFmtId="10" fontId="4" fillId="0" borderId="0" xfId="0" applyNumberFormat="1" applyFont="1"/>
    <xf numFmtId="165" fontId="4" fillId="0" borderId="0" xfId="116" applyNumberFormat="1" applyFont="1"/>
    <xf numFmtId="212" fontId="4" fillId="0" borderId="0" xfId="116" applyNumberFormat="1" applyFont="1"/>
    <xf numFmtId="0" fontId="9" fillId="0" borderId="0" xfId="0" applyFont="1" applyFill="1" applyAlignment="1">
      <alignment horizontal="center"/>
    </xf>
    <xf numFmtId="0" fontId="4" fillId="27" borderId="0" xfId="0" applyFont="1" applyFill="1"/>
    <xf numFmtId="165" fontId="4" fillId="27" borderId="0" xfId="116" applyNumberFormat="1" applyFont="1" applyFill="1"/>
    <xf numFmtId="178" fontId="0" fillId="0" borderId="0" xfId="0" applyNumberFormat="1" applyFont="1" applyFill="1" applyBorder="1"/>
    <xf numFmtId="187" fontId="18" fillId="0" borderId="0" xfId="103" applyNumberFormat="1" applyFont="1" applyFill="1" applyBorder="1" applyAlignment="1">
      <alignment horizontal="right"/>
    </xf>
    <xf numFmtId="187" fontId="113" fillId="0" borderId="0" xfId="103" applyNumberFormat="1" applyFont="1" applyFill="1"/>
    <xf numFmtId="189" fontId="113" fillId="0" borderId="0" xfId="103" applyNumberFormat="1" applyFont="1" applyFill="1"/>
    <xf numFmtId="8" fontId="4" fillId="0" borderId="18" xfId="103" applyNumberFormat="1" applyFont="1" applyFill="1" applyBorder="1" applyAlignment="1"/>
    <xf numFmtId="173" fontId="17" fillId="0" borderId="0" xfId="72" applyNumberFormat="1" applyFont="1" applyFill="1" applyBorder="1" applyAlignment="1">
      <alignment horizontal="right"/>
    </xf>
    <xf numFmtId="173" fontId="17" fillId="0" borderId="19" xfId="72" applyNumberFormat="1" applyFont="1" applyFill="1" applyBorder="1" applyAlignment="1">
      <alignment horizontal="right"/>
    </xf>
    <xf numFmtId="10" fontId="0" fillId="0" borderId="0" xfId="116" applyNumberFormat="1" applyFont="1" applyFill="1"/>
    <xf numFmtId="211" fontId="7" fillId="0" borderId="0" xfId="106" applyNumberFormat="1" applyFont="1" applyFill="1" applyBorder="1"/>
    <xf numFmtId="211" fontId="18" fillId="0" borderId="0" xfId="106" applyNumberFormat="1" applyFont="1" applyFill="1" applyBorder="1"/>
    <xf numFmtId="170" fontId="107" fillId="0" borderId="0" xfId="73" applyNumberFormat="1" applyFont="1" applyFill="1" applyBorder="1" applyAlignment="1">
      <alignment horizontal="right"/>
    </xf>
    <xf numFmtId="173" fontId="107" fillId="0" borderId="25" xfId="72" applyNumberFormat="1" applyFont="1" applyFill="1" applyBorder="1" applyAlignment="1">
      <alignment horizontal="right"/>
    </xf>
    <xf numFmtId="211" fontId="107" fillId="0" borderId="0" xfId="106" applyNumberFormat="1" applyFont="1" applyFill="1" applyBorder="1"/>
    <xf numFmtId="175" fontId="7" fillId="0" borderId="0" xfId="106" applyNumberFormat="1" applyFont="1" applyFill="1" applyBorder="1"/>
    <xf numFmtId="211" fontId="7" fillId="0" borderId="0" xfId="0" applyNumberFormat="1" applyFont="1" applyFill="1"/>
    <xf numFmtId="173" fontId="107" fillId="0" borderId="57" xfId="72" applyNumberFormat="1" applyFont="1" applyFill="1" applyBorder="1" applyAlignment="1">
      <alignment horizontal="right"/>
    </xf>
    <xf numFmtId="9" fontId="114" fillId="0" borderId="25" xfId="106" applyNumberFormat="1" applyFont="1" applyFill="1" applyBorder="1"/>
    <xf numFmtId="9" fontId="114" fillId="0" borderId="25" xfId="116" applyFont="1" applyFill="1" applyBorder="1"/>
    <xf numFmtId="187" fontId="116" fillId="0" borderId="12" xfId="0" applyNumberFormat="1" applyFont="1" applyFill="1" applyBorder="1" applyAlignment="1">
      <alignment horizontal="centerContinuous"/>
    </xf>
    <xf numFmtId="165" fontId="114" fillId="0" borderId="23" xfId="116" applyNumberFormat="1" applyFont="1" applyFill="1" applyBorder="1"/>
    <xf numFmtId="9" fontId="107" fillId="0" borderId="0" xfId="116" applyFont="1" applyFill="1" applyBorder="1"/>
    <xf numFmtId="9" fontId="4" fillId="0" borderId="0" xfId="116" applyFont="1" applyFill="1" applyAlignment="1" applyProtection="1">
      <alignment horizontal="right"/>
    </xf>
    <xf numFmtId="173" fontId="17" fillId="0" borderId="25" xfId="0" applyNumberFormat="1" applyFont="1" applyFill="1" applyBorder="1" applyAlignment="1">
      <alignment horizontal="right"/>
    </xf>
    <xf numFmtId="173" fontId="17" fillId="0" borderId="64" xfId="0" applyNumberFormat="1" applyFont="1" applyFill="1" applyBorder="1" applyAlignment="1">
      <alignment horizontal="right"/>
    </xf>
    <xf numFmtId="173" fontId="17" fillId="0" borderId="42" xfId="0" applyNumberFormat="1" applyFont="1" applyFill="1" applyBorder="1" applyAlignment="1">
      <alignment horizontal="right"/>
    </xf>
    <xf numFmtId="187" fontId="107" fillId="0" borderId="0" xfId="103" applyNumberFormat="1" applyFont="1" applyFill="1" applyBorder="1"/>
    <xf numFmtId="169" fontId="107" fillId="0" borderId="0" xfId="103" applyNumberFormat="1" applyFont="1" applyFill="1" applyBorder="1"/>
    <xf numFmtId="169" fontId="107" fillId="0" borderId="20" xfId="103" applyNumberFormat="1" applyFont="1" applyFill="1" applyBorder="1"/>
    <xf numFmtId="165" fontId="107" fillId="0" borderId="0" xfId="107" applyNumberFormat="1" applyFont="1" applyFill="1" applyBorder="1"/>
    <xf numFmtId="176" fontId="4" fillId="0" borderId="0" xfId="106" applyNumberFormat="1" applyFont="1" applyFill="1" applyBorder="1"/>
    <xf numFmtId="9" fontId="0" fillId="0" borderId="0" xfId="116" applyFont="1" applyFill="1" applyBorder="1"/>
    <xf numFmtId="9" fontId="114" fillId="0" borderId="0" xfId="106" applyNumberFormat="1" applyFont="1" applyFill="1" applyBorder="1"/>
    <xf numFmtId="173" fontId="107" fillId="0" borderId="0" xfId="72" applyNumberFormat="1" applyFont="1" applyFill="1" applyBorder="1" applyAlignment="1">
      <alignment horizontal="right"/>
    </xf>
    <xf numFmtId="165" fontId="114" fillId="0" borderId="18" xfId="116" applyNumberFormat="1" applyFont="1" applyFill="1" applyBorder="1"/>
    <xf numFmtId="9" fontId="7" fillId="0" borderId="18" xfId="116" applyFont="1" applyFill="1" applyBorder="1"/>
    <xf numFmtId="0" fontId="4" fillId="0" borderId="19" xfId="106" applyFont="1" applyFill="1" applyBorder="1" applyAlignment="1">
      <alignment horizontal="center"/>
    </xf>
    <xf numFmtId="172" fontId="25" fillId="18" borderId="32" xfId="0" applyNumberFormat="1" applyFont="1" applyFill="1" applyBorder="1" applyAlignment="1">
      <alignment horizontal="center"/>
    </xf>
    <xf numFmtId="172" fontId="25" fillId="18" borderId="33" xfId="0" applyNumberFormat="1" applyFont="1" applyFill="1" applyBorder="1" applyAlignment="1">
      <alignment horizontal="center"/>
    </xf>
    <xf numFmtId="172" fontId="4" fillId="0" borderId="34" xfId="0" applyNumberFormat="1" applyFont="1" applyFill="1" applyBorder="1" applyAlignment="1">
      <alignment horizontal="right"/>
    </xf>
    <xf numFmtId="172" fontId="4" fillId="0" borderId="19" xfId="106" applyNumberFormat="1" applyFont="1" applyFill="1" applyBorder="1" applyAlignment="1">
      <alignment horizontal="center"/>
    </xf>
    <xf numFmtId="172" fontId="4" fillId="0" borderId="20" xfId="0" applyNumberFormat="1" applyFont="1" applyFill="1" applyBorder="1" applyAlignment="1">
      <alignment horizontal="right"/>
    </xf>
    <xf numFmtId="172" fontId="4" fillId="0" borderId="19" xfId="0" applyNumberFormat="1" applyFont="1" applyFill="1" applyBorder="1" applyAlignment="1">
      <alignment horizontal="right"/>
    </xf>
    <xf numFmtId="172" fontId="4" fillId="0" borderId="33" xfId="0" applyNumberFormat="1" applyFont="1" applyFill="1" applyBorder="1" applyAlignment="1">
      <alignment horizontal="center"/>
    </xf>
    <xf numFmtId="172" fontId="4" fillId="0" borderId="35" xfId="0" applyNumberFormat="1" applyFont="1" applyFill="1" applyBorder="1" applyAlignment="1">
      <alignment horizontal="center"/>
    </xf>
    <xf numFmtId="172" fontId="4" fillId="0" borderId="32" xfId="0" applyNumberFormat="1" applyFont="1" applyFill="1" applyBorder="1" applyAlignment="1">
      <alignment horizontal="center"/>
    </xf>
    <xf numFmtId="7" fontId="7" fillId="0" borderId="18" xfId="106" applyNumberFormat="1" applyFont="1" applyFill="1" applyBorder="1"/>
    <xf numFmtId="186" fontId="0" fillId="0" borderId="0" xfId="72" applyNumberFormat="1" applyFont="1" applyFill="1"/>
    <xf numFmtId="174" fontId="0" fillId="0" borderId="0" xfId="75" applyNumberFormat="1" applyFont="1" applyFill="1"/>
    <xf numFmtId="43" fontId="7" fillId="0" borderId="0" xfId="0" applyNumberFormat="1" applyFont="1" applyFill="1" applyBorder="1" applyAlignment="1">
      <alignment vertical="center"/>
    </xf>
    <xf numFmtId="173" fontId="107" fillId="0" borderId="0" xfId="73" applyNumberFormat="1" applyFont="1" applyFill="1" applyBorder="1" applyAlignment="1">
      <alignment horizontal="right"/>
    </xf>
    <xf numFmtId="165" fontId="30" fillId="0" borderId="42" xfId="116" applyNumberFormat="1" applyFont="1" applyFill="1" applyBorder="1" applyAlignment="1">
      <alignment horizontal="right"/>
    </xf>
    <xf numFmtId="1" fontId="4" fillId="0" borderId="0" xfId="106" applyNumberFormat="1" applyFont="1" applyFill="1" applyBorder="1"/>
    <xf numFmtId="0" fontId="24" fillId="0" borderId="20" xfId="106" applyFont="1" applyFill="1" applyBorder="1"/>
    <xf numFmtId="0" fontId="24" fillId="0" borderId="0" xfId="106" applyFont="1" applyFill="1" applyBorder="1"/>
    <xf numFmtId="3" fontId="4" fillId="0" borderId="0" xfId="106" applyNumberFormat="1" applyFont="1" applyFill="1" applyBorder="1"/>
    <xf numFmtId="5" fontId="4" fillId="0" borderId="0" xfId="106" applyNumberFormat="1" applyFont="1" applyFill="1" applyBorder="1"/>
    <xf numFmtId="37" fontId="4" fillId="0" borderId="0" xfId="106" applyNumberFormat="1" applyFont="1" applyFill="1" applyBorder="1"/>
    <xf numFmtId="1" fontId="4" fillId="0" borderId="20" xfId="106" applyNumberFormat="1" applyFont="1" applyFill="1" applyBorder="1"/>
    <xf numFmtId="1" fontId="24" fillId="0" borderId="20" xfId="106" applyNumberFormat="1" applyFont="1" applyFill="1" applyBorder="1"/>
    <xf numFmtId="3" fontId="4" fillId="0" borderId="20" xfId="106" applyNumberFormat="1" applyFont="1" applyFill="1" applyBorder="1"/>
    <xf numFmtId="41" fontId="21" fillId="0" borderId="25" xfId="106" applyNumberFormat="1" applyFont="1" applyFill="1" applyBorder="1"/>
    <xf numFmtId="41" fontId="21" fillId="0" borderId="0" xfId="106" applyNumberFormat="1" applyFont="1" applyFill="1" applyBorder="1"/>
    <xf numFmtId="41" fontId="15" fillId="0" borderId="18" xfId="106" applyNumberFormat="1" applyFont="1" applyFill="1" applyBorder="1"/>
    <xf numFmtId="0" fontId="10" fillId="0" borderId="18" xfId="0" applyFont="1" applyFill="1" applyBorder="1"/>
    <xf numFmtId="178" fontId="19" fillId="0" borderId="18" xfId="106" applyNumberFormat="1" applyFont="1" applyFill="1" applyBorder="1"/>
    <xf numFmtId="178" fontId="19" fillId="0" borderId="24" xfId="106" applyNumberFormat="1" applyFont="1" applyFill="1" applyBorder="1"/>
    <xf numFmtId="0" fontId="24" fillId="0" borderId="18" xfId="106" applyFont="1" applyFill="1" applyBorder="1"/>
    <xf numFmtId="178" fontId="15" fillId="0" borderId="18" xfId="106" applyNumberFormat="1" applyFont="1" applyFill="1" applyBorder="1"/>
    <xf numFmtId="178" fontId="15" fillId="0" borderId="24" xfId="106" applyNumberFormat="1" applyFont="1" applyFill="1" applyBorder="1"/>
    <xf numFmtId="0" fontId="56" fillId="0" borderId="0" xfId="0" applyFont="1" applyFill="1"/>
    <xf numFmtId="1" fontId="15" fillId="0" borderId="0" xfId="106" applyNumberFormat="1" applyFont="1" applyFill="1" applyBorder="1"/>
    <xf numFmtId="1" fontId="15" fillId="0" borderId="20" xfId="106" applyNumberFormat="1" applyFont="1" applyFill="1" applyBorder="1"/>
    <xf numFmtId="0" fontId="15" fillId="0" borderId="0" xfId="106" applyFont="1" applyFill="1" applyBorder="1"/>
    <xf numFmtId="178" fontId="15" fillId="0" borderId="20" xfId="106" applyNumberFormat="1" applyFont="1" applyFill="1" applyBorder="1"/>
    <xf numFmtId="178" fontId="15" fillId="0" borderId="0" xfId="106" applyNumberFormat="1" applyFont="1" applyFill="1" applyBorder="1"/>
    <xf numFmtId="3" fontId="15" fillId="0" borderId="0" xfId="106" applyNumberFormat="1" applyFont="1" applyFill="1" applyBorder="1"/>
    <xf numFmtId="1" fontId="15" fillId="0" borderId="15" xfId="106" applyNumberFormat="1" applyFont="1" applyFill="1" applyBorder="1"/>
    <xf numFmtId="41" fontId="4" fillId="0" borderId="0" xfId="106" applyNumberFormat="1" applyFont="1" applyFill="1" applyBorder="1" applyAlignment="1">
      <alignment horizontal="left" indent="1"/>
    </xf>
    <xf numFmtId="0" fontId="15" fillId="0" borderId="20" xfId="106" applyFont="1" applyFill="1" applyBorder="1"/>
    <xf numFmtId="3" fontId="19" fillId="0" borderId="0" xfId="106" applyNumberFormat="1" applyFont="1" applyFill="1" applyBorder="1"/>
    <xf numFmtId="3" fontId="17" fillId="0" borderId="0" xfId="106" applyNumberFormat="1" applyFont="1" applyFill="1" applyBorder="1"/>
    <xf numFmtId="1" fontId="17" fillId="0" borderId="0" xfId="106" applyNumberFormat="1" applyFont="1" applyFill="1" applyBorder="1"/>
    <xf numFmtId="1" fontId="17" fillId="0" borderId="20" xfId="106" applyNumberFormat="1" applyFont="1" applyFill="1" applyBorder="1"/>
    <xf numFmtId="164" fontId="20" fillId="0" borderId="20" xfId="106" applyNumberFormat="1" applyFont="1" applyFill="1" applyBorder="1"/>
    <xf numFmtId="164" fontId="20" fillId="0" borderId="0" xfId="106" applyNumberFormat="1" applyFont="1" applyFill="1" applyBorder="1"/>
    <xf numFmtId="41" fontId="13" fillId="0" borderId="25" xfId="106" applyNumberFormat="1" applyFont="1" applyFill="1" applyBorder="1"/>
    <xf numFmtId="41" fontId="13" fillId="0" borderId="0" xfId="106" applyNumberFormat="1" applyFont="1" applyFill="1" applyBorder="1"/>
    <xf numFmtId="164" fontId="13" fillId="0" borderId="20" xfId="106" applyNumberFormat="1" applyFont="1" applyFill="1" applyBorder="1"/>
    <xf numFmtId="164" fontId="13" fillId="0" borderId="0" xfId="106" applyNumberFormat="1" applyFont="1" applyFill="1" applyBorder="1"/>
    <xf numFmtId="10" fontId="21" fillId="0" borderId="0" xfId="106" applyNumberFormat="1" applyFont="1" applyFill="1" applyBorder="1"/>
    <xf numFmtId="10" fontId="13" fillId="0" borderId="20" xfId="106" applyNumberFormat="1" applyFont="1" applyFill="1" applyBorder="1"/>
    <xf numFmtId="2" fontId="4" fillId="0" borderId="0" xfId="106" applyNumberFormat="1" applyFont="1" applyFill="1" applyBorder="1"/>
    <xf numFmtId="2" fontId="4" fillId="0" borderId="20" xfId="106" applyNumberFormat="1" applyFont="1" applyFill="1" applyBorder="1"/>
    <xf numFmtId="2" fontId="17" fillId="0" borderId="0" xfId="106" applyNumberFormat="1" applyFont="1" applyFill="1" applyBorder="1"/>
    <xf numFmtId="1" fontId="15" fillId="0" borderId="18" xfId="106" applyNumberFormat="1" applyFont="1" applyFill="1" applyBorder="1"/>
    <xf numFmtId="1" fontId="15" fillId="0" borderId="24" xfId="106" applyNumberFormat="1" applyFont="1" applyFill="1" applyBorder="1"/>
    <xf numFmtId="1" fontId="4" fillId="0" borderId="18" xfId="106" applyNumberFormat="1" applyFont="1" applyFill="1" applyBorder="1"/>
    <xf numFmtId="1" fontId="4" fillId="0" borderId="0" xfId="106" applyNumberFormat="1" applyFont="1" applyFill="1"/>
    <xf numFmtId="2" fontId="15" fillId="0" borderId="0" xfId="106" applyNumberFormat="1" applyFont="1" applyFill="1" applyBorder="1"/>
    <xf numFmtId="0" fontId="4" fillId="0" borderId="0" xfId="106" applyFont="1" applyFill="1"/>
    <xf numFmtId="0" fontId="24" fillId="0" borderId="0" xfId="106" applyFont="1" applyFill="1"/>
    <xf numFmtId="165" fontId="17" fillId="0" borderId="25" xfId="116" applyNumberFormat="1" applyFont="1" applyFill="1" applyBorder="1" applyAlignment="1">
      <alignment horizontal="right"/>
    </xf>
    <xf numFmtId="0" fontId="118" fillId="0" borderId="0" xfId="106" applyFont="1" applyFill="1"/>
    <xf numFmtId="9" fontId="118" fillId="0" borderId="0" xfId="116" applyFont="1" applyFill="1" applyBorder="1"/>
    <xf numFmtId="9" fontId="118" fillId="0" borderId="26" xfId="116" applyFont="1" applyFill="1" applyBorder="1"/>
    <xf numFmtId="0" fontId="118" fillId="0" borderId="18" xfId="106" applyFont="1" applyFill="1" applyBorder="1"/>
    <xf numFmtId="9" fontId="118" fillId="0" borderId="18" xfId="116" applyFont="1" applyFill="1" applyBorder="1"/>
    <xf numFmtId="9" fontId="118" fillId="0" borderId="28" xfId="116" applyFont="1" applyFill="1" applyBorder="1"/>
    <xf numFmtId="9" fontId="118" fillId="0" borderId="18" xfId="116" applyFont="1" applyFill="1" applyBorder="1" applyAlignment="1">
      <alignment horizontal="right"/>
    </xf>
    <xf numFmtId="165" fontId="119" fillId="0" borderId="18" xfId="116" applyNumberFormat="1" applyFont="1" applyFill="1" applyBorder="1"/>
    <xf numFmtId="165" fontId="119" fillId="0" borderId="23" xfId="116" applyNumberFormat="1" applyFont="1" applyFill="1" applyBorder="1"/>
    <xf numFmtId="9" fontId="119" fillId="0" borderId="0" xfId="106" applyNumberFormat="1" applyFont="1" applyFill="1" applyBorder="1"/>
    <xf numFmtId="9" fontId="119" fillId="0" borderId="25" xfId="106" applyNumberFormat="1" applyFont="1" applyFill="1" applyBorder="1"/>
    <xf numFmtId="9" fontId="119" fillId="0" borderId="28" xfId="106" applyNumberFormat="1" applyFont="1" applyFill="1" applyBorder="1"/>
    <xf numFmtId="9" fontId="119" fillId="0" borderId="23" xfId="106" applyNumberFormat="1" applyFont="1" applyFill="1" applyBorder="1"/>
    <xf numFmtId="9" fontId="119" fillId="0" borderId="18" xfId="106" applyNumberFormat="1" applyFont="1" applyFill="1" applyBorder="1"/>
    <xf numFmtId="9" fontId="119" fillId="0" borderId="0" xfId="116" applyFont="1" applyFill="1" applyBorder="1"/>
    <xf numFmtId="9" fontId="119" fillId="0" borderId="25" xfId="116" applyFont="1" applyFill="1" applyBorder="1"/>
    <xf numFmtId="173" fontId="120" fillId="0" borderId="0" xfId="111" applyNumberFormat="1" applyFont="1" applyFill="1" applyBorder="1" applyAlignment="1" applyProtection="1">
      <alignment horizontal="right"/>
    </xf>
    <xf numFmtId="165" fontId="120" fillId="0" borderId="0" xfId="116" applyNumberFormat="1" applyFont="1" applyFill="1" applyBorder="1" applyAlignment="1" applyProtection="1">
      <alignment horizontal="right"/>
    </xf>
    <xf numFmtId="165" fontId="120" fillId="0" borderId="18" xfId="116" applyNumberFormat="1" applyFont="1" applyFill="1" applyBorder="1" applyAlignment="1" applyProtection="1">
      <alignment horizontal="right"/>
    </xf>
    <xf numFmtId="173" fontId="7" fillId="0" borderId="0" xfId="0" applyNumberFormat="1" applyFont="1" applyFill="1" applyBorder="1" applyAlignment="1">
      <alignment vertical="center"/>
    </xf>
    <xf numFmtId="41" fontId="18" fillId="0" borderId="0" xfId="111" applyNumberFormat="1" applyFont="1" applyFill="1" applyBorder="1" applyAlignment="1" applyProtection="1">
      <alignment horizontal="right"/>
    </xf>
    <xf numFmtId="173" fontId="121" fillId="0" borderId="0" xfId="73" applyNumberFormat="1" applyFont="1" applyFill="1" applyBorder="1" applyAlignment="1">
      <alignment horizontal="right"/>
    </xf>
    <xf numFmtId="201" fontId="27" fillId="0" borderId="0" xfId="0" applyNumberFormat="1" applyFont="1" applyFill="1" applyBorder="1" applyAlignment="1">
      <alignment horizontal="center"/>
    </xf>
    <xf numFmtId="169" fontId="15" fillId="0" borderId="0" xfId="103" applyNumberFormat="1" applyFont="1" applyFill="1" applyBorder="1"/>
    <xf numFmtId="173" fontId="4" fillId="0" borderId="0" xfId="103" applyNumberFormat="1" applyFont="1" applyFill="1" applyBorder="1"/>
    <xf numFmtId="173" fontId="15" fillId="0" borderId="0" xfId="47" applyNumberFormat="1" applyFont="1" applyFill="1" applyBorder="1" applyAlignment="1" applyProtection="1">
      <alignment horizontal="right"/>
    </xf>
    <xf numFmtId="173" fontId="4" fillId="0" borderId="0" xfId="103" applyNumberFormat="1" applyFont="1" applyFill="1" applyBorder="1" applyAlignment="1">
      <alignment horizontal="right"/>
    </xf>
    <xf numFmtId="173" fontId="15" fillId="0" borderId="0" xfId="103" applyNumberFormat="1" applyFont="1" applyFill="1" applyBorder="1" applyAlignment="1" applyProtection="1">
      <alignment horizontal="right"/>
    </xf>
    <xf numFmtId="173" fontId="4" fillId="20" borderId="0" xfId="103" applyNumberFormat="1" applyFont="1" applyFill="1" applyBorder="1"/>
    <xf numFmtId="169" fontId="15" fillId="20" borderId="0" xfId="103" applyNumberFormat="1" applyFont="1" applyFill="1" applyBorder="1" applyAlignment="1" applyProtection="1">
      <alignment horizontal="right" vertical="center"/>
    </xf>
    <xf numFmtId="169" fontId="18" fillId="0" borderId="0" xfId="103" applyNumberFormat="1" applyFont="1" applyFill="1" applyBorder="1"/>
    <xf numFmtId="189" fontId="4" fillId="0" borderId="0" xfId="103" applyNumberFormat="1" applyFont="1" applyFill="1" applyBorder="1"/>
    <xf numFmtId="188" fontId="4" fillId="19" borderId="0" xfId="103" applyNumberFormat="1" applyFont="1" applyFill="1" applyBorder="1" applyAlignment="1">
      <alignment horizontal="center"/>
    </xf>
    <xf numFmtId="10" fontId="0" fillId="0" borderId="0" xfId="0" applyNumberFormat="1" applyFill="1"/>
    <xf numFmtId="10" fontId="4" fillId="25" borderId="0" xfId="116" applyNumberFormat="1" applyFont="1" applyFill="1"/>
    <xf numFmtId="10" fontId="4" fillId="25" borderId="0" xfId="0" applyNumberFormat="1" applyFont="1" applyFill="1"/>
    <xf numFmtId="212" fontId="4" fillId="25" borderId="0" xfId="116" applyNumberFormat="1" applyFont="1" applyFill="1"/>
    <xf numFmtId="212" fontId="118" fillId="25" borderId="0" xfId="116" applyNumberFormat="1" applyFont="1" applyFill="1"/>
    <xf numFmtId="170" fontId="4" fillId="25" borderId="0" xfId="116" applyNumberFormat="1" applyFont="1" applyFill="1"/>
    <xf numFmtId="10" fontId="13" fillId="25" borderId="0" xfId="116" applyNumberFormat="1" applyFont="1" applyFill="1"/>
    <xf numFmtId="10" fontId="13" fillId="25" borderId="0" xfId="0" applyNumberFormat="1" applyFont="1" applyFill="1"/>
    <xf numFmtId="165" fontId="13" fillId="25" borderId="0" xfId="116" applyNumberFormat="1" applyFont="1" applyFill="1"/>
    <xf numFmtId="170" fontId="4" fillId="25" borderId="0" xfId="0" applyNumberFormat="1" applyFont="1" applyFill="1" applyAlignment="1">
      <alignment horizontal="center"/>
    </xf>
    <xf numFmtId="0" fontId="4" fillId="25" borderId="18" xfId="0" applyFont="1" applyFill="1" applyBorder="1"/>
    <xf numFmtId="10" fontId="4" fillId="25" borderId="18" xfId="0" applyNumberFormat="1" applyFont="1" applyFill="1" applyBorder="1"/>
    <xf numFmtId="10" fontId="4" fillId="25" borderId="18" xfId="116" applyNumberFormat="1" applyFont="1" applyFill="1" applyBorder="1"/>
    <xf numFmtId="165" fontId="4" fillId="25" borderId="18" xfId="116" applyNumberFormat="1" applyFont="1" applyFill="1" applyBorder="1"/>
    <xf numFmtId="10" fontId="4" fillId="25" borderId="17" xfId="0" applyNumberFormat="1" applyFont="1" applyFill="1" applyBorder="1"/>
    <xf numFmtId="10" fontId="4" fillId="25" borderId="24" xfId="0" applyNumberFormat="1" applyFont="1" applyFill="1" applyBorder="1"/>
    <xf numFmtId="10" fontId="4" fillId="25" borderId="24" xfId="116" applyNumberFormat="1" applyFont="1" applyFill="1" applyBorder="1"/>
    <xf numFmtId="0" fontId="4" fillId="25" borderId="31" xfId="0" applyFont="1" applyFill="1" applyBorder="1"/>
    <xf numFmtId="0" fontId="4" fillId="25" borderId="26" xfId="0" applyFont="1" applyFill="1" applyBorder="1"/>
    <xf numFmtId="0" fontId="4" fillId="25" borderId="28" xfId="0" applyFont="1" applyFill="1" applyBorder="1"/>
    <xf numFmtId="0" fontId="4" fillId="25" borderId="12" xfId="0" applyFont="1" applyFill="1" applyBorder="1"/>
    <xf numFmtId="10" fontId="4" fillId="25" borderId="15" xfId="0" applyNumberFormat="1" applyFont="1" applyFill="1" applyBorder="1"/>
    <xf numFmtId="10" fontId="4" fillId="25" borderId="20" xfId="0" applyNumberFormat="1" applyFont="1" applyFill="1" applyBorder="1"/>
    <xf numFmtId="10" fontId="13" fillId="25" borderId="20" xfId="0" applyNumberFormat="1" applyFont="1" applyFill="1" applyBorder="1"/>
    <xf numFmtId="10" fontId="4" fillId="25" borderId="16" xfId="116" applyNumberFormat="1" applyFont="1" applyFill="1" applyBorder="1"/>
    <xf numFmtId="10" fontId="4" fillId="25" borderId="12" xfId="116" applyNumberFormat="1" applyFont="1" applyFill="1" applyBorder="1"/>
    <xf numFmtId="10" fontId="4" fillId="25" borderId="20" xfId="116" applyNumberFormat="1" applyFont="1" applyFill="1" applyBorder="1"/>
    <xf numFmtId="10" fontId="4" fillId="25" borderId="15" xfId="116" applyNumberFormat="1" applyFont="1" applyFill="1" applyBorder="1"/>
    <xf numFmtId="10" fontId="13" fillId="25" borderId="20" xfId="116" applyNumberFormat="1" applyFont="1" applyFill="1" applyBorder="1"/>
    <xf numFmtId="10" fontId="4" fillId="25" borderId="17" xfId="116" applyNumberFormat="1" applyFont="1" applyFill="1" applyBorder="1"/>
    <xf numFmtId="165" fontId="4" fillId="25" borderId="23" xfId="116" applyNumberFormat="1" applyFont="1" applyFill="1" applyBorder="1"/>
    <xf numFmtId="212" fontId="4" fillId="25" borderId="25" xfId="116" applyNumberFormat="1" applyFont="1" applyFill="1" applyBorder="1"/>
    <xf numFmtId="165" fontId="13" fillId="25" borderId="25" xfId="116" applyNumberFormat="1" applyFont="1" applyFill="1" applyBorder="1"/>
    <xf numFmtId="10" fontId="4" fillId="25" borderId="16" xfId="0" applyNumberFormat="1" applyFont="1" applyFill="1" applyBorder="1"/>
    <xf numFmtId="165" fontId="4" fillId="25" borderId="16" xfId="116" applyNumberFormat="1" applyFont="1" applyFill="1" applyBorder="1"/>
    <xf numFmtId="165" fontId="4" fillId="25" borderId="12" xfId="116" applyNumberFormat="1" applyFont="1" applyFill="1" applyBorder="1"/>
    <xf numFmtId="170" fontId="4" fillId="25" borderId="25" xfId="116" applyNumberFormat="1" applyFont="1" applyFill="1" applyBorder="1"/>
    <xf numFmtId="212" fontId="118" fillId="25" borderId="25" xfId="116" applyNumberFormat="1" applyFont="1" applyFill="1" applyBorder="1"/>
    <xf numFmtId="212" fontId="4" fillId="0" borderId="25" xfId="116" applyNumberFormat="1" applyFont="1" applyFill="1" applyBorder="1"/>
    <xf numFmtId="212" fontId="4" fillId="25" borderId="24" xfId="116" applyNumberFormat="1" applyFont="1" applyFill="1" applyBorder="1"/>
    <xf numFmtId="212" fontId="4" fillId="25" borderId="20" xfId="116" applyNumberFormat="1" applyFont="1" applyFill="1" applyBorder="1"/>
    <xf numFmtId="212" fontId="13" fillId="25" borderId="20" xfId="116" applyNumberFormat="1" applyFont="1" applyFill="1" applyBorder="1"/>
    <xf numFmtId="212" fontId="4" fillId="25" borderId="17" xfId="116" applyNumberFormat="1" applyFont="1" applyFill="1" applyBorder="1"/>
    <xf numFmtId="165" fontId="4" fillId="25" borderId="24" xfId="116" applyNumberFormat="1" applyFont="1" applyFill="1" applyBorder="1"/>
    <xf numFmtId="170" fontId="4" fillId="25" borderId="20" xfId="116" applyNumberFormat="1" applyFont="1" applyFill="1" applyBorder="1"/>
    <xf numFmtId="165" fontId="4" fillId="25" borderId="17" xfId="116" applyNumberFormat="1" applyFont="1" applyFill="1" applyBorder="1"/>
    <xf numFmtId="10" fontId="0" fillId="25" borderId="24" xfId="0" applyNumberFormat="1" applyFill="1" applyBorder="1"/>
    <xf numFmtId="10" fontId="0" fillId="25" borderId="20" xfId="0" applyNumberFormat="1" applyFill="1" applyBorder="1"/>
    <xf numFmtId="10" fontId="2" fillId="25" borderId="20" xfId="0" applyNumberFormat="1" applyFont="1" applyFill="1" applyBorder="1"/>
    <xf numFmtId="10" fontId="0" fillId="25" borderId="17" xfId="0" applyNumberFormat="1" applyFill="1" applyBorder="1"/>
    <xf numFmtId="212" fontId="122" fillId="24" borderId="0" xfId="116" applyNumberFormat="1" applyFont="1" applyFill="1"/>
    <xf numFmtId="212" fontId="122" fillId="24" borderId="25" xfId="116" applyNumberFormat="1" applyFont="1" applyFill="1" applyBorder="1"/>
    <xf numFmtId="9" fontId="118" fillId="0" borderId="25" xfId="116" applyFont="1" applyFill="1" applyBorder="1"/>
    <xf numFmtId="9" fontId="118" fillId="0" borderId="23" xfId="116" applyFont="1" applyFill="1" applyBorder="1"/>
    <xf numFmtId="173" fontId="123" fillId="0" borderId="0" xfId="73" applyNumberFormat="1" applyFont="1" applyFill="1" applyBorder="1" applyAlignment="1">
      <alignment horizontal="right"/>
    </xf>
    <xf numFmtId="173" fontId="107" fillId="0" borderId="0" xfId="103" applyNumberFormat="1" applyFont="1" applyFill="1"/>
    <xf numFmtId="173" fontId="107" fillId="0" borderId="0" xfId="116" applyNumberFormat="1" applyFont="1" applyFill="1" applyAlignment="1" applyProtection="1">
      <alignment horizontal="right"/>
    </xf>
    <xf numFmtId="9" fontId="108" fillId="0" borderId="26" xfId="116" applyFont="1" applyFill="1" applyBorder="1" applyAlignment="1">
      <alignment horizontal="center"/>
    </xf>
    <xf numFmtId="165" fontId="109" fillId="0" borderId="0" xfId="116" applyNumberFormat="1" applyFont="1" applyFill="1" applyBorder="1" applyAlignment="1" applyProtection="1">
      <alignment horizontal="right"/>
    </xf>
    <xf numFmtId="165" fontId="109" fillId="0" borderId="18" xfId="116" applyNumberFormat="1" applyFont="1" applyFill="1" applyBorder="1" applyAlignment="1" applyProtection="1">
      <alignment horizontal="right"/>
    </xf>
    <xf numFmtId="9" fontId="108" fillId="0" borderId="0" xfId="103" applyNumberFormat="1" applyFont="1" applyFill="1"/>
    <xf numFmtId="9" fontId="114" fillId="0" borderId="28" xfId="106" applyNumberFormat="1" applyFont="1" applyFill="1" applyBorder="1"/>
    <xf numFmtId="9" fontId="114" fillId="0" borderId="0" xfId="116" applyFont="1" applyFill="1" applyBorder="1"/>
    <xf numFmtId="173" fontId="124" fillId="0" borderId="17" xfId="108" applyNumberFormat="1" applyFont="1" applyFill="1" applyBorder="1" applyAlignment="1">
      <alignment horizontal="right"/>
    </xf>
    <xf numFmtId="165" fontId="115" fillId="0" borderId="15" xfId="108" applyNumberFormat="1" applyFont="1" applyFill="1" applyBorder="1" applyAlignment="1">
      <alignment horizontal="right"/>
    </xf>
    <xf numFmtId="165" fontId="115" fillId="0" borderId="20" xfId="108" applyNumberFormat="1" applyFont="1" applyFill="1" applyBorder="1" applyAlignment="1">
      <alignment horizontal="right"/>
    </xf>
    <xf numFmtId="165" fontId="124" fillId="0" borderId="17" xfId="108" applyNumberFormat="1" applyFont="1" applyFill="1" applyBorder="1" applyAlignment="1">
      <alignment horizontal="right"/>
    </xf>
    <xf numFmtId="10" fontId="7" fillId="0" borderId="0" xfId="116" applyNumberFormat="1" applyFont="1"/>
    <xf numFmtId="173" fontId="4" fillId="0" borderId="0" xfId="0" applyNumberFormat="1" applyFont="1" applyFill="1" applyAlignment="1" applyProtection="1"/>
    <xf numFmtId="173" fontId="27" fillId="0" borderId="67" xfId="0" applyNumberFormat="1" applyFont="1" applyFill="1" applyBorder="1" applyAlignment="1" applyProtection="1"/>
    <xf numFmtId="173" fontId="27" fillId="0" borderId="68" xfId="0" applyNumberFormat="1" applyFont="1" applyFill="1" applyBorder="1" applyAlignment="1" applyProtection="1"/>
    <xf numFmtId="173" fontId="7" fillId="0" borderId="68" xfId="0" applyNumberFormat="1" applyFont="1" applyFill="1" applyBorder="1" applyAlignment="1">
      <alignment horizontal="right"/>
    </xf>
    <xf numFmtId="173" fontId="27" fillId="0" borderId="69" xfId="0" applyNumberFormat="1" applyFont="1" applyFill="1" applyBorder="1" applyAlignment="1">
      <alignment horizontal="right"/>
    </xf>
    <xf numFmtId="173" fontId="27" fillId="0" borderId="64" xfId="0" applyNumberFormat="1" applyFont="1" applyFill="1" applyBorder="1" applyAlignment="1">
      <alignment horizontal="right"/>
    </xf>
    <xf numFmtId="173" fontId="7" fillId="0" borderId="66" xfId="0" applyNumberFormat="1" applyFont="1" applyFill="1" applyBorder="1" applyAlignment="1" applyProtection="1"/>
    <xf numFmtId="173" fontId="7" fillId="0" borderId="66" xfId="0" applyNumberFormat="1" applyFont="1" applyFill="1" applyBorder="1" applyAlignment="1">
      <alignment horizontal="right"/>
    </xf>
    <xf numFmtId="173" fontId="7" fillId="0" borderId="49" xfId="0" applyNumberFormat="1" applyFont="1" applyFill="1" applyBorder="1" applyAlignment="1">
      <alignment horizontal="right"/>
    </xf>
    <xf numFmtId="173" fontId="7" fillId="0" borderId="65" xfId="0" applyNumberFormat="1" applyFont="1" applyFill="1" applyBorder="1" applyAlignment="1">
      <alignment horizontal="right"/>
    </xf>
    <xf numFmtId="173" fontId="27" fillId="0" borderId="68" xfId="0" applyNumberFormat="1" applyFont="1" applyFill="1" applyBorder="1" applyAlignment="1">
      <alignment horizontal="right"/>
    </xf>
    <xf numFmtId="173" fontId="27" fillId="0" borderId="70" xfId="0" applyNumberFormat="1" applyFont="1" applyFill="1" applyBorder="1" applyAlignment="1">
      <alignment horizontal="right"/>
    </xf>
    <xf numFmtId="173" fontId="27" fillId="0" borderId="67" xfId="0" applyNumberFormat="1" applyFont="1" applyFill="1" applyBorder="1" applyAlignment="1">
      <alignment horizontal="right"/>
    </xf>
    <xf numFmtId="173" fontId="27" fillId="0" borderId="71" xfId="0" applyNumberFormat="1" applyFont="1" applyFill="1" applyBorder="1" applyAlignment="1">
      <alignment horizontal="right"/>
    </xf>
    <xf numFmtId="173" fontId="30" fillId="0" borderId="48" xfId="0" applyNumberFormat="1" applyFont="1" applyFill="1" applyBorder="1" applyAlignment="1">
      <alignment horizontal="right"/>
    </xf>
    <xf numFmtId="173" fontId="30" fillId="0" borderId="65" xfId="0" applyNumberFormat="1" applyFont="1" applyFill="1" applyBorder="1" applyAlignment="1">
      <alignment horizontal="right"/>
    </xf>
    <xf numFmtId="173" fontId="30" fillId="0" borderId="66" xfId="0" applyNumberFormat="1" applyFont="1" applyFill="1" applyBorder="1" applyAlignment="1">
      <alignment horizontal="right"/>
    </xf>
    <xf numFmtId="173" fontId="7" fillId="0" borderId="72" xfId="0" applyNumberFormat="1" applyFont="1" applyFill="1" applyBorder="1" applyAlignment="1">
      <alignment horizontal="right"/>
    </xf>
    <xf numFmtId="173" fontId="30" fillId="0" borderId="72" xfId="0" applyNumberFormat="1" applyFont="1" applyFill="1" applyBorder="1" applyAlignment="1">
      <alignment horizontal="right"/>
    </xf>
    <xf numFmtId="173" fontId="17" fillId="0" borderId="65" xfId="111" applyNumberFormat="1" applyFont="1" applyFill="1" applyBorder="1" applyAlignment="1"/>
    <xf numFmtId="173" fontId="17" fillId="0" borderId="66" xfId="111" applyNumberFormat="1" applyFont="1" applyFill="1" applyBorder="1" applyAlignment="1"/>
    <xf numFmtId="173" fontId="4" fillId="0" borderId="48" xfId="111" applyNumberFormat="1" applyFont="1" applyFill="1" applyBorder="1" applyAlignment="1"/>
    <xf numFmtId="173" fontId="4" fillId="0" borderId="66" xfId="111" applyNumberFormat="1" applyFont="1" applyFill="1" applyBorder="1" applyAlignment="1"/>
    <xf numFmtId="165" fontId="4" fillId="0" borderId="0" xfId="116" applyNumberFormat="1" applyFont="1" applyFill="1" applyAlignment="1" applyProtection="1"/>
    <xf numFmtId="169" fontId="7" fillId="0" borderId="14" xfId="0" applyNumberFormat="1" applyFont="1" applyFill="1" applyBorder="1" applyAlignment="1">
      <alignment horizontal="right"/>
    </xf>
    <xf numFmtId="169" fontId="7" fillId="0" borderId="13" xfId="0" applyNumberFormat="1" applyFont="1" applyFill="1" applyBorder="1" applyAlignment="1">
      <alignment horizontal="right"/>
    </xf>
    <xf numFmtId="169" fontId="7" fillId="0" borderId="73" xfId="0" applyNumberFormat="1" applyFont="1" applyFill="1" applyBorder="1" applyAlignment="1">
      <alignment horizontal="right"/>
    </xf>
    <xf numFmtId="10" fontId="125" fillId="0" borderId="0" xfId="116" applyNumberFormat="1" applyFont="1" applyFill="1" applyBorder="1" applyAlignment="1" applyProtection="1">
      <alignment horizontal="right"/>
    </xf>
    <xf numFmtId="10" fontId="125" fillId="0" borderId="0" xfId="116" applyNumberFormat="1" applyFont="1" applyFill="1" applyBorder="1" applyAlignment="1" applyProtection="1"/>
    <xf numFmtId="169" fontId="15" fillId="0" borderId="16" xfId="0" applyNumberFormat="1" applyFont="1" applyFill="1" applyBorder="1"/>
    <xf numFmtId="169" fontId="15" fillId="0" borderId="12" xfId="0" applyNumberFormat="1" applyFont="1" applyFill="1" applyBorder="1"/>
    <xf numFmtId="169" fontId="15" fillId="0" borderId="12" xfId="0" applyNumberFormat="1" applyFont="1" applyFill="1" applyBorder="1" applyAlignment="1">
      <alignment horizontal="right"/>
    </xf>
    <xf numFmtId="173" fontId="15" fillId="0" borderId="52" xfId="0" applyNumberFormat="1" applyFont="1" applyFill="1" applyBorder="1" applyAlignment="1">
      <alignment horizontal="right"/>
    </xf>
    <xf numFmtId="173" fontId="15" fillId="0" borderId="16" xfId="0" applyNumberFormat="1" applyFont="1" applyFill="1" applyBorder="1" applyAlignment="1">
      <alignment horizontal="right"/>
    </xf>
    <xf numFmtId="173" fontId="15" fillId="0" borderId="12" xfId="0" applyNumberFormat="1" applyFont="1" applyFill="1" applyBorder="1" applyAlignment="1">
      <alignment horizontal="right"/>
    </xf>
    <xf numFmtId="173" fontId="15" fillId="0" borderId="53" xfId="0" applyNumberFormat="1" applyFont="1" applyFill="1" applyBorder="1" applyAlignment="1">
      <alignment horizontal="right"/>
    </xf>
    <xf numFmtId="173" fontId="126" fillId="0" borderId="16" xfId="0" applyNumberFormat="1" applyFont="1" applyFill="1" applyBorder="1" applyAlignment="1">
      <alignment horizontal="right"/>
    </xf>
    <xf numFmtId="173" fontId="126" fillId="0" borderId="12" xfId="0" applyNumberFormat="1" applyFont="1" applyFill="1" applyBorder="1" applyAlignment="1">
      <alignment horizontal="right"/>
    </xf>
    <xf numFmtId="14" fontId="7" fillId="0" borderId="0" xfId="0" applyNumberFormat="1" applyFont="1" applyFill="1" applyBorder="1" applyAlignment="1" applyProtection="1">
      <alignment horizontal="center"/>
    </xf>
    <xf numFmtId="14" fontId="4" fillId="0" borderId="0" xfId="0" applyNumberFormat="1" applyFont="1" applyFill="1" applyBorder="1" applyAlignment="1" applyProtection="1">
      <alignment horizontal="center"/>
    </xf>
    <xf numFmtId="165" fontId="107" fillId="0" borderId="0" xfId="116" applyNumberFormat="1" applyFont="1" applyFill="1" applyAlignment="1">
      <alignment horizontal="right"/>
    </xf>
    <xf numFmtId="165" fontId="107" fillId="0" borderId="42" xfId="116" applyNumberFormat="1" applyFont="1" applyFill="1" applyBorder="1" applyAlignment="1">
      <alignment horizontal="right"/>
    </xf>
    <xf numFmtId="169" fontId="107" fillId="0" borderId="25" xfId="0" applyNumberFormat="1" applyFont="1" applyFill="1" applyBorder="1" applyAlignment="1">
      <alignment horizontal="right"/>
    </xf>
    <xf numFmtId="169" fontId="107" fillId="0" borderId="0" xfId="0" applyNumberFormat="1" applyFont="1" applyFill="1" applyAlignment="1">
      <alignment horizontal="right"/>
    </xf>
    <xf numFmtId="173" fontId="7" fillId="0" borderId="13" xfId="0" applyNumberFormat="1" applyFont="1" applyFill="1" applyBorder="1"/>
    <xf numFmtId="173" fontId="7" fillId="0" borderId="14" xfId="0" applyNumberFormat="1" applyFont="1" applyFill="1" applyBorder="1"/>
    <xf numFmtId="173" fontId="7" fillId="0" borderId="31" xfId="0" applyNumberFormat="1" applyFont="1" applyFill="1" applyBorder="1"/>
    <xf numFmtId="173" fontId="7" fillId="0" borderId="15" xfId="0" applyNumberFormat="1" applyFont="1" applyFill="1" applyBorder="1"/>
    <xf numFmtId="173" fontId="107" fillId="0" borderId="25" xfId="0" applyNumberFormat="1" applyFont="1" applyFill="1" applyBorder="1"/>
    <xf numFmtId="173" fontId="107" fillId="0" borderId="0" xfId="0" applyNumberFormat="1" applyFont="1" applyFill="1" applyBorder="1"/>
    <xf numFmtId="173" fontId="107" fillId="0" borderId="26" xfId="0" applyNumberFormat="1" applyFont="1" applyFill="1" applyBorder="1"/>
    <xf numFmtId="173" fontId="7" fillId="0" borderId="26" xfId="0" applyNumberFormat="1" applyFont="1" applyFill="1" applyBorder="1"/>
    <xf numFmtId="165" fontId="4" fillId="0" borderId="28" xfId="116" applyNumberFormat="1" applyFont="1" applyFill="1" applyBorder="1"/>
    <xf numFmtId="165" fontId="30" fillId="0" borderId="23" xfId="116" applyNumberFormat="1" applyFont="1" applyFill="1" applyBorder="1"/>
    <xf numFmtId="165" fontId="30" fillId="0" borderId="18" xfId="0" applyNumberFormat="1" applyFont="1" applyFill="1" applyBorder="1"/>
    <xf numFmtId="165" fontId="30" fillId="0" borderId="28" xfId="116" applyNumberFormat="1" applyFont="1" applyFill="1" applyBorder="1"/>
    <xf numFmtId="170" fontId="122" fillId="0" borderId="0" xfId="73" applyNumberFormat="1" applyFont="1" applyFill="1" applyBorder="1" applyAlignment="1">
      <alignment horizontal="right"/>
    </xf>
    <xf numFmtId="173" fontId="122" fillId="0" borderId="25" xfId="72" applyNumberFormat="1" applyFont="1" applyFill="1" applyBorder="1" applyAlignment="1">
      <alignment horizontal="right"/>
    </xf>
    <xf numFmtId="165" fontId="122" fillId="0" borderId="25" xfId="107" applyNumberFormat="1" applyFont="1" applyFill="1" applyBorder="1"/>
    <xf numFmtId="173" fontId="122" fillId="0" borderId="57" xfId="72" applyNumberFormat="1" applyFont="1" applyFill="1" applyBorder="1" applyAlignment="1">
      <alignment horizontal="right"/>
    </xf>
    <xf numFmtId="0" fontId="27" fillId="28" borderId="0" xfId="106" applyFont="1" applyFill="1" applyAlignment="1">
      <alignment horizontal="center"/>
    </xf>
    <xf numFmtId="0" fontId="16" fillId="28" borderId="13" xfId="109" applyFont="1" applyFill="1" applyBorder="1" applyAlignment="1">
      <alignment vertical="center"/>
    </xf>
    <xf numFmtId="9" fontId="4" fillId="28" borderId="0" xfId="116" applyFont="1" applyFill="1" applyBorder="1"/>
    <xf numFmtId="9" fontId="4" fillId="28" borderId="20" xfId="116" applyFont="1" applyFill="1" applyBorder="1"/>
    <xf numFmtId="0" fontId="27" fillId="28" borderId="0" xfId="106" applyFont="1" applyFill="1" applyBorder="1" applyAlignment="1">
      <alignment horizontal="center"/>
    </xf>
    <xf numFmtId="0" fontId="7" fillId="28" borderId="0" xfId="106" applyFont="1" applyFill="1" applyBorder="1"/>
    <xf numFmtId="9" fontId="17" fillId="28" borderId="20" xfId="116" applyFont="1" applyFill="1" applyBorder="1"/>
    <xf numFmtId="0" fontId="0" fillId="28" borderId="0" xfId="0" applyFill="1"/>
    <xf numFmtId="9" fontId="4" fillId="0" borderId="57" xfId="116" applyNumberFormat="1" applyFont="1" applyFill="1" applyBorder="1"/>
    <xf numFmtId="169" fontId="7" fillId="20" borderId="20" xfId="106" applyNumberFormat="1" applyFont="1" applyFill="1" applyBorder="1" applyAlignment="1">
      <alignment horizontal="right"/>
    </xf>
    <xf numFmtId="173" fontId="0" fillId="0" borderId="34" xfId="0" applyNumberFormat="1" applyFill="1" applyBorder="1"/>
    <xf numFmtId="0" fontId="0" fillId="28" borderId="0" xfId="0" applyFill="1" applyBorder="1"/>
    <xf numFmtId="212" fontId="4" fillId="28" borderId="0" xfId="108" applyFont="1" applyFill="1" applyBorder="1"/>
    <xf numFmtId="0" fontId="27" fillId="0" borderId="24" xfId="106" applyFont="1" applyFill="1" applyBorder="1" applyAlignment="1">
      <alignment horizontal="center"/>
    </xf>
    <xf numFmtId="9" fontId="17" fillId="0" borderId="25" xfId="116" applyFont="1" applyFill="1" applyBorder="1"/>
    <xf numFmtId="9" fontId="17" fillId="0" borderId="25" xfId="116" applyFont="1" applyFill="1" applyBorder="1" applyAlignment="1">
      <alignment horizontal="right"/>
    </xf>
    <xf numFmtId="9" fontId="109" fillId="0" borderId="25" xfId="116" applyFont="1" applyFill="1" applyBorder="1"/>
    <xf numFmtId="0" fontId="109" fillId="0" borderId="25" xfId="106" applyFont="1" applyFill="1" applyBorder="1"/>
    <xf numFmtId="9" fontId="107" fillId="0" borderId="25" xfId="116" applyFont="1" applyFill="1" applyBorder="1"/>
    <xf numFmtId="9" fontId="122" fillId="0" borderId="25" xfId="116" applyFont="1" applyFill="1" applyBorder="1"/>
    <xf numFmtId="9" fontId="122" fillId="0" borderId="23" xfId="116" applyFont="1" applyFill="1" applyBorder="1"/>
    <xf numFmtId="170" fontId="13" fillId="0" borderId="26" xfId="73" applyNumberFormat="1" applyFont="1" applyFill="1" applyBorder="1" applyAlignment="1">
      <alignment horizontal="right"/>
    </xf>
    <xf numFmtId="170" fontId="13" fillId="0" borderId="20" xfId="73" applyNumberFormat="1" applyFont="1" applyFill="1" applyBorder="1" applyAlignment="1">
      <alignment horizontal="right"/>
    </xf>
    <xf numFmtId="9" fontId="114" fillId="0" borderId="23" xfId="106" applyNumberFormat="1" applyFont="1" applyFill="1" applyBorder="1"/>
    <xf numFmtId="43" fontId="108" fillId="0" borderId="0" xfId="72" applyFont="1" applyFill="1" applyAlignment="1" applyProtection="1">
      <alignment horizontal="left"/>
    </xf>
    <xf numFmtId="43" fontId="108" fillId="0" borderId="0" xfId="72" applyFont="1" applyFill="1"/>
    <xf numFmtId="186" fontId="108" fillId="0" borderId="0" xfId="72" applyNumberFormat="1" applyFont="1" applyFill="1"/>
    <xf numFmtId="43" fontId="108" fillId="0" borderId="0" xfId="72" applyNumberFormat="1" applyFont="1" applyFill="1"/>
    <xf numFmtId="9" fontId="122" fillId="0" borderId="26" xfId="116" applyFont="1" applyFill="1" applyBorder="1"/>
    <xf numFmtId="0" fontId="127" fillId="0" borderId="0" xfId="106" applyFont="1" applyFill="1" applyAlignment="1">
      <alignment horizontal="center"/>
    </xf>
    <xf numFmtId="9" fontId="122" fillId="0" borderId="0" xfId="116" applyFont="1" applyFill="1" applyBorder="1"/>
    <xf numFmtId="9" fontId="122" fillId="0" borderId="28" xfId="116" applyFont="1" applyFill="1" applyBorder="1"/>
    <xf numFmtId="0" fontId="127" fillId="0" borderId="18" xfId="106" applyFont="1" applyFill="1" applyBorder="1" applyAlignment="1">
      <alignment horizontal="center"/>
    </xf>
    <xf numFmtId="9" fontId="122" fillId="0" borderId="18" xfId="116" applyFont="1" applyFill="1" applyBorder="1"/>
    <xf numFmtId="0" fontId="127" fillId="0" borderId="0" xfId="106" applyFont="1" applyFill="1" applyBorder="1" applyAlignment="1">
      <alignment horizontal="center"/>
    </xf>
    <xf numFmtId="9" fontId="122" fillId="0" borderId="20" xfId="116" applyFont="1" applyFill="1" applyBorder="1"/>
    <xf numFmtId="41" fontId="15" fillId="27" borderId="20" xfId="106" applyNumberFormat="1" applyFont="1" applyFill="1" applyBorder="1"/>
    <xf numFmtId="9" fontId="15" fillId="27" borderId="0" xfId="106" applyNumberFormat="1" applyFont="1" applyFill="1" applyBorder="1"/>
    <xf numFmtId="9" fontId="20" fillId="27" borderId="0" xfId="106" applyNumberFormat="1" applyFont="1" applyFill="1" applyBorder="1" applyAlignment="1">
      <alignment horizontal="right"/>
    </xf>
    <xf numFmtId="9" fontId="20" fillId="27" borderId="20" xfId="106" applyNumberFormat="1" applyFont="1" applyFill="1" applyBorder="1" applyAlignment="1">
      <alignment horizontal="right"/>
    </xf>
    <xf numFmtId="9" fontId="20" fillId="27" borderId="25" xfId="106" applyNumberFormat="1" applyFont="1" applyFill="1" applyBorder="1" applyAlignment="1">
      <alignment horizontal="right"/>
    </xf>
    <xf numFmtId="165" fontId="20" fillId="27" borderId="20" xfId="106" applyNumberFormat="1" applyFont="1" applyFill="1" applyBorder="1" applyAlignment="1">
      <alignment horizontal="right"/>
    </xf>
    <xf numFmtId="165" fontId="20" fillId="27" borderId="25" xfId="106" applyNumberFormat="1" applyFont="1" applyFill="1" applyBorder="1" applyAlignment="1">
      <alignment horizontal="right"/>
    </xf>
    <xf numFmtId="165" fontId="20" fillId="27" borderId="0" xfId="106" applyNumberFormat="1" applyFont="1" applyFill="1" applyBorder="1" applyAlignment="1">
      <alignment horizontal="right"/>
    </xf>
    <xf numFmtId="165" fontId="20" fillId="27" borderId="20" xfId="106" applyNumberFormat="1" applyFont="1" applyFill="1" applyBorder="1"/>
    <xf numFmtId="165" fontId="20" fillId="27" borderId="26" xfId="106" applyNumberFormat="1" applyFont="1" applyFill="1" applyBorder="1" applyAlignment="1">
      <alignment horizontal="right"/>
    </xf>
    <xf numFmtId="9" fontId="15" fillId="27" borderId="20" xfId="106" applyNumberFormat="1" applyFont="1" applyFill="1" applyBorder="1"/>
    <xf numFmtId="165" fontId="20" fillId="27" borderId="0" xfId="106" applyNumberFormat="1" applyFont="1" applyFill="1" applyBorder="1"/>
    <xf numFmtId="41" fontId="15" fillId="27" borderId="24" xfId="106" applyNumberFormat="1" applyFont="1" applyFill="1" applyBorder="1"/>
    <xf numFmtId="9" fontId="15" fillId="27" borderId="18" xfId="106" applyNumberFormat="1" applyFont="1" applyFill="1" applyBorder="1"/>
    <xf numFmtId="9" fontId="20" fillId="27" borderId="18" xfId="106" applyNumberFormat="1" applyFont="1" applyFill="1" applyBorder="1" applyAlignment="1">
      <alignment horizontal="right"/>
    </xf>
    <xf numFmtId="9" fontId="20" fillId="27" borderId="24" xfId="106" applyNumberFormat="1" applyFont="1" applyFill="1" applyBorder="1" applyAlignment="1">
      <alignment horizontal="right"/>
    </xf>
    <xf numFmtId="9" fontId="20" fillId="27" borderId="23" xfId="106" applyNumberFormat="1" applyFont="1" applyFill="1" applyBorder="1" applyAlignment="1">
      <alignment horizontal="right"/>
    </xf>
    <xf numFmtId="165" fontId="20" fillId="27" borderId="24" xfId="106" applyNumberFormat="1" applyFont="1" applyFill="1" applyBorder="1" applyAlignment="1">
      <alignment horizontal="right"/>
    </xf>
    <xf numFmtId="165" fontId="20" fillId="27" borderId="23" xfId="106" applyNumberFormat="1" applyFont="1" applyFill="1" applyBorder="1" applyAlignment="1">
      <alignment horizontal="right"/>
    </xf>
    <xf numFmtId="165" fontId="20" fillId="27" borderId="18" xfId="106" applyNumberFormat="1" applyFont="1" applyFill="1" applyBorder="1" applyAlignment="1">
      <alignment horizontal="right"/>
    </xf>
    <xf numFmtId="9" fontId="20" fillId="27" borderId="18" xfId="106" applyNumberFormat="1" applyFont="1" applyFill="1" applyBorder="1"/>
    <xf numFmtId="9" fontId="20" fillId="27" borderId="28" xfId="106" applyNumberFormat="1" applyFont="1" applyFill="1" applyBorder="1" applyAlignment="1">
      <alignment horizontal="right"/>
    </xf>
    <xf numFmtId="9" fontId="20" fillId="27" borderId="24" xfId="106" applyNumberFormat="1" applyFont="1" applyFill="1" applyBorder="1"/>
    <xf numFmtId="9" fontId="15" fillId="27" borderId="24" xfId="106" applyNumberFormat="1" applyFont="1" applyFill="1" applyBorder="1"/>
    <xf numFmtId="165" fontId="20" fillId="27" borderId="18" xfId="106" applyNumberFormat="1" applyFont="1" applyFill="1" applyBorder="1"/>
    <xf numFmtId="6" fontId="15" fillId="0" borderId="28" xfId="106" applyNumberFormat="1" applyFont="1" applyFill="1" applyBorder="1"/>
    <xf numFmtId="41" fontId="15" fillId="0" borderId="24" xfId="106" applyNumberFormat="1" applyFont="1" applyFill="1" applyBorder="1"/>
    <xf numFmtId="178" fontId="5" fillId="0" borderId="18" xfId="106" applyNumberFormat="1" applyFont="1" applyFill="1" applyBorder="1"/>
    <xf numFmtId="169" fontId="15" fillId="0" borderId="16" xfId="109" applyNumberFormat="1" applyFont="1" applyFill="1" applyBorder="1" applyAlignment="1">
      <alignment horizontal="left"/>
    </xf>
    <xf numFmtId="173" fontId="5" fillId="0" borderId="12" xfId="106" applyNumberFormat="1" applyFont="1" applyFill="1" applyBorder="1"/>
    <xf numFmtId="173" fontId="5" fillId="0" borderId="17" xfId="106" applyNumberFormat="1" applyFont="1" applyFill="1" applyBorder="1"/>
    <xf numFmtId="169" fontId="5" fillId="0" borderId="12" xfId="106" applyNumberFormat="1" applyFont="1" applyFill="1" applyBorder="1"/>
    <xf numFmtId="169" fontId="5" fillId="0" borderId="17" xfId="106" applyNumberFormat="1" applyFont="1" applyFill="1" applyBorder="1"/>
    <xf numFmtId="7" fontId="15" fillId="27" borderId="23" xfId="104" applyNumberFormat="1" applyFont="1" applyFill="1" applyBorder="1" applyAlignment="1">
      <alignment horizontal="left" vertical="center"/>
    </xf>
    <xf numFmtId="7" fontId="15" fillId="27" borderId="28" xfId="106" applyNumberFormat="1" applyFont="1" applyFill="1" applyBorder="1" applyAlignment="1">
      <alignment vertical="center"/>
    </xf>
    <xf numFmtId="7" fontId="5" fillId="27" borderId="18" xfId="106" applyNumberFormat="1" applyFont="1" applyFill="1" applyBorder="1" applyAlignment="1">
      <alignment vertical="center"/>
    </xf>
    <xf numFmtId="7" fontId="5" fillId="27" borderId="24" xfId="106" applyNumberFormat="1" applyFont="1" applyFill="1" applyBorder="1" applyAlignment="1">
      <alignment vertical="center"/>
    </xf>
    <xf numFmtId="7" fontId="15" fillId="27" borderId="24" xfId="106" applyNumberFormat="1" applyFont="1" applyFill="1" applyBorder="1" applyAlignment="1">
      <alignment vertical="center"/>
    </xf>
    <xf numFmtId="41" fontId="4" fillId="0" borderId="23" xfId="106" applyNumberFormat="1" applyFont="1" applyFill="1" applyBorder="1"/>
    <xf numFmtId="172" fontId="15" fillId="0" borderId="18" xfId="106" applyNumberFormat="1" applyFont="1" applyFill="1" applyBorder="1" applyAlignment="1">
      <alignment horizontal="center"/>
    </xf>
    <xf numFmtId="172" fontId="27" fillId="0" borderId="18" xfId="0" applyNumberFormat="1" applyFont="1" applyFill="1" applyBorder="1" applyAlignment="1">
      <alignment horizontal="right"/>
    </xf>
    <xf numFmtId="7" fontId="15" fillId="27" borderId="25" xfId="104" applyNumberFormat="1" applyFont="1" applyFill="1" applyBorder="1" applyAlignment="1">
      <alignment horizontal="left" vertical="center"/>
    </xf>
    <xf numFmtId="7" fontId="15" fillId="27" borderId="26" xfId="106" applyNumberFormat="1" applyFont="1" applyFill="1" applyBorder="1" applyAlignment="1">
      <alignment vertical="center"/>
    </xf>
    <xf numFmtId="7" fontId="18" fillId="27" borderId="0" xfId="73" applyNumberFormat="1" applyFont="1" applyFill="1" applyBorder="1" applyAlignment="1">
      <alignment horizontal="right" vertical="center"/>
    </xf>
    <xf numFmtId="7" fontId="18" fillId="27" borderId="20" xfId="106" applyNumberFormat="1" applyFont="1" applyFill="1" applyBorder="1" applyAlignment="1">
      <alignment vertical="center"/>
    </xf>
    <xf numFmtId="7" fontId="15" fillId="27" borderId="20" xfId="106" applyNumberFormat="1" applyFont="1" applyFill="1" applyBorder="1" applyAlignment="1">
      <alignment vertical="center"/>
    </xf>
    <xf numFmtId="173" fontId="15" fillId="0" borderId="16" xfId="109" applyNumberFormat="1" applyFont="1" applyFill="1" applyBorder="1" applyAlignment="1">
      <alignment vertical="center"/>
    </xf>
    <xf numFmtId="173" fontId="15" fillId="0" borderId="11" xfId="106" applyNumberFormat="1" applyFont="1" applyFill="1" applyBorder="1" applyAlignment="1">
      <alignment vertical="center"/>
    </xf>
    <xf numFmtId="173" fontId="5" fillId="0" borderId="12" xfId="106" applyNumberFormat="1" applyFont="1" applyFill="1" applyBorder="1" applyAlignment="1">
      <alignment vertical="center"/>
    </xf>
    <xf numFmtId="173" fontId="5" fillId="0" borderId="17" xfId="106" applyNumberFormat="1" applyFont="1" applyFill="1" applyBorder="1" applyAlignment="1">
      <alignment vertical="center"/>
    </xf>
    <xf numFmtId="173" fontId="15" fillId="0" borderId="17" xfId="106" applyNumberFormat="1" applyFont="1" applyFill="1" applyBorder="1" applyAlignment="1">
      <alignment vertical="center"/>
    </xf>
    <xf numFmtId="169" fontId="5" fillId="0" borderId="25" xfId="75" applyNumberFormat="1" applyFont="1" applyFill="1" applyBorder="1"/>
    <xf numFmtId="169" fontId="5" fillId="0" borderId="0" xfId="75" applyNumberFormat="1" applyFont="1" applyFill="1" applyBorder="1"/>
    <xf numFmtId="44" fontId="5" fillId="0" borderId="25" xfId="75" applyFont="1" applyFill="1" applyBorder="1"/>
    <xf numFmtId="44" fontId="5" fillId="0" borderId="0" xfId="75" applyNumberFormat="1" applyFont="1" applyFill="1" applyBorder="1"/>
    <xf numFmtId="174" fontId="15" fillId="0" borderId="26" xfId="75" applyNumberFormat="1" applyFont="1" applyFill="1" applyBorder="1"/>
    <xf numFmtId="9" fontId="122" fillId="24" borderId="0" xfId="116" applyFont="1" applyFill="1"/>
    <xf numFmtId="10" fontId="4" fillId="27" borderId="20" xfId="0" applyNumberFormat="1" applyFont="1" applyFill="1" applyBorder="1"/>
    <xf numFmtId="10" fontId="4" fillId="27" borderId="0" xfId="116" applyNumberFormat="1" applyFont="1" applyFill="1"/>
    <xf numFmtId="10" fontId="4" fillId="27" borderId="20" xfId="116" applyNumberFormat="1" applyFont="1" applyFill="1" applyBorder="1"/>
    <xf numFmtId="10" fontId="4" fillId="27" borderId="0" xfId="0" applyNumberFormat="1" applyFont="1" applyFill="1"/>
    <xf numFmtId="165" fontId="4" fillId="27" borderId="25" xfId="116" applyNumberFormat="1" applyFont="1" applyFill="1" applyBorder="1"/>
    <xf numFmtId="212" fontId="4" fillId="27" borderId="20" xfId="116" applyNumberFormat="1" applyFont="1" applyFill="1" applyBorder="1"/>
    <xf numFmtId="165" fontId="4" fillId="27" borderId="20" xfId="116" applyNumberFormat="1" applyFont="1" applyFill="1" applyBorder="1"/>
    <xf numFmtId="10" fontId="0" fillId="27" borderId="20" xfId="0" applyNumberFormat="1" applyFill="1" applyBorder="1"/>
    <xf numFmtId="9" fontId="4" fillId="27" borderId="25" xfId="116" applyNumberFormat="1" applyFont="1" applyFill="1" applyBorder="1"/>
    <xf numFmtId="204" fontId="10" fillId="0" borderId="0" xfId="0" applyNumberFormat="1" applyFont="1" applyFill="1"/>
    <xf numFmtId="204" fontId="7" fillId="0" borderId="0" xfId="0" applyNumberFormat="1" applyFont="1" applyFill="1"/>
    <xf numFmtId="165" fontId="4" fillId="25" borderId="0" xfId="116" applyNumberFormat="1" applyFont="1" applyFill="1"/>
    <xf numFmtId="165" fontId="15" fillId="27" borderId="0" xfId="106" applyNumberFormat="1" applyFont="1" applyFill="1" applyBorder="1"/>
    <xf numFmtId="165" fontId="20" fillId="27" borderId="25" xfId="106" applyNumberFormat="1" applyFont="1" applyFill="1" applyBorder="1"/>
    <xf numFmtId="165" fontId="15" fillId="27" borderId="20" xfId="106" applyNumberFormat="1" applyFont="1" applyFill="1" applyBorder="1"/>
    <xf numFmtId="9" fontId="128" fillId="0" borderId="0" xfId="106" applyNumberFormat="1" applyFont="1" applyFill="1" applyBorder="1"/>
    <xf numFmtId="9" fontId="128" fillId="0" borderId="18" xfId="106" applyNumberFormat="1" applyFont="1" applyFill="1" applyBorder="1"/>
    <xf numFmtId="9" fontId="128" fillId="0" borderId="0" xfId="116" applyFont="1" applyFill="1" applyBorder="1"/>
    <xf numFmtId="172" fontId="16" fillId="0" borderId="0" xfId="0" applyNumberFormat="1" applyFont="1" applyFill="1" applyBorder="1" applyAlignment="1" applyProtection="1">
      <alignment horizontal="center"/>
    </xf>
    <xf numFmtId="169" fontId="0" fillId="0" borderId="0" xfId="0" applyNumberFormat="1" applyFill="1" applyBorder="1"/>
    <xf numFmtId="173" fontId="0" fillId="0" borderId="0" xfId="0" applyNumberFormat="1" applyFill="1" applyBorder="1"/>
    <xf numFmtId="211" fontId="0" fillId="0" borderId="0" xfId="0" applyNumberFormat="1" applyFill="1" applyBorder="1"/>
    <xf numFmtId="165" fontId="10" fillId="0" borderId="0" xfId="116" applyNumberFormat="1" applyFont="1" applyFill="1" applyBorder="1"/>
    <xf numFmtId="198" fontId="0" fillId="0" borderId="0" xfId="72" applyNumberFormat="1" applyFont="1" applyFill="1" applyBorder="1"/>
    <xf numFmtId="43" fontId="0" fillId="0" borderId="0" xfId="72" applyFont="1" applyFill="1" applyBorder="1"/>
    <xf numFmtId="0" fontId="2" fillId="0" borderId="0" xfId="0" applyFont="1" applyFill="1" applyBorder="1"/>
    <xf numFmtId="10" fontId="112" fillId="0" borderId="0" xfId="0" applyNumberFormat="1" applyFont="1" applyFill="1" applyBorder="1"/>
    <xf numFmtId="212" fontId="4" fillId="0" borderId="0" xfId="116" applyNumberFormat="1" applyFont="1" applyFill="1" applyBorder="1"/>
    <xf numFmtId="10" fontId="0" fillId="0" borderId="0" xfId="0" applyNumberFormat="1" applyFill="1" applyBorder="1"/>
    <xf numFmtId="165" fontId="13" fillId="25" borderId="20" xfId="116" applyNumberFormat="1" applyFont="1" applyFill="1" applyBorder="1"/>
    <xf numFmtId="9" fontId="107" fillId="0" borderId="25" xfId="116" applyFont="1" applyFill="1" applyBorder="1" applyAlignment="1">
      <alignment horizontal="right"/>
    </xf>
    <xf numFmtId="9" fontId="107" fillId="0" borderId="0" xfId="116" applyFont="1" applyFill="1" applyBorder="1" applyAlignment="1">
      <alignment horizontal="right"/>
    </xf>
    <xf numFmtId="0" fontId="4" fillId="0" borderId="18" xfId="163" applyFont="1" applyFill="1" applyBorder="1">
      <protection locked="0"/>
    </xf>
    <xf numFmtId="0" fontId="4" fillId="0" borderId="14" xfId="163" applyFont="1" applyFill="1" applyBorder="1">
      <protection locked="0"/>
    </xf>
    <xf numFmtId="9" fontId="107" fillId="0" borderId="18" xfId="116" applyFont="1" applyFill="1" applyBorder="1"/>
    <xf numFmtId="165" fontId="122" fillId="0" borderId="0" xfId="116" applyNumberFormat="1" applyFont="1" applyFill="1"/>
    <xf numFmtId="212" fontId="4" fillId="0" borderId="0" xfId="116" applyNumberFormat="1" applyFont="1" applyFill="1"/>
    <xf numFmtId="44" fontId="0" fillId="0" borderId="0" xfId="0" applyNumberFormat="1"/>
    <xf numFmtId="10" fontId="4" fillId="0" borderId="0" xfId="108" applyNumberFormat="1" applyFont="1" applyFill="1" applyBorder="1"/>
    <xf numFmtId="164" fontId="0" fillId="0" borderId="0" xfId="0" applyNumberFormat="1"/>
    <xf numFmtId="165" fontId="4" fillId="0" borderId="20" xfId="107" quotePrefix="1" applyNumberFormat="1" applyFont="1" applyFill="1" applyBorder="1" applyAlignment="1">
      <alignment horizontal="right"/>
    </xf>
    <xf numFmtId="172" fontId="129" fillId="0" borderId="0" xfId="107" quotePrefix="1" applyNumberFormat="1" applyFont="1" applyFill="1" applyBorder="1" applyAlignment="1">
      <alignment horizontal="center"/>
    </xf>
    <xf numFmtId="165" fontId="4" fillId="0" borderId="25" xfId="107" quotePrefix="1" applyNumberFormat="1" applyFont="1" applyFill="1" applyBorder="1" applyAlignment="1">
      <alignment horizontal="right"/>
    </xf>
    <xf numFmtId="165" fontId="4" fillId="0" borderId="0" xfId="107" quotePrefix="1" applyNumberFormat="1" applyFont="1" applyFill="1" applyBorder="1" applyAlignment="1">
      <alignment horizontal="right"/>
    </xf>
    <xf numFmtId="165" fontId="4" fillId="0" borderId="0" xfId="0" applyNumberFormat="1" applyFont="1" applyAlignment="1">
      <alignment horizontal="right"/>
    </xf>
    <xf numFmtId="165" fontId="15" fillId="0" borderId="26" xfId="107" applyNumberFormat="1" applyFont="1" applyFill="1" applyBorder="1"/>
    <xf numFmtId="0" fontId="1" fillId="0" borderId="25" xfId="107" applyFont="1" applyFill="1" applyBorder="1" applyAlignment="1"/>
    <xf numFmtId="0" fontId="1" fillId="0" borderId="0" xfId="107" applyFont="1" applyFill="1" applyBorder="1"/>
    <xf numFmtId="165" fontId="4" fillId="25" borderId="25" xfId="116" applyNumberFormat="1" applyFont="1" applyFill="1" applyBorder="1"/>
    <xf numFmtId="9" fontId="4" fillId="0" borderId="20" xfId="107" applyNumberFormat="1" applyFont="1" applyFill="1" applyBorder="1" applyAlignment="1">
      <alignment horizontal="right"/>
    </xf>
    <xf numFmtId="9" fontId="4" fillId="0" borderId="25" xfId="107" applyNumberFormat="1" applyFont="1" applyFill="1" applyBorder="1" applyAlignment="1">
      <alignment horizontal="right"/>
    </xf>
    <xf numFmtId="9" fontId="4" fillId="0" borderId="0" xfId="107" applyNumberFormat="1" applyFont="1" applyFill="1" applyBorder="1" applyAlignment="1">
      <alignment horizontal="right"/>
    </xf>
    <xf numFmtId="9" fontId="4" fillId="0" borderId="24" xfId="107" applyNumberFormat="1" applyFont="1" applyFill="1" applyBorder="1" applyAlignment="1">
      <alignment horizontal="right"/>
    </xf>
    <xf numFmtId="9" fontId="4" fillId="0" borderId="23" xfId="107" applyNumberFormat="1" applyFont="1" applyFill="1" applyBorder="1" applyAlignment="1">
      <alignment horizontal="right"/>
    </xf>
    <xf numFmtId="9" fontId="4" fillId="0" borderId="18" xfId="107" applyNumberFormat="1" applyFont="1" applyFill="1" applyBorder="1" applyAlignment="1">
      <alignment horizontal="right"/>
    </xf>
    <xf numFmtId="8" fontId="32" fillId="0" borderId="0" xfId="100" applyNumberFormat="1" applyFont="1" applyFill="1" applyBorder="1" applyProtection="1"/>
    <xf numFmtId="0" fontId="110" fillId="28" borderId="0" xfId="0" applyFont="1" applyFill="1"/>
    <xf numFmtId="0" fontId="111" fillId="28" borderId="0" xfId="0" applyFont="1" applyFill="1"/>
    <xf numFmtId="0" fontId="111" fillId="28" borderId="0" xfId="0" applyFont="1" applyFill="1" applyBorder="1"/>
    <xf numFmtId="173" fontId="131" fillId="0" borderId="25" xfId="0" applyNumberFormat="1" applyFont="1" applyFill="1" applyBorder="1"/>
    <xf numFmtId="173" fontId="131" fillId="0" borderId="0" xfId="0" applyNumberFormat="1" applyFont="1" applyFill="1" applyBorder="1"/>
    <xf numFmtId="173" fontId="131" fillId="0" borderId="20" xfId="0" applyNumberFormat="1" applyFont="1" applyFill="1" applyBorder="1"/>
    <xf numFmtId="165" fontId="131" fillId="0" borderId="25" xfId="0" applyNumberFormat="1" applyFont="1" applyFill="1" applyBorder="1"/>
    <xf numFmtId="165" fontId="131" fillId="0" borderId="0" xfId="0" applyNumberFormat="1" applyFont="1" applyFill="1" applyBorder="1"/>
    <xf numFmtId="165" fontId="131" fillId="0" borderId="20" xfId="0" applyNumberFormat="1" applyFont="1" applyFill="1" applyBorder="1"/>
    <xf numFmtId="178" fontId="4" fillId="0" borderId="25" xfId="0" applyNumberFormat="1" applyFont="1" applyFill="1" applyBorder="1"/>
    <xf numFmtId="178" fontId="4" fillId="0" borderId="0" xfId="0" applyNumberFormat="1" applyFont="1" applyFill="1" applyBorder="1"/>
    <xf numFmtId="178" fontId="4" fillId="0" borderId="20" xfId="0" applyNumberFormat="1" applyFont="1" applyFill="1" applyBorder="1"/>
    <xf numFmtId="178" fontId="15" fillId="0" borderId="25" xfId="0" applyNumberFormat="1" applyFont="1" applyFill="1" applyBorder="1"/>
    <xf numFmtId="178" fontId="15" fillId="0" borderId="0" xfId="0" applyNumberFormat="1" applyFont="1" applyFill="1" applyBorder="1"/>
    <xf numFmtId="178" fontId="15" fillId="0" borderId="20" xfId="0" applyNumberFormat="1" applyFont="1" applyFill="1" applyBorder="1"/>
    <xf numFmtId="165" fontId="15" fillId="0" borderId="25" xfId="0" applyNumberFormat="1" applyFont="1" applyFill="1" applyBorder="1"/>
    <xf numFmtId="165" fontId="15" fillId="0" borderId="0" xfId="0" applyNumberFormat="1" applyFont="1" applyFill="1" applyBorder="1"/>
    <xf numFmtId="165" fontId="15" fillId="0" borderId="20" xfId="0" applyNumberFormat="1" applyFont="1" applyFill="1" applyBorder="1"/>
    <xf numFmtId="173" fontId="4" fillId="0" borderId="25" xfId="0" applyNumberFormat="1" applyFont="1" applyFill="1" applyBorder="1"/>
    <xf numFmtId="0" fontId="13" fillId="0" borderId="0" xfId="0" applyFont="1" applyFill="1"/>
    <xf numFmtId="186" fontId="4" fillId="0" borderId="0" xfId="72" applyNumberFormat="1" applyFont="1" applyFill="1" applyBorder="1" applyAlignment="1" applyProtection="1">
      <alignment horizontal="right"/>
    </xf>
    <xf numFmtId="186" fontId="4" fillId="0" borderId="20" xfId="72" applyNumberFormat="1" applyFont="1" applyFill="1" applyBorder="1" applyAlignment="1" applyProtection="1">
      <alignment horizontal="right"/>
    </xf>
    <xf numFmtId="173" fontId="15" fillId="0" borderId="25" xfId="0" applyNumberFormat="1" applyFont="1" applyFill="1" applyBorder="1"/>
    <xf numFmtId="173" fontId="15" fillId="0" borderId="20" xfId="0" applyNumberFormat="1" applyFont="1" applyFill="1" applyBorder="1"/>
    <xf numFmtId="0" fontId="15" fillId="0" borderId="25" xfId="0" applyFont="1" applyFill="1" applyBorder="1"/>
    <xf numFmtId="0" fontId="15" fillId="0" borderId="18" xfId="0" applyFont="1" applyFill="1" applyBorder="1"/>
    <xf numFmtId="165" fontId="15" fillId="0" borderId="23" xfId="0" applyNumberFormat="1" applyFont="1" applyFill="1" applyBorder="1"/>
    <xf numFmtId="165" fontId="15" fillId="0" borderId="18" xfId="0" applyNumberFormat="1" applyFont="1" applyFill="1" applyBorder="1"/>
    <xf numFmtId="165" fontId="15" fillId="0" borderId="24" xfId="0" applyNumberFormat="1" applyFont="1" applyFill="1" applyBorder="1"/>
    <xf numFmtId="169" fontId="15" fillId="26" borderId="0" xfId="111" applyNumberFormat="1" applyFont="1" applyFill="1" applyBorder="1" applyAlignment="1" applyProtection="1"/>
    <xf numFmtId="182" fontId="14" fillId="26" borderId="0" xfId="0" applyNumberFormat="1" applyFont="1" applyFill="1" applyBorder="1" applyAlignment="1"/>
    <xf numFmtId="186" fontId="4" fillId="0" borderId="20" xfId="72" applyNumberFormat="1" applyFont="1" applyFill="1" applyBorder="1" applyAlignment="1" applyProtection="1">
      <alignment horizontal="right" indent="1"/>
    </xf>
    <xf numFmtId="173" fontId="107" fillId="0" borderId="20" xfId="0" applyNumberFormat="1" applyFont="1" applyFill="1" applyBorder="1"/>
    <xf numFmtId="7" fontId="107" fillId="0" borderId="18" xfId="103" applyNumberFormat="1" applyFont="1" applyFill="1" applyBorder="1"/>
    <xf numFmtId="0" fontId="15" fillId="0" borderId="0" xfId="96" applyFont="1" applyFill="1" applyBorder="1"/>
    <xf numFmtId="0" fontId="110" fillId="28" borderId="0" xfId="0" quotePrefix="1" applyFont="1" applyFill="1" applyAlignment="1" applyProtection="1">
      <alignment horizontal="left"/>
    </xf>
    <xf numFmtId="165" fontId="15" fillId="0" borderId="0" xfId="116" applyNumberFormat="1" applyFont="1" applyFill="1" applyBorder="1"/>
    <xf numFmtId="165" fontId="5" fillId="0" borderId="25" xfId="116" applyNumberFormat="1" applyFont="1" applyFill="1" applyBorder="1"/>
    <xf numFmtId="165" fontId="5" fillId="0" borderId="0" xfId="116" applyNumberFormat="1" applyFont="1" applyFill="1" applyBorder="1"/>
    <xf numFmtId="165" fontId="5" fillId="0" borderId="20" xfId="116" applyNumberFormat="1" applyFont="1" applyFill="1" applyBorder="1"/>
    <xf numFmtId="0" fontId="7" fillId="28" borderId="0" xfId="0" applyFont="1" applyFill="1"/>
    <xf numFmtId="165" fontId="4" fillId="25" borderId="20" xfId="116" applyNumberFormat="1" applyFont="1" applyFill="1" applyBorder="1"/>
    <xf numFmtId="174" fontId="117" fillId="0" borderId="26" xfId="75" applyNumberFormat="1" applyFont="1" applyFill="1" applyBorder="1"/>
    <xf numFmtId="9" fontId="107" fillId="0" borderId="28" xfId="116" applyFont="1" applyFill="1" applyBorder="1"/>
    <xf numFmtId="173" fontId="107" fillId="0" borderId="19" xfId="72" applyNumberFormat="1" applyFont="1" applyFill="1" applyBorder="1" applyAlignment="1">
      <alignment horizontal="right"/>
    </xf>
    <xf numFmtId="170" fontId="4" fillId="25" borderId="0" xfId="116" applyNumberFormat="1" applyFont="1" applyFill="1" applyBorder="1"/>
    <xf numFmtId="212" fontId="4" fillId="25" borderId="26" xfId="116" applyNumberFormat="1" applyFont="1" applyFill="1" applyBorder="1"/>
    <xf numFmtId="204" fontId="0" fillId="0" borderId="0" xfId="0" applyNumberFormat="1" applyBorder="1"/>
    <xf numFmtId="9" fontId="107" fillId="0" borderId="26" xfId="116" applyFont="1" applyFill="1" applyBorder="1"/>
    <xf numFmtId="7" fontId="132" fillId="0" borderId="18" xfId="103" applyNumberFormat="1" applyFont="1" applyFill="1" applyBorder="1"/>
    <xf numFmtId="173" fontId="4" fillId="0" borderId="57" xfId="72" applyNumberFormat="1" applyFont="1" applyFill="1" applyBorder="1" applyAlignment="1">
      <alignment horizontal="right"/>
    </xf>
    <xf numFmtId="173" fontId="4" fillId="0" borderId="19" xfId="72" applyNumberFormat="1" applyFont="1" applyFill="1" applyBorder="1" applyAlignment="1">
      <alignment horizontal="right"/>
    </xf>
    <xf numFmtId="173" fontId="107" fillId="0" borderId="0" xfId="106" applyNumberFormat="1" applyFont="1" applyFill="1" applyBorder="1"/>
    <xf numFmtId="170" fontId="107" fillId="0" borderId="0" xfId="106" applyNumberFormat="1" applyFont="1" applyFill="1" applyBorder="1"/>
    <xf numFmtId="165" fontId="107" fillId="0" borderId="0" xfId="0" applyNumberFormat="1" applyFont="1" applyFill="1"/>
    <xf numFmtId="0" fontId="1" fillId="0" borderId="0" xfId="96"/>
    <xf numFmtId="0" fontId="1" fillId="30" borderId="0" xfId="192" applyFont="1" applyFill="1" applyAlignment="1">
      <alignment vertical="top"/>
    </xf>
    <xf numFmtId="0" fontId="1" fillId="30" borderId="0" xfId="96" applyFill="1" applyAlignment="1">
      <alignment vertical="top"/>
    </xf>
    <xf numFmtId="0" fontId="1" fillId="30" borderId="0" xfId="96" applyFill="1"/>
    <xf numFmtId="0" fontId="44" fillId="30" borderId="0" xfId="192" applyFont="1" applyFill="1" applyAlignment="1">
      <alignment horizontal="left" vertical="top"/>
    </xf>
    <xf numFmtId="0" fontId="1" fillId="30" borderId="0" xfId="96" applyFont="1" applyFill="1" applyAlignment="1">
      <alignment vertical="top"/>
    </xf>
    <xf numFmtId="0" fontId="2" fillId="30" borderId="0" xfId="192" applyFont="1" applyFill="1" applyAlignment="1">
      <alignment vertical="top"/>
    </xf>
    <xf numFmtId="0" fontId="0" fillId="30" borderId="0" xfId="0" applyFill="1" applyAlignment="1">
      <alignment vertical="top"/>
    </xf>
    <xf numFmtId="0" fontId="134" fillId="30" borderId="0" xfId="0" applyFont="1" applyFill="1" applyAlignment="1">
      <alignment vertical="top"/>
    </xf>
    <xf numFmtId="0" fontId="135" fillId="30" borderId="0" xfId="0" applyFont="1" applyFill="1" applyAlignment="1">
      <alignment vertical="top"/>
    </xf>
    <xf numFmtId="0" fontId="135" fillId="30" borderId="0" xfId="0" applyFont="1" applyFill="1" applyAlignment="1">
      <alignment vertical="top"/>
    </xf>
    <xf numFmtId="0" fontId="134" fillId="30" borderId="0" xfId="0" applyFont="1" applyFill="1" applyAlignment="1">
      <alignment vertical="top"/>
    </xf>
    <xf numFmtId="0" fontId="0" fillId="30" borderId="0" xfId="0" applyFill="1" applyAlignment="1">
      <alignment vertical="top"/>
    </xf>
    <xf numFmtId="0" fontId="0" fillId="30" borderId="78" xfId="0" applyFill="1" applyBorder="1" applyAlignment="1">
      <alignment vertical="top"/>
    </xf>
    <xf numFmtId="0" fontId="134" fillId="30" borderId="74" xfId="0" applyFont="1" applyFill="1" applyBorder="1" applyAlignment="1">
      <alignment vertical="top"/>
    </xf>
    <xf numFmtId="0" fontId="134" fillId="30" borderId="75" xfId="0" applyFont="1" applyFill="1" applyBorder="1" applyAlignment="1">
      <alignment vertical="top"/>
    </xf>
    <xf numFmtId="0" fontId="134" fillId="30" borderId="76" xfId="0" applyFont="1" applyFill="1" applyBorder="1" applyAlignment="1">
      <alignment vertical="top"/>
    </xf>
    <xf numFmtId="0" fontId="134" fillId="30" borderId="77" xfId="0" applyFont="1" applyFill="1" applyBorder="1" applyAlignment="1">
      <alignment vertical="top"/>
    </xf>
    <xf numFmtId="9" fontId="134" fillId="30" borderId="74" xfId="0" applyNumberFormat="1" applyFont="1" applyFill="1" applyBorder="1" applyAlignment="1">
      <alignment vertical="top"/>
    </xf>
    <xf numFmtId="3" fontId="134" fillId="30" borderId="74" xfId="0" applyNumberFormat="1" applyFont="1" applyFill="1" applyBorder="1" applyAlignment="1">
      <alignment vertical="top"/>
    </xf>
    <xf numFmtId="0" fontId="0" fillId="30" borderId="79" xfId="0" applyFill="1" applyBorder="1" applyAlignment="1">
      <alignment vertical="top"/>
    </xf>
    <xf numFmtId="2" fontId="1" fillId="0" borderId="0" xfId="96" applyNumberFormat="1" applyAlignment="1">
      <alignment horizontal="left"/>
    </xf>
    <xf numFmtId="0" fontId="1" fillId="0" borderId="0" xfId="96" applyNumberFormat="1" applyAlignment="1">
      <alignment horizontal="left"/>
    </xf>
    <xf numFmtId="1" fontId="1" fillId="0" borderId="0" xfId="96" applyNumberFormat="1" applyAlignment="1">
      <alignment horizontal="left"/>
    </xf>
    <xf numFmtId="0" fontId="1" fillId="0" borderId="0" xfId="96" applyFont="1"/>
    <xf numFmtId="223" fontId="1" fillId="0" borderId="0" xfId="96" applyNumberFormat="1" applyAlignment="1">
      <alignment horizontal="left"/>
    </xf>
    <xf numFmtId="49" fontId="1" fillId="0" borderId="0" xfId="96" applyNumberFormat="1"/>
  </cellXfs>
  <cellStyles count="193">
    <cellStyle name="%" xfId="1"/>
    <cellStyle name="_AFFX" xfId="2"/>
    <cellStyle name="_COV" xfId="3"/>
    <cellStyle name="_COV_A_Nov20" xfId="4"/>
    <cellStyle name="_COV_A_Nov20 2 2" xfId="5"/>
    <cellStyle name="_ILMN" xfId="6"/>
    <cellStyle name="_IS" xfId="7"/>
    <cellStyle name="_LIFE" xfId="8"/>
    <cellStyle name="_PKI" xfId="9"/>
    <cellStyle name="_RevBuild" xfId="10"/>
    <cellStyle name="_SUMMARY " xfId="11"/>
    <cellStyle name="_TMO" xfId="12"/>
    <cellStyle name="_TMO (Example)" xfId="13"/>
    <cellStyle name="_WAT" xfId="14"/>
    <cellStyle name="=C:\WINNT35\SYSTEM32\COMMAND.COM" xfId="15"/>
    <cellStyle name="0_Capex &amp; Depreciation " xfId="16"/>
    <cellStyle name="0_Capex &amp; Depreciation _ILMN (Ejemplo completo)" xfId="17"/>
    <cellStyle name="0_Capex &amp; Depreciation _RRST1" xfId="18"/>
    <cellStyle name="0_Valuing BP " xfId="19"/>
    <cellStyle name="0_Valuing BP _ILMN (Ejemplo completo)" xfId="20"/>
    <cellStyle name="0_Valuing BP _RRST1" xfId="21"/>
    <cellStyle name="20% - Accent1" xfId="22" builtinId="30" customBuiltin="1"/>
    <cellStyle name="20% - Accent2" xfId="23" builtinId="34" customBuiltin="1"/>
    <cellStyle name="20% - Accent3" xfId="24" builtinId="38" customBuiltin="1"/>
    <cellStyle name="20% - Accent4" xfId="25" builtinId="42" customBuiltin="1"/>
    <cellStyle name="20% - Accent5" xfId="26" builtinId="46" customBuiltin="1"/>
    <cellStyle name="20% - Accent6" xfId="27" builtinId="50" customBuiltin="1"/>
    <cellStyle name="40% - Accent1" xfId="28" builtinId="31" customBuiltin="1"/>
    <cellStyle name="40% - Accent2" xfId="29" builtinId="35" customBuiltin="1"/>
    <cellStyle name="40% - Accent3" xfId="30" builtinId="39" customBuiltin="1"/>
    <cellStyle name="40% - Accent4" xfId="31" builtinId="43" customBuiltin="1"/>
    <cellStyle name="40% - Accent5" xfId="32" builtinId="47" customBuiltin="1"/>
    <cellStyle name="40% - Accent6" xfId="33" builtinId="51" customBuiltin="1"/>
    <cellStyle name="60% - Accent1" xfId="34" builtinId="32" customBuiltin="1"/>
    <cellStyle name="60% - Accent2" xfId="35" builtinId="36" customBuiltin="1"/>
    <cellStyle name="60% - Accent3" xfId="36" builtinId="40" customBuiltin="1"/>
    <cellStyle name="60% - Accent4" xfId="37" builtinId="44" customBuiltin="1"/>
    <cellStyle name="60% - Accent5" xfId="38" builtinId="48" customBuiltin="1"/>
    <cellStyle name="60% - Accent6" xfId="39" builtinId="52" customBuiltin="1"/>
    <cellStyle name="Accent1" xfId="40" builtinId="29" customBuiltin="1"/>
    <cellStyle name="Accent2" xfId="41" builtinId="33" customBuiltin="1"/>
    <cellStyle name="Accent3" xfId="42" builtinId="37" customBuiltin="1"/>
    <cellStyle name="Accent4" xfId="43" builtinId="41" customBuiltin="1"/>
    <cellStyle name="Accent5" xfId="44" builtinId="45" customBuiltin="1"/>
    <cellStyle name="Accent6" xfId="45" builtinId="49" customBuiltin="1"/>
    <cellStyle name="Bad" xfId="46" builtinId="27" customBuiltin="1"/>
    <cellStyle name="Blue" xfId="47"/>
    <cellStyle name="c_HardInc " xfId="48"/>
    <cellStyle name="c_HardInc _AFFX" xfId="49"/>
    <cellStyle name="c_HardInc _Bal Sheet" xfId="50"/>
    <cellStyle name="c_HardInc _Bal Sheet_ILMN (Ejemplo completo)" xfId="51"/>
    <cellStyle name="c_HardInc _Cash Flow" xfId="52"/>
    <cellStyle name="c_HardInc _Cash Flow_ILMN (Ejemplo completo)" xfId="53"/>
    <cellStyle name="c_HardInc _ILMN" xfId="54"/>
    <cellStyle name="c_HardInc _ILMN (Ejemplo completo)" xfId="55"/>
    <cellStyle name="c_HardInc _ILMN_ILMN (Ejemplo completo)" xfId="56"/>
    <cellStyle name="c_HardInc _IS" xfId="57"/>
    <cellStyle name="c_HardInc _MTD Work in Progress" xfId="58"/>
    <cellStyle name="c_HardInc _MTD Work in Progress_ILMN (Ejemplo completo)" xfId="59"/>
    <cellStyle name="c_HardInc _P&amp;L" xfId="60"/>
    <cellStyle name="c_HardInc _P&amp;L_ILMN (Ejemplo completo)" xfId="61"/>
    <cellStyle name="c_HardInc _PKI" xfId="62"/>
    <cellStyle name="c_HardInc _PKI_ILMN (Ejemplo completo)" xfId="63"/>
    <cellStyle name="c_HardInc _RevBuild" xfId="64"/>
    <cellStyle name="c_HardInc _RRST1" xfId="65"/>
    <cellStyle name="c_HardInc _RRST15" xfId="66"/>
    <cellStyle name="c_HardInc _RRST15_ILMN (Ejemplo completo)" xfId="67"/>
    <cellStyle name="c_HardInc _RRST21" xfId="68"/>
    <cellStyle name="c_HardInc _RRST21_ILMN (Ejemplo completo)" xfId="69"/>
    <cellStyle name="Calculation" xfId="70" builtinId="22" customBuiltin="1"/>
    <cellStyle name="Check Cell" xfId="71" builtinId="23" customBuiltin="1"/>
    <cellStyle name="Comma" xfId="72" builtinId="3"/>
    <cellStyle name="Comma_HOLXcurrent" xfId="73"/>
    <cellStyle name="Comma_ISRG" xfId="74"/>
    <cellStyle name="Currency" xfId="75" builtinId="4"/>
    <cellStyle name="Currency 2" xfId="76"/>
    <cellStyle name="Currency 3" xfId="77"/>
    <cellStyle name="Currency 3 2" xfId="78"/>
    <cellStyle name="Currency 4" xfId="79"/>
    <cellStyle name="Currency 5" xfId="191"/>
    <cellStyle name="Explanatory Text" xfId="80" builtinId="53" customBuiltin="1"/>
    <cellStyle name="Fail" xfId="81"/>
    <cellStyle name="FiscalPeriod" xfId="82"/>
    <cellStyle name="Good" xfId="83" builtinId="26" customBuiltin="1"/>
    <cellStyle name="Heading 1" xfId="84" builtinId="16" customBuiltin="1"/>
    <cellStyle name="Heading 2" xfId="85" builtinId="17" customBuiltin="1"/>
    <cellStyle name="Heading 3" xfId="86" builtinId="18" customBuiltin="1"/>
    <cellStyle name="Heading 4" xfId="87" builtinId="19" customBuiltin="1"/>
    <cellStyle name="Hidden" xfId="88"/>
    <cellStyle name="Input" xfId="89" builtinId="20" customBuiltin="1"/>
    <cellStyle name="Input 2" xfId="90"/>
    <cellStyle name="Linked Cell" xfId="91" builtinId="24" customBuiltin="1"/>
    <cellStyle name="MetricLabel" xfId="92"/>
    <cellStyle name="MetricLabelBlue" xfId="93"/>
    <cellStyle name="MetricValue" xfId="94"/>
    <cellStyle name="Neutral" xfId="95" builtinId="28" customBuiltin="1"/>
    <cellStyle name="Normal" xfId="0" builtinId="0"/>
    <cellStyle name="Normal 1" xfId="96"/>
    <cellStyle name="Normal 2" xfId="97"/>
    <cellStyle name="Normal_Bal_Sheet_1" xfId="98"/>
    <cellStyle name="Normal_BalSht" xfId="99"/>
    <cellStyle name="Normal_bec" xfId="100"/>
    <cellStyle name="Normal_BS" xfId="101"/>
    <cellStyle name="Normal_COV_1" xfId="102"/>
    <cellStyle name="Normal_CYTC" xfId="103"/>
    <cellStyle name="Normal_CYTC Master" xfId="104"/>
    <cellStyle name="Normal_Dgx" xfId="105"/>
    <cellStyle name="Normal_DisclaimerSheet Samples" xfId="192"/>
    <cellStyle name="Normal_HOLXcurrent" xfId="106"/>
    <cellStyle name="Normal_HRC(1)" xfId="107"/>
    <cellStyle name="Normal_ILMN (Ejemplo completo)" xfId="108"/>
    <cellStyle name="Normal_Internet Security Systems Model" xfId="109"/>
    <cellStyle name="Normal_Internet Security Systems Model_ILMN (Ejemplo completo)" xfId="110"/>
    <cellStyle name="Normal_ISRG" xfId="111"/>
    <cellStyle name="Note" xfId="112" builtinId="10" customBuiltin="1"/>
    <cellStyle name="Output" xfId="113" builtinId="21" customBuiltin="1"/>
    <cellStyle name="p " xfId="114"/>
    <cellStyle name="Pass" xfId="115"/>
    <cellStyle name="Percent" xfId="116" builtinId="5"/>
    <cellStyle name="RRSInstruction" xfId="117"/>
    <cellStyle name="RRSInstruction 2" xfId="190"/>
    <cellStyle name="s_HardInc " xfId="118"/>
    <cellStyle name="s_HardInc _AFFX" xfId="119"/>
    <cellStyle name="s_HardInc _Bal Sheet" xfId="120"/>
    <cellStyle name="s_HardInc _Bal Sheet_ILMN (Ejemplo completo)" xfId="121"/>
    <cellStyle name="s_HardInc _Cash Flow" xfId="122"/>
    <cellStyle name="s_HardInc _Cash Flow_ILMN (Ejemplo completo)" xfId="123"/>
    <cellStyle name="s_HardInc _ILMN" xfId="124"/>
    <cellStyle name="s_HardInc _ILMN (Ejemplo completo)" xfId="125"/>
    <cellStyle name="s_HardInc _ILMN_ILMN (Ejemplo completo)" xfId="126"/>
    <cellStyle name="s_HardInc _IS" xfId="127"/>
    <cellStyle name="s_HardInc _MTD Work in Progress" xfId="128"/>
    <cellStyle name="s_HardInc _MTD Work in Progress_ILMN (Ejemplo completo)" xfId="129"/>
    <cellStyle name="s_HardInc _P&amp;L" xfId="130"/>
    <cellStyle name="s_HardInc _P&amp;L_ILMN (Ejemplo completo)" xfId="131"/>
    <cellStyle name="s_HardInc _PKI" xfId="132"/>
    <cellStyle name="s_HardInc _PKI_ILMN (Ejemplo completo)" xfId="133"/>
    <cellStyle name="s_HardInc _RevBuild" xfId="134"/>
    <cellStyle name="s_HardInc _RRST1" xfId="135"/>
    <cellStyle name="s_HardInc _RRST15" xfId="136"/>
    <cellStyle name="s_HardInc _RRST15_ILMN (Ejemplo completo)" xfId="137"/>
    <cellStyle name="s_HardInc _RRST21" xfId="138"/>
    <cellStyle name="s_HardInc _RRST21_ILMN (Ejemplo completo)" xfId="139"/>
    <cellStyle name="s_Valuation " xfId="140"/>
    <cellStyle name="s_Valuation _AFFX" xfId="141"/>
    <cellStyle name="s_Valuation _Bal Sheet" xfId="142"/>
    <cellStyle name="s_Valuation _Bal Sheet_ILMN (Ejemplo completo)" xfId="143"/>
    <cellStyle name="s_Valuation _Cash Flow" xfId="144"/>
    <cellStyle name="s_Valuation _Cash Flow_ILMN (Ejemplo completo)" xfId="145"/>
    <cellStyle name="s_Valuation _ILMN" xfId="146"/>
    <cellStyle name="s_Valuation _ILMN (Ejemplo completo)" xfId="147"/>
    <cellStyle name="s_Valuation _ILMN_ILMN (Ejemplo completo)" xfId="148"/>
    <cellStyle name="s_Valuation _IS" xfId="149"/>
    <cellStyle name="s_Valuation _MTD Work in Progress" xfId="150"/>
    <cellStyle name="s_Valuation _MTD Work in Progress_ILMN (Ejemplo completo)" xfId="151"/>
    <cellStyle name="s_Valuation _P&amp;L" xfId="152"/>
    <cellStyle name="s_Valuation _P&amp;L_ILMN (Ejemplo completo)" xfId="153"/>
    <cellStyle name="s_Valuation _PKI" xfId="154"/>
    <cellStyle name="s_Valuation _PKI_ILMN (Ejemplo completo)" xfId="155"/>
    <cellStyle name="s_Valuation _RevBuild" xfId="156"/>
    <cellStyle name="s_Valuation _RRST1" xfId="157"/>
    <cellStyle name="s_Valuation _RRST15" xfId="158"/>
    <cellStyle name="s_Valuation _RRST15_ILMN (Ejemplo completo)" xfId="159"/>
    <cellStyle name="s_Valuation _RRST21" xfId="160"/>
    <cellStyle name="s_Valuation _RRST21_ILMN (Ejemplo completo)" xfId="161"/>
    <cellStyle name="ssp " xfId="162"/>
    <cellStyle name="Style 1" xfId="163"/>
    <cellStyle name="Style 10" xfId="164"/>
    <cellStyle name="Style 11" xfId="165"/>
    <cellStyle name="Style 12" xfId="166"/>
    <cellStyle name="Style 13" xfId="167"/>
    <cellStyle name="Style 14" xfId="168"/>
    <cellStyle name="Style 15" xfId="169"/>
    <cellStyle name="Style 16" xfId="170"/>
    <cellStyle name="Style 17" xfId="171"/>
    <cellStyle name="Style 18" xfId="172"/>
    <cellStyle name="Style 19" xfId="173"/>
    <cellStyle name="Style 2" xfId="174"/>
    <cellStyle name="Style 20" xfId="175"/>
    <cellStyle name="Style 21" xfId="176"/>
    <cellStyle name="Style 22" xfId="177"/>
    <cellStyle name="Style 23" xfId="178"/>
    <cellStyle name="Style 3" xfId="179"/>
    <cellStyle name="Style 4" xfId="180"/>
    <cellStyle name="Style 5" xfId="181"/>
    <cellStyle name="Style 6" xfId="182"/>
    <cellStyle name="Style 7" xfId="183"/>
    <cellStyle name="Style 8" xfId="184"/>
    <cellStyle name="Style 9" xfId="185"/>
    <cellStyle name="Title" xfId="186" builtinId="15" customBuiltin="1"/>
    <cellStyle name="Total" xfId="187" builtinId="25" customBuiltin="1"/>
    <cellStyle name="Warning Text" xfId="188" builtinId="11" customBuiltin="1"/>
    <cellStyle name="쬞\?1@" xfId="189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BFBFBF"/>
      <color rgb="FF137CB1"/>
      <color rgb="FF808080"/>
      <color rgb="FF2270AB"/>
      <color rgb="FF238B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externalLinks/externalLink1.xml" Type="http://schemas.openxmlformats.org/officeDocument/2006/relationships/externalLink"/>
<Relationship Id="rId13" Target="externalLinks/externalLink2.xml" Type="http://schemas.openxmlformats.org/officeDocument/2006/relationships/externalLink"/>
<Relationship Id="rId14" Target="theme/theme1.xml" Type="http://schemas.openxmlformats.org/officeDocument/2006/relationships/theme"/>
<Relationship Id="rId15" Target="styles.xml" Type="http://schemas.openxmlformats.org/officeDocument/2006/relationships/styles"/>
<Relationship Id="rId16" Target="sharedStrings.xml" Type="http://schemas.openxmlformats.org/officeDocument/2006/relationships/sharedStrings"/>
<Relationship Id="rId17" Target="calcChain.xml" Type="http://schemas.openxmlformats.org/officeDocument/2006/relationships/calcChain"/>
<Relationship Id="rId18" Target="../customXml/item1.xml" Type="http://schemas.openxmlformats.org/officeDocument/2006/relationships/customXml"/>
<Relationship Id="rId19" Target="../customXml/item2.xml" Type="http://schemas.openxmlformats.org/officeDocument/2006/relationships/customXml"/>
<Relationship Id="rId2" Target="worksheets/sheet2.xml" Type="http://schemas.openxmlformats.org/officeDocument/2006/relationships/worksheet"/>
<Relationship Id="rId20" Target="vbaProject.bin" Type="http://schemas.microsoft.com/office/2006/relationships/vbaProjec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167</xdr:row>
      <xdr:rowOff>0</xdr:rowOff>
    </xdr:from>
    <xdr:to>
      <xdr:col>7</xdr:col>
      <xdr:colOff>390525</xdr:colOff>
      <xdr:row>190</xdr:row>
      <xdr:rowOff>104775</xdr:rowOff>
    </xdr:to>
    <xdr:pic>
      <xdr:nvPicPr>
        <xdr:cNvPr id="5647361" name="Picture 1" descr="C:\Users\jerrosen\AppData\Local\Temp\MercuryPriceRatingHistoryChart\WAT.N_2018_04_11_01_10_36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66987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Documents%20and%20Settings/bosesub/Local%20Settings/Temporary%20Internet%20Files/OLKAD4/TMO.xls" TargetMode="External" Type="http://schemas.microsoft.com/office/2006/relationships/xlExternalLinkPath/xlStartup"/>
</Relationships>

</file>

<file path=xl/externalLinks/_rels/externalLink2.xml.rels><?xml version="1.0" encoding="UTF-8" standalone="yes"?>
<Relationships xmlns="http://schemas.openxmlformats.org/package/2006/relationships">
<Relationship Id="rId1" Target="HEALTH/Tools/Models/TMO.xls" TargetMode="External" Type="http://schemas.microsoft.com/office/2006/relationships/xlExternalLinkPath/xlAlternate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P&amp;L"/>
      <sheetName val="Revenue Build"/>
      <sheetName val="Org Rev"/>
      <sheetName val="Bal Sheet"/>
      <sheetName val="MW-Cache"/>
      <sheetName val="Cash Flow"/>
      <sheetName val="Q Variance"/>
      <sheetName val="Earnings Charts"/>
      <sheetName val="Guidance"/>
      <sheetName val="BBB"/>
      <sheetName val="Debt"/>
      <sheetName val="FX"/>
      <sheetName val="DCF"/>
      <sheetName val="Quarterly Guidance"/>
      <sheetName val="Links"/>
      <sheetName val="Residual Income"/>
      <sheetName val="mwareDates"/>
      <sheetName val="MWA RR"/>
      <sheetName val="mwareSettings"/>
      <sheetName val="Page 7"/>
      <sheetName val="Page 8"/>
      <sheetName val="Data"/>
      <sheetName val="Page 3"/>
      <sheetName val="Page 4"/>
      <sheetName val="Page 5"/>
      <sheetName val="Page 6"/>
      <sheetName val="Page1"/>
      <sheetName val="ToDo"/>
      <sheetName val="IS"/>
      <sheetName val="RevBuild"/>
      <sheetName val="OrgRev"/>
      <sheetName val="BS"/>
      <sheetName val="CFS"/>
      <sheetName val="TMOLIFE"/>
      <sheetName val="Consensus"/>
      <sheetName val="EPS Charts"/>
      <sheetName val="CommTrkr"/>
      <sheetName val="LinksQ"/>
      <sheetName val="LinksA"/>
      <sheetName val="GeoRev"/>
      <sheetName val="Timeline"/>
      <sheetName val="TMO"/>
      <sheetName val="Sheet1"/>
    </sheetNames>
    <sheetDataSet>
      <sheetData sheetId="0" refreshError="1"/>
      <sheetData sheetId="1" refreshError="1">
        <row r="7">
          <cell r="I7" t="str">
            <v>2004A</v>
          </cell>
          <cell r="O7" t="str">
            <v>2005A</v>
          </cell>
          <cell r="U7" t="str">
            <v>2006A</v>
          </cell>
          <cell r="AA7" t="str">
            <v>2007A</v>
          </cell>
          <cell r="AG7" t="str">
            <v>2008A</v>
          </cell>
          <cell r="AM7" t="str">
            <v>2009A</v>
          </cell>
          <cell r="AS7" t="str">
            <v>2010A</v>
          </cell>
          <cell r="AY7" t="str">
            <v>2011A</v>
          </cell>
          <cell r="BE7" t="str">
            <v>2012E</v>
          </cell>
          <cell r="BK7" t="str">
            <v>2013E</v>
          </cell>
          <cell r="BQ7" t="str">
            <v>2014E</v>
          </cell>
          <cell r="BW7" t="str">
            <v>2015E</v>
          </cell>
        </row>
        <row r="8">
          <cell r="I8">
            <v>38080</v>
          </cell>
          <cell r="J8">
            <v>38171</v>
          </cell>
          <cell r="K8">
            <v>38262</v>
          </cell>
          <cell r="L8">
            <v>38352</v>
          </cell>
          <cell r="O8">
            <v>38444</v>
          </cell>
          <cell r="P8">
            <v>38535</v>
          </cell>
          <cell r="Q8">
            <v>38626</v>
          </cell>
          <cell r="R8">
            <v>38717</v>
          </cell>
          <cell r="U8">
            <v>38808</v>
          </cell>
          <cell r="V8">
            <v>38899</v>
          </cell>
          <cell r="W8">
            <v>38990</v>
          </cell>
          <cell r="X8">
            <v>39082</v>
          </cell>
          <cell r="AA8">
            <v>39172</v>
          </cell>
          <cell r="AB8">
            <v>39263</v>
          </cell>
          <cell r="AC8">
            <v>39354</v>
          </cell>
          <cell r="AD8">
            <v>39447</v>
          </cell>
          <cell r="AG8">
            <v>39536</v>
          </cell>
          <cell r="AH8">
            <v>39627</v>
          </cell>
          <cell r="AI8">
            <v>39718</v>
          </cell>
          <cell r="AJ8">
            <v>39813</v>
          </cell>
          <cell r="AM8">
            <v>39901</v>
          </cell>
          <cell r="AN8">
            <v>39992</v>
          </cell>
          <cell r="AO8">
            <v>40083</v>
          </cell>
          <cell r="AP8">
            <v>40178</v>
          </cell>
          <cell r="AS8">
            <v>40266</v>
          </cell>
          <cell r="AT8">
            <v>40357</v>
          </cell>
          <cell r="AU8">
            <v>40448</v>
          </cell>
          <cell r="AV8">
            <v>40543</v>
          </cell>
          <cell r="AY8">
            <v>40631</v>
          </cell>
          <cell r="AZ8">
            <v>40722</v>
          </cell>
          <cell r="BA8">
            <v>40813</v>
          </cell>
          <cell r="BB8">
            <v>40908</v>
          </cell>
          <cell r="BE8">
            <v>40997</v>
          </cell>
          <cell r="BF8">
            <v>41088</v>
          </cell>
          <cell r="BG8">
            <v>41179</v>
          </cell>
          <cell r="BH8">
            <v>41274</v>
          </cell>
          <cell r="BK8">
            <v>41362</v>
          </cell>
          <cell r="BL8">
            <v>41453</v>
          </cell>
          <cell r="BM8">
            <v>41544</v>
          </cell>
          <cell r="BN8">
            <v>41639</v>
          </cell>
          <cell r="BQ8">
            <v>41727</v>
          </cell>
          <cell r="BR8">
            <v>41818</v>
          </cell>
          <cell r="BS8">
            <v>41909</v>
          </cell>
          <cell r="BT8">
            <v>42004</v>
          </cell>
          <cell r="BW8">
            <v>42092</v>
          </cell>
          <cell r="BX8">
            <v>42183</v>
          </cell>
          <cell r="BY8">
            <v>42274</v>
          </cell>
          <cell r="BZ8">
            <v>42369</v>
          </cell>
        </row>
        <row r="9">
          <cell r="C9" t="str">
            <v>Revenue</v>
          </cell>
          <cell r="I9">
            <v>525.03200000000004</v>
          </cell>
          <cell r="J9">
            <v>525.30899999999997</v>
          </cell>
          <cell r="K9">
            <v>542.31499999999994</v>
          </cell>
          <cell r="L9">
            <v>613.33900000000006</v>
          </cell>
          <cell r="M9">
            <v>2205.9950000000003</v>
          </cell>
          <cell r="O9">
            <v>559.20799999999997</v>
          </cell>
          <cell r="P9">
            <v>653.62099999999998</v>
          </cell>
          <cell r="Q9">
            <v>679.41100000000006</v>
          </cell>
          <cell r="R9">
            <v>740.78700000000003</v>
          </cell>
          <cell r="S9">
            <v>2633.027</v>
          </cell>
          <cell r="U9">
            <v>684.28700000000003</v>
          </cell>
          <cell r="V9">
            <v>713.46799999999996</v>
          </cell>
          <cell r="W9">
            <v>724.96199999999999</v>
          </cell>
          <cell r="X9">
            <v>1668.8999999999999</v>
          </cell>
          <cell r="Y9">
            <v>3766.8</v>
          </cell>
          <cell r="AA9">
            <v>2338.2000000000003</v>
          </cell>
          <cell r="AB9">
            <v>2385.9</v>
          </cell>
          <cell r="AC9">
            <v>2401.1999999999998</v>
          </cell>
          <cell r="AD9">
            <v>2621.1</v>
          </cell>
          <cell r="AE9">
            <v>9592.5</v>
          </cell>
          <cell r="AG9">
            <v>2554</v>
          </cell>
          <cell r="AH9">
            <v>2709.6000000000004</v>
          </cell>
          <cell r="AI9">
            <v>2588.1000000000004</v>
          </cell>
          <cell r="AJ9">
            <v>2646.2999999999997</v>
          </cell>
          <cell r="AK9">
            <v>10313.200000000001</v>
          </cell>
          <cell r="AM9">
            <v>2255.1000000000004</v>
          </cell>
          <cell r="AN9">
            <v>2484.1</v>
          </cell>
          <cell r="AO9">
            <v>2531.1</v>
          </cell>
          <cell r="AP9">
            <v>2839.4</v>
          </cell>
          <cell r="AQ9">
            <v>9911.6</v>
          </cell>
          <cell r="AS9">
            <v>2626.8999999999996</v>
          </cell>
          <cell r="AT9">
            <v>2595.6999999999998</v>
          </cell>
          <cell r="AU9">
            <v>2628.7</v>
          </cell>
          <cell r="AV9">
            <v>2718.9</v>
          </cell>
          <cell r="AW9">
            <v>10570.199999999999</v>
          </cell>
          <cell r="AY9">
            <v>2682.6</v>
          </cell>
          <cell r="AZ9">
            <v>2854</v>
          </cell>
          <cell r="BA9">
            <v>2932.9</v>
          </cell>
          <cell r="BB9">
            <v>3089.3</v>
          </cell>
          <cell r="BC9">
            <v>11558.8</v>
          </cell>
          <cell r="BE9">
            <v>3056.8</v>
          </cell>
          <cell r="BF9">
            <v>3108.1</v>
          </cell>
          <cell r="BG9">
            <v>2962.2028414147771</v>
          </cell>
          <cell r="BH9">
            <v>3054.5401695015048</v>
          </cell>
          <cell r="BI9">
            <v>12181.643010916281</v>
          </cell>
          <cell r="BK9">
            <v>3147.7721003300003</v>
          </cell>
          <cell r="BL9">
            <v>3237.5855535400001</v>
          </cell>
          <cell r="BM9">
            <v>3048.3352334999154</v>
          </cell>
          <cell r="BN9">
            <v>3146.8347564726155</v>
          </cell>
          <cell r="BO9">
            <v>12580.52764384253</v>
          </cell>
          <cell r="BQ9">
            <v>3254.9437618932002</v>
          </cell>
          <cell r="BR9">
            <v>3357.2608898460999</v>
          </cell>
          <cell r="BS9">
            <v>3156.4157261293858</v>
          </cell>
          <cell r="BT9">
            <v>3271.6279401215888</v>
          </cell>
          <cell r="BU9">
            <v>13040.248317990276</v>
          </cell>
          <cell r="BW9">
            <v>3392.315677989594</v>
          </cell>
          <cell r="BX9">
            <v>3492.4774550567508</v>
          </cell>
          <cell r="BY9">
            <v>3278.3323214926254</v>
          </cell>
          <cell r="BZ9">
            <v>3414.0525106607424</v>
          </cell>
          <cell r="CA9">
            <v>13577.177965199713</v>
          </cell>
        </row>
        <row r="10">
          <cell r="C10" t="str">
            <v>COGS</v>
          </cell>
          <cell r="I10">
            <v>284.17200000000003</v>
          </cell>
          <cell r="J10">
            <v>286.42399999999998</v>
          </cell>
          <cell r="K10">
            <v>291.36</v>
          </cell>
          <cell r="L10">
            <v>329.28000000000003</v>
          </cell>
          <cell r="M10">
            <v>1188.155</v>
          </cell>
          <cell r="O10">
            <v>305.30599999999998</v>
          </cell>
          <cell r="P10">
            <v>359.84199999999998</v>
          </cell>
          <cell r="Q10">
            <v>377.173</v>
          </cell>
          <cell r="R10">
            <v>403.29299999999995</v>
          </cell>
          <cell r="S10">
            <v>1445.6139999999998</v>
          </cell>
          <cell r="U10">
            <v>371.66300000000001</v>
          </cell>
          <cell r="V10">
            <v>387.71</v>
          </cell>
          <cell r="W10">
            <v>386.09300000000002</v>
          </cell>
          <cell r="X10">
            <v>950.351</v>
          </cell>
          <cell r="Y10">
            <v>2121.9</v>
          </cell>
          <cell r="AA10">
            <v>1391.6999999999998</v>
          </cell>
          <cell r="AB10">
            <v>1407.8999999999999</v>
          </cell>
          <cell r="AC10">
            <v>1421.8999999999999</v>
          </cell>
          <cell r="AD10">
            <v>1549.6</v>
          </cell>
          <cell r="AE10">
            <v>5715.3</v>
          </cell>
          <cell r="AG10">
            <v>1503.3000000000002</v>
          </cell>
          <cell r="AH10">
            <v>1590.6</v>
          </cell>
          <cell r="AI10">
            <v>1523.2</v>
          </cell>
          <cell r="AJ10">
            <v>1548.3</v>
          </cell>
          <cell r="AK10">
            <v>6100.3000000000011</v>
          </cell>
          <cell r="AM10">
            <v>1338.4</v>
          </cell>
          <cell r="AN10">
            <v>1464.6999999999998</v>
          </cell>
          <cell r="AO10">
            <v>1488.3</v>
          </cell>
          <cell r="AP10">
            <v>1662.2</v>
          </cell>
          <cell r="AQ10">
            <v>5888.3</v>
          </cell>
          <cell r="AS10">
            <v>1522.9999999999995</v>
          </cell>
          <cell r="AT10">
            <v>1511.6999999999998</v>
          </cell>
          <cell r="AU10">
            <v>1532.4999999999998</v>
          </cell>
          <cell r="AV10">
            <v>1560.6000000000001</v>
          </cell>
          <cell r="AW10">
            <v>6127.7999999999993</v>
          </cell>
          <cell r="AY10">
            <v>1526</v>
          </cell>
          <cell r="AZ10">
            <v>1632.8</v>
          </cell>
          <cell r="BA10">
            <v>1637.3000000000002</v>
          </cell>
          <cell r="BB10">
            <v>1701.3000000000002</v>
          </cell>
          <cell r="BC10">
            <v>6497.4000000000005</v>
          </cell>
          <cell r="BE10">
            <v>1683.0000000000002</v>
          </cell>
          <cell r="BF10">
            <v>1720.4</v>
          </cell>
          <cell r="BG10">
            <v>1628.4796727412936</v>
          </cell>
          <cell r="BH10">
            <v>1657.7211869380708</v>
          </cell>
          <cell r="BI10">
            <v>6689.6008596793645</v>
          </cell>
          <cell r="BK10">
            <v>1723.6437174779262</v>
          </cell>
          <cell r="BL10">
            <v>1783.9790666847343</v>
          </cell>
          <cell r="BM10">
            <v>1672.7828718842304</v>
          </cell>
          <cell r="BN10">
            <v>1703.0898790540698</v>
          </cell>
          <cell r="BO10">
            <v>6883.4955351009603</v>
          </cell>
          <cell r="BQ10">
            <v>1769.3085470514166</v>
          </cell>
          <cell r="BR10">
            <v>1836.4936997442107</v>
          </cell>
          <cell r="BS10">
            <v>1719.4666953080291</v>
          </cell>
          <cell r="BT10">
            <v>1757.5423467745836</v>
          </cell>
          <cell r="BU10">
            <v>7082.8112888782398</v>
          </cell>
          <cell r="BW10">
            <v>1830.411328790638</v>
          </cell>
          <cell r="BX10">
            <v>1896.4901506740405</v>
          </cell>
          <cell r="BY10">
            <v>1772.76778779707</v>
          </cell>
          <cell r="BZ10">
            <v>1820.3976528716528</v>
          </cell>
          <cell r="CA10">
            <v>7320.0669201334013</v>
          </cell>
        </row>
        <row r="11">
          <cell r="C11" t="str">
            <v>Gross profit</v>
          </cell>
          <cell r="I11">
            <v>240.86</v>
          </cell>
          <cell r="J11">
            <v>238.88499999999999</v>
          </cell>
          <cell r="K11">
            <v>250.95499999999993</v>
          </cell>
          <cell r="L11">
            <v>284.05900000000003</v>
          </cell>
          <cell r="M11">
            <v>1017.8400000000004</v>
          </cell>
          <cell r="O11">
            <v>253.90199999999999</v>
          </cell>
          <cell r="P11">
            <v>293.779</v>
          </cell>
          <cell r="Q11">
            <v>302.23800000000006</v>
          </cell>
          <cell r="R11">
            <v>337.49400000000009</v>
          </cell>
          <cell r="S11">
            <v>1187.4130000000002</v>
          </cell>
          <cell r="U11">
            <v>312.62400000000002</v>
          </cell>
          <cell r="V11">
            <v>325.75799999999998</v>
          </cell>
          <cell r="W11">
            <v>338.86899999999997</v>
          </cell>
          <cell r="X11">
            <v>718.54899999999986</v>
          </cell>
          <cell r="Y11">
            <v>1644.9</v>
          </cell>
          <cell r="AA11">
            <v>946.50000000000045</v>
          </cell>
          <cell r="AB11">
            <v>978.00000000000023</v>
          </cell>
          <cell r="AC11">
            <v>979.3</v>
          </cell>
          <cell r="AD11">
            <v>1071.5</v>
          </cell>
          <cell r="AE11">
            <v>3877.2</v>
          </cell>
          <cell r="AG11">
            <v>1050.6999999999998</v>
          </cell>
          <cell r="AH11">
            <v>1119.0000000000005</v>
          </cell>
          <cell r="AI11">
            <v>1064.9000000000003</v>
          </cell>
          <cell r="AJ11">
            <v>1097.9999999999998</v>
          </cell>
          <cell r="AK11">
            <v>4212.8999999999996</v>
          </cell>
          <cell r="AM11">
            <v>916.70000000000027</v>
          </cell>
          <cell r="AN11">
            <v>1019.4000000000001</v>
          </cell>
          <cell r="AO11">
            <v>1042.8</v>
          </cell>
          <cell r="AP11">
            <v>1177.2</v>
          </cell>
          <cell r="AQ11">
            <v>4023.3</v>
          </cell>
          <cell r="AS11">
            <v>1103.9000000000001</v>
          </cell>
          <cell r="AT11">
            <v>1084</v>
          </cell>
          <cell r="AU11">
            <v>1096.2</v>
          </cell>
          <cell r="AV11">
            <v>1158.3</v>
          </cell>
          <cell r="AW11">
            <v>4442.3999999999996</v>
          </cell>
          <cell r="AY11">
            <v>1156.5999999999999</v>
          </cell>
          <cell r="AZ11">
            <v>1221.2</v>
          </cell>
          <cell r="BA11">
            <v>1295.5999999999999</v>
          </cell>
          <cell r="BB11">
            <v>1388</v>
          </cell>
          <cell r="BC11">
            <v>5061.3999999999987</v>
          </cell>
          <cell r="BE11">
            <v>1373.8</v>
          </cell>
          <cell r="BF11">
            <v>1387.7</v>
          </cell>
          <cell r="BG11">
            <v>1333.7231686734835</v>
          </cell>
          <cell r="BH11">
            <v>1396.818982563434</v>
          </cell>
          <cell r="BI11">
            <v>5492.0421512369167</v>
          </cell>
          <cell r="BK11">
            <v>1424.1283828520741</v>
          </cell>
          <cell r="BL11">
            <v>1453.6064868552658</v>
          </cell>
          <cell r="BM11">
            <v>1375.552361615685</v>
          </cell>
          <cell r="BN11">
            <v>1443.7448774185457</v>
          </cell>
          <cell r="BO11">
            <v>5697.0321087415696</v>
          </cell>
          <cell r="BQ11">
            <v>1485.6352148417836</v>
          </cell>
          <cell r="BR11">
            <v>1520.7671901018891</v>
          </cell>
          <cell r="BS11">
            <v>1436.9490308213567</v>
          </cell>
          <cell r="BT11">
            <v>1514.0855933470052</v>
          </cell>
          <cell r="BU11">
            <v>5957.4370291120358</v>
          </cell>
          <cell r="BW11">
            <v>1561.904349198956</v>
          </cell>
          <cell r="BX11">
            <v>1595.9873043827104</v>
          </cell>
          <cell r="BY11">
            <v>1505.5645336955554</v>
          </cell>
          <cell r="BZ11">
            <v>1593.6548577890896</v>
          </cell>
          <cell r="CA11">
            <v>6257.1110450663118</v>
          </cell>
        </row>
        <row r="12">
          <cell r="C12" t="str">
            <v>SG&amp;A</v>
          </cell>
          <cell r="I12">
            <v>146.75299999999999</v>
          </cell>
          <cell r="J12">
            <v>140.864</v>
          </cell>
          <cell r="K12">
            <v>147.346</v>
          </cell>
          <cell r="L12">
            <v>168.66399999999999</v>
          </cell>
          <cell r="M12">
            <v>603.62699999999995</v>
          </cell>
          <cell r="O12">
            <v>156.08699999999999</v>
          </cell>
          <cell r="P12">
            <v>173.48400000000001</v>
          </cell>
          <cell r="Q12">
            <v>168.75399999999999</v>
          </cell>
          <cell r="R12">
            <v>185.821</v>
          </cell>
          <cell r="S12">
            <v>684.14600000000007</v>
          </cell>
          <cell r="U12">
            <v>176.887</v>
          </cell>
          <cell r="V12">
            <v>181.26400000000001</v>
          </cell>
          <cell r="W12">
            <v>191.53299999999999</v>
          </cell>
          <cell r="X12">
            <v>403.06299999999999</v>
          </cell>
          <cell r="Y12">
            <v>913.8</v>
          </cell>
          <cell r="AA12">
            <v>511.2</v>
          </cell>
          <cell r="AB12">
            <v>514.70000000000005</v>
          </cell>
          <cell r="AC12">
            <v>515.79999999999995</v>
          </cell>
          <cell r="AD12">
            <v>558</v>
          </cell>
          <cell r="AE12">
            <v>2041.6</v>
          </cell>
          <cell r="AG12">
            <v>541.6</v>
          </cell>
          <cell r="AH12">
            <v>578</v>
          </cell>
          <cell r="AI12">
            <v>548.70000000000005</v>
          </cell>
          <cell r="AJ12">
            <v>545.4</v>
          </cell>
          <cell r="AK12">
            <v>2148.8000000000002</v>
          </cell>
          <cell r="AM12">
            <v>509.5</v>
          </cell>
          <cell r="AN12">
            <v>542.70000000000005</v>
          </cell>
          <cell r="AO12">
            <v>544.79999999999995</v>
          </cell>
          <cell r="AP12">
            <v>598.1</v>
          </cell>
          <cell r="AQ12">
            <v>2130.1</v>
          </cell>
          <cell r="AS12">
            <v>582.9</v>
          </cell>
          <cell r="AT12">
            <v>567</v>
          </cell>
          <cell r="AU12">
            <v>573.6</v>
          </cell>
          <cell r="AV12">
            <v>594</v>
          </cell>
          <cell r="AW12">
            <v>2317.5</v>
          </cell>
          <cell r="AY12">
            <v>603.6</v>
          </cell>
          <cell r="AZ12">
            <v>627.6</v>
          </cell>
          <cell r="BA12">
            <v>662</v>
          </cell>
          <cell r="BB12">
            <v>699.80000000000007</v>
          </cell>
          <cell r="BC12">
            <v>2593</v>
          </cell>
          <cell r="BE12">
            <v>709</v>
          </cell>
          <cell r="BF12">
            <v>703.4</v>
          </cell>
          <cell r="BG12">
            <v>671.57629845210124</v>
          </cell>
          <cell r="BH12">
            <v>694.98061100015991</v>
          </cell>
          <cell r="BI12">
            <v>2778.9569094522612</v>
          </cell>
          <cell r="BK12">
            <v>730.10024179991171</v>
          </cell>
          <cell r="BL12">
            <v>732.70412096137068</v>
          </cell>
          <cell r="BM12">
            <v>691.10381771737048</v>
          </cell>
          <cell r="BN12">
            <v>715.97982688398895</v>
          </cell>
          <cell r="BO12">
            <v>2869.8880073626419</v>
          </cell>
          <cell r="BQ12">
            <v>752.51663279042214</v>
          </cell>
          <cell r="BR12">
            <v>757.27012740547241</v>
          </cell>
          <cell r="BS12">
            <v>713.23999236879695</v>
          </cell>
          <cell r="BT12">
            <v>741.91952628295803</v>
          </cell>
          <cell r="BU12">
            <v>2964.9462788476494</v>
          </cell>
          <cell r="BW12">
            <v>781.73167032449101</v>
          </cell>
          <cell r="BX12">
            <v>785.15047396152818</v>
          </cell>
          <cell r="BY12">
            <v>738.33014640637771</v>
          </cell>
          <cell r="BZ12">
            <v>771.65714911138298</v>
          </cell>
          <cell r="CA12">
            <v>3076.8694398037796</v>
          </cell>
        </row>
        <row r="13">
          <cell r="C13" t="str">
            <v>R&amp;D</v>
          </cell>
          <cell r="I13">
            <v>34.268999999999998</v>
          </cell>
          <cell r="J13">
            <v>32.591999999999999</v>
          </cell>
          <cell r="K13">
            <v>32.874000000000002</v>
          </cell>
          <cell r="L13">
            <v>34.945</v>
          </cell>
          <cell r="M13">
            <v>134.67999999999998</v>
          </cell>
          <cell r="O13">
            <v>36.328000000000003</v>
          </cell>
          <cell r="P13">
            <v>39.432000000000002</v>
          </cell>
          <cell r="Q13">
            <v>38.783999999999999</v>
          </cell>
          <cell r="R13">
            <v>38.231000000000002</v>
          </cell>
          <cell r="S13">
            <v>152.77500000000001</v>
          </cell>
          <cell r="U13">
            <v>38.737000000000002</v>
          </cell>
          <cell r="V13">
            <v>40.619999999999997</v>
          </cell>
          <cell r="W13">
            <v>38.658000000000001</v>
          </cell>
          <cell r="X13">
            <v>52.168999999999997</v>
          </cell>
          <cell r="Y13">
            <v>167.9</v>
          </cell>
          <cell r="AA13">
            <v>59.8</v>
          </cell>
          <cell r="AB13">
            <v>58.7</v>
          </cell>
          <cell r="AC13">
            <v>58.8</v>
          </cell>
          <cell r="AD13">
            <v>61.4</v>
          </cell>
          <cell r="AE13">
            <v>237</v>
          </cell>
          <cell r="AG13">
            <v>62</v>
          </cell>
          <cell r="AH13">
            <v>64.400000000000006</v>
          </cell>
          <cell r="AI13">
            <v>61.8</v>
          </cell>
          <cell r="AJ13">
            <v>60.9</v>
          </cell>
          <cell r="AK13">
            <v>247.2</v>
          </cell>
          <cell r="AM13">
            <v>58.2</v>
          </cell>
          <cell r="AN13">
            <v>58.1</v>
          </cell>
          <cell r="AO13">
            <v>60.5</v>
          </cell>
          <cell r="AP13">
            <v>69.3</v>
          </cell>
          <cell r="AQ13">
            <v>243.8</v>
          </cell>
          <cell r="AS13">
            <v>66.099999999999994</v>
          </cell>
          <cell r="AT13">
            <v>69.599999999999994</v>
          </cell>
          <cell r="AU13">
            <v>71.5</v>
          </cell>
          <cell r="AV13">
            <v>77.599999999999994</v>
          </cell>
          <cell r="AW13">
            <v>284.79999999999995</v>
          </cell>
          <cell r="AY13">
            <v>74.8</v>
          </cell>
          <cell r="AZ13">
            <v>83.3</v>
          </cell>
          <cell r="BA13">
            <v>86.8</v>
          </cell>
          <cell r="BB13">
            <v>95.7</v>
          </cell>
          <cell r="BC13">
            <v>340.59999999999997</v>
          </cell>
          <cell r="BE13">
            <v>91.8</v>
          </cell>
          <cell r="BF13">
            <v>94.2</v>
          </cell>
          <cell r="BG13">
            <v>87.667225829316592</v>
          </cell>
          <cell r="BH13">
            <v>94.623213744632764</v>
          </cell>
          <cell r="BI13">
            <v>368.29043957394936</v>
          </cell>
          <cell r="BK13">
            <v>94.532020024304501</v>
          </cell>
          <cell r="BL13">
            <v>98.12443587512243</v>
          </cell>
          <cell r="BM13">
            <v>90.216338186706892</v>
          </cell>
          <cell r="BN13">
            <v>97.482305439558885</v>
          </cell>
          <cell r="BO13">
            <v>380.35509952569271</v>
          </cell>
          <cell r="BQ13">
            <v>95.309327817743849</v>
          </cell>
          <cell r="BR13">
            <v>99.233598949423964</v>
          </cell>
          <cell r="BS13">
            <v>91.047698955183279</v>
          </cell>
          <cell r="BT13">
            <v>98.894414178963785</v>
          </cell>
          <cell r="BU13">
            <v>384.48503990131485</v>
          </cell>
          <cell r="BW13">
            <v>96.787533823844157</v>
          </cell>
          <cell r="BX13">
            <v>100.61095926747952</v>
          </cell>
          <cell r="BY13">
            <v>92.105668180640762</v>
          </cell>
          <cell r="BZ13">
            <v>100.63906925143452</v>
          </cell>
          <cell r="CA13">
            <v>390.14323052339898</v>
          </cell>
        </row>
        <row r="14">
          <cell r="C14" t="str">
            <v>One-time items, total</v>
          </cell>
          <cell r="I14">
            <v>6.9640000000000004</v>
          </cell>
          <cell r="J14">
            <v>6.4589999999999996</v>
          </cell>
          <cell r="K14">
            <v>11.114000000000001</v>
          </cell>
          <cell r="L14">
            <v>14.402999999999999</v>
          </cell>
          <cell r="M14">
            <v>32.420999999999992</v>
          </cell>
          <cell r="O14">
            <v>1.8109999999999999</v>
          </cell>
          <cell r="P14">
            <v>27.649000000000001</v>
          </cell>
          <cell r="Q14">
            <v>32.590000000000003</v>
          </cell>
          <cell r="R14">
            <v>24.954999999999998</v>
          </cell>
          <cell r="S14">
            <v>87.004999999999995</v>
          </cell>
          <cell r="U14">
            <v>29.155000000000001</v>
          </cell>
          <cell r="V14">
            <v>31.701000000000001</v>
          </cell>
          <cell r="W14">
            <v>33.567</v>
          </cell>
          <cell r="X14">
            <v>236.48699999999999</v>
          </cell>
          <cell r="Y14">
            <v>331.8</v>
          </cell>
          <cell r="AA14">
            <v>183.10000000000002</v>
          </cell>
          <cell r="AB14">
            <v>161.69999999999999</v>
          </cell>
          <cell r="AC14">
            <v>151.20000000000002</v>
          </cell>
          <cell r="AD14">
            <v>172.49999999999997</v>
          </cell>
          <cell r="AE14">
            <v>658.69999999999993</v>
          </cell>
          <cell r="AG14">
            <v>147.6</v>
          </cell>
          <cell r="AH14">
            <v>147.09999999999997</v>
          </cell>
          <cell r="AI14">
            <v>168.1</v>
          </cell>
          <cell r="AJ14">
            <v>173.7</v>
          </cell>
          <cell r="AK14">
            <v>619.4</v>
          </cell>
          <cell r="AM14">
            <v>160</v>
          </cell>
          <cell r="AN14">
            <v>160.5</v>
          </cell>
          <cell r="AO14">
            <v>164.6</v>
          </cell>
          <cell r="AP14">
            <v>185.50000000000003</v>
          </cell>
          <cell r="AQ14">
            <v>667.69999999999993</v>
          </cell>
          <cell r="AS14">
            <v>172.59999999999997</v>
          </cell>
          <cell r="AT14">
            <v>165.60000000000002</v>
          </cell>
          <cell r="AU14">
            <v>149.9</v>
          </cell>
          <cell r="AV14">
            <v>174.3</v>
          </cell>
          <cell r="AW14">
            <v>662.40000000000009</v>
          </cell>
          <cell r="AY14">
            <v>157.50000000000003</v>
          </cell>
          <cell r="AZ14">
            <v>223.4</v>
          </cell>
          <cell r="BA14">
            <v>237.4</v>
          </cell>
          <cell r="BB14">
            <v>232.5</v>
          </cell>
          <cell r="BC14">
            <v>850.80000000000007</v>
          </cell>
          <cell r="BE14">
            <v>219.3</v>
          </cell>
          <cell r="BF14">
            <v>224.3</v>
          </cell>
          <cell r="BG14">
            <v>209.50000000000003</v>
          </cell>
          <cell r="BH14">
            <v>209.50000000000003</v>
          </cell>
          <cell r="BI14">
            <v>862.6</v>
          </cell>
          <cell r="BK14">
            <v>186.82499999999999</v>
          </cell>
          <cell r="BL14">
            <v>186.82499999999999</v>
          </cell>
          <cell r="BM14">
            <v>186.82499999999999</v>
          </cell>
          <cell r="BN14">
            <v>186.82499999999999</v>
          </cell>
          <cell r="BO14">
            <v>747.3</v>
          </cell>
          <cell r="BQ14">
            <v>177.7</v>
          </cell>
          <cell r="BR14">
            <v>177.7</v>
          </cell>
          <cell r="BS14">
            <v>177.7</v>
          </cell>
          <cell r="BT14">
            <v>177.7</v>
          </cell>
          <cell r="BU14">
            <v>710.8</v>
          </cell>
          <cell r="BW14">
            <v>172.82499999999999</v>
          </cell>
          <cell r="BX14">
            <v>172.82499999999999</v>
          </cell>
          <cell r="BY14">
            <v>172.82499999999999</v>
          </cell>
          <cell r="BZ14">
            <v>172.82499999999999</v>
          </cell>
          <cell r="CA14">
            <v>691.3</v>
          </cell>
        </row>
        <row r="15">
          <cell r="C15" t="str">
            <v>Cost of Revenues Charges</v>
          </cell>
          <cell r="I15">
            <v>3.1579999999999999</v>
          </cell>
          <cell r="J15">
            <v>0.81499999999999995</v>
          </cell>
          <cell r="K15">
            <v>5.0350000000000001</v>
          </cell>
          <cell r="L15">
            <v>6.8209999999999997</v>
          </cell>
          <cell r="M15">
            <v>15.828999999999999</v>
          </cell>
          <cell r="O15">
            <v>-0.27100000000000002</v>
          </cell>
          <cell r="P15">
            <v>2.2160000000000002</v>
          </cell>
          <cell r="Q15">
            <v>10.481999999999999</v>
          </cell>
          <cell r="R15">
            <v>4.4729999999999999</v>
          </cell>
          <cell r="S15">
            <v>16.899999999999999</v>
          </cell>
          <cell r="U15">
            <v>3.5939999999999999</v>
          </cell>
          <cell r="V15">
            <v>4.78</v>
          </cell>
          <cell r="W15">
            <v>5.1779999999999999</v>
          </cell>
          <cell r="X15">
            <v>32.159999999999997</v>
          </cell>
          <cell r="Y15">
            <v>77.7</v>
          </cell>
          <cell r="AA15">
            <v>7.4</v>
          </cell>
          <cell r="AB15">
            <v>8.3000000000000007</v>
          </cell>
          <cell r="AC15">
            <v>8.8000000000000007</v>
          </cell>
          <cell r="AD15">
            <v>17.7</v>
          </cell>
          <cell r="AE15">
            <v>49.2</v>
          </cell>
          <cell r="AG15">
            <v>4.9000000000000004</v>
          </cell>
          <cell r="AH15">
            <v>-5.4</v>
          </cell>
          <cell r="AI15">
            <v>15.4</v>
          </cell>
          <cell r="AJ15">
            <v>20.5</v>
          </cell>
          <cell r="AK15">
            <v>1.5</v>
          </cell>
          <cell r="AM15">
            <v>13.6</v>
          </cell>
          <cell r="AN15">
            <v>10.3</v>
          </cell>
          <cell r="AO15">
            <v>13.1</v>
          </cell>
          <cell r="AP15">
            <v>23.8</v>
          </cell>
          <cell r="AQ15">
            <v>6.7</v>
          </cell>
          <cell r="AS15">
            <v>5.0999999999999996</v>
          </cell>
          <cell r="AT15">
            <v>3.7</v>
          </cell>
          <cell r="AU15">
            <v>2.5</v>
          </cell>
          <cell r="AV15">
            <v>4.7</v>
          </cell>
          <cell r="AW15">
            <v>16</v>
          </cell>
          <cell r="AY15">
            <v>2.9</v>
          </cell>
          <cell r="AZ15">
            <v>15.4</v>
          </cell>
          <cell r="BA15">
            <v>24.3</v>
          </cell>
          <cell r="BB15">
            <v>30.2</v>
          </cell>
          <cell r="BC15">
            <v>72.8</v>
          </cell>
          <cell r="BE15">
            <v>26.8</v>
          </cell>
          <cell r="BF15">
            <v>12.8</v>
          </cell>
          <cell r="BG15">
            <v>12.8</v>
          </cell>
          <cell r="BH15">
            <v>12.8</v>
          </cell>
          <cell r="BI15">
            <v>65.2</v>
          </cell>
          <cell r="BK15">
            <v>6.25</v>
          </cell>
          <cell r="BL15">
            <v>6.25</v>
          </cell>
          <cell r="BM15">
            <v>6.25</v>
          </cell>
          <cell r="BN15">
            <v>6.25</v>
          </cell>
          <cell r="BO15">
            <v>25</v>
          </cell>
          <cell r="BQ15">
            <v>6.25</v>
          </cell>
          <cell r="BR15">
            <v>6.25</v>
          </cell>
          <cell r="BS15">
            <v>6.25</v>
          </cell>
          <cell r="BT15">
            <v>6.25</v>
          </cell>
          <cell r="BU15">
            <v>25</v>
          </cell>
          <cell r="BW15">
            <v>6.25</v>
          </cell>
          <cell r="BX15">
            <v>6.25</v>
          </cell>
          <cell r="BY15">
            <v>6.25</v>
          </cell>
          <cell r="BZ15">
            <v>6.25</v>
          </cell>
          <cell r="CA15">
            <v>25</v>
          </cell>
        </row>
        <row r="16">
          <cell r="C16" t="str">
            <v>SG&amp;A Costs</v>
          </cell>
          <cell r="I16">
            <v>3.806</v>
          </cell>
          <cell r="J16">
            <v>5.6440000000000001</v>
          </cell>
          <cell r="K16">
            <v>6.0789999999999997</v>
          </cell>
          <cell r="L16">
            <v>7.3019999999999996</v>
          </cell>
          <cell r="M16">
            <v>22.831</v>
          </cell>
          <cell r="O16">
            <v>7.4139999999999997</v>
          </cell>
          <cell r="P16">
            <v>19.109000000000002</v>
          </cell>
          <cell r="Q16">
            <v>25.568999999999999</v>
          </cell>
          <cell r="R16">
            <v>25.547999999999998</v>
          </cell>
          <cell r="S16">
            <v>77.64</v>
          </cell>
          <cell r="U16">
            <v>25.561</v>
          </cell>
          <cell r="V16">
            <v>25.655000000000001</v>
          </cell>
          <cell r="W16">
            <v>26.405000000000001</v>
          </cell>
          <cell r="X16">
            <v>93.204999999999998</v>
          </cell>
          <cell r="Y16">
            <v>0</v>
          </cell>
          <cell r="AA16">
            <v>139.30000000000001</v>
          </cell>
          <cell r="AB16">
            <v>142.1</v>
          </cell>
          <cell r="AC16">
            <v>141.5</v>
          </cell>
          <cell r="AD16">
            <v>148.19999999999999</v>
          </cell>
          <cell r="AE16">
            <v>0</v>
          </cell>
          <cell r="AG16">
            <v>151.19999999999999</v>
          </cell>
          <cell r="AH16">
            <v>151.6</v>
          </cell>
          <cell r="AI16">
            <v>152</v>
          </cell>
          <cell r="AJ16">
            <v>148</v>
          </cell>
          <cell r="AK16">
            <v>0</v>
          </cell>
          <cell r="AM16">
            <v>145.30000000000001</v>
          </cell>
          <cell r="AN16">
            <v>147.1</v>
          </cell>
          <cell r="AO16">
            <v>148.19999999999999</v>
          </cell>
          <cell r="AP16">
            <v>156.4</v>
          </cell>
          <cell r="AQ16">
            <v>1.5</v>
          </cell>
          <cell r="AS16">
            <v>1.1000000000000001</v>
          </cell>
          <cell r="AT16">
            <v>-0.2</v>
          </cell>
          <cell r="AU16">
            <v>0.5</v>
          </cell>
          <cell r="AV16">
            <v>1.6</v>
          </cell>
          <cell r="AW16">
            <v>3</v>
          </cell>
          <cell r="AY16">
            <v>3.1</v>
          </cell>
          <cell r="AZ16">
            <v>38</v>
          </cell>
          <cell r="BA16">
            <v>20.6</v>
          </cell>
          <cell r="BB16">
            <v>-0.2</v>
          </cell>
          <cell r="BC16">
            <v>61.5</v>
          </cell>
          <cell r="BE16">
            <v>-7.7</v>
          </cell>
          <cell r="BF16">
            <v>1.8</v>
          </cell>
          <cell r="BG16">
            <v>1.8</v>
          </cell>
          <cell r="BH16">
            <v>1.8</v>
          </cell>
          <cell r="BI16">
            <v>-2.3000000000000007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W16">
            <v>0</v>
          </cell>
          <cell r="BX16">
            <v>0</v>
          </cell>
          <cell r="BY16">
            <v>0</v>
          </cell>
          <cell r="BZ16">
            <v>0</v>
          </cell>
          <cell r="CA16">
            <v>0</v>
          </cell>
        </row>
        <row r="17">
          <cell r="C17" t="str">
            <v>Restructuring &amp; other costs</v>
          </cell>
          <cell r="L17">
            <v>0.28000000000000003</v>
          </cell>
          <cell r="M17">
            <v>3.3610000000000002</v>
          </cell>
          <cell r="O17">
            <v>-5.3319999999999999</v>
          </cell>
          <cell r="P17">
            <v>6.3239999999999998</v>
          </cell>
          <cell r="Q17">
            <v>-3.4609999999999994</v>
          </cell>
          <cell r="R17">
            <v>-5.0659999999999998</v>
          </cell>
          <cell r="S17">
            <v>-7.5349999999999993</v>
          </cell>
          <cell r="U17">
            <v>0</v>
          </cell>
          <cell r="V17">
            <v>1.266</v>
          </cell>
          <cell r="W17">
            <v>1.984</v>
          </cell>
          <cell r="X17">
            <v>111.122</v>
          </cell>
          <cell r="Y17">
            <v>45.7</v>
          </cell>
          <cell r="AA17">
            <v>36.4</v>
          </cell>
          <cell r="AB17">
            <v>11.2</v>
          </cell>
          <cell r="AC17">
            <v>0.4</v>
          </cell>
          <cell r="AD17">
            <v>1.2</v>
          </cell>
          <cell r="AE17">
            <v>42.2</v>
          </cell>
          <cell r="AG17">
            <v>0.6</v>
          </cell>
          <cell r="AH17">
            <v>0.2</v>
          </cell>
          <cell r="AI17">
            <v>0.7</v>
          </cell>
          <cell r="AJ17">
            <v>0.7</v>
          </cell>
          <cell r="AK17">
            <v>35.4</v>
          </cell>
          <cell r="AM17">
            <v>0</v>
          </cell>
          <cell r="AN17">
            <v>0.9</v>
          </cell>
          <cell r="AO17">
            <v>1</v>
          </cell>
          <cell r="AP17">
            <v>4.8</v>
          </cell>
          <cell r="AQ17">
            <v>59.2</v>
          </cell>
          <cell r="AS17">
            <v>17.399999999999999</v>
          </cell>
          <cell r="AT17">
            <v>8.1999999999999993</v>
          </cell>
          <cell r="AU17">
            <v>10.3</v>
          </cell>
          <cell r="AV17">
            <v>24.5</v>
          </cell>
          <cell r="AW17">
            <v>60.4</v>
          </cell>
          <cell r="AY17">
            <v>15.3</v>
          </cell>
          <cell r="AZ17">
            <v>39.9</v>
          </cell>
          <cell r="BA17">
            <v>12.3</v>
          </cell>
          <cell r="BB17">
            <v>32.9</v>
          </cell>
          <cell r="BC17">
            <v>100.4</v>
          </cell>
          <cell r="BE17">
            <v>15.1</v>
          </cell>
          <cell r="BF17">
            <v>24.3</v>
          </cell>
          <cell r="BG17">
            <v>12.8</v>
          </cell>
          <cell r="BH17">
            <v>12.8</v>
          </cell>
          <cell r="BI17">
            <v>65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W17">
            <v>0</v>
          </cell>
          <cell r="BX17">
            <v>0</v>
          </cell>
          <cell r="BY17">
            <v>0</v>
          </cell>
          <cell r="BZ17">
            <v>0</v>
          </cell>
          <cell r="CA17">
            <v>0</v>
          </cell>
        </row>
        <row r="18">
          <cell r="C18" t="str">
            <v>Stock-based Compensation Acceleration Charges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-9.6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36.700000000000003</v>
          </cell>
          <cell r="AA18">
            <v>0</v>
          </cell>
          <cell r="AB18">
            <v>0.1</v>
          </cell>
          <cell r="AC18">
            <v>0.5</v>
          </cell>
          <cell r="AD18">
            <v>5.4</v>
          </cell>
          <cell r="AE18">
            <v>0</v>
          </cell>
          <cell r="AG18">
            <v>-9.1000000000000014</v>
          </cell>
          <cell r="AH18">
            <v>0.7</v>
          </cell>
          <cell r="AI18">
            <v>0</v>
          </cell>
          <cell r="AJ18">
            <v>4.5</v>
          </cell>
          <cell r="AK18">
            <v>0</v>
          </cell>
          <cell r="AM18">
            <v>1.1000000000000001</v>
          </cell>
          <cell r="AN18">
            <v>2.2000000000000002</v>
          </cell>
          <cell r="AO18">
            <v>2.2999999999999998</v>
          </cell>
          <cell r="AP18">
            <v>0.5</v>
          </cell>
          <cell r="AQ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</row>
        <row r="19">
          <cell r="C19" t="str">
            <v>Amortization of Acquisition-related Intangible Assets</v>
          </cell>
          <cell r="Y19">
            <v>170.8</v>
          </cell>
          <cell r="AE19">
            <v>561.29999999999995</v>
          </cell>
          <cell r="AK19">
            <v>585.70000000000005</v>
          </cell>
          <cell r="AQ19">
            <v>579.9</v>
          </cell>
          <cell r="AS19">
            <v>146.69999999999999</v>
          </cell>
          <cell r="AT19">
            <v>137.80000000000001</v>
          </cell>
          <cell r="AU19">
            <v>135.1</v>
          </cell>
          <cell r="AV19">
            <v>135.1</v>
          </cell>
          <cell r="AW19">
            <v>554.70000000000005</v>
          </cell>
          <cell r="AY19">
            <v>135.4</v>
          </cell>
          <cell r="AZ19">
            <v>151.19999999999999</v>
          </cell>
          <cell r="BA19">
            <v>174.6</v>
          </cell>
          <cell r="BB19">
            <v>186.7</v>
          </cell>
          <cell r="BC19">
            <v>647.90000000000009</v>
          </cell>
          <cell r="BE19">
            <v>183.9</v>
          </cell>
          <cell r="BF19">
            <v>183.4</v>
          </cell>
          <cell r="BG19">
            <v>182.10000000000002</v>
          </cell>
          <cell r="BH19">
            <v>182.10000000000002</v>
          </cell>
          <cell r="BI19">
            <v>731.50000000000011</v>
          </cell>
          <cell r="BK19">
            <v>180.57499999999999</v>
          </cell>
          <cell r="BL19">
            <v>180.57499999999999</v>
          </cell>
          <cell r="BM19">
            <v>180.57499999999999</v>
          </cell>
          <cell r="BN19">
            <v>180.57499999999999</v>
          </cell>
          <cell r="BO19">
            <v>722.3</v>
          </cell>
          <cell r="BQ19">
            <v>171.45</v>
          </cell>
          <cell r="BR19">
            <v>171.45</v>
          </cell>
          <cell r="BS19">
            <v>171.45</v>
          </cell>
          <cell r="BT19">
            <v>171.45</v>
          </cell>
          <cell r="BU19">
            <v>685.8</v>
          </cell>
          <cell r="BW19">
            <v>166.57499999999999</v>
          </cell>
          <cell r="BX19">
            <v>166.57499999999999</v>
          </cell>
          <cell r="BY19">
            <v>166.57499999999999</v>
          </cell>
          <cell r="BZ19">
            <v>166.57499999999999</v>
          </cell>
          <cell r="CA19">
            <v>666.3</v>
          </cell>
        </row>
        <row r="20">
          <cell r="C20" t="str">
            <v>Gain/loss on extinguishment of debt fac.</v>
          </cell>
          <cell r="Y20">
            <v>0.9</v>
          </cell>
          <cell r="AE20">
            <v>0</v>
          </cell>
          <cell r="AK20">
            <v>0</v>
          </cell>
          <cell r="AQ20">
            <v>15.1</v>
          </cell>
          <cell r="AS20">
            <v>0.7</v>
          </cell>
          <cell r="AT20">
            <v>15.3</v>
          </cell>
          <cell r="AU20">
            <v>0.8</v>
          </cell>
          <cell r="AV20">
            <v>0</v>
          </cell>
          <cell r="AW20">
            <v>16.8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E20">
            <v>0</v>
          </cell>
          <cell r="BF20">
            <v>0</v>
          </cell>
          <cell r="BI20">
            <v>0</v>
          </cell>
          <cell r="BO20">
            <v>0</v>
          </cell>
          <cell r="BU20">
            <v>0</v>
          </cell>
          <cell r="CA20">
            <v>0</v>
          </cell>
        </row>
        <row r="21">
          <cell r="C21" t="str">
            <v>Other Income</v>
          </cell>
          <cell r="Y21">
            <v>0</v>
          </cell>
          <cell r="AE21">
            <v>6</v>
          </cell>
          <cell r="AK21">
            <v>-3.2</v>
          </cell>
          <cell r="AQ21">
            <v>5.3</v>
          </cell>
          <cell r="AS21">
            <v>1.6</v>
          </cell>
          <cell r="AT21">
            <v>0.8</v>
          </cell>
          <cell r="AU21">
            <v>0.7</v>
          </cell>
          <cell r="AV21">
            <v>8.4</v>
          </cell>
          <cell r="AW21">
            <v>11.5</v>
          </cell>
          <cell r="AY21">
            <v>0.8</v>
          </cell>
          <cell r="AZ21">
            <v>-21.1</v>
          </cell>
          <cell r="BA21">
            <v>5.6</v>
          </cell>
          <cell r="BB21">
            <v>-17.100000000000001</v>
          </cell>
          <cell r="BC21">
            <v>-31.800000000000004</v>
          </cell>
          <cell r="BE21">
            <v>1.2</v>
          </cell>
          <cell r="BF21">
            <v>2</v>
          </cell>
          <cell r="BI21">
            <v>3.2</v>
          </cell>
          <cell r="BO21">
            <v>0</v>
          </cell>
          <cell r="BU21">
            <v>0</v>
          </cell>
          <cell r="CA21">
            <v>0</v>
          </cell>
        </row>
        <row r="22">
          <cell r="C22" t="str">
            <v>Total operating expenses</v>
          </cell>
          <cell r="I22">
            <v>465.19400000000002</v>
          </cell>
          <cell r="J22">
            <v>459.88</v>
          </cell>
          <cell r="K22">
            <v>471.58000000000004</v>
          </cell>
          <cell r="L22">
            <v>532.88900000000001</v>
          </cell>
          <cell r="M22">
            <v>1926.462</v>
          </cell>
          <cell r="O22">
            <v>497.721</v>
          </cell>
          <cell r="P22">
            <v>572.75800000000004</v>
          </cell>
          <cell r="Q22">
            <v>584.71100000000001</v>
          </cell>
          <cell r="R22">
            <v>627.34499999999991</v>
          </cell>
          <cell r="S22">
            <v>2282.5349999999999</v>
          </cell>
          <cell r="U22">
            <v>587.28699999999992</v>
          </cell>
          <cell r="V22">
            <v>609.59399999999994</v>
          </cell>
          <cell r="W22">
            <v>616.28399999999999</v>
          </cell>
          <cell r="X22">
            <v>1405.5830000000001</v>
          </cell>
          <cell r="Y22">
            <v>3203.6</v>
          </cell>
          <cell r="AA22">
            <v>1962.6999999999998</v>
          </cell>
          <cell r="AB22">
            <v>1981.3</v>
          </cell>
          <cell r="AC22">
            <v>1996.4999999999998</v>
          </cell>
          <cell r="AD22">
            <v>2169</v>
          </cell>
          <cell r="AE22">
            <v>7993.9</v>
          </cell>
          <cell r="AG22">
            <v>2106.9</v>
          </cell>
          <cell r="AH22">
            <v>2233</v>
          </cell>
          <cell r="AI22">
            <v>2133.7000000000003</v>
          </cell>
          <cell r="AJ22">
            <v>2154.6</v>
          </cell>
          <cell r="AK22">
            <v>8496.3000000000029</v>
          </cell>
          <cell r="AM22">
            <v>1906.1000000000001</v>
          </cell>
          <cell r="AN22">
            <v>2065.5</v>
          </cell>
          <cell r="AO22">
            <v>2093.6</v>
          </cell>
          <cell r="AP22">
            <v>2329.6000000000004</v>
          </cell>
          <cell r="AQ22">
            <v>8262.1999999999989</v>
          </cell>
          <cell r="AS22">
            <v>2171.9999999999995</v>
          </cell>
          <cell r="AT22">
            <v>2148.2999999999997</v>
          </cell>
          <cell r="AU22">
            <v>2177.6</v>
          </cell>
          <cell r="AV22">
            <v>2232.2000000000003</v>
          </cell>
          <cell r="AW22">
            <v>8730.0999999999985</v>
          </cell>
          <cell r="AY22">
            <v>2204.4</v>
          </cell>
          <cell r="AZ22">
            <v>2343.7000000000003</v>
          </cell>
          <cell r="BA22">
            <v>2386.1000000000004</v>
          </cell>
          <cell r="BB22">
            <v>2496.8000000000002</v>
          </cell>
          <cell r="BC22">
            <v>9431.0000000000018</v>
          </cell>
          <cell r="BE22">
            <v>2483.8000000000002</v>
          </cell>
          <cell r="BF22">
            <v>2518</v>
          </cell>
          <cell r="BG22">
            <v>2387.7231970227112</v>
          </cell>
          <cell r="BH22">
            <v>2447.3250116828635</v>
          </cell>
          <cell r="BI22">
            <v>9836.8482087055745</v>
          </cell>
          <cell r="BK22">
            <v>2548.2759793021423</v>
          </cell>
          <cell r="BL22">
            <v>2614.8076235212275</v>
          </cell>
          <cell r="BM22">
            <v>2454.1030277883074</v>
          </cell>
          <cell r="BN22">
            <v>2516.5520113776174</v>
          </cell>
          <cell r="BO22">
            <v>10133.738641989294</v>
          </cell>
          <cell r="BQ22">
            <v>2617.1345076595826</v>
          </cell>
          <cell r="BR22">
            <v>2692.9974260991071</v>
          </cell>
          <cell r="BS22">
            <v>2523.7543866320093</v>
          </cell>
          <cell r="BT22">
            <v>2598.3562872365055</v>
          </cell>
          <cell r="BU22">
            <v>10432.242607627206</v>
          </cell>
          <cell r="BW22">
            <v>2708.9305329389731</v>
          </cell>
          <cell r="BX22">
            <v>2782.251583903048</v>
          </cell>
          <cell r="BY22">
            <v>2603.2036023840888</v>
          </cell>
          <cell r="BZ22">
            <v>2692.6938712344704</v>
          </cell>
          <cell r="CA22">
            <v>10787.07959046058</v>
          </cell>
        </row>
        <row r="24">
          <cell r="C24" t="str">
            <v>EBITA (non-GAAP)</v>
          </cell>
          <cell r="I24">
            <v>59.838000000000022</v>
          </cell>
          <cell r="J24">
            <v>65.428999999999974</v>
          </cell>
          <cell r="K24">
            <v>70.7349999999999</v>
          </cell>
          <cell r="L24">
            <v>80.450000000000045</v>
          </cell>
          <cell r="M24">
            <v>279.53300000000036</v>
          </cell>
          <cell r="O24">
            <v>61.486999999999966</v>
          </cell>
          <cell r="P24">
            <v>80.862999999999943</v>
          </cell>
          <cell r="Q24">
            <v>94.700000000000045</v>
          </cell>
          <cell r="R24">
            <v>113.44200000000012</v>
          </cell>
          <cell r="S24">
            <v>350.49200000000019</v>
          </cell>
          <cell r="U24">
            <v>97.000000000000114</v>
          </cell>
          <cell r="V24">
            <v>103.87400000000002</v>
          </cell>
          <cell r="W24">
            <v>108.678</v>
          </cell>
          <cell r="X24">
            <v>263.31699999999978</v>
          </cell>
          <cell r="Y24">
            <v>563.20000000000027</v>
          </cell>
          <cell r="AA24">
            <v>375.50000000000045</v>
          </cell>
          <cell r="AB24">
            <v>404.60000000000014</v>
          </cell>
          <cell r="AC24">
            <v>404.70000000000005</v>
          </cell>
          <cell r="AD24">
            <v>452.09999999999991</v>
          </cell>
          <cell r="AE24">
            <v>1598.6000000000004</v>
          </cell>
          <cell r="AG24">
            <v>447.09999999999991</v>
          </cell>
          <cell r="AH24">
            <v>476.60000000000036</v>
          </cell>
          <cell r="AI24">
            <v>454.40000000000009</v>
          </cell>
          <cell r="AJ24">
            <v>491.69999999999982</v>
          </cell>
          <cell r="AK24">
            <v>1816.8999999999978</v>
          </cell>
          <cell r="AM24">
            <v>349.00000000000023</v>
          </cell>
          <cell r="AN24">
            <v>418.59999999999991</v>
          </cell>
          <cell r="AO24">
            <v>437.5</v>
          </cell>
          <cell r="AP24">
            <v>509.79999999999973</v>
          </cell>
          <cell r="AQ24">
            <v>1649.4000000000015</v>
          </cell>
          <cell r="AS24">
            <v>454.90000000000009</v>
          </cell>
          <cell r="AT24">
            <v>447.40000000000009</v>
          </cell>
          <cell r="AU24">
            <v>451.09999999999991</v>
          </cell>
          <cell r="AV24">
            <v>486.69999999999982</v>
          </cell>
          <cell r="AW24">
            <v>1840.1000000000004</v>
          </cell>
          <cell r="AY24">
            <v>478.19999999999982</v>
          </cell>
          <cell r="AZ24">
            <v>510.29999999999973</v>
          </cell>
          <cell r="BA24">
            <v>546.79999999999973</v>
          </cell>
          <cell r="BB24">
            <v>592.5</v>
          </cell>
          <cell r="BC24">
            <v>2127.7999999999975</v>
          </cell>
          <cell r="BE24">
            <v>573</v>
          </cell>
          <cell r="BF24">
            <v>590.09999999999991</v>
          </cell>
          <cell r="BG24">
            <v>574.47964439206589</v>
          </cell>
          <cell r="BH24">
            <v>607.21515781864127</v>
          </cell>
          <cell r="BI24">
            <v>2344.7948022107066</v>
          </cell>
          <cell r="BK24">
            <v>599.49612102785795</v>
          </cell>
          <cell r="BL24">
            <v>622.77793001877262</v>
          </cell>
          <cell r="BM24">
            <v>594.232205711608</v>
          </cell>
          <cell r="BN24">
            <v>630.28274509499806</v>
          </cell>
          <cell r="BO24">
            <v>2446.7890018532362</v>
          </cell>
          <cell r="BQ24">
            <v>637.80925423361759</v>
          </cell>
          <cell r="BR24">
            <v>664.26346374699278</v>
          </cell>
          <cell r="BS24">
            <v>632.6613394973765</v>
          </cell>
          <cell r="BT24">
            <v>673.27165288508331</v>
          </cell>
          <cell r="BU24">
            <v>2608.0057103630697</v>
          </cell>
          <cell r="BW24">
            <v>683.38514505062085</v>
          </cell>
          <cell r="BX24">
            <v>710.22587115370288</v>
          </cell>
          <cell r="BY24">
            <v>675.12871910853664</v>
          </cell>
          <cell r="BZ24">
            <v>721.35863942627202</v>
          </cell>
          <cell r="CA24">
            <v>2790.0983747391329</v>
          </cell>
        </row>
        <row r="25">
          <cell r="C25" t="str">
            <v>Depreciation</v>
          </cell>
          <cell r="I25">
            <v>10.878</v>
          </cell>
          <cell r="J25">
            <v>10.782</v>
          </cell>
          <cell r="K25">
            <v>10.204000000000001</v>
          </cell>
          <cell r="L25">
            <v>11.477</v>
          </cell>
          <cell r="M25">
            <v>43.341000000000001</v>
          </cell>
          <cell r="O25">
            <v>10.151999999999999</v>
          </cell>
          <cell r="P25">
            <v>10.76</v>
          </cell>
          <cell r="Q25">
            <v>12.34</v>
          </cell>
          <cell r="R25">
            <v>12.419999999999996</v>
          </cell>
          <cell r="S25">
            <v>45.67199999999999</v>
          </cell>
          <cell r="U25">
            <v>11.8</v>
          </cell>
          <cell r="V25">
            <v>13.4</v>
          </cell>
          <cell r="W25">
            <v>13.4</v>
          </cell>
          <cell r="X25">
            <v>30.400000000000002</v>
          </cell>
          <cell r="Y25">
            <v>69</v>
          </cell>
          <cell r="AA25">
            <v>46</v>
          </cell>
          <cell r="AB25">
            <v>45</v>
          </cell>
          <cell r="AC25">
            <v>46.1</v>
          </cell>
          <cell r="AD25">
            <v>41.900000000000006</v>
          </cell>
          <cell r="AE25">
            <v>179</v>
          </cell>
          <cell r="AG25">
            <v>47.6</v>
          </cell>
          <cell r="AH25">
            <v>48.2</v>
          </cell>
          <cell r="AI25">
            <v>47.7</v>
          </cell>
          <cell r="AJ25">
            <v>39.199999999999996</v>
          </cell>
          <cell r="AK25">
            <v>182.7</v>
          </cell>
          <cell r="AM25">
            <v>45</v>
          </cell>
          <cell r="AN25">
            <v>47.2</v>
          </cell>
          <cell r="AO25">
            <v>47.3</v>
          </cell>
          <cell r="AP25">
            <v>43.499999999999986</v>
          </cell>
          <cell r="AQ25">
            <v>183</v>
          </cell>
          <cell r="AS25">
            <v>46.9</v>
          </cell>
          <cell r="AT25">
            <v>47.5</v>
          </cell>
          <cell r="AU25">
            <v>47.3</v>
          </cell>
          <cell r="AV25">
            <v>49.6</v>
          </cell>
          <cell r="AW25">
            <v>191.29999999999998</v>
          </cell>
          <cell r="AY25">
            <v>48.9</v>
          </cell>
          <cell r="AZ25">
            <v>51.4</v>
          </cell>
          <cell r="BA25">
            <v>55.1</v>
          </cell>
          <cell r="BB25">
            <v>60.2</v>
          </cell>
          <cell r="BC25">
            <v>215.60000000000002</v>
          </cell>
          <cell r="BE25">
            <v>59.9</v>
          </cell>
          <cell r="BF25">
            <v>58.2</v>
          </cell>
          <cell r="BG25">
            <v>54.116208453016007</v>
          </cell>
          <cell r="BH25">
            <v>56.258710538153785</v>
          </cell>
          <cell r="BI25">
            <v>228.4749189911698</v>
          </cell>
          <cell r="BK25">
            <v>59.991179738172313</v>
          </cell>
          <cell r="BL25">
            <v>61.768032329741438</v>
          </cell>
          <cell r="BM25">
            <v>63.59558276791681</v>
          </cell>
          <cell r="BN25">
            <v>65.316305293873484</v>
          </cell>
          <cell r="BO25">
            <v>250.67110012970403</v>
          </cell>
          <cell r="BQ25">
            <v>67.092628774119092</v>
          </cell>
          <cell r="BR25">
            <v>68.965311194370472</v>
          </cell>
          <cell r="BS25">
            <v>70.896860219031808</v>
          </cell>
          <cell r="BT25">
            <v>72.712856031472342</v>
          </cell>
          <cell r="BU25">
            <v>279.66765621899367</v>
          </cell>
          <cell r="BW25">
            <v>74.595137440078133</v>
          </cell>
          <cell r="BX25">
            <v>76.583679558328157</v>
          </cell>
          <cell r="BY25">
            <v>78.630935526126194</v>
          </cell>
          <cell r="BZ25">
            <v>80.552661720774424</v>
          </cell>
          <cell r="CA25">
            <v>310.36241424530692</v>
          </cell>
        </row>
        <row r="26">
          <cell r="C26" t="str">
            <v>Stock based compensation</v>
          </cell>
          <cell r="M26">
            <v>17.8</v>
          </cell>
          <cell r="S26">
            <v>2.8</v>
          </cell>
        </row>
        <row r="27">
          <cell r="C27" t="str">
            <v>EBITDA (non-GAAP)</v>
          </cell>
          <cell r="I27">
            <v>70.716000000000022</v>
          </cell>
          <cell r="J27">
            <v>76.21099999999997</v>
          </cell>
          <cell r="K27">
            <v>80.938999999999908</v>
          </cell>
          <cell r="L27">
            <v>91.927000000000049</v>
          </cell>
          <cell r="M27">
            <v>340.67400000000038</v>
          </cell>
          <cell r="O27">
            <v>71.638999999999967</v>
          </cell>
          <cell r="P27">
            <v>91.622999999999948</v>
          </cell>
          <cell r="Q27">
            <v>107.04000000000005</v>
          </cell>
          <cell r="R27">
            <v>125.86200000000012</v>
          </cell>
          <cell r="S27">
            <v>398.96400000000017</v>
          </cell>
          <cell r="U27">
            <v>108.80000000000011</v>
          </cell>
          <cell r="V27">
            <v>117.27400000000003</v>
          </cell>
          <cell r="W27">
            <v>122.078</v>
          </cell>
          <cell r="X27">
            <v>293.71699999999976</v>
          </cell>
          <cell r="Y27">
            <v>632.20000000000027</v>
          </cell>
          <cell r="AA27">
            <v>421.50000000000045</v>
          </cell>
          <cell r="AB27">
            <v>449.60000000000014</v>
          </cell>
          <cell r="AC27">
            <v>450.80000000000007</v>
          </cell>
          <cell r="AD27">
            <v>493.99999999999989</v>
          </cell>
          <cell r="AE27">
            <v>1777.6000000000004</v>
          </cell>
          <cell r="AG27">
            <v>494.69999999999993</v>
          </cell>
          <cell r="AH27">
            <v>524.80000000000041</v>
          </cell>
          <cell r="AI27">
            <v>502.10000000000008</v>
          </cell>
          <cell r="AJ27">
            <v>530.89999999999986</v>
          </cell>
          <cell r="AK27">
            <v>1999.5999999999979</v>
          </cell>
          <cell r="AM27">
            <v>394.00000000000023</v>
          </cell>
          <cell r="AN27">
            <v>465.7999999999999</v>
          </cell>
          <cell r="AO27">
            <v>484.8</v>
          </cell>
          <cell r="AP27">
            <v>553.29999999999973</v>
          </cell>
          <cell r="AQ27">
            <v>1832.4000000000015</v>
          </cell>
          <cell r="AS27">
            <v>501.80000000000007</v>
          </cell>
          <cell r="AT27">
            <v>494.90000000000009</v>
          </cell>
          <cell r="AU27">
            <v>498.39999999999992</v>
          </cell>
          <cell r="AV27">
            <v>536.29999999999984</v>
          </cell>
          <cell r="AW27">
            <v>2031.4000000000003</v>
          </cell>
          <cell r="AY27">
            <v>527.0999999999998</v>
          </cell>
          <cell r="AZ27">
            <v>561.6999999999997</v>
          </cell>
          <cell r="BA27">
            <v>601.89999999999975</v>
          </cell>
          <cell r="BB27">
            <v>652.70000000000005</v>
          </cell>
          <cell r="BC27">
            <v>2343.3999999999974</v>
          </cell>
          <cell r="BE27">
            <v>632.9</v>
          </cell>
          <cell r="BF27">
            <v>648.29999999999995</v>
          </cell>
          <cell r="BG27">
            <v>628.59585284508194</v>
          </cell>
          <cell r="BH27">
            <v>663.47386835679504</v>
          </cell>
          <cell r="BI27">
            <v>2573.2697212018766</v>
          </cell>
          <cell r="BK27">
            <v>659.48730076603022</v>
          </cell>
          <cell r="BL27">
            <v>684.54596234851408</v>
          </cell>
          <cell r="BM27">
            <v>657.82778847952477</v>
          </cell>
          <cell r="BN27">
            <v>695.59905038887155</v>
          </cell>
          <cell r="BO27">
            <v>2697.4601019829402</v>
          </cell>
          <cell r="BQ27">
            <v>704.90188300773673</v>
          </cell>
          <cell r="BR27">
            <v>733.22877494136321</v>
          </cell>
          <cell r="BS27">
            <v>703.55819971640835</v>
          </cell>
          <cell r="BT27">
            <v>745.98450891655568</v>
          </cell>
          <cell r="BU27">
            <v>2887.6733665820634</v>
          </cell>
          <cell r="BW27">
            <v>757.98028249069898</v>
          </cell>
          <cell r="BX27">
            <v>786.80955071203107</v>
          </cell>
          <cell r="BY27">
            <v>753.75965463466287</v>
          </cell>
          <cell r="BZ27">
            <v>801.9113011470464</v>
          </cell>
          <cell r="CA27">
            <v>3100.4607889844397</v>
          </cell>
        </row>
        <row r="28">
          <cell r="C28" t="str">
            <v>Other expense, net</v>
          </cell>
          <cell r="I28">
            <v>2.6019999999999999</v>
          </cell>
          <cell r="J28">
            <v>10.667</v>
          </cell>
          <cell r="K28">
            <v>2.4710000000000001</v>
          </cell>
          <cell r="L28">
            <v>5.9670000000000005</v>
          </cell>
          <cell r="M28">
            <v>12.1</v>
          </cell>
          <cell r="O28">
            <v>3.3039999999999998</v>
          </cell>
          <cell r="P28">
            <v>25.504000000000001</v>
          </cell>
          <cell r="Q28">
            <v>-2.7509999999999999</v>
          </cell>
          <cell r="R28">
            <v>-3.6460000000000004</v>
          </cell>
          <cell r="S28">
            <v>22.410999999999998</v>
          </cell>
          <cell r="U28">
            <v>-3.7789999999999999</v>
          </cell>
          <cell r="V28">
            <v>-3.383</v>
          </cell>
          <cell r="W28">
            <v>-5.7430000000000003</v>
          </cell>
          <cell r="X28">
            <v>-19.683999999999997</v>
          </cell>
          <cell r="Y28">
            <v>-35.400000000000091</v>
          </cell>
          <cell r="AA28">
            <v>-26.7</v>
          </cell>
          <cell r="AB28">
            <v>-20.599999999999998</v>
          </cell>
          <cell r="AC28">
            <v>-18.2</v>
          </cell>
          <cell r="AD28">
            <v>-21.6</v>
          </cell>
          <cell r="AE28">
            <v>-107.69999999999982</v>
          </cell>
          <cell r="AG28">
            <v>-21.9</v>
          </cell>
          <cell r="AH28">
            <v>-22</v>
          </cell>
          <cell r="AI28">
            <v>-22.1</v>
          </cell>
          <cell r="AJ28">
            <v>-17.700000000000003</v>
          </cell>
          <cell r="AK28">
            <v>-104.60000000000014</v>
          </cell>
          <cell r="AM28">
            <v>-21.8</v>
          </cell>
          <cell r="AN28">
            <v>-26.000000000000004</v>
          </cell>
          <cell r="AO28">
            <v>-26</v>
          </cell>
          <cell r="AP28">
            <v>-27.599999999999994</v>
          </cell>
          <cell r="AQ28">
            <v>-101.30000000000018</v>
          </cell>
          <cell r="AS28">
            <v>-22.600000000000023</v>
          </cell>
          <cell r="AT28">
            <v>-20.699999999999932</v>
          </cell>
          <cell r="AU28">
            <v>-13.899999999999977</v>
          </cell>
          <cell r="AV28">
            <v>-14.800000000000011</v>
          </cell>
          <cell r="AW28">
            <v>-71.999999999999943</v>
          </cell>
          <cell r="AY28">
            <v>-21.699999999999989</v>
          </cell>
          <cell r="AZ28">
            <v>-31.300000000000011</v>
          </cell>
          <cell r="BA28">
            <v>-44.699999999999932</v>
          </cell>
          <cell r="BB28">
            <v>-52.699999999999932</v>
          </cell>
          <cell r="BC28">
            <v>-150.39999999999986</v>
          </cell>
          <cell r="BE28">
            <v>-48.7</v>
          </cell>
          <cell r="BF28">
            <v>-45</v>
          </cell>
          <cell r="BG28">
            <v>-65</v>
          </cell>
          <cell r="BH28">
            <v>-66</v>
          </cell>
          <cell r="BI28">
            <v>-224.7</v>
          </cell>
          <cell r="BK28">
            <v>-46.71619510034666</v>
          </cell>
          <cell r="BL28">
            <v>-46.946405401611656</v>
          </cell>
          <cell r="BM28">
            <v>-45.505220811841525</v>
          </cell>
          <cell r="BN28">
            <v>-44.045260390704875</v>
          </cell>
          <cell r="BO28">
            <v>-183.2130817045047</v>
          </cell>
          <cell r="BQ28">
            <v>-40.843911119621026</v>
          </cell>
          <cell r="BR28">
            <v>-41.956400744679591</v>
          </cell>
          <cell r="BS28">
            <v>-40.55455161471258</v>
          </cell>
          <cell r="BT28">
            <v>-35.291556059203501</v>
          </cell>
          <cell r="BU28">
            <v>-158.64641953821672</v>
          </cell>
          <cell r="BW28">
            <v>-36.076674331650167</v>
          </cell>
          <cell r="BX28">
            <v>-28.29914366690463</v>
          </cell>
          <cell r="BY28">
            <v>-30.617511906393428</v>
          </cell>
          <cell r="BZ28">
            <v>-28.695245313754775</v>
          </cell>
          <cell r="CA28">
            <v>-123.68857521870299</v>
          </cell>
        </row>
        <row r="29">
          <cell r="C29" t="str">
            <v>Pretax Income</v>
          </cell>
          <cell r="I29">
            <v>62.440000000000019</v>
          </cell>
          <cell r="J29">
            <v>76.095999999999975</v>
          </cell>
          <cell r="K29">
            <v>73.205999999999904</v>
          </cell>
          <cell r="L29">
            <v>86.417000000000044</v>
          </cell>
          <cell r="M29">
            <v>291.63300000000038</v>
          </cell>
          <cell r="O29">
            <v>64.790999999999968</v>
          </cell>
          <cell r="P29">
            <v>106.36699999999995</v>
          </cell>
          <cell r="Q29">
            <v>91.949000000000041</v>
          </cell>
          <cell r="R29">
            <v>109.79600000000012</v>
          </cell>
          <cell r="S29">
            <v>372.90300000000019</v>
          </cell>
          <cell r="U29">
            <v>93.221000000000117</v>
          </cell>
          <cell r="V29">
            <v>100.49100000000003</v>
          </cell>
          <cell r="W29">
            <v>102.935</v>
          </cell>
          <cell r="X29">
            <v>243.63299999999978</v>
          </cell>
          <cell r="Y29">
            <v>527.80000000000018</v>
          </cell>
          <cell r="AA29">
            <v>348.80000000000047</v>
          </cell>
          <cell r="AB29">
            <v>384.00000000000011</v>
          </cell>
          <cell r="AC29">
            <v>386.50000000000006</v>
          </cell>
          <cell r="AD29">
            <v>430.49999999999989</v>
          </cell>
          <cell r="AE29">
            <v>1490.9000000000005</v>
          </cell>
          <cell r="AG29">
            <v>425.19999999999993</v>
          </cell>
          <cell r="AH29">
            <v>454.60000000000036</v>
          </cell>
          <cell r="AI29">
            <v>432.30000000000007</v>
          </cell>
          <cell r="AJ29">
            <v>473.99999999999983</v>
          </cell>
          <cell r="AK29">
            <v>1712.2999999999977</v>
          </cell>
          <cell r="AM29">
            <v>327.20000000000022</v>
          </cell>
          <cell r="AN29">
            <v>392.59999999999991</v>
          </cell>
          <cell r="AO29">
            <v>411.5</v>
          </cell>
          <cell r="AP29">
            <v>482.1999999999997</v>
          </cell>
          <cell r="AQ29">
            <v>1548.1000000000013</v>
          </cell>
          <cell r="AS29">
            <v>432.30000000000007</v>
          </cell>
          <cell r="AT29">
            <v>426.70000000000016</v>
          </cell>
          <cell r="AU29">
            <v>437.19999999999993</v>
          </cell>
          <cell r="AV29">
            <v>471.89999999999981</v>
          </cell>
          <cell r="AW29">
            <v>1768.1000000000004</v>
          </cell>
          <cell r="AY29">
            <v>456.49999999999983</v>
          </cell>
          <cell r="AZ29">
            <v>478.99999999999972</v>
          </cell>
          <cell r="BA29">
            <v>502.0999999999998</v>
          </cell>
          <cell r="BB29">
            <v>539.80000000000007</v>
          </cell>
          <cell r="BC29">
            <v>1977.3999999999976</v>
          </cell>
          <cell r="BE29">
            <v>524.29999999999995</v>
          </cell>
          <cell r="BF29">
            <v>545.09999999999991</v>
          </cell>
          <cell r="BG29">
            <v>509.47964439206589</v>
          </cell>
          <cell r="BH29">
            <v>541.21515781864127</v>
          </cell>
          <cell r="BI29">
            <v>2120.0948022107068</v>
          </cell>
          <cell r="BK29">
            <v>552.77992592751127</v>
          </cell>
          <cell r="BL29">
            <v>575.83152461716099</v>
          </cell>
          <cell r="BM29">
            <v>548.72698489976642</v>
          </cell>
          <cell r="BN29">
            <v>586.23748470429314</v>
          </cell>
          <cell r="BO29">
            <v>2263.5759201487317</v>
          </cell>
          <cell r="BQ29">
            <v>596.9653431139966</v>
          </cell>
          <cell r="BR29">
            <v>622.30706300231316</v>
          </cell>
          <cell r="BS29">
            <v>592.10678788266387</v>
          </cell>
          <cell r="BT29">
            <v>637.98009682587985</v>
          </cell>
          <cell r="BU29">
            <v>2449.3592908248529</v>
          </cell>
          <cell r="BW29">
            <v>647.30847071897074</v>
          </cell>
          <cell r="BX29">
            <v>681.9267274867982</v>
          </cell>
          <cell r="BY29">
            <v>644.51120720214317</v>
          </cell>
          <cell r="BZ29">
            <v>692.66339411251727</v>
          </cell>
          <cell r="CA29">
            <v>2666.4097995204297</v>
          </cell>
        </row>
        <row r="30">
          <cell r="C30" t="str">
            <v>Provision for income taxes</v>
          </cell>
          <cell r="I30">
            <v>15.811</v>
          </cell>
          <cell r="J30">
            <v>19.058</v>
          </cell>
          <cell r="K30">
            <v>19.451000000000001</v>
          </cell>
          <cell r="L30">
            <v>-13.468</v>
          </cell>
          <cell r="M30">
            <v>77</v>
          </cell>
          <cell r="O30">
            <v>17.785</v>
          </cell>
          <cell r="P30">
            <v>50.914999999999999</v>
          </cell>
          <cell r="Q30">
            <v>30.009999999999998</v>
          </cell>
          <cell r="R30">
            <v>32.704999999999998</v>
          </cell>
          <cell r="S30">
            <v>131.41500000000002</v>
          </cell>
          <cell r="U30">
            <v>28.413999999999998</v>
          </cell>
          <cell r="V30">
            <v>30.719000000000001</v>
          </cell>
          <cell r="W30">
            <v>31.494</v>
          </cell>
          <cell r="X30">
            <v>61.996999999999993</v>
          </cell>
          <cell r="Y30">
            <v>148.30000000000001</v>
          </cell>
          <cell r="AA30">
            <v>87.3</v>
          </cell>
          <cell r="AB30">
            <v>92.9</v>
          </cell>
          <cell r="AC30">
            <v>95.2</v>
          </cell>
          <cell r="AD30">
            <v>97</v>
          </cell>
          <cell r="AE30">
            <v>349.2</v>
          </cell>
          <cell r="AG30">
            <v>103.4</v>
          </cell>
          <cell r="AH30">
            <v>107.6</v>
          </cell>
          <cell r="AI30">
            <v>100.69999999999999</v>
          </cell>
          <cell r="AJ30">
            <v>99.1</v>
          </cell>
          <cell r="AK30">
            <v>382.3</v>
          </cell>
          <cell r="AM30">
            <v>65.400000000000006</v>
          </cell>
          <cell r="AN30">
            <v>78.5</v>
          </cell>
          <cell r="AO30">
            <v>82.3</v>
          </cell>
          <cell r="AP30">
            <v>96.6</v>
          </cell>
          <cell r="AQ30">
            <v>297.10000000000002</v>
          </cell>
          <cell r="AS30">
            <v>90.9</v>
          </cell>
          <cell r="AT30">
            <v>88.4</v>
          </cell>
          <cell r="AU30">
            <v>85.6</v>
          </cell>
          <cell r="AV30">
            <v>87.5</v>
          </cell>
          <cell r="AW30">
            <v>352.4</v>
          </cell>
          <cell r="AY30">
            <v>93.6</v>
          </cell>
          <cell r="AZ30">
            <v>96</v>
          </cell>
          <cell r="BA30">
            <v>92.9</v>
          </cell>
          <cell r="BB30">
            <v>95.2</v>
          </cell>
          <cell r="BC30">
            <v>377.7</v>
          </cell>
          <cell r="BE30">
            <v>91.8</v>
          </cell>
          <cell r="BF30">
            <v>96</v>
          </cell>
          <cell r="BG30">
            <v>87.121019191043274</v>
          </cell>
          <cell r="BH30">
            <v>92.494097991523631</v>
          </cell>
          <cell r="BI30">
            <v>367.41511718256692</v>
          </cell>
          <cell r="BK30">
            <v>96.183707111386951</v>
          </cell>
          <cell r="BL30">
            <v>100.19468528338601</v>
          </cell>
          <cell r="BM30">
            <v>95.478495372559351</v>
          </cell>
          <cell r="BN30">
            <v>102.00532233854699</v>
          </cell>
          <cell r="BO30">
            <v>393.86221010587929</v>
          </cell>
          <cell r="BQ30">
            <v>103.8719697018354</v>
          </cell>
          <cell r="BR30">
            <v>108.28142896240249</v>
          </cell>
          <cell r="BS30">
            <v>103.02658109158351</v>
          </cell>
          <cell r="BT30">
            <v>111.00853684770294</v>
          </cell>
          <cell r="BU30">
            <v>426.18851660352436</v>
          </cell>
          <cell r="BW30">
            <v>112.6316739051009</v>
          </cell>
          <cell r="BX30">
            <v>118.65525058270288</v>
          </cell>
          <cell r="BY30">
            <v>112.14495005317291</v>
          </cell>
          <cell r="BZ30">
            <v>120.523430575578</v>
          </cell>
          <cell r="CA30">
            <v>463.95530511655471</v>
          </cell>
        </row>
        <row r="31">
          <cell r="C31" t="str">
            <v>Adjustment for one-time items</v>
          </cell>
          <cell r="L31">
            <v>37.664999999999999</v>
          </cell>
          <cell r="M31">
            <v>51.991</v>
          </cell>
          <cell r="O31">
            <v>0.38800000000000001</v>
          </cell>
          <cell r="P31">
            <v>28.957000000000001</v>
          </cell>
          <cell r="Q31">
            <v>11.247999999999999</v>
          </cell>
          <cell r="R31">
            <v>3.2250000000000001</v>
          </cell>
          <cell r="S31">
            <v>43.818000000000005</v>
          </cell>
          <cell r="U31">
            <v>7.9669999999999996</v>
          </cell>
          <cell r="V31">
            <v>10.872</v>
          </cell>
          <cell r="W31">
            <v>10.959</v>
          </cell>
          <cell r="X31">
            <v>79.771999999999991</v>
          </cell>
          <cell r="AE31">
            <v>0</v>
          </cell>
          <cell r="AK31">
            <v>0</v>
          </cell>
        </row>
        <row r="32">
          <cell r="C32" t="str">
            <v>Net Income (Non-GAAP) - continuing ops</v>
          </cell>
          <cell r="I32">
            <v>46.629000000000019</v>
          </cell>
          <cell r="J32">
            <v>57.037999999999975</v>
          </cell>
          <cell r="K32">
            <v>53.754999999999903</v>
          </cell>
          <cell r="L32">
            <v>99.885000000000048</v>
          </cell>
          <cell r="M32">
            <v>214.63300000000038</v>
          </cell>
          <cell r="O32">
            <v>47.005999999999972</v>
          </cell>
          <cell r="P32">
            <v>55.451999999999948</v>
          </cell>
          <cell r="Q32">
            <v>61.939000000000043</v>
          </cell>
          <cell r="R32">
            <v>77.091000000000122</v>
          </cell>
          <cell r="S32">
            <v>241.48800000000017</v>
          </cell>
          <cell r="U32">
            <v>64.807000000000116</v>
          </cell>
          <cell r="V32">
            <v>69.77200000000002</v>
          </cell>
          <cell r="W32">
            <v>71.441000000000003</v>
          </cell>
          <cell r="X32">
            <v>181.6359999999998</v>
          </cell>
          <cell r="Y32">
            <v>379.50000000000017</v>
          </cell>
          <cell r="AA32">
            <v>261.50000000000045</v>
          </cell>
          <cell r="AB32">
            <v>291.10000000000014</v>
          </cell>
          <cell r="AC32">
            <v>291.30000000000007</v>
          </cell>
          <cell r="AD32">
            <v>333.49999999999989</v>
          </cell>
          <cell r="AE32">
            <v>1141.7000000000005</v>
          </cell>
          <cell r="AG32">
            <v>321.79999999999995</v>
          </cell>
          <cell r="AH32">
            <v>347.00000000000034</v>
          </cell>
          <cell r="AI32">
            <v>331.60000000000008</v>
          </cell>
          <cell r="AJ32">
            <v>374.89999999999986</v>
          </cell>
          <cell r="AK32">
            <v>1329.9999999999977</v>
          </cell>
          <cell r="AM32">
            <v>261.80000000000018</v>
          </cell>
          <cell r="AN32">
            <v>314.09999999999991</v>
          </cell>
          <cell r="AO32">
            <v>329.2</v>
          </cell>
          <cell r="AP32">
            <v>385.59999999999968</v>
          </cell>
          <cell r="AQ32">
            <v>1251.0000000000014</v>
          </cell>
          <cell r="AS32">
            <v>341.40000000000009</v>
          </cell>
          <cell r="AT32">
            <v>338.30000000000018</v>
          </cell>
          <cell r="AU32">
            <v>351.59999999999991</v>
          </cell>
          <cell r="AV32">
            <v>384.39999999999981</v>
          </cell>
          <cell r="AW32">
            <v>1415.7000000000003</v>
          </cell>
          <cell r="AY32">
            <v>362.89999999999986</v>
          </cell>
          <cell r="AZ32">
            <v>382.99999999999972</v>
          </cell>
          <cell r="BA32">
            <v>409.19999999999982</v>
          </cell>
          <cell r="BB32">
            <v>444.60000000000008</v>
          </cell>
          <cell r="BC32">
            <v>1599.6999999999975</v>
          </cell>
          <cell r="BE32">
            <v>432.49999999999994</v>
          </cell>
          <cell r="BF32">
            <v>449.09999999999991</v>
          </cell>
          <cell r="BG32">
            <v>422.35862520102262</v>
          </cell>
          <cell r="BH32">
            <v>448.72105982711764</v>
          </cell>
          <cell r="BI32">
            <v>1752.6796850281398</v>
          </cell>
          <cell r="BK32">
            <v>456.59621881612429</v>
          </cell>
          <cell r="BL32">
            <v>475.63683933377501</v>
          </cell>
          <cell r="BM32">
            <v>453.24848952720708</v>
          </cell>
          <cell r="BN32">
            <v>484.23216236574615</v>
          </cell>
          <cell r="BO32">
            <v>1869.7137100428524</v>
          </cell>
          <cell r="BQ32">
            <v>493.09337341216121</v>
          </cell>
          <cell r="BR32">
            <v>514.02563403991064</v>
          </cell>
          <cell r="BS32">
            <v>489.08020679108034</v>
          </cell>
          <cell r="BT32">
            <v>526.97155997817686</v>
          </cell>
          <cell r="BU32">
            <v>2023.1707742213284</v>
          </cell>
          <cell r="BW32">
            <v>534.67679681386983</v>
          </cell>
          <cell r="BX32">
            <v>563.27147690409538</v>
          </cell>
          <cell r="BY32">
            <v>532.36625714897025</v>
          </cell>
          <cell r="BZ32">
            <v>572.13996353693926</v>
          </cell>
          <cell r="CA32">
            <v>2202.4544944038748</v>
          </cell>
        </row>
        <row r="33">
          <cell r="C33" t="str">
            <v>Income from discontinued operations</v>
          </cell>
          <cell r="S33">
            <v>0</v>
          </cell>
          <cell r="Y33">
            <v>0</v>
          </cell>
          <cell r="AE33">
            <v>0</v>
          </cell>
          <cell r="AK33">
            <v>0</v>
          </cell>
          <cell r="AQ33">
            <v>0</v>
          </cell>
          <cell r="AW33">
            <v>0</v>
          </cell>
          <cell r="BC33">
            <v>0</v>
          </cell>
          <cell r="BG33">
            <v>0</v>
          </cell>
          <cell r="BH33">
            <v>0</v>
          </cell>
          <cell r="BI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</row>
        <row r="34">
          <cell r="C34" t="str">
            <v>Loss (Gain) on discontinued operations</v>
          </cell>
          <cell r="S34">
            <v>0</v>
          </cell>
          <cell r="AW34">
            <v>0</v>
          </cell>
          <cell r="BC34">
            <v>0</v>
          </cell>
          <cell r="BG34">
            <v>0</v>
          </cell>
          <cell r="BH34">
            <v>0</v>
          </cell>
          <cell r="BI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0</v>
          </cell>
        </row>
        <row r="35">
          <cell r="C35" t="str">
            <v>Net Income (Non-GAAP)</v>
          </cell>
          <cell r="I35">
            <v>46.629000000000019</v>
          </cell>
          <cell r="J35">
            <v>57.037999999999975</v>
          </cell>
          <cell r="K35">
            <v>53.754999999999903</v>
          </cell>
          <cell r="L35">
            <v>99.885000000000048</v>
          </cell>
          <cell r="M35">
            <v>214.63300000000038</v>
          </cell>
          <cell r="O35">
            <v>47.005999999999972</v>
          </cell>
          <cell r="P35">
            <v>55.451999999999948</v>
          </cell>
          <cell r="Q35">
            <v>61.939000000000043</v>
          </cell>
          <cell r="R35">
            <v>77.091000000000122</v>
          </cell>
          <cell r="S35">
            <v>241.48800000000017</v>
          </cell>
          <cell r="U35">
            <v>64.807000000000116</v>
          </cell>
          <cell r="V35">
            <v>69.77200000000002</v>
          </cell>
          <cell r="W35">
            <v>71.441000000000003</v>
          </cell>
          <cell r="X35">
            <v>181.6359999999998</v>
          </cell>
          <cell r="Y35">
            <v>379.50000000000017</v>
          </cell>
          <cell r="AA35">
            <v>261.50000000000045</v>
          </cell>
          <cell r="AB35">
            <v>291.10000000000014</v>
          </cell>
          <cell r="AC35">
            <v>291.30000000000007</v>
          </cell>
          <cell r="AD35">
            <v>333.49999999999989</v>
          </cell>
          <cell r="AE35">
            <v>1141.7000000000005</v>
          </cell>
          <cell r="AG35">
            <v>321.79999999999995</v>
          </cell>
          <cell r="AH35">
            <v>347.00000000000034</v>
          </cell>
          <cell r="AI35">
            <v>331.60000000000008</v>
          </cell>
          <cell r="AJ35">
            <v>374.89999999999986</v>
          </cell>
          <cell r="AK35">
            <v>1329.9999999999977</v>
          </cell>
          <cell r="AM35">
            <v>261.80000000000018</v>
          </cell>
          <cell r="AN35">
            <v>314.09999999999991</v>
          </cell>
          <cell r="AO35">
            <v>329.2</v>
          </cell>
          <cell r="AP35">
            <v>385.59999999999968</v>
          </cell>
          <cell r="AQ35">
            <v>1251.0000000000014</v>
          </cell>
          <cell r="AS35">
            <v>341.40000000000009</v>
          </cell>
          <cell r="AT35">
            <v>338.30000000000018</v>
          </cell>
          <cell r="AU35">
            <v>351.59999999999991</v>
          </cell>
          <cell r="AV35">
            <v>384.39999999999981</v>
          </cell>
          <cell r="AW35">
            <v>1415.7000000000003</v>
          </cell>
          <cell r="AY35">
            <v>362.89999999999986</v>
          </cell>
          <cell r="AZ35">
            <v>382.99999999999972</v>
          </cell>
          <cell r="BA35">
            <v>409.19999999999982</v>
          </cell>
          <cell r="BB35">
            <v>444.60000000000008</v>
          </cell>
          <cell r="BC35">
            <v>1599.6999999999975</v>
          </cell>
          <cell r="BE35">
            <v>432.49999999999994</v>
          </cell>
          <cell r="BF35">
            <v>449.09999999999991</v>
          </cell>
          <cell r="BG35">
            <v>422.35862520102262</v>
          </cell>
          <cell r="BH35">
            <v>448.72105982711764</v>
          </cell>
          <cell r="BI35">
            <v>1752.6796850281398</v>
          </cell>
          <cell r="BK35">
            <v>456.59621881612429</v>
          </cell>
          <cell r="BL35">
            <v>475.63683933377501</v>
          </cell>
          <cell r="BM35">
            <v>453.24848952720708</v>
          </cell>
          <cell r="BN35">
            <v>484.23216236574615</v>
          </cell>
          <cell r="BO35">
            <v>1869.7137100428524</v>
          </cell>
          <cell r="BQ35">
            <v>493.09337341216121</v>
          </cell>
          <cell r="BR35">
            <v>514.02563403991064</v>
          </cell>
          <cell r="BS35">
            <v>489.08020679108034</v>
          </cell>
          <cell r="BT35">
            <v>526.97155997817686</v>
          </cell>
          <cell r="BU35">
            <v>2023.1707742213284</v>
          </cell>
          <cell r="BW35">
            <v>534.67679681386983</v>
          </cell>
          <cell r="BX35">
            <v>563.27147690409538</v>
          </cell>
          <cell r="BY35">
            <v>532.36625714897025</v>
          </cell>
          <cell r="BZ35">
            <v>572.13996353693926</v>
          </cell>
          <cell r="CA35">
            <v>2202.4544944038748</v>
          </cell>
        </row>
        <row r="36">
          <cell r="C36" t="str">
            <v>One-time items</v>
          </cell>
          <cell r="I36">
            <v>6.9640000000000004</v>
          </cell>
          <cell r="J36">
            <v>6.4589999999999996</v>
          </cell>
          <cell r="K36">
            <v>11.114000000000001</v>
          </cell>
          <cell r="L36">
            <v>14.402999999999999</v>
          </cell>
          <cell r="M36">
            <v>32.420999999999992</v>
          </cell>
          <cell r="O36">
            <v>1.8109999999999999</v>
          </cell>
          <cell r="P36">
            <v>27.649000000000001</v>
          </cell>
          <cell r="Q36">
            <v>32.590000000000003</v>
          </cell>
          <cell r="R36">
            <v>24.954999999999998</v>
          </cell>
          <cell r="S36">
            <v>87.004999999999995</v>
          </cell>
          <cell r="U36">
            <v>29.155000000000001</v>
          </cell>
          <cell r="V36">
            <v>31.701000000000001</v>
          </cell>
          <cell r="W36">
            <v>33.567</v>
          </cell>
          <cell r="X36">
            <v>236.48699999999999</v>
          </cell>
          <cell r="Y36">
            <v>331.8</v>
          </cell>
          <cell r="AA36">
            <v>183.10000000000002</v>
          </cell>
          <cell r="AB36">
            <v>161.69999999999999</v>
          </cell>
          <cell r="AC36">
            <v>151.20000000000002</v>
          </cell>
          <cell r="AD36">
            <v>172.49999999999997</v>
          </cell>
          <cell r="AE36">
            <v>658.69999999999993</v>
          </cell>
          <cell r="AG36">
            <v>147.6</v>
          </cell>
          <cell r="AH36">
            <v>147.09999999999997</v>
          </cell>
          <cell r="AI36">
            <v>168.1</v>
          </cell>
          <cell r="AJ36">
            <v>173.7</v>
          </cell>
          <cell r="AK36">
            <v>619.4</v>
          </cell>
          <cell r="AM36">
            <v>112.9</v>
          </cell>
          <cell r="AN36">
            <v>107.2</v>
          </cell>
          <cell r="AO36">
            <v>108</v>
          </cell>
          <cell r="AP36">
            <v>201.30000000000004</v>
          </cell>
          <cell r="AQ36">
            <v>667.69999999999993</v>
          </cell>
          <cell r="AS36">
            <v>172.59999999999997</v>
          </cell>
          <cell r="AT36">
            <v>165.60000000000002</v>
          </cell>
          <cell r="AU36">
            <v>149.9</v>
          </cell>
          <cell r="AV36">
            <v>174.3</v>
          </cell>
          <cell r="AW36">
            <v>662.40000000000009</v>
          </cell>
          <cell r="AY36">
            <v>157.50000000000003</v>
          </cell>
          <cell r="AZ36">
            <v>223.4</v>
          </cell>
          <cell r="BA36">
            <v>237.4</v>
          </cell>
          <cell r="BB36">
            <v>232.5</v>
          </cell>
          <cell r="BC36">
            <v>850.80000000000007</v>
          </cell>
          <cell r="BE36">
            <v>219.3</v>
          </cell>
          <cell r="BF36">
            <v>224.3</v>
          </cell>
          <cell r="BG36">
            <v>209.50000000000003</v>
          </cell>
          <cell r="BH36">
            <v>209.50000000000003</v>
          </cell>
          <cell r="BI36">
            <v>862.6</v>
          </cell>
          <cell r="BK36">
            <v>186.82499999999999</v>
          </cell>
          <cell r="BL36">
            <v>186.82499999999999</v>
          </cell>
          <cell r="BM36">
            <v>186.82499999999999</v>
          </cell>
          <cell r="BN36">
            <v>186.82499999999999</v>
          </cell>
          <cell r="BO36">
            <v>747.3</v>
          </cell>
          <cell r="BQ36">
            <v>177.7</v>
          </cell>
          <cell r="BR36">
            <v>177.7</v>
          </cell>
          <cell r="BS36">
            <v>177.7</v>
          </cell>
          <cell r="BT36">
            <v>177.7</v>
          </cell>
          <cell r="BU36">
            <v>710.8</v>
          </cell>
          <cell r="BW36">
            <v>172.82499999999999</v>
          </cell>
          <cell r="BX36">
            <v>172.82499999999999</v>
          </cell>
          <cell r="BY36">
            <v>172.82499999999999</v>
          </cell>
          <cell r="BZ36">
            <v>172.82499999999999</v>
          </cell>
          <cell r="CA36">
            <v>691.3</v>
          </cell>
        </row>
        <row r="37">
          <cell r="C37" t="str">
            <v>Net income (GAAP)</v>
          </cell>
          <cell r="I37">
            <v>39.66500000000002</v>
          </cell>
          <cell r="J37">
            <v>50.578999999999979</v>
          </cell>
          <cell r="K37">
            <v>42.640999999999906</v>
          </cell>
          <cell r="L37">
            <v>85.482000000000056</v>
          </cell>
          <cell r="M37">
            <v>182.21200000000039</v>
          </cell>
          <cell r="O37">
            <v>45.194999999999972</v>
          </cell>
          <cell r="P37">
            <v>27.802999999999948</v>
          </cell>
          <cell r="Q37">
            <v>29.349000000000039</v>
          </cell>
          <cell r="R37">
            <v>52.136000000000124</v>
          </cell>
          <cell r="S37">
            <v>154.48300000000017</v>
          </cell>
          <cell r="U37">
            <v>35.652000000000115</v>
          </cell>
          <cell r="V37">
            <v>38.071000000000019</v>
          </cell>
          <cell r="W37">
            <v>37.874000000000002</v>
          </cell>
          <cell r="X37">
            <v>-54.851000000000198</v>
          </cell>
          <cell r="Y37">
            <v>166.7</v>
          </cell>
          <cell r="AA37">
            <v>78.400000000000432</v>
          </cell>
          <cell r="AB37">
            <v>129.40000000000015</v>
          </cell>
          <cell r="AC37">
            <v>140.10000000000005</v>
          </cell>
          <cell r="AD37">
            <v>160.99999999999991</v>
          </cell>
          <cell r="AE37">
            <v>748.4</v>
          </cell>
          <cell r="AG37">
            <v>174.19999999999996</v>
          </cell>
          <cell r="AH37">
            <v>199.90000000000038</v>
          </cell>
          <cell r="AI37">
            <v>163.50000000000009</v>
          </cell>
          <cell r="AJ37">
            <v>201.19999999999987</v>
          </cell>
          <cell r="AK37">
            <v>980.9</v>
          </cell>
          <cell r="AM37">
            <v>148.90000000000018</v>
          </cell>
          <cell r="AN37">
            <v>206.89999999999992</v>
          </cell>
          <cell r="AO37">
            <v>221.2</v>
          </cell>
          <cell r="AP37">
            <v>184.29999999999964</v>
          </cell>
          <cell r="AQ37">
            <v>850.3</v>
          </cell>
          <cell r="AS37">
            <v>232.3</v>
          </cell>
          <cell r="AT37">
            <v>237.3</v>
          </cell>
          <cell r="AU37">
            <v>268.5</v>
          </cell>
          <cell r="AV37">
            <v>297.5</v>
          </cell>
          <cell r="AW37">
            <v>1035.5999999999999</v>
          </cell>
          <cell r="AY37">
            <v>252.2</v>
          </cell>
          <cell r="AZ37">
            <v>523.4</v>
          </cell>
          <cell r="BA37">
            <v>265.39999999999998</v>
          </cell>
          <cell r="BB37">
            <v>288.89999999999998</v>
          </cell>
          <cell r="BC37">
            <v>1329.9</v>
          </cell>
          <cell r="BE37">
            <v>277.3</v>
          </cell>
          <cell r="BF37">
            <v>233.8</v>
          </cell>
          <cell r="BG37">
            <v>212.85862520102259</v>
          </cell>
          <cell r="BH37">
            <v>239.22105982711761</v>
          </cell>
          <cell r="BI37">
            <v>890.07968502813981</v>
          </cell>
          <cell r="BK37">
            <v>269.7712188161243</v>
          </cell>
          <cell r="BL37">
            <v>288.81183933377503</v>
          </cell>
          <cell r="BM37">
            <v>266.4234895272071</v>
          </cell>
          <cell r="BN37">
            <v>297.40716236574616</v>
          </cell>
          <cell r="BO37">
            <v>1122.4137100428525</v>
          </cell>
          <cell r="BQ37">
            <v>315.39337341216122</v>
          </cell>
          <cell r="BR37">
            <v>336.32563403991065</v>
          </cell>
          <cell r="BS37">
            <v>311.38020679108035</v>
          </cell>
          <cell r="BT37">
            <v>349.27155997817687</v>
          </cell>
          <cell r="BU37">
            <v>1312.3707742213285</v>
          </cell>
          <cell r="BW37">
            <v>361.85179681386984</v>
          </cell>
          <cell r="BX37">
            <v>390.44647690409539</v>
          </cell>
          <cell r="BY37">
            <v>359.54125714897026</v>
          </cell>
          <cell r="BZ37">
            <v>399.31496353693927</v>
          </cell>
          <cell r="CA37">
            <v>1511.1544944038749</v>
          </cell>
        </row>
        <row r="39">
          <cell r="C39" t="str">
            <v>Diluted EPS (GAAP)</v>
          </cell>
          <cell r="I39">
            <v>0.23332901950634144</v>
          </cell>
          <cell r="J39">
            <v>0.29661449322957278</v>
          </cell>
          <cell r="K39">
            <v>0.25754061726158067</v>
          </cell>
          <cell r="L39">
            <v>0.51972008244313828</v>
          </cell>
          <cell r="M39">
            <v>1.0869178780847191</v>
          </cell>
          <cell r="O39">
            <v>0.27435804042979406</v>
          </cell>
          <cell r="P39">
            <v>0.1688530165555269</v>
          </cell>
          <cell r="Q39">
            <v>0.17719081112083823</v>
          </cell>
          <cell r="R39">
            <v>0.31348309201981889</v>
          </cell>
          <cell r="S39">
            <v>0.93436921625316127</v>
          </cell>
          <cell r="U39">
            <v>0.21350804278305516</v>
          </cell>
          <cell r="V39">
            <v>0.2300042894340969</v>
          </cell>
          <cell r="W39">
            <v>0.23355800716571803</v>
          </cell>
          <cell r="X39">
            <v>-0.17229183222819441</v>
          </cell>
          <cell r="Y39">
            <v>0.8184728386818021</v>
          </cell>
          <cell r="AA39">
            <v>0.17773747449558019</v>
          </cell>
          <cell r="AB39">
            <v>0.28980963045912689</v>
          </cell>
          <cell r="AC39">
            <v>0.31370353784146898</v>
          </cell>
          <cell r="AD39">
            <v>0.36532788745178107</v>
          </cell>
          <cell r="AE39">
            <v>1.6867252648185711</v>
          </cell>
          <cell r="AG39">
            <v>0.39935809261806504</v>
          </cell>
          <cell r="AH39">
            <v>0.45722781335773188</v>
          </cell>
          <cell r="AI39">
            <v>0.37286202964652243</v>
          </cell>
          <cell r="AJ39">
            <v>0.47075339260645738</v>
          </cell>
          <cell r="AK39">
            <v>2.2559797608095673</v>
          </cell>
          <cell r="AM39">
            <v>0.3501058076651779</v>
          </cell>
          <cell r="AN39">
            <v>0.4883172055699786</v>
          </cell>
          <cell r="AO39">
            <v>0.52641599238457881</v>
          </cell>
          <cell r="AP39">
            <v>0.43652297489341463</v>
          </cell>
          <cell r="AQ39">
            <v>2.0108785621378735</v>
          </cell>
          <cell r="AS39">
            <v>0.55547584887613588</v>
          </cell>
          <cell r="AT39">
            <v>0.57056984852127923</v>
          </cell>
          <cell r="AU39">
            <v>0.66378244746600745</v>
          </cell>
          <cell r="AV39">
            <v>0.74598796389167499</v>
          </cell>
          <cell r="AW39">
            <v>2.5298644192011728</v>
          </cell>
          <cell r="AY39">
            <v>0.63912823112012163</v>
          </cell>
          <cell r="AZ39">
            <v>1.3563099248509978</v>
          </cell>
          <cell r="BA39">
            <v>0.69349359811863076</v>
          </cell>
          <cell r="BB39">
            <v>0.76855546687948917</v>
          </cell>
          <cell r="BC39">
            <v>3.4563056331622382</v>
          </cell>
          <cell r="BE39">
            <v>0.74925695757903266</v>
          </cell>
          <cell r="BF39">
            <v>0.6332611050920911</v>
          </cell>
          <cell r="BG39">
            <v>0.58809622730925837</v>
          </cell>
          <cell r="BH39">
            <v>0.67445021684142725</v>
          </cell>
          <cell r="BI39">
            <v>2.4453818618312431</v>
          </cell>
          <cell r="BK39">
            <v>0.76391600156204775</v>
          </cell>
          <cell r="BL39">
            <v>0.82641113928189824</v>
          </cell>
          <cell r="BM39">
            <v>0.77042902117396117</v>
          </cell>
          <cell r="BN39">
            <v>0.86923917126965355</v>
          </cell>
          <cell r="BO39">
            <v>3.2446732338564988</v>
          </cell>
          <cell r="BQ39">
            <v>0.93159067877915591</v>
          </cell>
          <cell r="BR39">
            <v>1.0050894922438118</v>
          </cell>
          <cell r="BS39">
            <v>0.94160314060598282</v>
          </cell>
          <cell r="BT39">
            <v>1.0688915047519578</v>
          </cell>
          <cell r="BU39">
            <v>3.9451161936926327</v>
          </cell>
          <cell r="BW39">
            <v>1.1206801688714516</v>
          </cell>
          <cell r="BX39">
            <v>1.225165941178423</v>
          </cell>
          <cell r="BY39">
            <v>1.1432466321827019</v>
          </cell>
          <cell r="BZ39">
            <v>1.286891512890914</v>
          </cell>
          <cell r="CA39">
            <v>4.7732219344284141</v>
          </cell>
        </row>
        <row r="40">
          <cell r="C40" t="str">
            <v>Diluted EPS (non-GAAP)</v>
          </cell>
          <cell r="I40">
            <v>0.27429468928680684</v>
          </cell>
          <cell r="J40">
            <v>0.33449252584725625</v>
          </cell>
          <cell r="K40">
            <v>0.32466630428217613</v>
          </cell>
          <cell r="L40">
            <v>0.60728855706268992</v>
          </cell>
          <cell r="M40">
            <v>1.2803132885153417</v>
          </cell>
          <cell r="O40">
            <v>0.28535178777393294</v>
          </cell>
          <cell r="P40">
            <v>0.33677076121415267</v>
          </cell>
          <cell r="Q40">
            <v>0.37394874271742112</v>
          </cell>
          <cell r="R40">
            <v>0.46353239694069048</v>
          </cell>
          <cell r="S40">
            <v>1.4606070136813973</v>
          </cell>
          <cell r="U40">
            <v>0.38810770023116331</v>
          </cell>
          <cell r="V40">
            <v>0.42152450112673179</v>
          </cell>
          <cell r="W40">
            <v>0.44055599065126633</v>
          </cell>
          <cell r="X40">
            <v>0.57053470745474411</v>
          </cell>
          <cell r="Y40">
            <v>1.8632899956793285</v>
          </cell>
          <cell r="AA40">
            <v>0.5928360915892098</v>
          </cell>
          <cell r="AB40">
            <v>0.65195968645016833</v>
          </cell>
          <cell r="AC40">
            <v>0.6522615315718765</v>
          </cell>
          <cell r="AD40">
            <v>0.7567506240072609</v>
          </cell>
          <cell r="AE40">
            <v>2.5731350011268885</v>
          </cell>
          <cell r="AG40">
            <v>0.7377349839523154</v>
          </cell>
          <cell r="AH40">
            <v>0.79368709972552687</v>
          </cell>
          <cell r="AI40">
            <v>0.7562143671607755</v>
          </cell>
          <cell r="AJ40">
            <v>0.87716424894712186</v>
          </cell>
          <cell r="AK40">
            <v>3.0588776448941988</v>
          </cell>
          <cell r="AM40">
            <v>0.61556548318833804</v>
          </cell>
          <cell r="AN40">
            <v>0.74132641019589307</v>
          </cell>
          <cell r="AO40">
            <v>0.78343645882912893</v>
          </cell>
          <cell r="AP40">
            <v>0.91331122690667854</v>
          </cell>
          <cell r="AQ40">
            <v>2.9584959205392014</v>
          </cell>
          <cell r="AS40">
            <v>0.81635581061692997</v>
          </cell>
          <cell r="AT40">
            <v>0.81341668670353495</v>
          </cell>
          <cell r="AU40">
            <v>0.86922126081582174</v>
          </cell>
          <cell r="AV40">
            <v>0.96389167502507467</v>
          </cell>
          <cell r="AW40">
            <v>3.4584096738732146</v>
          </cell>
          <cell r="AY40">
            <v>0.91966548403446491</v>
          </cell>
          <cell r="AZ40">
            <v>0.99248509976677823</v>
          </cell>
          <cell r="BA40">
            <v>1.069244839299712</v>
          </cell>
          <cell r="BB40">
            <v>1.1827613727055071</v>
          </cell>
          <cell r="BC40">
            <v>4.1574946397245078</v>
          </cell>
          <cell r="BE40">
            <v>1.1686030802485812</v>
          </cell>
          <cell r="BF40">
            <v>1.2164138678223184</v>
          </cell>
          <cell r="BG40">
            <v>1.1669130805372372</v>
          </cell>
          <cell r="BH40">
            <v>1.2651060751943373</v>
          </cell>
          <cell r="BI40">
            <v>4.8152667491028165</v>
          </cell>
          <cell r="BK40">
            <v>1.2929517067723444</v>
          </cell>
          <cell r="BL40">
            <v>1.360995391272724</v>
          </cell>
          <cell r="BM40">
            <v>1.3106794402952326</v>
          </cell>
          <cell r="BN40">
            <v>1.4152771579834427</v>
          </cell>
          <cell r="BO40">
            <v>5.4049678613770302</v>
          </cell>
          <cell r="BQ40">
            <v>1.4564706463830435</v>
          </cell>
          <cell r="BR40">
            <v>1.5361355520589581</v>
          </cell>
          <cell r="BS40">
            <v>1.4789618886459568</v>
          </cell>
          <cell r="BT40">
            <v>1.612714827802626</v>
          </cell>
          <cell r="BU40">
            <v>6.0818512121484787</v>
          </cell>
          <cell r="BW40">
            <v>1.6559312078066957</v>
          </cell>
          <cell r="BX40">
            <v>1.7674664005475826</v>
          </cell>
          <cell r="BY40">
            <v>1.6927846762272845</v>
          </cell>
          <cell r="BZ40">
            <v>1.8438629415230847</v>
          </cell>
          <cell r="CA40">
            <v>6.9568029881790103</v>
          </cell>
        </row>
        <row r="42">
          <cell r="C42" t="str">
            <v>Average basic shares</v>
          </cell>
          <cell r="I42">
            <v>165.20599999999999</v>
          </cell>
          <cell r="J42">
            <v>165.571</v>
          </cell>
          <cell r="K42">
            <v>161.51400000000001</v>
          </cell>
          <cell r="L42">
            <v>160.239</v>
          </cell>
          <cell r="M42">
            <v>163.13300000000001</v>
          </cell>
          <cell r="O42">
            <v>160.95699999999999</v>
          </cell>
          <cell r="P42">
            <v>161.255</v>
          </cell>
          <cell r="Q42">
            <v>161.76400000000001</v>
          </cell>
          <cell r="R42">
            <v>162.34100000000001</v>
          </cell>
          <cell r="S42">
            <v>161.58699999999999</v>
          </cell>
          <cell r="U42">
            <v>163.04400000000001</v>
          </cell>
          <cell r="V42">
            <v>161.28899999999999</v>
          </cell>
          <cell r="W42">
            <v>157.70500000000001</v>
          </cell>
          <cell r="X42">
            <v>302.19</v>
          </cell>
          <cell r="Y42">
            <v>196.05699999999999</v>
          </cell>
          <cell r="AA42">
            <v>420.1</v>
          </cell>
          <cell r="AB42">
            <v>424</v>
          </cell>
          <cell r="AC42">
            <v>424.3</v>
          </cell>
          <cell r="AD42">
            <v>417.5</v>
          </cell>
          <cell r="AE42">
            <v>421.5</v>
          </cell>
          <cell r="AG42">
            <v>417.5</v>
          </cell>
          <cell r="AH42">
            <v>418</v>
          </cell>
          <cell r="AI42">
            <v>419</v>
          </cell>
          <cell r="AJ42">
            <v>418.4</v>
          </cell>
          <cell r="AK42">
            <v>418.2</v>
          </cell>
          <cell r="AM42">
            <v>417.7</v>
          </cell>
          <cell r="AN42">
            <v>415.3</v>
          </cell>
          <cell r="AO42">
            <v>407.9</v>
          </cell>
          <cell r="AP42">
            <v>408.7</v>
          </cell>
          <cell r="AQ42">
            <v>412.40000000000003</v>
          </cell>
          <cell r="AS42">
            <v>409.6</v>
          </cell>
          <cell r="AT42">
            <v>409.3</v>
          </cell>
          <cell r="AU42">
            <v>400.7</v>
          </cell>
          <cell r="AV42">
            <v>393.5</v>
          </cell>
          <cell r="AW42">
            <v>403.27500000000003</v>
          </cell>
          <cell r="AY42">
            <v>388.6</v>
          </cell>
          <cell r="AZ42">
            <v>381.9</v>
          </cell>
          <cell r="BA42">
            <v>379.5</v>
          </cell>
          <cell r="BB42">
            <v>373.4</v>
          </cell>
          <cell r="BC42">
            <v>380.85</v>
          </cell>
          <cell r="BE42">
            <v>367.3</v>
          </cell>
          <cell r="BF42">
            <v>367</v>
          </cell>
          <cell r="BG42">
            <v>359.78846153846155</v>
          </cell>
          <cell r="BH42">
            <v>352.57692307692309</v>
          </cell>
          <cell r="BI42">
            <v>361.66634615384618</v>
          </cell>
          <cell r="BK42">
            <v>348.95505535128734</v>
          </cell>
          <cell r="BL42">
            <v>345.33318762565159</v>
          </cell>
          <cell r="BM42">
            <v>341.71131990001584</v>
          </cell>
          <cell r="BN42">
            <v>338.08945217438009</v>
          </cell>
          <cell r="BO42">
            <v>343.52225376283371</v>
          </cell>
          <cell r="BQ42">
            <v>334.20887961119894</v>
          </cell>
          <cell r="BR42">
            <v>330.32830704801779</v>
          </cell>
          <cell r="BS42">
            <v>326.44773448483664</v>
          </cell>
          <cell r="BT42">
            <v>322.5671619216555</v>
          </cell>
          <cell r="BU42">
            <v>328.38802076642725</v>
          </cell>
          <cell r="BW42">
            <v>318.42788452092896</v>
          </cell>
          <cell r="BX42">
            <v>314.28860712020241</v>
          </cell>
          <cell r="BY42">
            <v>310.14932971947587</v>
          </cell>
          <cell r="BZ42">
            <v>306.01005231874933</v>
          </cell>
          <cell r="CA42">
            <v>312.21896841983914</v>
          </cell>
        </row>
        <row r="43">
          <cell r="C43" t="str">
            <v>Convert</v>
          </cell>
          <cell r="Y43">
            <v>3.2</v>
          </cell>
          <cell r="AE43">
            <v>13.8</v>
          </cell>
          <cell r="AG43">
            <v>14.6</v>
          </cell>
          <cell r="AH43">
            <v>15.5</v>
          </cell>
          <cell r="AI43">
            <v>15.8</v>
          </cell>
          <cell r="AJ43">
            <v>7.2999999999999972</v>
          </cell>
          <cell r="AK43">
            <v>13.3</v>
          </cell>
          <cell r="AM43">
            <v>6.4</v>
          </cell>
          <cell r="AN43">
            <v>7</v>
          </cell>
          <cell r="AO43">
            <v>10.199999999999999</v>
          </cell>
          <cell r="AP43">
            <v>10.086956521739131</v>
          </cell>
          <cell r="AQ43">
            <v>8.4217391304347835</v>
          </cell>
          <cell r="AS43">
            <v>5</v>
          </cell>
          <cell r="AT43">
            <v>5.05</v>
          </cell>
          <cell r="AU43">
            <v>3</v>
          </cell>
          <cell r="AV43">
            <v>3.05</v>
          </cell>
          <cell r="AW43">
            <v>4.0250000000000004</v>
          </cell>
          <cell r="BA43">
            <v>171.79999999999981</v>
          </cell>
          <cell r="BB43">
            <v>212.10000000000008</v>
          </cell>
          <cell r="BI43">
            <v>-0.10317687395983843</v>
          </cell>
        </row>
        <row r="44">
          <cell r="C44" t="str">
            <v>Stock Options</v>
          </cell>
          <cell r="Y44">
            <v>4.4000000000000004</v>
          </cell>
          <cell r="AE44">
            <v>8.4</v>
          </cell>
          <cell r="AG44">
            <v>4</v>
          </cell>
          <cell r="AH44">
            <v>3.6</v>
          </cell>
          <cell r="AI44">
            <v>3.5</v>
          </cell>
          <cell r="AJ44">
            <v>2.0999999999999996</v>
          </cell>
          <cell r="AK44">
            <v>3.3</v>
          </cell>
          <cell r="AM44">
            <v>1.2</v>
          </cell>
          <cell r="AN44">
            <v>1.4</v>
          </cell>
          <cell r="AO44">
            <v>2.1</v>
          </cell>
          <cell r="AP44">
            <v>2.2000000000000002</v>
          </cell>
          <cell r="AQ44">
            <v>1.7249999999999999</v>
          </cell>
          <cell r="AS44">
            <v>2.95</v>
          </cell>
          <cell r="AT44">
            <v>3.7</v>
          </cell>
          <cell r="AU44">
            <v>4.45</v>
          </cell>
          <cell r="AV44">
            <v>5.2</v>
          </cell>
          <cell r="AW44">
            <v>4.0750000000000002</v>
          </cell>
        </row>
        <row r="45">
          <cell r="C45" t="str">
            <v>Average Share Price in the quarter</v>
          </cell>
          <cell r="AS45">
            <v>48.734999999999999</v>
          </cell>
          <cell r="AT45">
            <v>52.466718749999998</v>
          </cell>
          <cell r="AU45">
            <v>46.530769230769231</v>
          </cell>
          <cell r="AV45">
            <v>50</v>
          </cell>
        </row>
        <row r="46">
          <cell r="C46" t="str">
            <v>Average diluted shares</v>
          </cell>
          <cell r="I46">
            <v>169.99600000000001</v>
          </cell>
          <cell r="J46">
            <v>170.52099999999999</v>
          </cell>
          <cell r="K46">
            <v>165.57</v>
          </cell>
          <cell r="L46">
            <v>164.477</v>
          </cell>
          <cell r="M46">
            <v>167.64099999999999</v>
          </cell>
          <cell r="O46">
            <v>164.73</v>
          </cell>
          <cell r="P46">
            <v>164.65799999999999</v>
          </cell>
          <cell r="Q46">
            <v>165.63499999999999</v>
          </cell>
          <cell r="R46">
            <v>166.31200000000001</v>
          </cell>
          <cell r="S46">
            <v>165.334</v>
          </cell>
          <cell r="U46">
            <v>166.982</v>
          </cell>
          <cell r="V46">
            <v>165.523</v>
          </cell>
          <cell r="W46">
            <v>162.161</v>
          </cell>
          <cell r="X46">
            <v>318.36099999999999</v>
          </cell>
          <cell r="Y46">
            <v>203.672</v>
          </cell>
          <cell r="AA46">
            <v>441.1</v>
          </cell>
          <cell r="AB46">
            <v>446.5</v>
          </cell>
          <cell r="AC46">
            <v>446.6</v>
          </cell>
          <cell r="AD46">
            <v>440.7</v>
          </cell>
          <cell r="AE46">
            <v>443.7</v>
          </cell>
          <cell r="AG46">
            <v>436.2</v>
          </cell>
          <cell r="AH46">
            <v>437.2</v>
          </cell>
          <cell r="AI46">
            <v>438.5</v>
          </cell>
          <cell r="AJ46">
            <v>427.4</v>
          </cell>
          <cell r="AK46">
            <v>434.8</v>
          </cell>
          <cell r="AM46">
            <v>425.3</v>
          </cell>
          <cell r="AN46">
            <v>423.7</v>
          </cell>
          <cell r="AO46">
            <v>420.2</v>
          </cell>
          <cell r="AP46">
            <v>422.2</v>
          </cell>
          <cell r="AQ46">
            <v>422.85</v>
          </cell>
          <cell r="AS46">
            <v>418.2</v>
          </cell>
          <cell r="AT46">
            <v>415.9</v>
          </cell>
          <cell r="AU46">
            <v>404.5</v>
          </cell>
          <cell r="AV46">
            <v>398.8</v>
          </cell>
          <cell r="AW46">
            <v>409.34999999999997</v>
          </cell>
          <cell r="AY46">
            <v>394.6</v>
          </cell>
          <cell r="AZ46">
            <v>385.9</v>
          </cell>
          <cell r="BA46">
            <v>382.7</v>
          </cell>
          <cell r="BB46">
            <v>375.9</v>
          </cell>
          <cell r="BC46">
            <v>384.77499999999998</v>
          </cell>
          <cell r="BE46">
            <v>370.1</v>
          </cell>
          <cell r="BF46">
            <v>369.2</v>
          </cell>
          <cell r="BG46">
            <v>361.94523160762941</v>
          </cell>
          <cell r="BH46">
            <v>354.69046321525889</v>
          </cell>
          <cell r="BI46">
            <v>363.98392370572208</v>
          </cell>
          <cell r="BK46">
            <v>353.14251601550279</v>
          </cell>
          <cell r="BL46">
            <v>349.4771858771594</v>
          </cell>
          <cell r="BM46">
            <v>345.81185573881601</v>
          </cell>
          <cell r="BN46">
            <v>342.14652560047267</v>
          </cell>
          <cell r="BO46">
            <v>345.92503748329472</v>
          </cell>
          <cell r="BQ46">
            <v>338.55359504614449</v>
          </cell>
          <cell r="BR46">
            <v>334.62257503964202</v>
          </cell>
          <cell r="BS46">
            <v>330.69155503313948</v>
          </cell>
          <cell r="BT46">
            <v>326.760535026637</v>
          </cell>
          <cell r="BU46">
            <v>332.65706503639075</v>
          </cell>
          <cell r="BW46">
            <v>322.88587490422191</v>
          </cell>
          <cell r="BX46">
            <v>318.68864761988516</v>
          </cell>
          <cell r="BY46">
            <v>314.49142033554847</v>
          </cell>
          <cell r="BZ46">
            <v>310.29419305121178</v>
          </cell>
          <cell r="CA46">
            <v>316.59003397771681</v>
          </cell>
        </row>
        <row r="47">
          <cell r="C47" t="str">
            <v>Dilution ratio</v>
          </cell>
          <cell r="I47">
            <v>1.0289941043303514</v>
          </cell>
          <cell r="J47">
            <v>1.0298965398529936</v>
          </cell>
          <cell r="K47">
            <v>1.0251123741595154</v>
          </cell>
          <cell r="L47">
            <v>1.0264479933099933</v>
          </cell>
          <cell r="M47">
            <v>1.0276338938167016</v>
          </cell>
          <cell r="O47">
            <v>1.0234410432600012</v>
          </cell>
          <cell r="P47">
            <v>1.0211032216055316</v>
          </cell>
          <cell r="Q47">
            <v>1.0239299226032985</v>
          </cell>
          <cell r="R47">
            <v>1.0244608570847784</v>
          </cell>
          <cell r="S47">
            <v>1.0231887466194682</v>
          </cell>
          <cell r="U47">
            <v>1.0241529893771006</v>
          </cell>
          <cell r="V47">
            <v>1.0262510152583251</v>
          </cell>
          <cell r="W47">
            <v>1.0282552867696013</v>
          </cell>
          <cell r="X47">
            <v>1.0535126906912868</v>
          </cell>
          <cell r="Y47">
            <v>1.0388407452934607</v>
          </cell>
          <cell r="AA47">
            <v>1.0499880980718876</v>
          </cell>
          <cell r="AB47">
            <v>1.0530660377358489</v>
          </cell>
          <cell r="AC47">
            <v>1.0525571529578128</v>
          </cell>
          <cell r="AD47">
            <v>1.0555688622754491</v>
          </cell>
          <cell r="AE47">
            <v>1.0526690391459075</v>
          </cell>
          <cell r="AG47">
            <v>1.0447904191616766</v>
          </cell>
          <cell r="AH47">
            <v>1.045933014354067</v>
          </cell>
          <cell r="AI47">
            <v>1.0465393794749402</v>
          </cell>
          <cell r="AJ47">
            <v>1.0215105162523901</v>
          </cell>
          <cell r="AK47">
            <v>1.0396939263510283</v>
          </cell>
          <cell r="AM47">
            <v>1.0181948767057698</v>
          </cell>
          <cell r="AN47">
            <v>1.020226342403082</v>
          </cell>
          <cell r="AO47">
            <v>1.030154449620005</v>
          </cell>
          <cell r="AP47">
            <v>1.0330315634940055</v>
          </cell>
          <cell r="AQ47">
            <v>1.0253394762366634</v>
          </cell>
          <cell r="AS47">
            <v>1.02099609375</v>
          </cell>
          <cell r="AT47">
            <v>1.0161250916198388</v>
          </cell>
          <cell r="AU47">
            <v>1.0094834040429248</v>
          </cell>
          <cell r="AV47">
            <v>1.013468869123253</v>
          </cell>
          <cell r="AW47">
            <v>1.0150641621722147</v>
          </cell>
          <cell r="AY47">
            <v>1.0154400411734432</v>
          </cell>
          <cell r="AZ47">
            <v>1.0104739460591778</v>
          </cell>
          <cell r="BA47">
            <v>1.0084321475625824</v>
          </cell>
          <cell r="BB47">
            <v>1.0066952329941081</v>
          </cell>
          <cell r="BC47">
            <v>1.010305894709203</v>
          </cell>
          <cell r="BE47">
            <v>1.0076231962973048</v>
          </cell>
          <cell r="BF47">
            <v>1.0059945504087193</v>
          </cell>
          <cell r="BG47">
            <v>1.0059945504087193</v>
          </cell>
          <cell r="BH47">
            <v>1.0059945504087193</v>
          </cell>
          <cell r="BI47">
            <v>1.0175000000000001</v>
          </cell>
          <cell r="BK47">
            <v>1.012</v>
          </cell>
          <cell r="BL47">
            <v>1.012</v>
          </cell>
          <cell r="BM47">
            <v>1.012</v>
          </cell>
          <cell r="BN47">
            <v>1.012</v>
          </cell>
          <cell r="BO47">
            <v>1.0069945504087192</v>
          </cell>
          <cell r="BQ47">
            <v>1.0129999999999999</v>
          </cell>
          <cell r="BR47">
            <v>1.0129999999999999</v>
          </cell>
          <cell r="BS47">
            <v>1.0129999999999999</v>
          </cell>
          <cell r="BT47">
            <v>1.0129999999999999</v>
          </cell>
          <cell r="BU47">
            <v>1.0129999999999999</v>
          </cell>
          <cell r="BW47">
            <v>1.0139999999999998</v>
          </cell>
          <cell r="BX47">
            <v>1.0139999999999998</v>
          </cell>
          <cell r="BY47">
            <v>1.0139999999999998</v>
          </cell>
          <cell r="BZ47">
            <v>1.0139999999999998</v>
          </cell>
          <cell r="CA47">
            <v>1.0139999999999998</v>
          </cell>
        </row>
        <row r="49">
          <cell r="C49" t="str">
            <v>Margins</v>
          </cell>
        </row>
        <row r="50">
          <cell r="C50" t="str">
            <v>COGS</v>
          </cell>
          <cell r="I50">
            <v>0.54124700970607509</v>
          </cell>
          <cell r="J50">
            <v>0.54524860605852932</v>
          </cell>
          <cell r="K50">
            <v>0.53725233489761492</v>
          </cell>
          <cell r="L50">
            <v>0.53686460505527933</v>
          </cell>
          <cell r="M50">
            <v>0.53860276201895285</v>
          </cell>
          <cell r="O50">
            <v>0.54596143116693607</v>
          </cell>
          <cell r="P50">
            <v>0.55053616698361896</v>
          </cell>
          <cell r="Q50">
            <v>0.55514703176722191</v>
          </cell>
          <cell r="R50">
            <v>0.54441155149860887</v>
          </cell>
          <cell r="S50">
            <v>0.54903121008633782</v>
          </cell>
          <cell r="U50">
            <v>0.54313906299549752</v>
          </cell>
          <cell r="V50">
            <v>0.54341610275443331</v>
          </cell>
          <cell r="W50">
            <v>0.53256998297841818</v>
          </cell>
          <cell r="X50">
            <v>0.56944754029600342</v>
          </cell>
          <cell r="Y50">
            <v>0.56331634278432619</v>
          </cell>
          <cell r="AA50">
            <v>0.59520143700282258</v>
          </cell>
          <cell r="AB50">
            <v>0.59009178926191364</v>
          </cell>
          <cell r="AC50">
            <v>0.59216225220722973</v>
          </cell>
          <cell r="AD50">
            <v>0.59120216702910988</v>
          </cell>
          <cell r="AE50">
            <v>0.59580922595777952</v>
          </cell>
          <cell r="AG50">
            <v>0.58860610806577929</v>
          </cell>
          <cell r="AH50">
            <v>0.58702391496899897</v>
          </cell>
          <cell r="AI50">
            <v>0.58853985549244614</v>
          </cell>
          <cell r="AJ50">
            <v>0.58508105656955001</v>
          </cell>
          <cell r="AK50">
            <v>0.59150409184346286</v>
          </cell>
          <cell r="AM50">
            <v>0.59349917963726662</v>
          </cell>
          <cell r="AN50">
            <v>0.58963004709955313</v>
          </cell>
          <cell r="AO50">
            <v>0.58800521512385917</v>
          </cell>
          <cell r="AP50">
            <v>0.58540536733112625</v>
          </cell>
          <cell r="AQ50">
            <v>0.5940816820694943</v>
          </cell>
          <cell r="AS50">
            <v>0.57977083254025652</v>
          </cell>
          <cell r="AT50">
            <v>0.58238625418962131</v>
          </cell>
          <cell r="AU50">
            <v>0.58298778864077294</v>
          </cell>
          <cell r="AV50">
            <v>0.57398212512413116</v>
          </cell>
          <cell r="AW50">
            <v>0.57972413010160639</v>
          </cell>
          <cell r="AY50">
            <v>0.56885111459032289</v>
          </cell>
          <cell r="AZ50">
            <v>0.57210932025227745</v>
          </cell>
          <cell r="BA50">
            <v>0.5582529237273689</v>
          </cell>
          <cell r="BB50">
            <v>0.55070727996633539</v>
          </cell>
          <cell r="BC50">
            <v>0.5621171747932312</v>
          </cell>
          <cell r="BE50">
            <v>0.55057576550641196</v>
          </cell>
          <cell r="BF50">
            <v>0.55352144396898428</v>
          </cell>
          <cell r="BG50">
            <v>0.54975292372736895</v>
          </cell>
          <cell r="BH50">
            <v>0.54270727996633539</v>
          </cell>
          <cell r="BI50">
            <v>0.54915423590107204</v>
          </cell>
          <cell r="BK50">
            <v>0.54757576550641196</v>
          </cell>
          <cell r="BL50">
            <v>0.55102144396898434</v>
          </cell>
          <cell r="BM50">
            <v>0.54875292372736895</v>
          </cell>
          <cell r="BN50">
            <v>0.54120727996633544</v>
          </cell>
          <cell r="BO50">
            <v>0.54715475614173059</v>
          </cell>
          <cell r="BQ50">
            <v>0.54357576550641196</v>
          </cell>
          <cell r="BR50">
            <v>0.54702144396898433</v>
          </cell>
          <cell r="BS50">
            <v>0.54475292372736894</v>
          </cell>
          <cell r="BT50">
            <v>0.53720727996633544</v>
          </cell>
          <cell r="BU50">
            <v>0.54315003182161958</v>
          </cell>
          <cell r="BW50">
            <v>0.53957576550641195</v>
          </cell>
          <cell r="BX50">
            <v>0.54302144396898433</v>
          </cell>
          <cell r="BY50">
            <v>0.54075292372736894</v>
          </cell>
          <cell r="BZ50">
            <v>0.53320727996633543</v>
          </cell>
          <cell r="CA50">
            <v>0.53914494889113185</v>
          </cell>
        </row>
        <row r="51">
          <cell r="C51" t="str">
            <v>Gross Margin</v>
          </cell>
          <cell r="I51">
            <v>0.45875299029392491</v>
          </cell>
          <cell r="J51">
            <v>0.45475139394147063</v>
          </cell>
          <cell r="K51">
            <v>0.46274766510238508</v>
          </cell>
          <cell r="L51">
            <v>0.46313539494472061</v>
          </cell>
          <cell r="M51">
            <v>0.4613972379810472</v>
          </cell>
          <cell r="O51">
            <v>0.45403856883306393</v>
          </cell>
          <cell r="P51">
            <v>0.44946383301638104</v>
          </cell>
          <cell r="Q51">
            <v>0.44485296823277815</v>
          </cell>
          <cell r="R51">
            <v>0.45558844850139119</v>
          </cell>
          <cell r="S51">
            <v>0.45096878991366218</v>
          </cell>
          <cell r="U51">
            <v>0.45686093700450253</v>
          </cell>
          <cell r="V51">
            <v>0.45658389724556675</v>
          </cell>
          <cell r="W51">
            <v>0.46743001702158177</v>
          </cell>
          <cell r="X51">
            <v>0.43055245970399658</v>
          </cell>
          <cell r="Y51">
            <v>0.43668365721567376</v>
          </cell>
          <cell r="AA51">
            <v>0.40479856299717748</v>
          </cell>
          <cell r="AB51">
            <v>0.40990821073808631</v>
          </cell>
          <cell r="AC51">
            <v>0.40783774779277027</v>
          </cell>
          <cell r="AD51">
            <v>0.40879783297089012</v>
          </cell>
          <cell r="AE51">
            <v>0.40419077404222048</v>
          </cell>
          <cell r="AG51">
            <v>0.41139389193422077</v>
          </cell>
          <cell r="AH51">
            <v>0.41297608503100097</v>
          </cell>
          <cell r="AI51">
            <v>0.41146014450755386</v>
          </cell>
          <cell r="AJ51">
            <v>0.41491894343044999</v>
          </cell>
          <cell r="AK51">
            <v>0.40849590815653719</v>
          </cell>
          <cell r="AM51">
            <v>0.40650082036273344</v>
          </cell>
          <cell r="AN51">
            <v>0.41036995290044687</v>
          </cell>
          <cell r="AO51">
            <v>0.41199478487614083</v>
          </cell>
          <cell r="AP51">
            <v>0.4145946326688737</v>
          </cell>
          <cell r="AQ51">
            <v>0.4059183179305057</v>
          </cell>
          <cell r="AS51">
            <v>0.42022916745974354</v>
          </cell>
          <cell r="AT51">
            <v>0.41761374581037874</v>
          </cell>
          <cell r="AU51">
            <v>0.41701221135922706</v>
          </cell>
          <cell r="AV51">
            <v>0.4260178748758689</v>
          </cell>
          <cell r="AW51">
            <v>0.42027586989839361</v>
          </cell>
          <cell r="AY51">
            <v>0.43114888540967716</v>
          </cell>
          <cell r="AZ51">
            <v>0.42789067974772249</v>
          </cell>
          <cell r="BA51">
            <v>0.44174707627263116</v>
          </cell>
          <cell r="BB51">
            <v>0.44929272003366455</v>
          </cell>
          <cell r="BC51">
            <v>0.4378828252067688</v>
          </cell>
          <cell r="BE51">
            <v>0.44942423449358804</v>
          </cell>
          <cell r="BF51">
            <v>0.44647855603101577</v>
          </cell>
          <cell r="BG51">
            <v>0.45024707627263105</v>
          </cell>
          <cell r="BH51">
            <v>0.45729272003366461</v>
          </cell>
          <cell r="BI51">
            <v>0.45084576409892801</v>
          </cell>
          <cell r="BK51">
            <v>0.45242423449358798</v>
          </cell>
          <cell r="BL51">
            <v>0.44897855603101566</v>
          </cell>
          <cell r="BM51">
            <v>0.45124707627263105</v>
          </cell>
          <cell r="BN51">
            <v>0.45879272003366456</v>
          </cell>
          <cell r="BO51">
            <v>0.45284524385826941</v>
          </cell>
          <cell r="BQ51">
            <v>0.45642423449358804</v>
          </cell>
          <cell r="BR51">
            <v>0.45297855603101567</v>
          </cell>
          <cell r="BS51">
            <v>0.45524707627263106</v>
          </cell>
          <cell r="BT51">
            <v>0.46279272003366456</v>
          </cell>
          <cell r="BU51">
            <v>0.45684996817838042</v>
          </cell>
          <cell r="BW51">
            <v>0.46042423449358805</v>
          </cell>
          <cell r="BX51">
            <v>0.45697855603101567</v>
          </cell>
          <cell r="BY51">
            <v>0.45924707627263106</v>
          </cell>
          <cell r="BZ51">
            <v>0.46679272003366462</v>
          </cell>
          <cell r="CA51">
            <v>0.4608550511088681</v>
          </cell>
        </row>
        <row r="52">
          <cell r="C52" t="str">
            <v>Incremental Gross Margin</v>
          </cell>
          <cell r="AG52">
            <v>0.48285449490268534</v>
          </cell>
          <cell r="AH52">
            <v>0.43558850787766484</v>
          </cell>
          <cell r="AI52">
            <v>0.4579989299090429</v>
          </cell>
          <cell r="AJ52">
            <v>1.0515873015873001</v>
          </cell>
          <cell r="AK52">
            <v>0.46579714166782221</v>
          </cell>
          <cell r="AM52">
            <v>0.44831047172967448</v>
          </cell>
          <cell r="AN52">
            <v>0.44168514412416926</v>
          </cell>
          <cell r="AO52">
            <v>0.38771929824561735</v>
          </cell>
          <cell r="AP52">
            <v>0.41015018125323732</v>
          </cell>
          <cell r="AQ52">
            <v>0.47211155378485875</v>
          </cell>
        </row>
        <row r="53">
          <cell r="C53" t="str">
            <v>SG&amp;A</v>
          </cell>
          <cell r="I53">
            <v>0.27951248685794383</v>
          </cell>
          <cell r="J53">
            <v>0.26815455284413559</v>
          </cell>
          <cell r="K53">
            <v>0.27169818279044472</v>
          </cell>
          <cell r="L53">
            <v>0.27499311147668742</v>
          </cell>
          <cell r="M53">
            <v>0.27363026661438483</v>
          </cell>
          <cell r="O53">
            <v>0.27912154332556044</v>
          </cell>
          <cell r="P53">
            <v>0.26541986870066908</v>
          </cell>
          <cell r="Q53">
            <v>0.24838279038755626</v>
          </cell>
          <cell r="R53">
            <v>0.25084268487432959</v>
          </cell>
          <cell r="S53">
            <v>0.25983250456603751</v>
          </cell>
          <cell r="U53">
            <v>0.25849826169428908</v>
          </cell>
          <cell r="V53">
            <v>0.25406044840132985</v>
          </cell>
          <cell r="W53">
            <v>0.26419729585826568</v>
          </cell>
          <cell r="X53">
            <v>0.24151417101084549</v>
          </cell>
          <cell r="Y53">
            <v>0.24259318254221088</v>
          </cell>
          <cell r="AA53">
            <v>0.21862971516551191</v>
          </cell>
          <cell r="AB53">
            <v>0.21572572194978834</v>
          </cell>
          <cell r="AC53">
            <v>0.21480926203564885</v>
          </cell>
          <cell r="AD53">
            <v>0.21288771889664646</v>
          </cell>
          <cell r="AE53">
            <v>0.21283294240291895</v>
          </cell>
          <cell r="AG53">
            <v>0.2120595144870791</v>
          </cell>
          <cell r="AH53">
            <v>0.21331561854148212</v>
          </cell>
          <cell r="AI53">
            <v>0.21200880955140836</v>
          </cell>
          <cell r="AJ53">
            <v>0.20609908173676456</v>
          </cell>
          <cell r="AK53">
            <v>0.20835434200830005</v>
          </cell>
          <cell r="AM53">
            <v>0.22593233116048064</v>
          </cell>
          <cell r="AN53">
            <v>0.21846946580250395</v>
          </cell>
          <cell r="AO53">
            <v>0.21524238473391014</v>
          </cell>
          <cell r="AP53">
            <v>0.21064309361132633</v>
          </cell>
          <cell r="AQ53">
            <v>0.21490980265547438</v>
          </cell>
          <cell r="AS53">
            <v>0.2218965320339564</v>
          </cell>
          <cell r="AT53">
            <v>0.21843818623107447</v>
          </cell>
          <cell r="AU53">
            <v>0.21820671814965575</v>
          </cell>
          <cell r="AV53">
            <v>0.21847070506454816</v>
          </cell>
          <cell r="AW53">
            <v>0.219248453198615</v>
          </cell>
          <cell r="AY53">
            <v>0.22500559159024827</v>
          </cell>
          <cell r="AZ53">
            <v>0.21990189208128944</v>
          </cell>
          <cell r="BA53">
            <v>0.22571516246718265</v>
          </cell>
          <cell r="BB53">
            <v>0.22652380798239083</v>
          </cell>
          <cell r="BC53">
            <v>0.22433124545800603</v>
          </cell>
          <cell r="BE53">
            <v>0.23194190002617115</v>
          </cell>
          <cell r="BF53">
            <v>0.22631189472668189</v>
          </cell>
          <cell r="BG53">
            <v>0.22671516246718265</v>
          </cell>
          <cell r="BH53">
            <v>0.22752380798239083</v>
          </cell>
          <cell r="BI53">
            <v>0.2281266087802743</v>
          </cell>
          <cell r="BK53">
            <v>0.23194190002617115</v>
          </cell>
          <cell r="BL53">
            <v>0.22631189472668189</v>
          </cell>
          <cell r="BM53">
            <v>0.22671516246718265</v>
          </cell>
          <cell r="BN53">
            <v>0.22752380798239083</v>
          </cell>
          <cell r="BO53">
            <v>0.22812143406141577</v>
          </cell>
          <cell r="BQ53">
            <v>0.23119190002617115</v>
          </cell>
          <cell r="BR53">
            <v>0.22556189472668189</v>
          </cell>
          <cell r="BS53">
            <v>0.22596516246718265</v>
          </cell>
          <cell r="BT53">
            <v>0.22677380798239083</v>
          </cell>
          <cell r="BU53">
            <v>0.22736885115578828</v>
          </cell>
          <cell r="BW53">
            <v>0.23044190002617115</v>
          </cell>
          <cell r="BX53">
            <v>0.22481189472668189</v>
          </cell>
          <cell r="BY53">
            <v>0.22521516246718265</v>
          </cell>
          <cell r="BZ53">
            <v>0.22602380798239083</v>
          </cell>
          <cell r="CA53">
            <v>0.22662069007935556</v>
          </cell>
        </row>
        <row r="54">
          <cell r="C54" t="str">
            <v>R&amp;D</v>
          </cell>
          <cell r="I54">
            <v>6.5270307333648234E-2</v>
          </cell>
          <cell r="J54">
            <v>6.2043482978589748E-2</v>
          </cell>
          <cell r="K54">
            <v>6.0617906567216481E-2</v>
          </cell>
          <cell r="L54">
            <v>5.697501707864655E-2</v>
          </cell>
          <cell r="M54">
            <v>6.1051815620615624E-2</v>
          </cell>
          <cell r="O54">
            <v>6.4963305245990768E-2</v>
          </cell>
          <cell r="P54">
            <v>6.0328539015729307E-2</v>
          </cell>
          <cell r="Q54">
            <v>5.7084739575897353E-2</v>
          </cell>
          <cell r="R54">
            <v>5.1608627041241271E-2</v>
          </cell>
          <cell r="S54">
            <v>5.8022572499256561E-2</v>
          </cell>
          <cell r="U54">
            <v>5.6609288208017979E-2</v>
          </cell>
          <cell r="V54">
            <v>5.6933177101145392E-2</v>
          </cell>
          <cell r="W54">
            <v>5.3324174232580471E-2</v>
          </cell>
          <cell r="X54">
            <v>3.1259512253580202E-2</v>
          </cell>
          <cell r="Y54">
            <v>4.4573643410852709E-2</v>
          </cell>
          <cell r="AA54">
            <v>2.5575228808485156E-2</v>
          </cell>
          <cell r="AB54">
            <v>2.4602875225281866E-2</v>
          </cell>
          <cell r="AC54">
            <v>2.4487756121939031E-2</v>
          </cell>
          <cell r="AD54">
            <v>2.3425279462820952E-2</v>
          </cell>
          <cell r="AE54">
            <v>2.4706802189210321E-2</v>
          </cell>
          <cell r="AG54">
            <v>2.4275646045418951E-2</v>
          </cell>
          <cell r="AH54">
            <v>2.3767345733687627E-2</v>
          </cell>
          <cell r="AI54">
            <v>2.3878520922684589E-2</v>
          </cell>
          <cell r="AJ54">
            <v>2.301326380228999E-2</v>
          </cell>
          <cell r="AK54">
            <v>2.3969282085094828E-2</v>
          </cell>
          <cell r="AM54">
            <v>2.5808168152188369E-2</v>
          </cell>
          <cell r="AN54">
            <v>2.3388752465681738E-2</v>
          </cell>
          <cell r="AO54">
            <v>2.3902651021295091E-2</v>
          </cell>
          <cell r="AP54">
            <v>2.4406564767204337E-2</v>
          </cell>
          <cell r="AQ54">
            <v>2.4597441381815247E-2</v>
          </cell>
          <cell r="AS54">
            <v>2.5162739350565306E-2</v>
          </cell>
          <cell r="AT54">
            <v>2.6813576299264168E-2</v>
          </cell>
          <cell r="AU54">
            <v>2.7199756533647812E-2</v>
          </cell>
          <cell r="AV54">
            <v>2.8540954062304606E-2</v>
          </cell>
          <cell r="AW54">
            <v>2.6943671832131841E-2</v>
          </cell>
          <cell r="AY54">
            <v>2.7883396704689482E-2</v>
          </cell>
          <cell r="AZ54">
            <v>2.9187105816398037E-2</v>
          </cell>
          <cell r="BA54">
            <v>2.9595281121074703E-2</v>
          </cell>
          <cell r="BB54">
            <v>3.097789143171592E-2</v>
          </cell>
          <cell r="BC54">
            <v>2.9466726649825241E-2</v>
          </cell>
          <cell r="BE54">
            <v>3.0031405391258831E-2</v>
          </cell>
          <cell r="BF54">
            <v>3.0307905151056917E-2</v>
          </cell>
          <cell r="BG54">
            <v>2.9595281121074703E-2</v>
          </cell>
          <cell r="BH54">
            <v>3.097789143171592E-2</v>
          </cell>
          <cell r="BI54">
            <v>3.0233232023292336E-2</v>
          </cell>
          <cell r="BK54">
            <v>3.0031405391258831E-2</v>
          </cell>
          <cell r="BL54">
            <v>3.0307905151056917E-2</v>
          </cell>
          <cell r="BM54">
            <v>2.9595281121074703E-2</v>
          </cell>
          <cell r="BN54">
            <v>3.097789143171592E-2</v>
          </cell>
          <cell r="BO54">
            <v>3.0233636481205573E-2</v>
          </cell>
          <cell r="BQ54">
            <v>2.9281405391258831E-2</v>
          </cell>
          <cell r="BR54">
            <v>2.9557905151056916E-2</v>
          </cell>
          <cell r="BS54">
            <v>2.8845281121074703E-2</v>
          </cell>
          <cell r="BT54">
            <v>3.022789143171592E-2</v>
          </cell>
          <cell r="BU54">
            <v>2.9484487605261379E-2</v>
          </cell>
          <cell r="BW54">
            <v>2.853140539125883E-2</v>
          </cell>
          <cell r="BX54">
            <v>2.8807905151056915E-2</v>
          </cell>
          <cell r="BY54">
            <v>2.8095281121074702E-2</v>
          </cell>
          <cell r="BZ54">
            <v>2.9477891431715919E-2</v>
          </cell>
          <cell r="CA54">
            <v>2.8735222556807678E-2</v>
          </cell>
        </row>
        <row r="55">
          <cell r="C55" t="str">
            <v>EBIT</v>
          </cell>
          <cell r="I55">
            <v>0.11397019610233285</v>
          </cell>
          <cell r="J55">
            <v>0.12455335811874531</v>
          </cell>
          <cell r="K55">
            <v>0.13043157574472383</v>
          </cell>
          <cell r="L55">
            <v>0.13116726638938669</v>
          </cell>
          <cell r="M55">
            <v>0.12671515574604672</v>
          </cell>
          <cell r="O55">
            <v>0.10995372026151265</v>
          </cell>
          <cell r="P55">
            <v>0.12371542529998263</v>
          </cell>
          <cell r="Q55">
            <v>0.13938543826932451</v>
          </cell>
          <cell r="R55">
            <v>0.15313713658582037</v>
          </cell>
          <cell r="S55">
            <v>0.13311371284836812</v>
          </cell>
          <cell r="U55">
            <v>0.14175338710219559</v>
          </cell>
          <cell r="V55">
            <v>0.14559027174309153</v>
          </cell>
          <cell r="W55">
            <v>0.14990854693073569</v>
          </cell>
          <cell r="X55">
            <v>0.15777877643957086</v>
          </cell>
          <cell r="Y55">
            <v>0.14951683126261023</v>
          </cell>
          <cell r="AA55">
            <v>0.1605936190231804</v>
          </cell>
          <cell r="AB55">
            <v>0.1695796135630161</v>
          </cell>
          <cell r="AC55">
            <v>0.16854072963518243</v>
          </cell>
          <cell r="AD55">
            <v>0.17248483461142267</v>
          </cell>
          <cell r="AE55">
            <v>0.16665102945009125</v>
          </cell>
          <cell r="AG55">
            <v>0.17505873140172276</v>
          </cell>
          <cell r="AH55">
            <v>0.17589312075583122</v>
          </cell>
          <cell r="AI55">
            <v>0.17557281403346084</v>
          </cell>
          <cell r="AJ55">
            <v>0.18580659789139548</v>
          </cell>
          <cell r="AK55">
            <v>0.17617228406314214</v>
          </cell>
          <cell r="AM55">
            <v>0.15476032105006438</v>
          </cell>
          <cell r="AN55">
            <v>0.16851173463226116</v>
          </cell>
          <cell r="AO55">
            <v>0.17284974912093556</v>
          </cell>
          <cell r="AP55">
            <v>0.17954497429034294</v>
          </cell>
          <cell r="AQ55">
            <v>0.16641107389321616</v>
          </cell>
          <cell r="AS55">
            <v>0.17316989607522179</v>
          </cell>
          <cell r="AT55">
            <v>0.17236198328004013</v>
          </cell>
          <cell r="AU55">
            <v>0.17160573667592344</v>
          </cell>
          <cell r="AV55">
            <v>0.17900621574901607</v>
          </cell>
          <cell r="AW55">
            <v>0.17408374486764683</v>
          </cell>
          <cell r="AY55">
            <v>0.17825989711473936</v>
          </cell>
          <cell r="AZ55">
            <v>0.17880168185003495</v>
          </cell>
          <cell r="BA55">
            <v>0.18643663268437372</v>
          </cell>
          <cell r="BB55">
            <v>0.19179102061955783</v>
          </cell>
          <cell r="BC55">
            <v>0.18408485309893741</v>
          </cell>
          <cell r="BE55">
            <v>0.18745092907615807</v>
          </cell>
          <cell r="BF55">
            <v>0.18985875615327691</v>
          </cell>
          <cell r="BG55">
            <v>0.19393663268437375</v>
          </cell>
          <cell r="BH55">
            <v>0.19879102061955781</v>
          </cell>
          <cell r="BI55">
            <v>0.19248592329536141</v>
          </cell>
          <cell r="BK55">
            <v>0.19045092907615804</v>
          </cell>
          <cell r="BL55">
            <v>0.19235875615327683</v>
          </cell>
          <cell r="BM55">
            <v>0.19493663268437386</v>
          </cell>
          <cell r="BN55">
            <v>0.20029102061955789</v>
          </cell>
          <cell r="BO55">
            <v>0.19449017331564813</v>
          </cell>
          <cell r="BQ55">
            <v>0.19595092907615808</v>
          </cell>
          <cell r="BR55">
            <v>0.19785875615327686</v>
          </cell>
          <cell r="BS55">
            <v>0.20043663268437373</v>
          </cell>
          <cell r="BT55">
            <v>0.20579102061955781</v>
          </cell>
          <cell r="BU55">
            <v>0.1999966294173306</v>
          </cell>
          <cell r="BW55">
            <v>0.20145092907615808</v>
          </cell>
          <cell r="BX55">
            <v>0.20335875615327689</v>
          </cell>
          <cell r="BY55">
            <v>0.20593663268437362</v>
          </cell>
          <cell r="BZ55">
            <v>0.21129102061955782</v>
          </cell>
          <cell r="CA55">
            <v>0.20549913847270485</v>
          </cell>
        </row>
        <row r="56">
          <cell r="C56" t="str">
            <v>Incremental EBIT</v>
          </cell>
          <cell r="O56">
            <v>4.8250234082395461E-2</v>
          </cell>
          <cell r="P56">
            <v>0.12028493048194999</v>
          </cell>
          <cell r="Q56">
            <v>0.17480451654315315</v>
          </cell>
          <cell r="R56">
            <v>0.25886636118260059</v>
          </cell>
          <cell r="S56">
            <v>0.16616787500702496</v>
          </cell>
          <cell r="U56">
            <v>0.28392455967828434</v>
          </cell>
          <cell r="V56">
            <v>0.38449713435928434</v>
          </cell>
          <cell r="W56">
            <v>0.3068648328247453</v>
          </cell>
          <cell r="X56">
            <v>0.16148356934985253</v>
          </cell>
          <cell r="Y56">
            <v>0.18761074747766973</v>
          </cell>
          <cell r="AA56">
            <v>0.16838854280726998</v>
          </cell>
          <cell r="AB56">
            <v>0.17981358883350718</v>
          </cell>
          <cell r="AC56">
            <v>0.17659902710712921</v>
          </cell>
          <cell r="AD56">
            <v>0.1982598193656796</v>
          </cell>
          <cell r="AE56">
            <v>0.17772971488404829</v>
          </cell>
          <cell r="AG56">
            <v>0.33178869323447424</v>
          </cell>
          <cell r="AH56">
            <v>0.22242817423540368</v>
          </cell>
          <cell r="AI56">
            <v>0.26591760299625417</v>
          </cell>
          <cell r="AJ56">
            <v>1.5714285714285792</v>
          </cell>
          <cell r="AK56">
            <v>0.30289995837379941</v>
          </cell>
          <cell r="AM56">
            <v>0.32820341251254531</v>
          </cell>
          <cell r="AN56">
            <v>0.25720620842572212</v>
          </cell>
          <cell r="AO56">
            <v>0.29649122807017469</v>
          </cell>
          <cell r="AP56">
            <v>9.3733816675297121E-2</v>
          </cell>
          <cell r="AQ56">
            <v>0.41708167330676349</v>
          </cell>
          <cell r="AS56">
            <v>0.28483055406132346</v>
          </cell>
          <cell r="AT56">
            <v>0.25806451612903408</v>
          </cell>
          <cell r="AU56">
            <v>0.13934426229508118</v>
          </cell>
          <cell r="AV56">
            <v>0.19170124481327724</v>
          </cell>
          <cell r="AW56">
            <v>0.28955359854236157</v>
          </cell>
          <cell r="AY56">
            <v>0.41831238779173452</v>
          </cell>
          <cell r="AZ56">
            <v>0.24351529229577851</v>
          </cell>
          <cell r="BA56">
            <v>0.31459566074950601</v>
          </cell>
          <cell r="BB56">
            <v>0.28563714902807819</v>
          </cell>
          <cell r="BC56">
            <v>0.29101760064737708</v>
          </cell>
          <cell r="BE56">
            <v>0.25334045964724777</v>
          </cell>
          <cell r="BF56">
            <v>0.31404958677686035</v>
          </cell>
          <cell r="BG56">
            <v>0.94460615611521126</v>
          </cell>
          <cell r="BH56">
            <v>-0.42333801999633563</v>
          </cell>
          <cell r="BI56">
            <v>0.34839405501473319</v>
          </cell>
          <cell r="BK56">
            <v>0.291255461089099</v>
          </cell>
          <cell r="BL56">
            <v>0.25236738095789174</v>
          </cell>
          <cell r="BM56">
            <v>0.22932790836712785</v>
          </cell>
          <cell r="BN56">
            <v>0.2499343464593132</v>
          </cell>
          <cell r="BO56">
            <v>0.25569849330692979</v>
          </cell>
          <cell r="BQ56">
            <v>0.35749313435031621</v>
          </cell>
          <cell r="BR56">
            <v>0.34665065508661258</v>
          </cell>
          <cell r="BS56">
            <v>0.35556031297446161</v>
          </cell>
          <cell r="BT56">
            <v>0.34448121710723667</v>
          </cell>
          <cell r="BU56">
            <v>0.35068405137251119</v>
          </cell>
          <cell r="BW56">
            <v>0.3317700743507333</v>
          </cell>
          <cell r="BX56">
            <v>0.33991698676198628</v>
          </cell>
          <cell r="BY56">
            <v>0.34833141037635096</v>
          </cell>
          <cell r="BZ56">
            <v>0.33763125533153165</v>
          </cell>
          <cell r="CA56">
            <v>0.3391369154645229</v>
          </cell>
        </row>
        <row r="57">
          <cell r="C57" t="str">
            <v>EBITDA</v>
          </cell>
          <cell r="I57">
            <v>0.13468893324597361</v>
          </cell>
          <cell r="J57">
            <v>0.14507842051059466</v>
          </cell>
          <cell r="K57">
            <v>0.14924720872555602</v>
          </cell>
          <cell r="L57">
            <v>0.14987959350375574</v>
          </cell>
          <cell r="M57">
            <v>0.15443099372392063</v>
          </cell>
          <cell r="O57">
            <v>0.12810796698187432</v>
          </cell>
          <cell r="P57">
            <v>0.14017756467432954</v>
          </cell>
          <cell r="Q57">
            <v>0.15754822927506332</v>
          </cell>
          <cell r="R57">
            <v>0.16990308955205763</v>
          </cell>
          <cell r="S57">
            <v>0.15152294298539293</v>
          </cell>
          <cell r="U57">
            <v>0.15899761357442141</v>
          </cell>
          <cell r="V57">
            <v>0.1643717728055078</v>
          </cell>
          <cell r="W57">
            <v>0.16839227435369028</v>
          </cell>
          <cell r="X57">
            <v>0.17599436754748624</v>
          </cell>
          <cell r="Y57">
            <v>0.16783476691090587</v>
          </cell>
          <cell r="AA57">
            <v>0.18026687195278437</v>
          </cell>
          <cell r="AB57">
            <v>0.18844042080556608</v>
          </cell>
          <cell r="AC57">
            <v>0.1877394636015326</v>
          </cell>
          <cell r="AD57">
            <v>0.18847048948914574</v>
          </cell>
          <cell r="AE57">
            <v>0.18531144123012774</v>
          </cell>
          <cell r="AG57">
            <v>0.19369616288175409</v>
          </cell>
          <cell r="AH57">
            <v>0.19368172423974031</v>
          </cell>
          <cell r="AI57">
            <v>0.19400332290096983</v>
          </cell>
          <cell r="AJ57">
            <v>0.20061973321240975</v>
          </cell>
          <cell r="AK57">
            <v>0.19388744521583967</v>
          </cell>
          <cell r="AM57">
            <v>0.17471509023990076</v>
          </cell>
          <cell r="AN57">
            <v>0.18751258000885629</v>
          </cell>
          <cell r="AO57">
            <v>0.19153727628303902</v>
          </cell>
          <cell r="AP57">
            <v>0.19486511234767898</v>
          </cell>
          <cell r="AQ57">
            <v>0.18487428871221612</v>
          </cell>
          <cell r="AS57">
            <v>0.19102364003197692</v>
          </cell>
          <cell r="AT57">
            <v>0.19066147859922183</v>
          </cell>
          <cell r="AU57">
            <v>0.18959942176741354</v>
          </cell>
          <cell r="AV57">
            <v>0.19724888741770563</v>
          </cell>
          <cell r="AW57">
            <v>0.19218179410039551</v>
          </cell>
          <cell r="AY57">
            <v>0.1964884813240885</v>
          </cell>
          <cell r="AZ57">
            <v>0.19681149264190601</v>
          </cell>
          <cell r="BA57">
            <v>0.2052234989259776</v>
          </cell>
          <cell r="BB57">
            <v>0.2112776357103551</v>
          </cell>
          <cell r="BC57">
            <v>0.20273730837111098</v>
          </cell>
          <cell r="BE57">
            <v>0.20704658466370057</v>
          </cell>
          <cell r="BF57">
            <v>0.20858402239310189</v>
          </cell>
          <cell r="BG57">
            <v>0.21220553976136838</v>
          </cell>
          <cell r="BH57">
            <v>0.21720908272261247</v>
          </cell>
          <cell r="BI57">
            <v>0.21124159679411914</v>
          </cell>
          <cell r="BK57">
            <v>0.20950922739828975</v>
          </cell>
          <cell r="BL57">
            <v>0.21143718089550606</v>
          </cell>
          <cell r="BM57">
            <v>0.21579903064803224</v>
          </cell>
          <cell r="BN57">
            <v>0.22104721226881008</v>
          </cell>
          <cell r="BO57">
            <v>0.21441549816896568</v>
          </cell>
          <cell r="BQ57">
            <v>0.21656345994676687</v>
          </cell>
          <cell r="BR57">
            <v>0.21840089257256834</v>
          </cell>
          <cell r="BS57">
            <v>0.2228978248626203</v>
          </cell>
          <cell r="BT57">
            <v>0.22801630337245238</v>
          </cell>
          <cell r="BU57">
            <v>0.22144312716792675</v>
          </cell>
          <cell r="BW57">
            <v>0.22344037360930538</v>
          </cell>
          <cell r="BX57">
            <v>0.22528693766449692</v>
          </cell>
          <cell r="BY57">
            <v>0.22992167380135395</v>
          </cell>
          <cell r="BZ57">
            <v>0.23488546196726412</v>
          </cell>
          <cell r="CA57">
            <v>0.22835826391400132</v>
          </cell>
        </row>
        <row r="58">
          <cell r="C58" t="str">
            <v>Other Expense</v>
          </cell>
          <cell r="AE58">
            <v>1.1227521501172772E-2</v>
          </cell>
          <cell r="AK58">
            <v>1.014234185315907E-2</v>
          </cell>
          <cell r="AQ58">
            <v>1.0220347875216935E-2</v>
          </cell>
          <cell r="AS58">
            <v>8.6032966614640934E-3</v>
          </cell>
          <cell r="AT58">
            <v>7.9747274338328525E-3</v>
          </cell>
          <cell r="AU58">
            <v>5.2877848366112441E-3</v>
          </cell>
          <cell r="AV58">
            <v>5.4433778366251096E-3</v>
          </cell>
          <cell r="AW58">
            <v>6.8116024294715286E-3</v>
          </cell>
          <cell r="AY58">
            <v>8.0891672258256875E-3</v>
          </cell>
          <cell r="AZ58">
            <v>1.0967063770147166E-2</v>
          </cell>
          <cell r="BA58">
            <v>1.5240887858433609E-2</v>
          </cell>
          <cell r="BB58">
            <v>1.7058880652574993E-2</v>
          </cell>
          <cell r="BC58">
            <v>1.3011731321590466E-2</v>
          </cell>
          <cell r="BE58">
            <v>1.5931693274012039E-2</v>
          </cell>
          <cell r="BF58">
            <v>1.4478298639039929E-2</v>
          </cell>
          <cell r="BG58">
            <v>2.1943129312831041E-2</v>
          </cell>
          <cell r="BH58">
            <v>2.1607180242377063E-2</v>
          </cell>
          <cell r="BI58">
            <v>1.8445787632968769E-2</v>
          </cell>
          <cell r="BK58">
            <v>1.4841034741825533E-2</v>
          </cell>
          <cell r="BL58">
            <v>1.4500437015565536E-2</v>
          </cell>
          <cell r="BM58">
            <v>1.4927892546645916E-2</v>
          </cell>
          <cell r="BN58">
            <v>1.3996686765998662E-2</v>
          </cell>
          <cell r="BO58">
            <v>1.4563227146850025E-2</v>
          </cell>
          <cell r="BQ58">
            <v>1.2548269373436007E-2</v>
          </cell>
          <cell r="BR58">
            <v>1.2497211900205621E-2</v>
          </cell>
          <cell r="BS58">
            <v>1.2848292219239246E-2</v>
          </cell>
          <cell r="BT58">
            <v>1.0787154500793235E-2</v>
          </cell>
          <cell r="BU58">
            <v>1.2165904794876394E-2</v>
          </cell>
          <cell r="BW58">
            <v>1.0634822273683703E-2</v>
          </cell>
          <cell r="BX58">
            <v>8.1028851384367159E-3</v>
          </cell>
          <cell r="BY58">
            <v>9.3393557772243393E-3</v>
          </cell>
          <cell r="BZ58">
            <v>8.4050392383101368E-3</v>
          </cell>
          <cell r="CA58">
            <v>9.1100356447956152E-3</v>
          </cell>
        </row>
        <row r="59">
          <cell r="C59" t="str">
            <v>income tax rate</v>
          </cell>
          <cell r="I59">
            <v>0.25321909032671358</v>
          </cell>
          <cell r="J59">
            <v>0.25044680403700598</v>
          </cell>
          <cell r="K59">
            <v>0.26570226484168002</v>
          </cell>
          <cell r="L59">
            <v>0.28000277723133166</v>
          </cell>
          <cell r="M59">
            <v>0.44230591188239954</v>
          </cell>
          <cell r="O59">
            <v>0.28048648732077003</v>
          </cell>
          <cell r="P59">
            <v>0.7509095866199107</v>
          </cell>
          <cell r="Q59">
            <v>0.44870526052485593</v>
          </cell>
          <cell r="R59">
            <v>0.32724325112025904</v>
          </cell>
          <cell r="S59">
            <v>0.46991576898013676</v>
          </cell>
          <cell r="U59">
            <v>0.39026614174917618</v>
          </cell>
          <cell r="V59">
            <v>0.41387785970882957</v>
          </cell>
          <cell r="W59">
            <v>0.41242531694758833</v>
          </cell>
          <cell r="X59">
            <v>0.58189572020210767</v>
          </cell>
          <cell r="Y59">
            <v>0.28097764304660849</v>
          </cell>
          <cell r="AA59">
            <v>0.25028669724770608</v>
          </cell>
          <cell r="AB59">
            <v>0.24192708333333326</v>
          </cell>
          <cell r="AC59">
            <v>0.24631306597671407</v>
          </cell>
          <cell r="AD59">
            <v>0.22531939605110343</v>
          </cell>
          <cell r="AE59">
            <v>0.23422094037158753</v>
          </cell>
          <cell r="AG59">
            <v>0.24317968015051747</v>
          </cell>
          <cell r="AH59">
            <v>0.23669159700835879</v>
          </cell>
          <cell r="AI59">
            <v>0.23294008790191989</v>
          </cell>
          <cell r="AJ59">
            <v>0.20907172995780596</v>
          </cell>
          <cell r="AK59">
            <v>0.22326695088477516</v>
          </cell>
          <cell r="AM59">
            <v>0.19987775061124682</v>
          </cell>
          <cell r="AN59">
            <v>0.19994905756495165</v>
          </cell>
          <cell r="AO59">
            <v>0.19999999999999998</v>
          </cell>
          <cell r="AP59">
            <v>0.20033181252592297</v>
          </cell>
          <cell r="AQ59">
            <v>0.19191266714036548</v>
          </cell>
          <cell r="AS59">
            <v>0.21027064538514917</v>
          </cell>
          <cell r="AT59">
            <v>0.20717131474103578</v>
          </cell>
          <cell r="AU59">
            <v>0.1957913998170174</v>
          </cell>
          <cell r="AV59">
            <v>0.18542063996609459</v>
          </cell>
          <cell r="AW59">
            <v>0.19930999377863237</v>
          </cell>
          <cell r="AY59">
            <v>0.20503833515881714</v>
          </cell>
          <cell r="AZ59">
            <v>0.20041753653444688</v>
          </cell>
          <cell r="BA59">
            <v>0.1850229038040232</v>
          </cell>
          <cell r="BB59">
            <v>0.17636161541311596</v>
          </cell>
          <cell r="BC59">
            <v>0.19171009772760078</v>
          </cell>
          <cell r="BE59">
            <v>0.17509059698645815</v>
          </cell>
          <cell r="BF59">
            <v>0.17611447440836547</v>
          </cell>
          <cell r="BG59">
            <v>0.17100000000000001</v>
          </cell>
          <cell r="BH59">
            <v>0.17100000000000001</v>
          </cell>
          <cell r="BI59">
            <v>0.17330126784870592</v>
          </cell>
          <cell r="BK59">
            <v>0.17399999999999999</v>
          </cell>
          <cell r="BL59">
            <v>0.17399999999999999</v>
          </cell>
          <cell r="BM59">
            <v>0.17399999999999999</v>
          </cell>
          <cell r="BN59">
            <v>0.17399999999999999</v>
          </cell>
          <cell r="BO59">
            <v>0.17399999999999999</v>
          </cell>
          <cell r="BQ59">
            <v>0.17399999999999999</v>
          </cell>
          <cell r="BR59">
            <v>0.17399999999999999</v>
          </cell>
          <cell r="BS59">
            <v>0.17399999999999999</v>
          </cell>
          <cell r="BT59">
            <v>0.17399999999999999</v>
          </cell>
          <cell r="BU59">
            <v>0.17399999999999999</v>
          </cell>
          <cell r="BW59">
            <v>0.17399999999999999</v>
          </cell>
          <cell r="BX59">
            <v>0.17399999999999999</v>
          </cell>
          <cell r="BY59">
            <v>0.17399999999999999</v>
          </cell>
          <cell r="BZ59">
            <v>0.17399999999999999</v>
          </cell>
          <cell r="CA59">
            <v>0.17399999999999999</v>
          </cell>
        </row>
        <row r="60">
          <cell r="C60" t="str">
            <v>Net Income (non-GAAP)</v>
          </cell>
          <cell r="AE60">
            <v>0.11902006776127189</v>
          </cell>
          <cell r="AG60">
            <v>0.12599843382928738</v>
          </cell>
          <cell r="AH60">
            <v>0.1280631827576027</v>
          </cell>
          <cell r="AI60">
            <v>0.12812487925505198</v>
          </cell>
          <cell r="AJ60">
            <v>0.14166950081245508</v>
          </cell>
          <cell r="AK60">
            <v>0.12896094325718474</v>
          </cell>
          <cell r="AM60">
            <v>0.11609241275331478</v>
          </cell>
          <cell r="AN60">
            <v>0.12644418501670621</v>
          </cell>
          <cell r="AO60">
            <v>0.13006202836711311</v>
          </cell>
          <cell r="AP60">
            <v>0.13580333873353514</v>
          </cell>
          <cell r="AQ60">
            <v>0.12621574720529494</v>
          </cell>
          <cell r="AS60">
            <v>0.12996307434618756</v>
          </cell>
          <cell r="AT60">
            <v>0.1303309319258775</v>
          </cell>
          <cell r="AU60">
            <v>0.13375432723399397</v>
          </cell>
          <cell r="AV60">
            <v>0.14138070543234388</v>
          </cell>
          <cell r="AW60">
            <v>0.13393313276948407</v>
          </cell>
          <cell r="AY60">
            <v>0.13527920673973007</v>
          </cell>
          <cell r="AZ60">
            <v>0.13419761737911692</v>
          </cell>
          <cell r="BA60">
            <v>0.13952061099935212</v>
          </cell>
          <cell r="BB60">
            <v>0.14391609749781506</v>
          </cell>
          <cell r="BC60">
            <v>0.13839671938263468</v>
          </cell>
          <cell r="BE60">
            <v>0.14148783041088717</v>
          </cell>
          <cell r="BF60">
            <v>0.14449342041761845</v>
          </cell>
          <cell r="BG60">
            <v>0.1425826142950089</v>
          </cell>
          <cell r="BH60">
            <v>0.14690298209446959</v>
          </cell>
          <cell r="BI60">
            <v>0.14387875949553922</v>
          </cell>
          <cell r="BK60">
            <v>0.14505377272015865</v>
          </cell>
          <cell r="BL60">
            <v>0.14691097160774955</v>
          </cell>
          <cell r="BM60">
            <v>0.14868721935376328</v>
          </cell>
          <cell r="BN60">
            <v>0.15387911976303992</v>
          </cell>
          <cell r="BO60">
            <v>0.14861965753542727</v>
          </cell>
          <cell r="BQ60">
            <v>0.15149059691444844</v>
          </cell>
          <cell r="BR60">
            <v>0.15310863555303683</v>
          </cell>
          <cell r="BS60">
            <v>0.15494796922420107</v>
          </cell>
          <cell r="BT60">
            <v>0.16107319341409956</v>
          </cell>
          <cell r="BU60">
            <v>0.15514817853814716</v>
          </cell>
          <cell r="BW60">
            <v>0.15761410421884386</v>
          </cell>
          <cell r="BX60">
            <v>0.16128134945825801</v>
          </cell>
          <cell r="BY60">
            <v>0.1623893507253053</v>
          </cell>
          <cell r="BZ60">
            <v>0.16758382062091057</v>
          </cell>
          <cell r="CA60">
            <v>0.16221739893585302</v>
          </cell>
        </row>
        <row r="62">
          <cell r="C62" t="str">
            <v>Growth</v>
          </cell>
          <cell r="AQ62">
            <v>-9.2237061769615547E-3</v>
          </cell>
          <cell r="AS62">
            <v>0.14320944160648219</v>
          </cell>
          <cell r="AT62">
            <v>5.9587217043941321E-2</v>
          </cell>
          <cell r="AU62">
            <v>6.5752519411861998E-2</v>
          </cell>
          <cell r="AV62">
            <v>6.2930776146239431E-3</v>
          </cell>
          <cell r="AW62">
            <v>9.6212982855217177E-2</v>
          </cell>
          <cell r="AY62">
            <v>4.5300462249614704E-2</v>
          </cell>
          <cell r="AZ62">
            <v>0.11671379202010668</v>
          </cell>
          <cell r="BA62">
            <v>0.16075027127577113</v>
          </cell>
          <cell r="BB62">
            <v>0.18448481238832648</v>
          </cell>
          <cell r="BC62">
            <v>0.12731045613495739</v>
          </cell>
          <cell r="BE62">
            <v>0.18042452830188682</v>
          </cell>
          <cell r="BF62">
            <v>0.12195808130538754</v>
          </cell>
          <cell r="BG62">
            <v>1.3947014264714008E-2</v>
          </cell>
          <cell r="BH62">
            <v>-7.4119110687711487E-3</v>
          </cell>
          <cell r="BI62">
            <v>7.2827702831405272E-2</v>
          </cell>
          <cell r="BK62">
            <v>2.9760566713556758E-2</v>
          </cell>
          <cell r="BL62">
            <v>4.1660678079855851E-2</v>
          </cell>
          <cell r="BM62">
            <v>2.9077141808425466E-2</v>
          </cell>
          <cell r="BN62">
            <v>3.0215542061826417E-2</v>
          </cell>
          <cell r="BO62">
            <v>3.2725663552943152E-2</v>
          </cell>
          <cell r="BQ62">
            <v>2.812611130765319E-2</v>
          </cell>
          <cell r="BR62">
            <v>3.0903089821762153E-2</v>
          </cell>
          <cell r="BS62">
            <v>2.939580560714794E-2</v>
          </cell>
          <cell r="BT62">
            <v>3.3623947632629214E-2</v>
          </cell>
          <cell r="BU62">
            <v>3.0517167054494143E-2</v>
          </cell>
          <cell r="BW62">
            <v>3.6202292647599554E-2</v>
          </cell>
          <cell r="BX62">
            <v>3.4159462444636635E-2</v>
          </cell>
          <cell r="BY62">
            <v>3.2510908155257923E-2</v>
          </cell>
          <cell r="BZ62">
            <v>3.7442621233896523E-2</v>
          </cell>
          <cell r="CA62">
            <v>3.5104870167074198E-2</v>
          </cell>
        </row>
        <row r="63">
          <cell r="C63" t="str">
            <v>Revenues</v>
          </cell>
          <cell r="O63">
            <v>6.509317527312608E-2</v>
          </cell>
          <cell r="P63">
            <v>0.2442600450401573</v>
          </cell>
          <cell r="Q63">
            <v>0.25279772825756264</v>
          </cell>
          <cell r="R63">
            <v>0.20779373234051635</v>
          </cell>
          <cell r="S63">
            <v>0.1935779546191172</v>
          </cell>
          <cell r="U63">
            <v>0.22367169282270649</v>
          </cell>
          <cell r="V63">
            <v>9.1562235607484999E-2</v>
          </cell>
          <cell r="W63">
            <v>6.7044837366483589E-2</v>
          </cell>
          <cell r="X63">
            <v>1.2528743079994653</v>
          </cell>
          <cell r="Y63">
            <v>0.43059679980493937</v>
          </cell>
          <cell r="AA63">
            <v>2.4169873167252924</v>
          </cell>
          <cell r="AB63">
            <v>2.3440883122999212</v>
          </cell>
          <cell r="AC63">
            <v>2.3121736035819804</v>
          </cell>
          <cell r="AD63">
            <v>0.57055545568937638</v>
          </cell>
          <cell r="AE63">
            <v>1.5465912711054473</v>
          </cell>
          <cell r="AG63">
            <v>9.229321700453319E-2</v>
          </cell>
          <cell r="AH63">
            <v>0.13567207343140963</v>
          </cell>
          <cell r="AI63">
            <v>7.7836081959020698E-2</v>
          </cell>
          <cell r="AJ63">
            <v>9.6142840792032835E-3</v>
          </cell>
          <cell r="AK63">
            <v>7.513161323951012E-2</v>
          </cell>
          <cell r="AM63">
            <v>-0.11703210649960827</v>
          </cell>
          <cell r="AN63">
            <v>-8.3222615884263496E-2</v>
          </cell>
          <cell r="AO63">
            <v>-2.2023878520922913E-2</v>
          </cell>
          <cell r="AP63">
            <v>7.2969806900200496E-2</v>
          </cell>
          <cell r="AQ63">
            <v>-3.8940387076756067E-2</v>
          </cell>
          <cell r="AS63">
            <v>0.16487073743958103</v>
          </cell>
          <cell r="AT63">
            <v>4.4925727627712186E-2</v>
          </cell>
          <cell r="AU63">
            <v>3.8560309746750399E-2</v>
          </cell>
          <cell r="AV63">
            <v>-4.2438543354229807E-2</v>
          </cell>
          <cell r="AW63">
            <v>6.6447394971548279E-2</v>
          </cell>
          <cell r="AY63">
            <v>2.1203700178918261E-2</v>
          </cell>
          <cell r="AZ63">
            <v>9.9510729283045052E-2</v>
          </cell>
          <cell r="BA63">
            <v>0.11572260052497452</v>
          </cell>
          <cell r="BB63">
            <v>0.13623156423553651</v>
          </cell>
          <cell r="BC63">
            <v>9.3527085580216163E-2</v>
          </cell>
          <cell r="BE63">
            <v>0.13949153806009096</v>
          </cell>
          <cell r="BF63">
            <v>8.9032936229852755E-2</v>
          </cell>
          <cell r="BG63">
            <v>9.9910809829100167E-3</v>
          </cell>
          <cell r="BH63">
            <v>-1.125168500906204E-2</v>
          </cell>
          <cell r="BI63">
            <v>5.3884746765778591E-2</v>
          </cell>
          <cell r="BK63">
            <v>2.9760566713556758E-2</v>
          </cell>
          <cell r="BL63">
            <v>4.1660678079855851E-2</v>
          </cell>
          <cell r="BM63">
            <v>2.9077141808425466E-2</v>
          </cell>
          <cell r="BN63">
            <v>3.0215542061826195E-2</v>
          </cell>
          <cell r="BO63">
            <v>3.2744731771305213E-2</v>
          </cell>
          <cell r="BQ63">
            <v>3.4046829995082684E-2</v>
          </cell>
          <cell r="BR63">
            <v>3.6964378030179379E-2</v>
          </cell>
          <cell r="BS63">
            <v>3.5455579636291867E-2</v>
          </cell>
          <cell r="BT63">
            <v>3.9656732337880252E-2</v>
          </cell>
          <cell r="BU63">
            <v>3.6542241085790517E-2</v>
          </cell>
          <cell r="BW63">
            <v>4.2204082818467104E-2</v>
          </cell>
          <cell r="BX63">
            <v>4.0275858697668587E-2</v>
          </cell>
          <cell r="BY63">
            <v>3.8625012020435667E-2</v>
          </cell>
          <cell r="BZ63">
            <v>4.353324190459773E-2</v>
          </cell>
          <cell r="CA63">
            <v>4.1174802359299489E-2</v>
          </cell>
        </row>
        <row r="64">
          <cell r="C64" t="str">
            <v>COGS</v>
          </cell>
          <cell r="AG64">
            <v>8.0189696055184667E-2</v>
          </cell>
          <cell r="AH64">
            <v>0.12976773918602169</v>
          </cell>
          <cell r="AI64">
            <v>7.1242703424994946E-2</v>
          </cell>
          <cell r="AJ64">
            <v>-8.3892617449665696E-4</v>
          </cell>
          <cell r="AK64">
            <v>6.7363043059857075E-2</v>
          </cell>
          <cell r="AM64">
            <v>-0.10969201090933289</v>
          </cell>
          <cell r="AN64">
            <v>-7.9152521061234826E-2</v>
          </cell>
          <cell r="AO64">
            <v>-2.2912289915966499E-2</v>
          </cell>
          <cell r="AP64">
            <v>7.3564554672867155E-2</v>
          </cell>
          <cell r="AQ64">
            <v>-3.4752389226759495E-2</v>
          </cell>
          <cell r="AS64">
            <v>0.13792588164973063</v>
          </cell>
          <cell r="AT64">
            <v>3.2088482283061381E-2</v>
          </cell>
          <cell r="AU64">
            <v>2.9698313512060537E-2</v>
          </cell>
          <cell r="AV64">
            <v>-6.1123811815665952E-2</v>
          </cell>
          <cell r="AW64">
            <v>4.0673878708625377E-2</v>
          </cell>
          <cell r="AY64">
            <v>1.9697964543667901E-3</v>
          </cell>
          <cell r="AZ64">
            <v>8.0108487133690565E-2</v>
          </cell>
          <cell r="BA64">
            <v>6.8384991843393417E-2</v>
          </cell>
          <cell r="BB64">
            <v>9.015763168012314E-2</v>
          </cell>
          <cell r="BC64">
            <v>6.0315284441398331E-2</v>
          </cell>
          <cell r="BE64">
            <v>0.10288335517693326</v>
          </cell>
          <cell r="BF64">
            <v>5.3650171484566522E-2</v>
          </cell>
          <cell r="BG64">
            <v>-5.3871173631628855E-3</v>
          </cell>
          <cell r="BH64">
            <v>-2.5615007971509618E-2</v>
          </cell>
          <cell r="BI64">
            <v>2.9581195505796742E-2</v>
          </cell>
          <cell r="BK64">
            <v>2.4149564752184105E-2</v>
          </cell>
          <cell r="BL64">
            <v>3.6955979240138381E-2</v>
          </cell>
          <cell r="BM64">
            <v>2.7205251551196463E-2</v>
          </cell>
          <cell r="BN64">
            <v>2.7368107781621687E-2</v>
          </cell>
          <cell r="BO64">
            <v>2.8984490926845741E-2</v>
          </cell>
          <cell r="BQ64">
            <v>2.6493195264452929E-2</v>
          </cell>
          <cell r="BR64">
            <v>2.9436798917751528E-2</v>
          </cell>
          <cell r="BS64">
            <v>2.7907879862025364E-2</v>
          </cell>
          <cell r="BT64">
            <v>3.1972750463855615E-2</v>
          </cell>
          <cell r="BU64">
            <v>2.8955601519738083E-2</v>
          </cell>
          <cell r="BW64">
            <v>3.4534836697109883E-2</v>
          </cell>
          <cell r="BX64">
            <v>3.266902082930434E-2</v>
          </cell>
          <cell r="BY64">
            <v>3.0998618719679571E-2</v>
          </cell>
          <cell r="BZ64">
            <v>3.5763181588438053E-2</v>
          </cell>
          <cell r="CA64">
            <v>3.349738141798464E-2</v>
          </cell>
        </row>
        <row r="65">
          <cell r="C65" t="str">
            <v>SGA</v>
          </cell>
          <cell r="AG65">
            <v>5.946791862284817E-2</v>
          </cell>
          <cell r="AH65">
            <v>0.12298426267728768</v>
          </cell>
          <cell r="AI65">
            <v>6.3784412563009152E-2</v>
          </cell>
          <cell r="AJ65">
            <v>-2.2580645161290325E-2</v>
          </cell>
          <cell r="AK65">
            <v>5.2507836990595802E-2</v>
          </cell>
          <cell r="AM65">
            <v>-5.9268833087149253E-2</v>
          </cell>
          <cell r="AN65">
            <v>-6.1072664359861473E-2</v>
          </cell>
          <cell r="AO65">
            <v>-7.1077091306727125E-3</v>
          </cell>
          <cell r="AP65">
            <v>9.6626329299596803E-2</v>
          </cell>
          <cell r="AQ65">
            <v>-8.7025316455697777E-3</v>
          </cell>
          <cell r="AS65">
            <v>0.14406280667320903</v>
          </cell>
          <cell r="AT65">
            <v>4.4776119402984982E-2</v>
          </cell>
          <cell r="AU65">
            <v>5.2863436123348206E-2</v>
          </cell>
          <cell r="AV65">
            <v>-6.8550409630496745E-3</v>
          </cell>
          <cell r="AW65">
            <v>8.7977090277451708E-2</v>
          </cell>
          <cell r="AY65">
            <v>3.5512094698919361E-2</v>
          </cell>
          <cell r="AZ65">
            <v>0.10687830687830702</v>
          </cell>
          <cell r="BA65">
            <v>0.15411436541143653</v>
          </cell>
          <cell r="BB65">
            <v>0.17811447811447834</v>
          </cell>
          <cell r="BC65">
            <v>0.1188781014023732</v>
          </cell>
          <cell r="BE65">
            <v>0.17461895294897278</v>
          </cell>
          <cell r="BF65">
            <v>0.12077756532823436</v>
          </cell>
          <cell r="BG65">
            <v>1.4465707631572844E-2</v>
          </cell>
          <cell r="BH65">
            <v>-6.8868090880824795E-3</v>
          </cell>
          <cell r="BI65">
            <v>7.171496700819957E-2</v>
          </cell>
          <cell r="BK65">
            <v>2.9760566713556758E-2</v>
          </cell>
          <cell r="BL65">
            <v>4.1660678079856073E-2</v>
          </cell>
          <cell r="BM65">
            <v>2.9077141808425466E-2</v>
          </cell>
          <cell r="BN65">
            <v>3.0215542061826195E-2</v>
          </cell>
          <cell r="BO65">
            <v>3.2721305465763129E-2</v>
          </cell>
          <cell r="BQ65">
            <v>3.070316883507318E-2</v>
          </cell>
          <cell r="BR65">
            <v>3.3527867172179926E-2</v>
          </cell>
          <cell r="BS65">
            <v>3.2030172723599648E-2</v>
          </cell>
          <cell r="BT65">
            <v>3.6229651206600488E-2</v>
          </cell>
          <cell r="BU65">
            <v>3.3122641455393786E-2</v>
          </cell>
          <cell r="BW65">
            <v>3.8823112023100403E-2</v>
          </cell>
          <cell r="BX65">
            <v>3.6816910567406547E-2</v>
          </cell>
          <cell r="BY65">
            <v>3.5177716204964682E-2</v>
          </cell>
          <cell r="BZ65">
            <v>4.0082005898148365E-2</v>
          </cell>
          <cell r="CA65">
            <v>3.7748798942701223E-2</v>
          </cell>
        </row>
        <row r="66">
          <cell r="C66" t="str">
            <v>R&amp;D</v>
          </cell>
          <cell r="AG66">
            <v>3.6789297658862852E-2</v>
          </cell>
          <cell r="AH66">
            <v>9.7103918228279351E-2</v>
          </cell>
          <cell r="AI66">
            <v>5.1020408163265252E-2</v>
          </cell>
          <cell r="AJ66">
            <v>-8.1433224755700362E-3</v>
          </cell>
          <cell r="AK66">
            <v>4.3037974683544311E-2</v>
          </cell>
          <cell r="AM66">
            <v>-6.1290322580645151E-2</v>
          </cell>
          <cell r="AN66">
            <v>-9.782608695652184E-2</v>
          </cell>
          <cell r="AO66">
            <v>-2.1035598705501535E-2</v>
          </cell>
          <cell r="AP66">
            <v>0.13793103448275867</v>
          </cell>
          <cell r="AQ66">
            <v>-1.3754045307443286E-2</v>
          </cell>
          <cell r="AS66">
            <v>0.13573883161512001</v>
          </cell>
          <cell r="AT66">
            <v>0.19793459552495674</v>
          </cell>
          <cell r="AU66">
            <v>0.18181818181818188</v>
          </cell>
          <cell r="AV66">
            <v>0.11976911976911975</v>
          </cell>
          <cell r="AW66">
            <v>0.16817063166529911</v>
          </cell>
          <cell r="AY66">
            <v>0.1316187594553706</v>
          </cell>
          <cell r="AZ66">
            <v>0.19683908045977017</v>
          </cell>
          <cell r="BA66">
            <v>0.21398601398601391</v>
          </cell>
          <cell r="BB66">
            <v>0.23324742268041243</v>
          </cell>
          <cell r="BC66">
            <v>0.1959269662921348</v>
          </cell>
          <cell r="BE66">
            <v>0.22727272727272729</v>
          </cell>
          <cell r="BF66">
            <v>0.13085234093637466</v>
          </cell>
          <cell r="BG66">
            <v>9.9910809829100167E-3</v>
          </cell>
          <cell r="BH66">
            <v>-1.125168500906204E-2</v>
          </cell>
          <cell r="BI66">
            <v>8.1299000510714592E-2</v>
          </cell>
          <cell r="BK66">
            <v>2.9760566713556758E-2</v>
          </cell>
          <cell r="BL66">
            <v>4.1660678079855851E-2</v>
          </cell>
          <cell r="BM66">
            <v>2.9077141808425466E-2</v>
          </cell>
          <cell r="BN66">
            <v>3.0215542061826195E-2</v>
          </cell>
          <cell r="BO66">
            <v>3.2758547752964162E-2</v>
          </cell>
          <cell r="BQ66">
            <v>8.2226931492577204E-3</v>
          </cell>
          <cell r="BR66">
            <v>1.130363771683851E-2</v>
          </cell>
          <cell r="BS66">
            <v>9.2151907867934479E-3</v>
          </cell>
          <cell r="BT66">
            <v>1.4485795478856867E-2</v>
          </cell>
          <cell r="BU66">
            <v>1.0858117534830569E-2</v>
          </cell>
          <cell r="BW66">
            <v>1.5509562809287836E-2</v>
          </cell>
          <cell r="BX66">
            <v>1.3879979489180405E-2</v>
          </cell>
          <cell r="BY66">
            <v>1.1619944683920691E-2</v>
          </cell>
          <cell r="BZ66">
            <v>1.7641593683072276E-2</v>
          </cell>
          <cell r="CA66">
            <v>1.4716282910608003E-2</v>
          </cell>
        </row>
        <row r="67">
          <cell r="C67" t="str">
            <v>EBIT</v>
          </cell>
          <cell r="U67">
            <v>0.57756924227885831</v>
          </cell>
          <cell r="V67">
            <v>0.28456772565944988</v>
          </cell>
          <cell r="W67">
            <v>0.14760295670538492</v>
          </cell>
          <cell r="X67">
            <v>1.3211597115706661</v>
          </cell>
          <cell r="Y67">
            <v>0.60688403729614371</v>
          </cell>
          <cell r="AA67">
            <v>2.8711340206185567</v>
          </cell>
          <cell r="AB67">
            <v>2.8951036833086246</v>
          </cell>
          <cell r="AC67">
            <v>2.7238447523877882</v>
          </cell>
          <cell r="AD67">
            <v>0.71694193690494834</v>
          </cell>
          <cell r="AE67">
            <v>1.8384232954545445</v>
          </cell>
          <cell r="AG67">
            <v>0.19067909454061094</v>
          </cell>
          <cell r="AH67">
            <v>0.17795353435491901</v>
          </cell>
          <cell r="AI67">
            <v>0.12280701754385981</v>
          </cell>
          <cell r="AJ67">
            <v>8.7591240875912302E-2</v>
          </cell>
          <cell r="AK67">
            <v>0.13655698736394184</v>
          </cell>
          <cell r="AM67">
            <v>-0.21941400134198097</v>
          </cell>
          <cell r="AN67">
            <v>-0.12169534200587584</v>
          </cell>
          <cell r="AO67">
            <v>-3.7191901408450856E-2</v>
          </cell>
          <cell r="AP67">
            <v>3.6811063656701171E-2</v>
          </cell>
          <cell r="AQ67">
            <v>-9.2189993945729798E-2</v>
          </cell>
          <cell r="AS67">
            <v>0.30343839541547224</v>
          </cell>
          <cell r="AT67">
            <v>6.8800764452938923E-2</v>
          </cell>
          <cell r="AU67">
            <v>3.1085714285714161E-2</v>
          </cell>
          <cell r="AV67">
            <v>-4.5311887014515384E-2</v>
          </cell>
          <cell r="AW67">
            <v>0.11561780041227032</v>
          </cell>
          <cell r="AY67">
            <v>5.1220048362276893E-2</v>
          </cell>
          <cell r="AZ67">
            <v>0.1405900759946348</v>
          </cell>
          <cell r="BA67">
            <v>0.21214808246508499</v>
          </cell>
          <cell r="BB67">
            <v>0.21738237107047498</v>
          </cell>
          <cell r="BC67">
            <v>0.15635019835878317</v>
          </cell>
          <cell r="BE67">
            <v>0.19824341279799285</v>
          </cell>
          <cell r="BF67">
            <v>0.15637860082304567</v>
          </cell>
          <cell r="BG67">
            <v>5.0621149217385142E-2</v>
          </cell>
          <cell r="BH67">
            <v>2.4835709398550732E-2</v>
          </cell>
          <cell r="BI67">
            <v>0.10198082630449723</v>
          </cell>
          <cell r="BK67">
            <v>4.6241048914237304E-2</v>
          </cell>
          <cell r="BL67">
            <v>5.5376936144336142E-2</v>
          </cell>
          <cell r="BM67">
            <v>3.4383396369848773E-2</v>
          </cell>
          <cell r="BN67">
            <v>3.7989149281491441E-2</v>
          </cell>
          <cell r="BO67">
            <v>4.3498134483396234E-2</v>
          </cell>
          <cell r="BQ67">
            <v>6.3908892588112831E-2</v>
          </cell>
          <cell r="BR67">
            <v>6.6613686401779892E-2</v>
          </cell>
          <cell r="BS67">
            <v>6.4670230620955005E-2</v>
          </cell>
          <cell r="BT67">
            <v>6.8205750712096336E-2</v>
          </cell>
          <cell r="BU67">
            <v>6.5889093169752444E-2</v>
          </cell>
          <cell r="BW67">
            <v>7.1456929347578413E-2</v>
          </cell>
          <cell r="BX67">
            <v>6.9193038478203128E-2</v>
          </cell>
          <cell r="BY67">
            <v>6.7124979763895087E-2</v>
          </cell>
          <cell r="BZ67">
            <v>7.1422859309652864E-2</v>
          </cell>
          <cell r="CA67">
            <v>6.9820654016403028E-2</v>
          </cell>
        </row>
        <row r="68">
          <cell r="C68" t="str">
            <v>EBITDA</v>
          </cell>
          <cell r="U68">
            <v>0.51872583369393999</v>
          </cell>
          <cell r="V68">
            <v>0.27996245484212579</v>
          </cell>
          <cell r="W68">
            <v>0.14048953662182306</v>
          </cell>
          <cell r="X68">
            <v>1.3336431965168156</v>
          </cell>
          <cell r="Y68">
            <v>0.58460412468292877</v>
          </cell>
          <cell r="AA68">
            <v>2.8740808823529416</v>
          </cell>
          <cell r="AB68">
            <v>2.8337568429489917</v>
          </cell>
          <cell r="AC68">
            <v>2.6927210471993321</v>
          </cell>
          <cell r="AD68">
            <v>0.68189107201830423</v>
          </cell>
          <cell r="AE68">
            <v>1.8117684277127486</v>
          </cell>
          <cell r="AG68">
            <v>0.17366548042704477</v>
          </cell>
          <cell r="AH68">
            <v>0.16725978647686879</v>
          </cell>
          <cell r="AI68">
            <v>0.11379769299023956</v>
          </cell>
          <cell r="AJ68">
            <v>7.4696356275303577E-2</v>
          </cell>
          <cell r="AK68">
            <v>0.12488748874887357</v>
          </cell>
          <cell r="AM68">
            <v>-0.203557711744491</v>
          </cell>
          <cell r="AN68">
            <v>-0.11242378048780577</v>
          </cell>
          <cell r="AO68">
            <v>-3.4455287791276823E-2</v>
          </cell>
          <cell r="AP68">
            <v>4.2192503296289097E-2</v>
          </cell>
          <cell r="AQ68">
            <v>-8.3616723344667188E-2</v>
          </cell>
          <cell r="AS68">
            <v>0.27360406091370493</v>
          </cell>
          <cell r="AT68">
            <v>6.2473164448261453E-2</v>
          </cell>
          <cell r="AU68">
            <v>2.8052805280527782E-2</v>
          </cell>
          <cell r="AV68">
            <v>-3.0724742454364518E-2</v>
          </cell>
          <cell r="AW68">
            <v>0.10860074219602645</v>
          </cell>
          <cell r="AY68">
            <v>5.0418493423674215E-2</v>
          </cell>
          <cell r="AZ68">
            <v>0.1349767629824199</v>
          </cell>
          <cell r="BA68">
            <v>0.20766452648475098</v>
          </cell>
          <cell r="BB68">
            <v>0.21704269998135417</v>
          </cell>
          <cell r="BC68">
            <v>0.15358865806832589</v>
          </cell>
          <cell r="BE68">
            <v>0.20072092582052781</v>
          </cell>
          <cell r="BF68">
            <v>0.15417482641979752</v>
          </cell>
          <cell r="BG68">
            <v>4.4352638054630633E-2</v>
          </cell>
          <cell r="BH68">
            <v>1.6506616143396657E-2</v>
          </cell>
          <cell r="BI68">
            <v>9.8092396177297703E-2</v>
          </cell>
          <cell r="BK68">
            <v>4.2008691366772322E-2</v>
          </cell>
          <cell r="BL68">
            <v>5.5909243172164391E-2</v>
          </cell>
          <cell r="BM68">
            <v>4.6503545166797444E-2</v>
          </cell>
          <cell r="BN68">
            <v>4.8419664382020056E-2</v>
          </cell>
          <cell r="BO68">
            <v>4.8261703682993318E-2</v>
          </cell>
          <cell r="BQ68">
            <v>6.8863467407113133E-2</v>
          </cell>
          <cell r="BR68">
            <v>7.1116937752185416E-2</v>
          </cell>
          <cell r="BS68">
            <v>6.9517299265485555E-2</v>
          </cell>
          <cell r="BT68">
            <v>7.2434628108702048E-2</v>
          </cell>
          <cell r="BU68">
            <v>7.0515691579384088E-2</v>
          </cell>
          <cell r="BW68">
            <v>7.5298989494087865E-2</v>
          </cell>
          <cell r="BX68">
            <v>7.3075113255003821E-2</v>
          </cell>
          <cell r="BY68">
            <v>7.1353663333736828E-2</v>
          </cell>
          <cell r="BZ68">
            <v>7.4970447190273459E-2</v>
          </cell>
          <cell r="CA68">
            <v>7.3688189552490124E-2</v>
          </cell>
        </row>
        <row r="69">
          <cell r="C69" t="str">
            <v>Adj EPS</v>
          </cell>
          <cell r="AA69">
            <v>0.5275040697108222</v>
          </cell>
          <cell r="AB69">
            <v>0.54667091641763421</v>
          </cell>
          <cell r="AC69">
            <v>0.48054173683496959</v>
          </cell>
          <cell r="AD69">
            <v>0.32638841094042959</v>
          </cell>
          <cell r="AE69">
            <v>0.38096324624378219</v>
          </cell>
          <cell r="AG69">
            <v>0.24441644903007953</v>
          </cell>
          <cell r="AH69">
            <v>0.21738677439865195</v>
          </cell>
          <cell r="AI69">
            <v>0.15937293640234218</v>
          </cell>
          <cell r="AJ69">
            <v>0.15911929388604729</v>
          </cell>
          <cell r="AK69">
            <v>0.18877464398664756</v>
          </cell>
          <cell r="AM69">
            <v>-0.16560079624999047</v>
          </cell>
          <cell r="AN69">
            <v>-6.5971450900160988E-2</v>
          </cell>
          <cell r="AO69">
            <v>3.5997850411860544E-2</v>
          </cell>
          <cell r="AP69">
            <v>4.1208904721031114E-2</v>
          </cell>
          <cell r="AQ69">
            <v>-3.2816521616205185E-2</v>
          </cell>
          <cell r="AS69">
            <v>0.32618841197624171</v>
          </cell>
          <cell r="AT69">
            <v>9.724498617092614E-2</v>
          </cell>
          <cell r="AU69">
            <v>0.10949809779710917</v>
          </cell>
          <cell r="AV69">
            <v>5.5381393142082125E-2</v>
          </cell>
          <cell r="AW69">
            <v>0.16897564396265974</v>
          </cell>
          <cell r="AY69">
            <v>0.12654981084713857</v>
          </cell>
          <cell r="AZ69">
            <v>0.22014352052321273</v>
          </cell>
          <cell r="BA69">
            <v>0.2301181385003801</v>
          </cell>
          <cell r="BB69">
            <v>0.22706877064244657</v>
          </cell>
          <cell r="BC69">
            <v>0.20214058823990033</v>
          </cell>
          <cell r="BE69">
            <v>0.27068276513113898</v>
          </cell>
          <cell r="BF69">
            <v>0.22562431225230561</v>
          </cell>
          <cell r="BG69">
            <v>9.1343196289347173E-2</v>
          </cell>
          <cell r="BH69">
            <v>6.96207234942674E-2</v>
          </cell>
          <cell r="BI69">
            <v>0.15821357966246108</v>
          </cell>
          <cell r="BK69">
            <v>0.10640792295131751</v>
          </cell>
          <cell r="BL69">
            <v>0.11885882533486924</v>
          </cell>
          <cell r="BM69">
            <v>0.12320228657631183</v>
          </cell>
          <cell r="BN69">
            <v>0.11870236475311935</v>
          </cell>
          <cell r="BO69">
            <v>0.12246488990128901</v>
          </cell>
          <cell r="BQ69">
            <v>0.12646948741720521</v>
          </cell>
          <cell r="BR69">
            <v>0.12868534449808333</v>
          </cell>
          <cell r="BS69">
            <v>0.1283932921941755</v>
          </cell>
          <cell r="BT69">
            <v>0.13950459717763142</v>
          </cell>
          <cell r="BU69">
            <v>0.12523355700379657</v>
          </cell>
          <cell r="BW69">
            <v>0.13694787596233859</v>
          </cell>
          <cell r="BX69">
            <v>0.15059273133712736</v>
          </cell>
          <cell r="BY69">
            <v>0.14457626611128571</v>
          </cell>
          <cell r="BZ69">
            <v>0.14332857225316475</v>
          </cell>
          <cell r="CA69">
            <v>0.14386273940454486</v>
          </cell>
        </row>
        <row r="70">
          <cell r="C70" t="str">
            <v>Net Income</v>
          </cell>
          <cell r="U70">
            <v>0.37869633663787927</v>
          </cell>
          <cell r="V70">
            <v>0.25824136189858038</v>
          </cell>
          <cell r="W70">
            <v>0.15340899917660855</v>
          </cell>
          <cell r="X70">
            <v>1.3561245800417625</v>
          </cell>
          <cell r="Y70">
            <v>0.57150665871596074</v>
          </cell>
          <cell r="AA70">
            <v>3.0350579412717762</v>
          </cell>
          <cell r="AB70">
            <v>3.172160752164193</v>
          </cell>
          <cell r="AC70">
            <v>3.0774905166501041</v>
          </cell>
          <cell r="AD70">
            <v>0.83608976194146667</v>
          </cell>
          <cell r="AE70">
            <v>2.0084321475625821</v>
          </cell>
          <cell r="AG70">
            <v>0.2305927342256191</v>
          </cell>
          <cell r="AH70">
            <v>0.19203023016145715</v>
          </cell>
          <cell r="AI70">
            <v>0.13834534843803636</v>
          </cell>
          <cell r="AJ70">
            <v>0.12413793103448278</v>
          </cell>
          <cell r="AK70">
            <v>0.16492949110974608</v>
          </cell>
          <cell r="AM70">
            <v>-0.18645121193287684</v>
          </cell>
          <cell r="AN70">
            <v>-9.4812680115274883E-2</v>
          </cell>
          <cell r="AO70">
            <v>-7.2376357056697094E-3</v>
          </cell>
          <cell r="AP70">
            <v>2.8540944251800093E-2</v>
          </cell>
          <cell r="AQ70">
            <v>-5.9398496240598897E-2</v>
          </cell>
          <cell r="AS70">
            <v>0.30404889228418575</v>
          </cell>
          <cell r="AT70">
            <v>7.7045526902261408E-2</v>
          </cell>
          <cell r="AU70">
            <v>6.8043742405831997E-2</v>
          </cell>
          <cell r="AV70">
            <v>-3.1120331950204028E-3</v>
          </cell>
          <cell r="AW70">
            <v>0.13165467625899185</v>
          </cell>
          <cell r="AY70">
            <v>6.2975981253660773E-2</v>
          </cell>
          <cell r="AZ70">
            <v>0.13213124445758062</v>
          </cell>
          <cell r="BA70">
            <v>0.1638225255972694</v>
          </cell>
          <cell r="BB70">
            <v>0.15660770031217552</v>
          </cell>
          <cell r="BC70">
            <v>0.12997103906194618</v>
          </cell>
          <cell r="BE70">
            <v>0.19178837145219108</v>
          </cell>
          <cell r="BF70">
            <v>0.17258485639686749</v>
          </cell>
          <cell r="BG70">
            <v>3.2156953081678319E-2</v>
          </cell>
          <cell r="BH70">
            <v>9.2691404118703247E-3</v>
          </cell>
          <cell r="BI70">
            <v>9.5630233811428766E-2</v>
          </cell>
          <cell r="BK70">
            <v>5.5713800730923246E-2</v>
          </cell>
          <cell r="BL70">
            <v>5.9088931938933609E-2</v>
          </cell>
          <cell r="BM70">
            <v>7.3136577503258859E-2</v>
          </cell>
          <cell r="BN70">
            <v>7.9138479821540209E-2</v>
          </cell>
          <cell r="BO70">
            <v>6.6774337612541812E-2</v>
          </cell>
          <cell r="BQ70">
            <v>7.9933107397752501E-2</v>
          </cell>
          <cell r="BR70">
            <v>8.0710305702785368E-2</v>
          </cell>
          <cell r="BS70">
            <v>7.9055348427636396E-2</v>
          </cell>
          <cell r="BT70">
            <v>8.8262203410084838E-2</v>
          </cell>
          <cell r="BU70">
            <v>8.2075166563847279E-2</v>
          </cell>
          <cell r="BW70">
            <v>8.4331742513502395E-2</v>
          </cell>
          <cell r="BX70">
            <v>9.5804254891228124E-2</v>
          </cell>
          <cell r="BY70">
            <v>8.8505013608903393E-2</v>
          </cell>
          <cell r="BZ70">
            <v>8.5713171239512276E-2</v>
          </cell>
          <cell r="CA70">
            <v>8.8615218481271629E-2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7">
          <cell r="E7" t="str">
            <v>Current Quarter</v>
          </cell>
          <cell r="P7" t="str">
            <v>Y/Y</v>
          </cell>
        </row>
        <row r="8">
          <cell r="D8" t="str">
            <v>($ in millions, except EPS)</v>
          </cell>
          <cell r="E8" t="str">
            <v>2Q12E</v>
          </cell>
          <cell r="F8" t="str">
            <v>2Q12A</v>
          </cell>
          <cell r="G8" t="str">
            <v>Co. Guid
(midpt)</v>
          </cell>
          <cell r="H8" t="str">
            <v>A v E ($)</v>
          </cell>
          <cell r="I8" t="str">
            <v>A v E (%)</v>
          </cell>
          <cell r="J8" t="str">
            <v>EPS Impact</v>
          </cell>
          <cell r="K8" t="str">
            <v>Cons Est</v>
          </cell>
          <cell r="M8" t="str">
            <v>Variance</v>
          </cell>
          <cell r="O8" t="str">
            <v>2Q11A</v>
          </cell>
          <cell r="P8" t="str">
            <v>% Change</v>
          </cell>
          <cell r="Q8" t="str">
            <v>Comments</v>
          </cell>
        </row>
        <row r="9">
          <cell r="D9" t="str">
            <v>Analytical Technologies</v>
          </cell>
          <cell r="E9">
            <v>990.70749999999998</v>
          </cell>
          <cell r="F9">
            <v>999.5</v>
          </cell>
          <cell r="H9">
            <v>8.7925000000000182</v>
          </cell>
          <cell r="I9">
            <v>8.8749706649036142E-3</v>
          </cell>
          <cell r="O9">
            <v>929.2</v>
          </cell>
          <cell r="P9">
            <v>7.5656478691347395E-2</v>
          </cell>
        </row>
        <row r="10">
          <cell r="D10" t="str">
            <v>Specialty Diagnostics</v>
          </cell>
          <cell r="E10">
            <v>731.92075</v>
          </cell>
          <cell r="F10">
            <v>731.9</v>
          </cell>
          <cell r="H10">
            <v>-2.0750000000020918E-2</v>
          </cell>
          <cell r="I10">
            <v>-2.8350063855930863E-5</v>
          </cell>
          <cell r="O10">
            <v>570.6</v>
          </cell>
          <cell r="P10">
            <v>0.28268489309498768</v>
          </cell>
        </row>
        <row r="11">
          <cell r="D11" t="str">
            <v>Lab Products &amp; Services</v>
          </cell>
          <cell r="E11">
            <v>1500.2015000000001</v>
          </cell>
          <cell r="F11">
            <v>1519.7</v>
          </cell>
          <cell r="O11">
            <v>1483.9</v>
          </cell>
          <cell r="P11">
            <v>2.4125614933620865E-2</v>
          </cell>
        </row>
        <row r="12">
          <cell r="D12" t="str">
            <v>Eliminations</v>
          </cell>
          <cell r="E12">
            <v>-148.2501685</v>
          </cell>
          <cell r="F12">
            <v>-143</v>
          </cell>
          <cell r="O12">
            <v>-129.69999999999999</v>
          </cell>
        </row>
        <row r="13">
          <cell r="D13" t="str">
            <v>Total Revenues</v>
          </cell>
          <cell r="E13">
            <v>3074.5795814999997</v>
          </cell>
          <cell r="F13">
            <v>3108.1</v>
          </cell>
          <cell r="H13">
            <v>33.520418500000233</v>
          </cell>
          <cell r="I13">
            <v>1.0902439703202038E-2</v>
          </cell>
          <cell r="J13">
            <v>1.4433365526662112E-2</v>
          </cell>
          <cell r="K13">
            <v>3054.82</v>
          </cell>
          <cell r="M13">
            <v>1.7441289503145718E-2</v>
          </cell>
          <cell r="O13">
            <v>2854</v>
          </cell>
          <cell r="P13">
            <v>8.9032936229852755E-2</v>
          </cell>
          <cell r="Q13" t="str">
            <v>pro forma 1% reported and organic 4%</v>
          </cell>
        </row>
        <row r="15">
          <cell r="D15" t="str">
            <v>Reported Growth (% y/y)</v>
          </cell>
          <cell r="E15">
            <v>6.1151232656864618E-2</v>
          </cell>
          <cell r="F15">
            <v>8.9032936229852755E-2</v>
          </cell>
          <cell r="O15">
            <v>0.09</v>
          </cell>
          <cell r="Q15" t="str">
            <v>changed historicals so y/y comps changed</v>
          </cell>
        </row>
        <row r="16">
          <cell r="D16" t="str">
            <v>FX Impact (% y/y)</v>
          </cell>
          <cell r="E16">
            <v>-3.15E-2</v>
          </cell>
          <cell r="F16">
            <v>-0.03</v>
          </cell>
          <cell r="O16">
            <v>0.04</v>
          </cell>
        </row>
        <row r="17">
          <cell r="D17" t="str">
            <v>CC growth (% y/y)</v>
          </cell>
          <cell r="E17">
            <v>2.1154958504485011E-2</v>
          </cell>
          <cell r="F17">
            <v>0.04</v>
          </cell>
          <cell r="O17">
            <v>0.04</v>
          </cell>
          <cell r="Q17" t="str">
            <v>acquisitions added 1%</v>
          </cell>
        </row>
        <row r="19">
          <cell r="D19" t="str">
            <v>COGS</v>
          </cell>
          <cell r="E19">
            <v>1743.3440309921866</v>
          </cell>
          <cell r="F19">
            <v>1720.4</v>
          </cell>
          <cell r="H19">
            <v>-22.944030992186526</v>
          </cell>
          <cell r="I19">
            <v>-1.3160931281663513E-2</v>
          </cell>
          <cell r="K19">
            <v>1707.2625275</v>
          </cell>
          <cell r="O19">
            <v>1632.8</v>
          </cell>
          <cell r="P19">
            <v>5.3650171484566522E-2</v>
          </cell>
        </row>
        <row r="20">
          <cell r="D20" t="str">
            <v>Gross Profit</v>
          </cell>
          <cell r="E20">
            <v>1331.2355505078131</v>
          </cell>
          <cell r="F20">
            <v>1387.7</v>
          </cell>
          <cell r="H20">
            <v>56.464449492186986</v>
          </cell>
          <cell r="I20">
            <v>4.2415070323691406E-2</v>
          </cell>
          <cell r="K20">
            <v>1347.5574725000001</v>
          </cell>
          <cell r="M20">
            <v>2.9789102371661436E-2</v>
          </cell>
          <cell r="O20">
            <v>1221.2</v>
          </cell>
          <cell r="P20">
            <v>0.13634130363576813</v>
          </cell>
        </row>
        <row r="21">
          <cell r="D21" t="str">
            <v>SG&amp;A</v>
          </cell>
          <cell r="E21">
            <v>672.89631767382321</v>
          </cell>
          <cell r="F21">
            <v>703.4</v>
          </cell>
          <cell r="H21">
            <v>30.503682326176772</v>
          </cell>
          <cell r="I21">
            <v>4.5331920423679506E-2</v>
          </cell>
          <cell r="O21">
            <v>627.6</v>
          </cell>
          <cell r="P21">
            <v>0.12077756532823436</v>
          </cell>
          <cell r="Q21" t="str">
            <v>primarily due to acquisitions</v>
          </cell>
        </row>
        <row r="22">
          <cell r="D22" t="str">
            <v>R&amp;D</v>
          </cell>
          <cell r="E22">
            <v>86.087962994191813</v>
          </cell>
          <cell r="F22">
            <v>94.2</v>
          </cell>
          <cell r="H22">
            <v>8.1120370058081903</v>
          </cell>
          <cell r="I22">
            <v>9.4229631224466148E-2</v>
          </cell>
          <cell r="O22">
            <v>83.3</v>
          </cell>
          <cell r="P22">
            <v>0.13085234093637466</v>
          </cell>
          <cell r="Q22" t="str">
            <v>primarily due to acquisitions</v>
          </cell>
        </row>
        <row r="23">
          <cell r="D23" t="str">
            <v>Total Operating Expenses</v>
          </cell>
          <cell r="E23">
            <v>2502.3283116602015</v>
          </cell>
          <cell r="F23">
            <v>2518</v>
          </cell>
          <cell r="H23">
            <v>15.671688339798493</v>
          </cell>
          <cell r="I23">
            <v>6.2628425961424039E-3</v>
          </cell>
          <cell r="K23">
            <v>2476.9120000000003</v>
          </cell>
          <cell r="M23">
            <v>1.6588397165502755E-2</v>
          </cell>
          <cell r="O23">
            <v>2343.7000000000003</v>
          </cell>
          <cell r="P23">
            <v>7.4369586551179534E-2</v>
          </cell>
        </row>
        <row r="24">
          <cell r="D24" t="str">
            <v>Operating Income (Loss)</v>
          </cell>
          <cell r="E24">
            <v>572.25126983979817</v>
          </cell>
          <cell r="F24">
            <v>590.09999999999991</v>
          </cell>
          <cell r="H24">
            <v>17.84873016020174</v>
          </cell>
          <cell r="I24">
            <v>3.1190372308301795E-2</v>
          </cell>
          <cell r="K24">
            <v>577.90800000000002</v>
          </cell>
          <cell r="M24">
            <v>2.1096783571087352E-2</v>
          </cell>
          <cell r="O24">
            <v>510.29999999999973</v>
          </cell>
          <cell r="P24">
            <v>0.15637860082304567</v>
          </cell>
        </row>
        <row r="25">
          <cell r="D25" t="str">
            <v>Other (Income) expense, net</v>
          </cell>
          <cell r="E25">
            <v>-51.947374999999994</v>
          </cell>
          <cell r="F25">
            <v>-45</v>
          </cell>
          <cell r="O25">
            <v>-31.300000000000011</v>
          </cell>
          <cell r="Q25" t="str">
            <v>due to debt issued last year higher y/y</v>
          </cell>
        </row>
        <row r="26">
          <cell r="D26" t="str">
            <v>Income Taxes</v>
          </cell>
          <cell r="E26">
            <v>89.75242185986518</v>
          </cell>
          <cell r="F26">
            <v>96</v>
          </cell>
          <cell r="H26">
            <v>6.24757814013482</v>
          </cell>
          <cell r="I26">
            <v>6.9609020131952137E-2</v>
          </cell>
          <cell r="O26">
            <v>96</v>
          </cell>
          <cell r="P26">
            <v>0</v>
          </cell>
        </row>
        <row r="27">
          <cell r="D27" t="str">
            <v>Net Income (Loss)</v>
          </cell>
          <cell r="E27">
            <v>430.55147297993301</v>
          </cell>
          <cell r="F27">
            <v>449.09999999999991</v>
          </cell>
          <cell r="H27">
            <v>18.548527020066899</v>
          </cell>
          <cell r="I27">
            <v>4.3080858350544871E-2</v>
          </cell>
          <cell r="K27">
            <v>427.66899999999998</v>
          </cell>
          <cell r="M27">
            <v>5.0111184116688134E-2</v>
          </cell>
          <cell r="O27">
            <v>382.99999999999972</v>
          </cell>
          <cell r="P27">
            <v>0.17258485639686749</v>
          </cell>
        </row>
        <row r="28">
          <cell r="D28" t="str">
            <v>Diluted Shares Outstanding</v>
          </cell>
          <cell r="E28">
            <v>369.7435227272727</v>
          </cell>
          <cell r="F28">
            <v>369.2</v>
          </cell>
          <cell r="H28">
            <v>-0.54352272727271611</v>
          </cell>
          <cell r="I28">
            <v>-1.4699993207821782E-3</v>
          </cell>
          <cell r="J28">
            <v>1.7881275594888724E-3</v>
          </cell>
          <cell r="K28">
            <v>368.88051269223803</v>
          </cell>
          <cell r="O28">
            <v>385.9</v>
          </cell>
          <cell r="P28">
            <v>-4.3275459963721175E-2</v>
          </cell>
        </row>
        <row r="29">
          <cell r="D29" t="str">
            <v>EPS, Diluted</v>
          </cell>
          <cell r="E29">
            <v>1.1644598120452079</v>
          </cell>
          <cell r="F29">
            <v>1.2164138678223184</v>
          </cell>
          <cell r="H29">
            <v>5.1954055777110542E-2</v>
          </cell>
          <cell r="I29">
            <v>4.4616443813428441E-2</v>
          </cell>
          <cell r="J29">
            <v>5.1954055777110542E-2</v>
          </cell>
          <cell r="K29">
            <v>1.15937</v>
          </cell>
          <cell r="M29">
            <v>4.9202470153892452E-2</v>
          </cell>
          <cell r="O29">
            <v>0.99248509976677823</v>
          </cell>
          <cell r="P29">
            <v>0.22562431225230561</v>
          </cell>
          <cell r="Q29" t="str">
            <v>LPS would have been a $0.02 drag on Q</v>
          </cell>
        </row>
        <row r="31">
          <cell r="D31" t="str">
            <v>Margin Analysis</v>
          </cell>
        </row>
        <row r="32">
          <cell r="D32" t="str">
            <v>Gross Margin</v>
          </cell>
          <cell r="E32">
            <v>0.43298132808725059</v>
          </cell>
          <cell r="F32">
            <v>0.44647855603101577</v>
          </cell>
          <cell r="I32">
            <v>130</v>
          </cell>
          <cell r="J32">
            <v>9.514086872908889E-2</v>
          </cell>
          <cell r="K32">
            <v>0.44112499999999999</v>
          </cell>
          <cell r="O32">
            <v>0.42789067974772249</v>
          </cell>
          <cell r="P32">
            <v>190</v>
          </cell>
        </row>
        <row r="33">
          <cell r="D33" t="str">
            <v>SG&amp;A</v>
          </cell>
          <cell r="E33">
            <v>0.2188579933733692</v>
          </cell>
          <cell r="F33">
            <v>0.22631189472668189</v>
          </cell>
          <cell r="I33">
            <v>70</v>
          </cell>
          <cell r="J33">
            <v>-5.2541948104439351E-2</v>
          </cell>
          <cell r="O33">
            <v>0.21990189208128944</v>
          </cell>
          <cell r="P33">
            <v>60</v>
          </cell>
        </row>
        <row r="34">
          <cell r="D34" t="str">
            <v>R&amp;D</v>
          </cell>
          <cell r="E34">
            <v>2.7999913715745145E-2</v>
          </cell>
          <cell r="F34">
            <v>3.0307905151056917E-2</v>
          </cell>
          <cell r="I34">
            <v>20</v>
          </cell>
          <cell r="J34">
            <v>-1.62688450613514E-2</v>
          </cell>
          <cell r="O34">
            <v>2.9187105816398037E-2</v>
          </cell>
          <cell r="P34">
            <v>10</v>
          </cell>
        </row>
        <row r="35">
          <cell r="D35" t="str">
            <v>Operating Income</v>
          </cell>
          <cell r="E35">
            <v>0.18612342099813631</v>
          </cell>
          <cell r="F35">
            <v>0.18985875615327691</v>
          </cell>
          <cell r="I35">
            <v>40</v>
          </cell>
          <cell r="K35">
            <v>0.18917906783378399</v>
          </cell>
          <cell r="O35">
            <v>0.17880168185003495</v>
          </cell>
          <cell r="P35">
            <v>110.00000000000001</v>
          </cell>
          <cell r="Q35" t="str">
            <v>driven by good pull through on organic growth, productivity &amp; cost actions, and solid accretion</v>
          </cell>
        </row>
        <row r="36">
          <cell r="D36" t="str">
            <v>Effective Tax Rate</v>
          </cell>
          <cell r="E36">
            <v>0.15684093088162371</v>
          </cell>
          <cell r="F36">
            <v>0.16268429079816982</v>
          </cell>
          <cell r="I36">
            <v>60</v>
          </cell>
          <cell r="J36">
            <v>-4.1189371704560829E-2</v>
          </cell>
          <cell r="K36">
            <v>0.17368866459027288</v>
          </cell>
          <cell r="O36">
            <v>0.1881246325690771</v>
          </cell>
          <cell r="P36">
            <v>-250</v>
          </cell>
        </row>
        <row r="37">
          <cell r="D37" t="str">
            <v>Net Income</v>
          </cell>
          <cell r="E37">
            <v>0.14003588509160633</v>
          </cell>
          <cell r="F37">
            <v>0.14449342041761845</v>
          </cell>
          <cell r="I37">
            <v>40</v>
          </cell>
          <cell r="K37">
            <v>0.13999810136112764</v>
          </cell>
          <cell r="O37">
            <v>0.13419761737911692</v>
          </cell>
          <cell r="P37">
            <v>100</v>
          </cell>
        </row>
      </sheetData>
      <sheetData sheetId="8" refreshError="1">
        <row r="1">
          <cell r="B1">
            <v>2011</v>
          </cell>
          <cell r="C1" t="str">
            <v>2012 Guidance</v>
          </cell>
          <cell r="E1">
            <v>2012</v>
          </cell>
        </row>
        <row r="2">
          <cell r="A2" t="str">
            <v>($mm, except EPS)</v>
          </cell>
          <cell r="B2" t="str">
            <v>Actual</v>
          </cell>
          <cell r="C2" t="str">
            <v>Previous</v>
          </cell>
          <cell r="D2" t="str">
            <v>Current</v>
          </cell>
          <cell r="E2" t="str">
            <v>MSe</v>
          </cell>
          <cell r="F2" t="str">
            <v>Commentary</v>
          </cell>
        </row>
        <row r="3">
          <cell r="A3" t="str">
            <v>Total Revenues</v>
          </cell>
          <cell r="B3">
            <v>11558.8</v>
          </cell>
          <cell r="C3" t="str">
            <v>$12,270-$12,430</v>
          </cell>
          <cell r="D3" t="str">
            <v>$12,140-$12,260</v>
          </cell>
          <cell r="E3">
            <v>12181.643010916281</v>
          </cell>
          <cell r="F3" t="str">
            <v>Lab Workstations discontinued ops (-$110m), Doe &amp; Ingalls update (+$75m), and unfavorable FX (-$40m)</v>
          </cell>
        </row>
        <row r="4">
          <cell r="A4" t="str">
            <v>Organic Growth</v>
          </cell>
          <cell r="B4">
            <v>0.03</v>
          </cell>
          <cell r="C4">
            <v>0.03</v>
          </cell>
          <cell r="D4">
            <v>0.03</v>
          </cell>
          <cell r="E4">
            <v>3.2080330999612876E-2</v>
          </cell>
          <cell r="F4" t="str">
            <v>same organic growth</v>
          </cell>
        </row>
        <row r="5">
          <cell r="A5" t="str">
            <v>Currency Growth</v>
          </cell>
          <cell r="B5">
            <v>0.02</v>
          </cell>
          <cell r="C5">
            <v>-2.5000000000000001E-2</v>
          </cell>
          <cell r="D5">
            <v>-3.1577672422742849E-2</v>
          </cell>
          <cell r="E5">
            <v>-2.9963117427830893E-2</v>
          </cell>
          <cell r="F5" t="str">
            <v>$40mm increased FX headwind to $365mm or ~3% headwind on reported; Euro at 1.21 for 2H</v>
          </cell>
        </row>
        <row r="6">
          <cell r="A6" t="str">
            <v>Total Growth</v>
          </cell>
          <cell r="B6">
            <v>9.3527085580216163E-2</v>
          </cell>
          <cell r="C6" t="str">
            <v>4-5%</v>
          </cell>
          <cell r="D6" t="str">
            <v>5-6%</v>
          </cell>
          <cell r="E6">
            <v>5.3884746765778591E-2</v>
          </cell>
          <cell r="F6" t="str">
            <v>Acquisitions contribute 1% to growth</v>
          </cell>
        </row>
        <row r="8">
          <cell r="A8" t="str">
            <v>Gross Margins</v>
          </cell>
          <cell r="B8">
            <v>0.4378828252067688</v>
          </cell>
          <cell r="C8" t="str">
            <v>up slightly</v>
          </cell>
          <cell r="D8" t="str">
            <v>up slightly</v>
          </cell>
          <cell r="E8">
            <v>0.45084576409892801</v>
          </cell>
          <cell r="F8" t="str">
            <v>improving gross margins due to acquisitions &amp; mix</v>
          </cell>
        </row>
        <row r="9">
          <cell r="A9" t="str">
            <v>EBIT Margin</v>
          </cell>
          <cell r="B9">
            <v>0.18408485309893741</v>
          </cell>
          <cell r="C9" t="str">
            <v>18.8%-19.0%</v>
          </cell>
          <cell r="D9" t="str">
            <v>18.8%-19.0%</v>
          </cell>
          <cell r="E9">
            <v>0.19248592329536141</v>
          </cell>
          <cell r="F9" t="str">
            <v>still +70-90 bps</v>
          </cell>
        </row>
        <row r="11">
          <cell r="A11" t="str">
            <v>Net Interest Expense</v>
          </cell>
          <cell r="B11">
            <v>-150.39999999999986</v>
          </cell>
          <cell r="C11" t="str">
            <v>(205-210)</v>
          </cell>
          <cell r="D11" t="str">
            <v>(220-225)</v>
          </cell>
          <cell r="E11">
            <v>-224.7</v>
          </cell>
          <cell r="F11" t="str">
            <v>up $70-75mm y/y and +15mm vs. previous guidance</v>
          </cell>
        </row>
        <row r="12">
          <cell r="A12" t="str">
            <v>Tax Rate</v>
          </cell>
          <cell r="B12">
            <v>0.19171009772760078</v>
          </cell>
          <cell r="C12" t="str">
            <v>17-18%</v>
          </cell>
          <cell r="D12" t="str">
            <v>17-18%</v>
          </cell>
          <cell r="E12">
            <v>0.17330126784870592</v>
          </cell>
        </row>
        <row r="13">
          <cell r="A13" t="str">
            <v>Adjusted EPS, Diluted</v>
          </cell>
          <cell r="B13">
            <v>4.1574946397245078</v>
          </cell>
          <cell r="C13" t="str">
            <v>$4.71-$4.83</v>
          </cell>
          <cell r="D13" t="str">
            <v>$4.74-$4.84</v>
          </cell>
          <cell r="E13">
            <v>4.8152667491028165</v>
          </cell>
          <cell r="F13" t="str">
            <v>+$0.02 from buyback, -$0.02 from FX and debt issuance, +0.02 higher from workstation divestiture</v>
          </cell>
        </row>
        <row r="14">
          <cell r="A14" t="str">
            <v>Diluted Share Count</v>
          </cell>
          <cell r="B14">
            <v>384.77499999999998</v>
          </cell>
          <cell r="C14" t="str">
            <v>367-372</v>
          </cell>
          <cell r="D14" t="str">
            <v>364-368</v>
          </cell>
          <cell r="E14">
            <v>363.98392370572208</v>
          </cell>
          <cell r="F14" t="str">
            <v>use $750mm repurchase through EOY</v>
          </cell>
        </row>
        <row r="15">
          <cell r="A15" t="str">
            <v>FCF</v>
          </cell>
          <cell r="B15">
            <v>1424.5</v>
          </cell>
          <cell r="C15" t="str">
            <v>&gt;$1,500</v>
          </cell>
          <cell r="E15">
            <v>1575.3018869243094</v>
          </cell>
          <cell r="F15" t="str">
            <v xml:space="preserve">Capex 300-310; </v>
          </cell>
        </row>
        <row r="17">
          <cell r="H17" t="str">
            <v>Analysis</v>
          </cell>
          <cell r="I17" t="str">
            <v>Commentary</v>
          </cell>
        </row>
        <row r="18">
          <cell r="H18" t="str">
            <v>Product Lines</v>
          </cell>
        </row>
        <row r="19">
          <cell r="H19" t="str">
            <v>MS</v>
          </cell>
          <cell r="I19" t="str">
            <v xml:space="preserve">Instrumentation broadly would be softer in 2H; good strength in biopharma; believe have gained share in mass spec vs. peers; pricing was up slightly in the quarter overall as well </v>
          </cell>
        </row>
        <row r="20">
          <cell r="H20" t="str">
            <v>Phadia</v>
          </cell>
          <cell r="I20" t="str">
            <v>Integration for both businesses has gone well; '12 accretion will be better for both; Phadia will be more accretive than the $0.30 that was discussed</v>
          </cell>
        </row>
        <row r="21">
          <cell r="H21" t="str">
            <v>Dionex</v>
          </cell>
          <cell r="I21" t="str">
            <v>Integration going well; both businesses have more European exposure than company average and growing slightly less than company avg for organic growth</v>
          </cell>
        </row>
        <row r="22">
          <cell r="H22" t="str">
            <v>New Products</v>
          </cell>
          <cell r="I22" t="str">
            <v xml:space="preserve">Launched 13 products in Q1 and continued in Q2 with ASMS- Qexactive2 strong follow through; intro of 8 software packages going well; launched new spectrometer as well as '50 </v>
          </cell>
        </row>
        <row r="23">
          <cell r="H23" t="str">
            <v>Revenue Mix</v>
          </cell>
        </row>
        <row r="24">
          <cell r="H24" t="str">
            <v>Analytical Technologies</v>
          </cell>
          <cell r="I24" t="str">
            <v>5% organic- strong growth in instruments sold to industrial and applied markets, as well as bioprocess; margin expansion +40 bps y/y driven by organic growth pull thorugh and productivity actions; Q4 strongest Q for instrumentation</v>
          </cell>
        </row>
        <row r="25">
          <cell r="H25" t="str">
            <v>Specialty Diagnostics</v>
          </cell>
          <cell r="I25" t="str">
            <v>3% organic- strong growth in clinical diagnostics, offset by weak demand in S. Europe</v>
          </cell>
        </row>
        <row r="26">
          <cell r="H26" t="str">
            <v>Lab Products &amp; Services</v>
          </cell>
          <cell r="I26" t="str">
            <v>Organic 4%, solid growth in lab consumables and clinical trials logistics business; channel business also performing well, good trajectory; would have had 3.5% organic growth without divestiture vs. 4%, and $0.02 lower on the year (all in Q3- nothing in Q</v>
          </cell>
        </row>
        <row r="28">
          <cell r="H28" t="str">
            <v>End Market</v>
          </cell>
        </row>
        <row r="29">
          <cell r="H29" t="str">
            <v>Industrial/Applied</v>
          </cell>
          <cell r="I29" t="str">
            <v>Strong sales &amp; bookings in applied, particularly in mining industry; consistent pacing through the quarter; for comps, industrial gets harder for Q3/Q4</v>
          </cell>
        </row>
        <row r="30">
          <cell r="H30" t="str">
            <v>Academic/Govt</v>
          </cell>
          <cell r="I30" t="str">
            <v>Markets are consistent with 1H trends- down low single digits; outlook has not changed; lab consumables spend is steady while capital equipment side is constrained; for comps, Q3/Q4 academic comps are easier</v>
          </cell>
        </row>
        <row r="31">
          <cell r="H31" t="str">
            <v>Diagnostics</v>
          </cell>
          <cell r="I31" t="str">
            <v xml:space="preserve">Trends continuing from last several quarters- clinical Dx product sales robust, driven by strength in Biomarker business in applied markets- high single digit growth there; softness in Europe; pricing here was flat, and traditionally haven't gotten a lot </v>
          </cell>
        </row>
        <row r="32">
          <cell r="H32" t="str">
            <v>Pharma</v>
          </cell>
          <cell r="I32" t="str">
            <v>Strength on quarter, continue to gain share; BioProcess production had another great quarter; sera media &amp; disposable products grew in the US, and vaccines/biosimilars grew in LatAm and ROW</v>
          </cell>
        </row>
        <row r="34">
          <cell r="H34" t="str">
            <v>Geography</v>
          </cell>
        </row>
        <row r="35">
          <cell r="H35" t="str">
            <v>US</v>
          </cell>
          <cell r="I35" t="str">
            <v>N America low single digits; US was slightly stronger than 1Q- low single digit org. growth- implies slowdown in 2H to 2% in US and W Europe</v>
          </cell>
        </row>
        <row r="36">
          <cell r="H36" t="str">
            <v>Europe</v>
          </cell>
          <cell r="I36" t="str">
            <v>Europe weakened but still up y/y low single digits; expect slowdown in 2H in W Europe; 3Q is seasonally weakest quarter in Europe &amp; around the world</v>
          </cell>
        </row>
        <row r="37">
          <cell r="H37" t="str">
            <v>Asia</v>
          </cell>
          <cell r="I37" t="str">
            <v>Low double digits overall; Good growth- slightly stronger than Q1- India, S. Korea strong, China was +20%- driven by biopharma, HC, and environmental monitoring strength- due to regulations relating to particulate matter- TMO is 70% share for this applica</v>
          </cell>
        </row>
        <row r="38">
          <cell r="H38" t="str">
            <v>EM</v>
          </cell>
          <cell r="I38" t="str">
            <v>Low single digit growth; going to continue to expand in emerging markets and make commercial investments there</v>
          </cell>
        </row>
        <row r="50">
          <cell r="S50">
            <v>2010</v>
          </cell>
          <cell r="T50">
            <v>2011</v>
          </cell>
          <cell r="U50" t="str">
            <v>2012E</v>
          </cell>
          <cell r="V50" t="str">
            <v>2013E</v>
          </cell>
          <cell r="W50" t="str">
            <v>2014E</v>
          </cell>
          <cell r="X50" t="str">
            <v>2015E</v>
          </cell>
          <cell r="Y50" t="str">
            <v>Comments</v>
          </cell>
        </row>
        <row r="51">
          <cell r="Q51" t="str">
            <v>Total Revs ($MM)</v>
          </cell>
        </row>
        <row r="52">
          <cell r="R52" t="str">
            <v>Current</v>
          </cell>
          <cell r="S52">
            <v>10570.199999999999</v>
          </cell>
          <cell r="T52">
            <v>11558.8</v>
          </cell>
          <cell r="U52">
            <v>12181.643010916281</v>
          </cell>
          <cell r="V52">
            <v>12580.52764384253</v>
          </cell>
          <cell r="W52">
            <v>13040.248317990276</v>
          </cell>
          <cell r="X52">
            <v>13577.177965199713</v>
          </cell>
          <cell r="Y52" t="str">
            <v>Sustainable 4% growth rate</v>
          </cell>
        </row>
        <row r="53">
          <cell r="R53" t="str">
            <v>% Y/Y</v>
          </cell>
          <cell r="T53">
            <v>9.3527085580216163E-2</v>
          </cell>
          <cell r="U53">
            <v>5.3884746765778591E-2</v>
          </cell>
          <cell r="V53">
            <v>3.2744731771305213E-2</v>
          </cell>
          <cell r="W53">
            <v>3.6542241085790517E-2</v>
          </cell>
          <cell r="X53">
            <v>4.1174802359299489E-2</v>
          </cell>
        </row>
        <row r="54">
          <cell r="R54" t="str">
            <v>Prior</v>
          </cell>
          <cell r="S54">
            <v>10570.2</v>
          </cell>
          <cell r="T54">
            <v>11725.9</v>
          </cell>
          <cell r="U54">
            <v>12329.063963099999</v>
          </cell>
          <cell r="V54">
            <v>12740.925074374001</v>
          </cell>
          <cell r="W54">
            <v>13208.993797358809</v>
          </cell>
          <cell r="X54">
            <v>13754.818656943684</v>
          </cell>
        </row>
        <row r="55">
          <cell r="R55" t="str">
            <v>% Y/Y</v>
          </cell>
          <cell r="T55">
            <v>0.10933567955194778</v>
          </cell>
          <cell r="U55">
            <v>5.1438607109049128E-2</v>
          </cell>
          <cell r="V55">
            <v>3.3405708049424776E-2</v>
          </cell>
          <cell r="W55">
            <v>3.673742057601781E-2</v>
          </cell>
          <cell r="X55">
            <v>4.132221333119368E-2</v>
          </cell>
        </row>
        <row r="56">
          <cell r="Q56" t="str">
            <v xml:space="preserve">COGS </v>
          </cell>
        </row>
        <row r="57">
          <cell r="R57" t="str">
            <v>Current</v>
          </cell>
          <cell r="S57">
            <v>6127.7999999999993</v>
          </cell>
          <cell r="T57">
            <v>6497.4000000000005</v>
          </cell>
          <cell r="U57">
            <v>6689.6008596793645</v>
          </cell>
          <cell r="V57">
            <v>6883.4955351009603</v>
          </cell>
          <cell r="W57">
            <v>7082.8112888782398</v>
          </cell>
          <cell r="X57">
            <v>7320.0669201334013</v>
          </cell>
        </row>
        <row r="58">
          <cell r="R58" t="str">
            <v>% sales</v>
          </cell>
          <cell r="S58">
            <v>0.57972413010160639</v>
          </cell>
          <cell r="T58">
            <v>0.5621171747932312</v>
          </cell>
          <cell r="U58">
            <v>0.54915423590107204</v>
          </cell>
          <cell r="V58">
            <v>0.54715475614173059</v>
          </cell>
          <cell r="W58">
            <v>0.54315003182161958</v>
          </cell>
          <cell r="X58">
            <v>0.53914494889113185</v>
          </cell>
        </row>
        <row r="59">
          <cell r="R59" t="str">
            <v>Prior</v>
          </cell>
          <cell r="S59">
            <v>6127.8</v>
          </cell>
          <cell r="T59">
            <v>6664.5</v>
          </cell>
          <cell r="U59">
            <v>6859.1139928342564</v>
          </cell>
          <cell r="V59">
            <v>7024.7183908234101</v>
          </cell>
          <cell r="W59">
            <v>7229.8853901584498</v>
          </cell>
          <cell r="X59">
            <v>7473.5418878996743</v>
          </cell>
        </row>
        <row r="60">
          <cell r="R60" t="str">
            <v>% sales</v>
          </cell>
          <cell r="S60">
            <v>0.57972413010160639</v>
          </cell>
          <cell r="T60">
            <v>0.56835722631098684</v>
          </cell>
          <cell r="U60">
            <v>0.55633696226762153</v>
          </cell>
          <cell r="V60">
            <v>0.55135073393943135</v>
          </cell>
          <cell r="W60">
            <v>0.54734565713885752</v>
          </cell>
          <cell r="X60">
            <v>0.54333990685707034</v>
          </cell>
        </row>
        <row r="61">
          <cell r="Q61" t="str">
            <v>SG&amp;A</v>
          </cell>
        </row>
        <row r="62">
          <cell r="R62" t="str">
            <v>Current</v>
          </cell>
          <cell r="S62">
            <v>2317.5</v>
          </cell>
          <cell r="T62">
            <v>2593</v>
          </cell>
          <cell r="U62">
            <v>2778.9569094522612</v>
          </cell>
          <cell r="V62">
            <v>2869.8880073626419</v>
          </cell>
          <cell r="W62">
            <v>2964.9462788476494</v>
          </cell>
          <cell r="X62">
            <v>3076.8694398037796</v>
          </cell>
        </row>
        <row r="63">
          <cell r="R63" t="str">
            <v>% sales</v>
          </cell>
          <cell r="S63">
            <v>0.219248453198615</v>
          </cell>
          <cell r="T63">
            <v>0.22433124545800603</v>
          </cell>
          <cell r="U63">
            <v>0.2281266087802743</v>
          </cell>
          <cell r="V63">
            <v>0.22812143406141577</v>
          </cell>
          <cell r="W63">
            <v>0.22736885115578828</v>
          </cell>
          <cell r="X63">
            <v>0.22662069007935556</v>
          </cell>
        </row>
        <row r="64">
          <cell r="R64" t="str">
            <v>Prior</v>
          </cell>
          <cell r="S64">
            <v>2317.5</v>
          </cell>
          <cell r="T64">
            <v>2593</v>
          </cell>
          <cell r="U64">
            <v>2763.4525179782313</v>
          </cell>
          <cell r="V64">
            <v>2855.7332098784591</v>
          </cell>
          <cell r="W64">
            <v>2950.6941543773014</v>
          </cell>
          <cell r="X64">
            <v>3062.3363005746405</v>
          </cell>
        </row>
        <row r="65">
          <cell r="R65" t="str">
            <v>% sales</v>
          </cell>
          <cell r="S65">
            <v>0.21924845319861497</v>
          </cell>
          <cell r="T65">
            <v>0.22113441185751201</v>
          </cell>
          <cell r="U65">
            <v>0.22414130758418041</v>
          </cell>
          <cell r="V65">
            <v>0.22413860792747575</v>
          </cell>
          <cell r="W65">
            <v>0.22338523279247086</v>
          </cell>
          <cell r="X65">
            <v>0.22263734455188308</v>
          </cell>
        </row>
        <row r="66">
          <cell r="Q66" t="str">
            <v>R&amp;D</v>
          </cell>
        </row>
        <row r="67">
          <cell r="R67" t="str">
            <v>Current</v>
          </cell>
          <cell r="S67">
            <v>284.79999999999995</v>
          </cell>
          <cell r="T67">
            <v>340.59999999999997</v>
          </cell>
          <cell r="U67">
            <v>368.29043957394936</v>
          </cell>
          <cell r="V67">
            <v>380.35509952569271</v>
          </cell>
          <cell r="W67">
            <v>384.48503990131485</v>
          </cell>
          <cell r="X67">
            <v>390.14323052339898</v>
          </cell>
        </row>
        <row r="68">
          <cell r="R68" t="str">
            <v>% sales</v>
          </cell>
          <cell r="S68">
            <v>2.6943671832131841E-2</v>
          </cell>
          <cell r="T68">
            <v>2.9466726649825241E-2</v>
          </cell>
          <cell r="U68">
            <v>3.0233232023292336E-2</v>
          </cell>
          <cell r="V68">
            <v>3.0233636481205573E-2</v>
          </cell>
          <cell r="W68">
            <v>2.9484487605261379E-2</v>
          </cell>
          <cell r="X68">
            <v>2.8735222556807678E-2</v>
          </cell>
        </row>
        <row r="69">
          <cell r="R69" t="str">
            <v>Prior</v>
          </cell>
          <cell r="S69">
            <v>284.8</v>
          </cell>
          <cell r="T69">
            <v>340.6</v>
          </cell>
          <cell r="U69">
            <v>358.64519153634689</v>
          </cell>
          <cell r="V69">
            <v>370.60942505382383</v>
          </cell>
          <cell r="W69">
            <v>374.32176024261116</v>
          </cell>
          <cell r="X69">
            <v>379.48788802854426</v>
          </cell>
        </row>
        <row r="70">
          <cell r="R70" t="str">
            <v>% sales</v>
          </cell>
          <cell r="S70">
            <v>2.6943671832131841E-2</v>
          </cell>
          <cell r="T70">
            <v>2.9046810905772696E-2</v>
          </cell>
          <cell r="U70">
            <v>2.9089409594251932E-2</v>
          </cell>
          <cell r="V70">
            <v>2.9088109606674926E-2</v>
          </cell>
          <cell r="W70">
            <v>2.8338400788518674E-2</v>
          </cell>
          <cell r="X70">
            <v>2.7589450467743668E-2</v>
          </cell>
        </row>
        <row r="71">
          <cell r="Q71" t="str">
            <v>Int Exp/Other</v>
          </cell>
        </row>
        <row r="72">
          <cell r="R72" t="str">
            <v>Current</v>
          </cell>
          <cell r="S72">
            <v>-71.999999999999943</v>
          </cell>
          <cell r="T72">
            <v>-150.39999999999986</v>
          </cell>
          <cell r="U72">
            <v>-224.7</v>
          </cell>
          <cell r="V72">
            <v>-183.2130817045047</v>
          </cell>
          <cell r="W72">
            <v>-158.64641953821672</v>
          </cell>
          <cell r="X72">
            <v>-123.68857521870299</v>
          </cell>
        </row>
        <row r="73">
          <cell r="R73" t="str">
            <v>% sales</v>
          </cell>
          <cell r="S73">
            <v>-6.8116024294715286E-3</v>
          </cell>
          <cell r="T73">
            <v>-1.3011731321590466E-2</v>
          </cell>
          <cell r="U73">
            <v>-1.8445787632968769E-2</v>
          </cell>
          <cell r="V73">
            <v>-1.4563227146850025E-2</v>
          </cell>
          <cell r="W73">
            <v>-1.2165904794876394E-2</v>
          </cell>
          <cell r="X73">
            <v>-9.1100356447956152E-3</v>
          </cell>
        </row>
        <row r="74">
          <cell r="R74" t="str">
            <v>Prior</v>
          </cell>
          <cell r="S74">
            <v>-71.999999999999943</v>
          </cell>
          <cell r="T74">
            <v>-150.4</v>
          </cell>
          <cell r="U74">
            <v>-202.25387499999999</v>
          </cell>
          <cell r="V74">
            <v>-188.32484134598826</v>
          </cell>
          <cell r="W74">
            <v>-162.42762130718484</v>
          </cell>
          <cell r="X74">
            <v>-126.05908932965031</v>
          </cell>
        </row>
        <row r="75">
          <cell r="R75" t="str">
            <v>% sales</v>
          </cell>
          <cell r="S75">
            <v>-6.8116024294715277E-3</v>
          </cell>
          <cell r="T75">
            <v>-1.2826307575537913E-2</v>
          </cell>
          <cell r="U75">
            <v>-1.6404641553108272E-2</v>
          </cell>
          <cell r="V75">
            <v>-1.4781096368329536E-2</v>
          </cell>
          <cell r="W75">
            <v>-1.2296744460555571E-2</v>
          </cell>
          <cell r="X75">
            <v>-9.1647220129662255E-3</v>
          </cell>
        </row>
        <row r="76">
          <cell r="Q76" t="str">
            <v>EPS- Diluted Adj.</v>
          </cell>
        </row>
        <row r="77">
          <cell r="R77" t="str">
            <v>Current</v>
          </cell>
          <cell r="S77">
            <v>3.4584096738732146</v>
          </cell>
          <cell r="T77">
            <v>4.1574946397245078</v>
          </cell>
          <cell r="U77">
            <v>4.8152667491028165</v>
          </cell>
          <cell r="V77">
            <v>5.4049678613770302</v>
          </cell>
          <cell r="W77">
            <v>6.0818512121484787</v>
          </cell>
          <cell r="X77">
            <v>6.9568029881790103</v>
          </cell>
        </row>
        <row r="78">
          <cell r="R78" t="str">
            <v>% Y/Y</v>
          </cell>
          <cell r="T78">
            <v>0.20214058823990033</v>
          </cell>
          <cell r="U78">
            <v>0.15821357966246108</v>
          </cell>
          <cell r="V78">
            <v>0.12246488990128901</v>
          </cell>
          <cell r="W78">
            <v>0.12523355700379657</v>
          </cell>
          <cell r="X78">
            <v>0.14386273940454486</v>
          </cell>
        </row>
        <row r="79">
          <cell r="R79" t="str">
            <v>Prior</v>
          </cell>
          <cell r="S79">
            <v>3.4584096738732146</v>
          </cell>
          <cell r="T79">
            <v>4.1574946397245132</v>
          </cell>
          <cell r="U79">
            <v>4.8164473532256684</v>
          </cell>
          <cell r="V79">
            <v>5.3260367232475581</v>
          </cell>
          <cell r="W79">
            <v>6.0189766752123948</v>
          </cell>
          <cell r="X79">
            <v>6.8780970827631673</v>
          </cell>
        </row>
        <row r="80">
          <cell r="R80" t="str">
            <v>% Y/Y</v>
          </cell>
          <cell r="T80">
            <v>0.20214058823990189</v>
          </cell>
          <cell r="U80">
            <v>0.1584975497514578</v>
          </cell>
          <cell r="V80">
            <v>0.10580191843695919</v>
          </cell>
          <cell r="W80">
            <v>0.13010423847440467</v>
          </cell>
          <cell r="X80">
            <v>0.1427352943713569</v>
          </cell>
        </row>
        <row r="81">
          <cell r="Q81" t="str">
            <v>Diluted Shs</v>
          </cell>
        </row>
        <row r="82">
          <cell r="R82" t="str">
            <v>Current</v>
          </cell>
          <cell r="S82">
            <v>409.34999999999997</v>
          </cell>
          <cell r="T82">
            <v>384.77499999999998</v>
          </cell>
          <cell r="U82">
            <v>363.98392370572208</v>
          </cell>
          <cell r="V82">
            <v>345.92503748329472</v>
          </cell>
          <cell r="W82">
            <v>332.65706503639075</v>
          </cell>
          <cell r="X82">
            <v>316.59003397771681</v>
          </cell>
        </row>
        <row r="83">
          <cell r="R83" t="str">
            <v>% Y/Y</v>
          </cell>
          <cell r="T83">
            <v>-6.0034200561866369E-2</v>
          </cell>
          <cell r="U83">
            <v>-5.4034374099871108E-2</v>
          </cell>
          <cell r="V83">
            <v>-4.9614516043922308E-2</v>
          </cell>
          <cell r="W83">
            <v>-3.83550509770334E-2</v>
          </cell>
          <cell r="X83">
            <v>-4.8299082591004905E-2</v>
          </cell>
        </row>
        <row r="84">
          <cell r="R84" t="str">
            <v>Prior</v>
          </cell>
          <cell r="S84">
            <v>409.35</v>
          </cell>
          <cell r="T84">
            <v>384.77499999999998</v>
          </cell>
          <cell r="U84">
            <v>368.45196022727276</v>
          </cell>
          <cell r="V84">
            <v>356.93921840774613</v>
          </cell>
          <cell r="W84">
            <v>341.93772375751701</v>
          </cell>
          <cell r="X84">
            <v>325.8551015911857</v>
          </cell>
        </row>
        <row r="85">
          <cell r="R85" t="str">
            <v>% Y/Y</v>
          </cell>
          <cell r="T85">
            <v>-6.003420056186648E-2</v>
          </cell>
          <cell r="U85">
            <v>-4.2422298155356253E-2</v>
          </cell>
          <cell r="V85">
            <v>-3.1246249341230881E-2</v>
          </cell>
          <cell r="W85">
            <v>-4.2028148986117619E-2</v>
          </cell>
          <cell r="X85">
            <v>-4.7033775593991467E-2</v>
          </cell>
        </row>
        <row r="86">
          <cell r="Q86" t="str">
            <v>FCF</v>
          </cell>
        </row>
        <row r="87">
          <cell r="R87" t="str">
            <v>Current</v>
          </cell>
          <cell r="S87">
            <v>1239.9999999999998</v>
          </cell>
          <cell r="T87">
            <v>1424.5</v>
          </cell>
          <cell r="U87">
            <v>1575.3018869243094</v>
          </cell>
          <cell r="V87">
            <v>1644.5873070170619</v>
          </cell>
          <cell r="W87">
            <v>1817.1464779661073</v>
          </cell>
          <cell r="X87">
            <v>1945.6685496018629</v>
          </cell>
        </row>
        <row r="88">
          <cell r="R88" t="str">
            <v>% Y/Y</v>
          </cell>
          <cell r="T88">
            <v>0.14879032258064528</v>
          </cell>
          <cell r="U88">
            <v>0.10586303048389567</v>
          </cell>
          <cell r="V88">
            <v>4.3982312639787802E-2</v>
          </cell>
          <cell r="W88">
            <v>0.10492551548511697</v>
          </cell>
          <cell r="X88">
            <v>7.0727414214624806E-2</v>
          </cell>
        </row>
        <row r="89">
          <cell r="R89" t="str">
            <v>Prior</v>
          </cell>
          <cell r="S89">
            <v>1240</v>
          </cell>
          <cell r="T89">
            <v>1424.5</v>
          </cell>
          <cell r="U89">
            <v>1559.7019119336819</v>
          </cell>
          <cell r="V89">
            <v>1721.9872961077901</v>
          </cell>
          <cell r="W89">
            <v>1885.5349283103346</v>
          </cell>
          <cell r="X89">
            <v>2018.5558878479412</v>
          </cell>
        </row>
        <row r="90">
          <cell r="R90" t="str">
            <v>% Y/Y</v>
          </cell>
          <cell r="T90">
            <v>0.14879032258064506</v>
          </cell>
          <cell r="U90">
            <v>9.4911837089281859E-2</v>
          </cell>
          <cell r="V90">
            <v>0.10404897431516935</v>
          </cell>
          <cell r="W90">
            <v>9.4976096845900804E-2</v>
          </cell>
          <cell r="X90">
            <v>7.0548128035373692E-2</v>
          </cell>
        </row>
      </sheetData>
      <sheetData sheetId="9" refreshError="1"/>
      <sheetData sheetId="10" refreshError="1">
        <row r="1">
          <cell r="B1">
            <v>2013</v>
          </cell>
          <cell r="C1" t="str">
            <v>Bear</v>
          </cell>
          <cell r="D1" t="str">
            <v>Base</v>
          </cell>
          <cell r="E1" t="str">
            <v>Bull</v>
          </cell>
        </row>
        <row r="2">
          <cell r="B2" t="str">
            <v>Revenues</v>
          </cell>
          <cell r="C2">
            <v>12328.917090965679</v>
          </cell>
          <cell r="D2">
            <v>12580.52764384253</v>
          </cell>
          <cell r="E2">
            <v>12895.040834938593</v>
          </cell>
        </row>
        <row r="3">
          <cell r="B3" t="str">
            <v xml:space="preserve">  % from base</v>
          </cell>
          <cell r="C3">
            <v>-0.02</v>
          </cell>
          <cell r="E3">
            <v>2.5000000000000001E-2</v>
          </cell>
        </row>
        <row r="4">
          <cell r="B4" t="str">
            <v xml:space="preserve">  % change YY</v>
          </cell>
          <cell r="C4">
            <v>1.2089837135879078E-2</v>
          </cell>
          <cell r="D4">
            <v>3.2744731771305213E-2</v>
          </cell>
          <cell r="E4">
            <v>5.8563350065587771E-2</v>
          </cell>
        </row>
        <row r="5">
          <cell r="B5" t="str">
            <v>EBITDA</v>
          </cell>
          <cell r="C5">
            <v>2552.0858378298954</v>
          </cell>
          <cell r="D5">
            <v>2697.4601019829402</v>
          </cell>
          <cell r="E5">
            <v>2836.9089836864905</v>
          </cell>
        </row>
        <row r="6">
          <cell r="B6" t="str">
            <v>other exp</v>
          </cell>
          <cell r="C6">
            <v>433.88418183420845</v>
          </cell>
          <cell r="D6">
            <v>433.88418183420845</v>
          </cell>
          <cell r="E6">
            <v>433.88418183420845</v>
          </cell>
        </row>
        <row r="7">
          <cell r="B7" t="str">
            <v>Pre-tax</v>
          </cell>
          <cell r="C7">
            <v>2118.2016559956869</v>
          </cell>
          <cell r="D7">
            <v>2263.5759201487317</v>
          </cell>
          <cell r="E7">
            <v>2403.0248018522821</v>
          </cell>
        </row>
        <row r="8">
          <cell r="B8" t="str">
            <v>tax</v>
          </cell>
          <cell r="C8">
            <v>0.17399999999999999</v>
          </cell>
          <cell r="D8">
            <v>0.17399999999999999</v>
          </cell>
          <cell r="E8">
            <v>0.17399999999999999</v>
          </cell>
        </row>
        <row r="9">
          <cell r="B9" t="str">
            <v>Net income</v>
          </cell>
          <cell r="C9">
            <v>1749.6345678524376</v>
          </cell>
          <cell r="D9">
            <v>1869.7137100428524</v>
          </cell>
          <cell r="E9">
            <v>1984.8984863299852</v>
          </cell>
        </row>
        <row r="10">
          <cell r="B10" t="str">
            <v>Shares</v>
          </cell>
          <cell r="C10">
            <v>345.92503748329472</v>
          </cell>
          <cell r="D10">
            <v>345.92503748329472</v>
          </cell>
          <cell r="E10">
            <v>345.92503748329472</v>
          </cell>
        </row>
        <row r="12">
          <cell r="B12" t="str">
            <v>Diluted EPS</v>
          </cell>
          <cell r="C12">
            <v>5.0578431112750266</v>
          </cell>
          <cell r="D12">
            <v>5.4049678613770302</v>
          </cell>
          <cell r="E12">
            <v>5.7379439799174383</v>
          </cell>
        </row>
        <row r="13">
          <cell r="B13" t="str">
            <v>change vs  base</v>
          </cell>
          <cell r="C13">
            <v>-6.4223277363496867E-2</v>
          </cell>
          <cell r="E13">
            <v>6.1605568632479457E-2</v>
          </cell>
        </row>
        <row r="14">
          <cell r="B14" t="str">
            <v>yy %</v>
          </cell>
          <cell r="C14">
            <v>5.0376515946371381E-2</v>
          </cell>
          <cell r="D14">
            <v>0.12246488990128901</v>
          </cell>
          <cell r="E14">
            <v>0.1916149777136511</v>
          </cell>
        </row>
        <row r="16">
          <cell r="B16" t="str">
            <v>Margin</v>
          </cell>
        </row>
        <row r="17">
          <cell r="B17" t="str">
            <v>Rev growth</v>
          </cell>
          <cell r="C17">
            <v>1.2089837135879078E-2</v>
          </cell>
          <cell r="D17">
            <v>3.2744731771305213E-2</v>
          </cell>
          <cell r="E17">
            <v>5.8563350065587771E-2</v>
          </cell>
        </row>
        <row r="18">
          <cell r="B18" t="str">
            <v>EBITDA margin</v>
          </cell>
          <cell r="C18">
            <v>0.20699999999999999</v>
          </cell>
          <cell r="D18">
            <v>0.21441549816896568</v>
          </cell>
          <cell r="E18">
            <v>0.22</v>
          </cell>
        </row>
        <row r="19">
          <cell r="B19" t="str">
            <v>EBITDA y/y</v>
          </cell>
          <cell r="C19">
            <v>-4.2415967941191457E-3</v>
          </cell>
          <cell r="D19">
            <v>3.1739013748465494E-3</v>
          </cell>
          <cell r="E19">
            <v>8.7584032058808658E-3</v>
          </cell>
        </row>
        <row r="20">
          <cell r="B20" t="str">
            <v>Net Income margin</v>
          </cell>
          <cell r="C20">
            <v>0.1419130775998588</v>
          </cell>
          <cell r="D20">
            <v>0.14861965753542727</v>
          </cell>
          <cell r="E20">
            <v>0.15392727419303573</v>
          </cell>
        </row>
        <row r="21">
          <cell r="B21" t="str">
            <v>EPS growth</v>
          </cell>
          <cell r="C21">
            <v>5.0376515946371381E-2</v>
          </cell>
          <cell r="D21">
            <v>0.12246488990128901</v>
          </cell>
          <cell r="E21">
            <v>0.1916149777136511</v>
          </cell>
        </row>
        <row r="22">
          <cell r="B22" t="str">
            <v>Price</v>
          </cell>
          <cell r="D22">
            <v>55.07</v>
          </cell>
        </row>
        <row r="23">
          <cell r="B23" t="str">
            <v>Mcap</v>
          </cell>
          <cell r="D23">
            <v>19050.09181420504</v>
          </cell>
        </row>
        <row r="24">
          <cell r="B24" t="str">
            <v>Net Debt</v>
          </cell>
          <cell r="C24">
            <v>5882.5999999999995</v>
          </cell>
          <cell r="D24">
            <v>5882.5999999999995</v>
          </cell>
          <cell r="E24">
            <v>5882.5999999999995</v>
          </cell>
        </row>
        <row r="25">
          <cell r="B25" t="str">
            <v>EV</v>
          </cell>
          <cell r="D25">
            <v>24932.691814205038</v>
          </cell>
        </row>
        <row r="27">
          <cell r="B27" t="str">
            <v>P/E</v>
          </cell>
          <cell r="C27">
            <v>9.4499999999999993</v>
          </cell>
          <cell r="D27">
            <v>12.24</v>
          </cell>
          <cell r="E27">
            <v>14</v>
          </cell>
        </row>
        <row r="28">
          <cell r="B28" t="str">
            <v>Sh Price</v>
          </cell>
          <cell r="C28">
            <v>47.796617401549</v>
          </cell>
          <cell r="D28">
            <v>66.156806623254852</v>
          </cell>
          <cell r="E28">
            <v>80.331215718844135</v>
          </cell>
        </row>
        <row r="29">
          <cell r="B29" t="str">
            <v>% Diff</v>
          </cell>
          <cell r="C29">
            <v>-0.13207522423190488</v>
          </cell>
          <cell r="D29">
            <v>0.20132207414662884</v>
          </cell>
          <cell r="E29">
            <v>0.4587110172297828</v>
          </cell>
        </row>
        <row r="31">
          <cell r="B31" t="str">
            <v>EV/EBITDA</v>
          </cell>
          <cell r="C31">
            <v>8.5500000000000007</v>
          </cell>
          <cell r="D31">
            <v>9.5</v>
          </cell>
          <cell r="E31">
            <v>10.450000000000001</v>
          </cell>
        </row>
        <row r="32">
          <cell r="B32" t="str">
            <v>Sh Price</v>
          </cell>
          <cell r="C32">
            <v>46.072796665419943</v>
          </cell>
          <cell r="D32">
            <v>57.07384210312145</v>
          </cell>
          <cell r="E32">
            <v>68.694359484376406</v>
          </cell>
        </row>
      </sheetData>
      <sheetData sheetId="11" refreshError="1"/>
      <sheetData sheetId="12" refreshError="1"/>
      <sheetData sheetId="13" refreshError="1">
        <row r="56">
          <cell r="I56" t="str">
            <v>WACC</v>
          </cell>
        </row>
        <row r="57">
          <cell r="I57">
            <v>6.6970283544374828E-2</v>
          </cell>
          <cell r="J57">
            <v>7.1970283544374833E-2</v>
          </cell>
          <cell r="K57">
            <v>7.6970283544374837E-2</v>
          </cell>
          <cell r="L57">
            <v>8.1970283544374842E-2</v>
          </cell>
          <cell r="M57">
            <v>8.6970283544374846E-2</v>
          </cell>
          <cell r="N57">
            <v>9.1970283544374851E-2</v>
          </cell>
          <cell r="O57">
            <v>9.6970283544374855E-2</v>
          </cell>
          <cell r="P57">
            <v>0.10197028354437486</v>
          </cell>
          <cell r="Q57">
            <v>0.10697028354437486</v>
          </cell>
        </row>
        <row r="58">
          <cell r="H58">
            <v>-0.01</v>
          </cell>
          <cell r="I58">
            <v>88.727278757774656</v>
          </cell>
          <cell r="J58">
            <v>82.898128065702551</v>
          </cell>
          <cell r="K58">
            <v>77.813241525523949</v>
          </cell>
          <cell r="L58">
            <v>73.348205516203663</v>
          </cell>
          <cell r="M58">
            <v>69.404403174040226</v>
          </cell>
          <cell r="N58">
            <v>65.902683076269682</v>
          </cell>
          <cell r="O58">
            <v>62.778803913861061</v>
          </cell>
          <cell r="P58">
            <v>59.980099988796148</v>
          </cell>
          <cell r="Q58">
            <v>57.463002220525951</v>
          </cell>
        </row>
        <row r="59">
          <cell r="G59" t="str">
            <v>Terminal</v>
          </cell>
          <cell r="H59">
            <v>-5.0000000000000001E-3</v>
          </cell>
          <cell r="I59">
            <v>93.402620670254962</v>
          </cell>
          <cell r="J59">
            <v>86.880230319843903</v>
          </cell>
          <cell r="K59">
            <v>81.232471234710047</v>
          </cell>
          <cell r="L59">
            <v>76.30527620721665</v>
          </cell>
          <cell r="M59">
            <v>71.978226479935216</v>
          </cell>
          <cell r="N59">
            <v>68.155869684606813</v>
          </cell>
          <cell r="O59">
            <v>64.761592452841526</v>
          </cell>
          <cell r="P59">
            <v>61.733211804253223</v>
          </cell>
          <cell r="Q59">
            <v>59.019748031981258</v>
          </cell>
        </row>
        <row r="60">
          <cell r="G60" t="str">
            <v>Value</v>
          </cell>
          <cell r="H60">
            <v>0</v>
          </cell>
          <cell r="I60">
            <v>98.776084445902015</v>
          </cell>
          <cell r="J60">
            <v>91.415630693435631</v>
          </cell>
          <cell r="K60">
            <v>85.095928190014405</v>
          </cell>
          <cell r="L60">
            <v>79.623096009145186</v>
          </cell>
          <cell r="M60">
            <v>74.847992629868642</v>
          </cell>
          <cell r="N60">
            <v>70.654047014022908</v>
          </cell>
          <cell r="O60">
            <v>66.948854823031624</v>
          </cell>
          <cell r="P60">
            <v>63.65824741500839</v>
          </cell>
          <cell r="Q60">
            <v>60.722024523535175</v>
          </cell>
        </row>
        <row r="61">
          <cell r="G61" t="str">
            <v>Growth</v>
          </cell>
          <cell r="H61">
            <v>5.0000000000000001E-3</v>
          </cell>
          <cell r="I61">
            <v>105.01665152789414</v>
          </cell>
          <cell r="J61">
            <v>96.628256865330357</v>
          </cell>
          <cell r="K61">
            <v>89.496197947080518</v>
          </cell>
          <cell r="L61">
            <v>83.371967854686844</v>
          </cell>
          <cell r="M61">
            <v>78.067857135675098</v>
          </cell>
          <cell r="N61">
            <v>73.439469276720331</v>
          </cell>
          <cell r="O61">
            <v>69.373939920943855</v>
          </cell>
          <cell r="P61">
            <v>65.781801122276519</v>
          </cell>
          <cell r="Q61">
            <v>62.591239502693981</v>
          </cell>
        </row>
        <row r="62">
          <cell r="H62">
            <v>0.01</v>
          </cell>
          <cell r="I62">
            <v>112.3526260212135</v>
          </cell>
          <cell r="J62">
            <v>102.68203235489152</v>
          </cell>
          <cell r="K62">
            <v>94.553515804316376</v>
          </cell>
          <cell r="L62">
            <v>87.641731332290817</v>
          </cell>
          <cell r="M62">
            <v>81.706047306600126</v>
          </cell>
          <cell r="N62">
            <v>76.564700326487426</v>
          </cell>
          <cell r="O62">
            <v>72.077865675581677</v>
          </cell>
          <cell r="P62">
            <v>68.136250465116277</v>
          </cell>
          <cell r="Q62">
            <v>64.653216110553529</v>
          </cell>
        </row>
        <row r="63">
          <cell r="H63">
            <v>1.4999999999999999E-2</v>
          </cell>
          <cell r="I63">
            <v>121.1001715110727</v>
          </cell>
          <cell r="J63">
            <v>109.79842770746349</v>
          </cell>
          <cell r="K63">
            <v>100.42692123901418</v>
          </cell>
          <cell r="L63">
            <v>92.549055717752509</v>
          </cell>
          <cell r="M63">
            <v>85.849750307508884</v>
          </cell>
          <cell r="N63">
            <v>80.095962237238084</v>
          </cell>
          <cell r="O63">
            <v>75.111658015733241</v>
          </cell>
          <cell r="P63">
            <v>70.761418638214693</v>
          </cell>
          <cell r="Q63">
            <v>66.939393028382199</v>
          </cell>
        </row>
        <row r="64">
          <cell r="H64">
            <v>0.02</v>
          </cell>
          <cell r="I64">
            <v>131.71007439581444</v>
          </cell>
          <cell r="J64">
            <v>118.28414315360314</v>
          </cell>
          <cell r="K64">
            <v>107.33128616158658</v>
          </cell>
          <cell r="L64">
            <v>98.248263584261665</v>
          </cell>
          <cell r="M64">
            <v>90.612190871050714</v>
          </cell>
          <cell r="N64">
            <v>84.117879698702737</v>
          </cell>
          <cell r="O64">
            <v>78.539601475050517</v>
          </cell>
          <cell r="P64">
            <v>73.706845331789921</v>
          </cell>
          <cell r="Q64">
            <v>69.488438689953938</v>
          </cell>
        </row>
        <row r="65">
          <cell r="H65">
            <v>2.5000000000000001E-2</v>
          </cell>
          <cell r="I65">
            <v>144.84793325052806</v>
          </cell>
          <cell r="J65">
            <v>128.57647222985267</v>
          </cell>
          <cell r="K65">
            <v>115.56417277996172</v>
          </cell>
          <cell r="L65">
            <v>104.94785402075921</v>
          </cell>
          <cell r="M65">
            <v>96.14313535149509</v>
          </cell>
          <cell r="N65">
            <v>88.7403497110312</v>
          </cell>
          <cell r="O65">
            <v>82.443844775149103</v>
          </cell>
          <cell r="P65">
            <v>77.034942655891911</v>
          </cell>
          <cell r="Q65">
            <v>72.348456273465118</v>
          </cell>
        </row>
        <row r="66">
          <cell r="H66">
            <v>3.0000000000000002E-2</v>
          </cell>
          <cell r="I66">
            <v>161.53941885493768</v>
          </cell>
          <cell r="J66">
            <v>141.32109092796475</v>
          </cell>
          <cell r="K66">
            <v>125.54984562765509</v>
          </cell>
          <cell r="L66">
            <v>112.93656392699705</v>
          </cell>
          <cell r="M66">
            <v>102.64492711166848</v>
          </cell>
          <cell r="N66">
            <v>94.10873691914243</v>
          </cell>
          <cell r="O66">
            <v>86.931069525148757</v>
          </cell>
          <cell r="P66">
            <v>80.825466576111182</v>
          </cell>
          <cell r="Q66">
            <v>75.580048112885379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"/>
      <sheetName val="RevBuild"/>
      <sheetName val="OrgRev"/>
      <sheetName val="OrgEBIT"/>
      <sheetName val="BS"/>
      <sheetName val="CFS"/>
      <sheetName val="EPS Charts"/>
      <sheetName val="CommTrkr"/>
      <sheetName val="Guidance"/>
      <sheetName val="Debt"/>
      <sheetName val="BS_Predictive"/>
      <sheetName val="Q Variance"/>
      <sheetName val="BBB"/>
      <sheetName val="TMOLIFE"/>
      <sheetName val="TMOFEIC"/>
      <sheetName val="DCF"/>
      <sheetName val="Links"/>
      <sheetName val="LinksQ"/>
      <sheetName val="LinksA"/>
      <sheetName val="Timeline"/>
      <sheetName val="MWA RR"/>
      <sheetName val="mwareDates"/>
      <sheetName val="MW-Cache"/>
      <sheetName val="mwareSettings"/>
      <sheetName val="ToDo"/>
      <sheetName val="FX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T4" t="str">
            <v>2Q09</v>
          </cell>
          <cell r="U4" t="str">
            <v>3Q09</v>
          </cell>
          <cell r="V4" t="str">
            <v>4Q09</v>
          </cell>
          <cell r="W4" t="str">
            <v>1Q10</v>
          </cell>
          <cell r="X4" t="str">
            <v>2Q10</v>
          </cell>
          <cell r="Y4" t="str">
            <v>3Q10</v>
          </cell>
          <cell r="Z4" t="str">
            <v>4Q10</v>
          </cell>
          <cell r="AA4" t="str">
            <v>1Q11</v>
          </cell>
          <cell r="AB4" t="str">
            <v>2Q11</v>
          </cell>
          <cell r="AC4" t="str">
            <v>3Q11</v>
          </cell>
          <cell r="AD4" t="str">
            <v>4Q11</v>
          </cell>
          <cell r="AE4" t="str">
            <v>1Q12</v>
          </cell>
          <cell r="AF4" t="str">
            <v>2Q12</v>
          </cell>
          <cell r="AG4" t="str">
            <v>3Q12</v>
          </cell>
          <cell r="AH4" t="str">
            <v>4Q12</v>
          </cell>
          <cell r="AI4" t="str">
            <v>1Q13</v>
          </cell>
          <cell r="AJ4" t="str">
            <v>2Q13</v>
          </cell>
          <cell r="AK4" t="str">
            <v>3Q13</v>
          </cell>
          <cell r="AL4" t="str">
            <v>4Q13</v>
          </cell>
          <cell r="AM4" t="str">
            <v>1Q14</v>
          </cell>
          <cell r="AN4" t="str">
            <v>2Q14</v>
          </cell>
          <cell r="AO4" t="str">
            <v>3Q14</v>
          </cell>
          <cell r="AP4" t="str">
            <v>4Q14</v>
          </cell>
          <cell r="AQ4" t="str">
            <v>1Q15</v>
          </cell>
          <cell r="AR4" t="str">
            <v>2Q15</v>
          </cell>
          <cell r="AS4" t="str">
            <v>3Q15</v>
          </cell>
          <cell r="AT4" t="str">
            <v>4Q15</v>
          </cell>
          <cell r="AU4" t="str">
            <v>1Q16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8">
          <cell r="H8">
            <v>0.1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/Relationships>

</file>

<file path=xl/worksheets/_rels/sheet11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81"/>
  <sheetViews>
    <sheetView showGridLines="0" tabSelected="1" workbookViewId="0">
      <selection activeCell="Z1" sqref="Z1"/>
    </sheetView>
  </sheetViews>
  <sheetFormatPr defaultRowHeight="12.75"/>
  <cols>
    <col min="1" max="1" width="25.7109375" style="2119" customWidth="1"/>
    <col min="2" max="5" width="9.140625" style="2119"/>
    <col min="6" max="6" width="18.7109375" style="2119" customWidth="1"/>
    <col min="7" max="256" width="9.140625" style="2119"/>
    <col min="257" max="257" width="100.7109375" style="2119" customWidth="1"/>
    <col min="258" max="512" width="9.140625" style="2119"/>
    <col min="513" max="513" width="100.7109375" style="2119" customWidth="1"/>
    <col min="514" max="768" width="9.140625" style="2119"/>
    <col min="769" max="769" width="100.7109375" style="2119" customWidth="1"/>
    <col min="770" max="1024" width="9.140625" style="2119"/>
    <col min="1025" max="1025" width="100.7109375" style="2119" customWidth="1"/>
    <col min="1026" max="1280" width="9.140625" style="2119"/>
    <col min="1281" max="1281" width="100.7109375" style="2119" customWidth="1"/>
    <col min="1282" max="1536" width="9.140625" style="2119"/>
    <col min="1537" max="1537" width="100.7109375" style="2119" customWidth="1"/>
    <col min="1538" max="1792" width="9.140625" style="2119"/>
    <col min="1793" max="1793" width="100.7109375" style="2119" customWidth="1"/>
    <col min="1794" max="2048" width="9.140625" style="2119"/>
    <col min="2049" max="2049" width="100.7109375" style="2119" customWidth="1"/>
    <col min="2050" max="2304" width="9.140625" style="2119"/>
    <col min="2305" max="2305" width="100.7109375" style="2119" customWidth="1"/>
    <col min="2306" max="2560" width="9.140625" style="2119"/>
    <col min="2561" max="2561" width="100.7109375" style="2119" customWidth="1"/>
    <col min="2562" max="2816" width="9.140625" style="2119"/>
    <col min="2817" max="2817" width="100.7109375" style="2119" customWidth="1"/>
    <col min="2818" max="3072" width="9.140625" style="2119"/>
    <col min="3073" max="3073" width="100.7109375" style="2119" customWidth="1"/>
    <col min="3074" max="3328" width="9.140625" style="2119"/>
    <col min="3329" max="3329" width="100.7109375" style="2119" customWidth="1"/>
    <col min="3330" max="3584" width="9.140625" style="2119"/>
    <col min="3585" max="3585" width="100.7109375" style="2119" customWidth="1"/>
    <col min="3586" max="3840" width="9.140625" style="2119"/>
    <col min="3841" max="3841" width="100.7109375" style="2119" customWidth="1"/>
    <col min="3842" max="4096" width="9.140625" style="2119"/>
    <col min="4097" max="4097" width="100.7109375" style="2119" customWidth="1"/>
    <col min="4098" max="4352" width="9.140625" style="2119"/>
    <col min="4353" max="4353" width="100.7109375" style="2119" customWidth="1"/>
    <col min="4354" max="4608" width="9.140625" style="2119"/>
    <col min="4609" max="4609" width="100.7109375" style="2119" customWidth="1"/>
    <col min="4610" max="4864" width="9.140625" style="2119"/>
    <col min="4865" max="4865" width="100.7109375" style="2119" customWidth="1"/>
    <col min="4866" max="5120" width="9.140625" style="2119"/>
    <col min="5121" max="5121" width="100.7109375" style="2119" customWidth="1"/>
    <col min="5122" max="5376" width="9.140625" style="2119"/>
    <col min="5377" max="5377" width="100.7109375" style="2119" customWidth="1"/>
    <col min="5378" max="5632" width="9.140625" style="2119"/>
    <col min="5633" max="5633" width="100.7109375" style="2119" customWidth="1"/>
    <col min="5634" max="5888" width="9.140625" style="2119"/>
    <col min="5889" max="5889" width="100.7109375" style="2119" customWidth="1"/>
    <col min="5890" max="6144" width="9.140625" style="2119"/>
    <col min="6145" max="6145" width="100.7109375" style="2119" customWidth="1"/>
    <col min="6146" max="6400" width="9.140625" style="2119"/>
    <col min="6401" max="6401" width="100.7109375" style="2119" customWidth="1"/>
    <col min="6402" max="6656" width="9.140625" style="2119"/>
    <col min="6657" max="6657" width="100.7109375" style="2119" customWidth="1"/>
    <col min="6658" max="6912" width="9.140625" style="2119"/>
    <col min="6913" max="6913" width="100.7109375" style="2119" customWidth="1"/>
    <col min="6914" max="7168" width="9.140625" style="2119"/>
    <col min="7169" max="7169" width="100.7109375" style="2119" customWidth="1"/>
    <col min="7170" max="7424" width="9.140625" style="2119"/>
    <col min="7425" max="7425" width="100.7109375" style="2119" customWidth="1"/>
    <col min="7426" max="7680" width="9.140625" style="2119"/>
    <col min="7681" max="7681" width="100.7109375" style="2119" customWidth="1"/>
    <col min="7682" max="7936" width="9.140625" style="2119"/>
    <col min="7937" max="7937" width="100.7109375" style="2119" customWidth="1"/>
    <col min="7938" max="8192" width="9.140625" style="2119"/>
    <col min="8193" max="8193" width="100.7109375" style="2119" customWidth="1"/>
    <col min="8194" max="8448" width="9.140625" style="2119"/>
    <col min="8449" max="8449" width="100.7109375" style="2119" customWidth="1"/>
    <col min="8450" max="8704" width="9.140625" style="2119"/>
    <col min="8705" max="8705" width="100.7109375" style="2119" customWidth="1"/>
    <col min="8706" max="8960" width="9.140625" style="2119"/>
    <col min="8961" max="8961" width="100.7109375" style="2119" customWidth="1"/>
    <col min="8962" max="9216" width="9.140625" style="2119"/>
    <col min="9217" max="9217" width="100.7109375" style="2119" customWidth="1"/>
    <col min="9218" max="9472" width="9.140625" style="2119"/>
    <col min="9473" max="9473" width="100.7109375" style="2119" customWidth="1"/>
    <col min="9474" max="9728" width="9.140625" style="2119"/>
    <col min="9729" max="9729" width="100.7109375" style="2119" customWidth="1"/>
    <col min="9730" max="9984" width="9.140625" style="2119"/>
    <col min="9985" max="9985" width="100.7109375" style="2119" customWidth="1"/>
    <col min="9986" max="10240" width="9.140625" style="2119"/>
    <col min="10241" max="10241" width="100.7109375" style="2119" customWidth="1"/>
    <col min="10242" max="10496" width="9.140625" style="2119"/>
    <col min="10497" max="10497" width="100.7109375" style="2119" customWidth="1"/>
    <col min="10498" max="10752" width="9.140625" style="2119"/>
    <col min="10753" max="10753" width="100.7109375" style="2119" customWidth="1"/>
    <col min="10754" max="11008" width="9.140625" style="2119"/>
    <col min="11009" max="11009" width="100.7109375" style="2119" customWidth="1"/>
    <col min="11010" max="11264" width="9.140625" style="2119"/>
    <col min="11265" max="11265" width="100.7109375" style="2119" customWidth="1"/>
    <col min="11266" max="11520" width="9.140625" style="2119"/>
    <col min="11521" max="11521" width="100.7109375" style="2119" customWidth="1"/>
    <col min="11522" max="11776" width="9.140625" style="2119"/>
    <col min="11777" max="11777" width="100.7109375" style="2119" customWidth="1"/>
    <col min="11778" max="12032" width="9.140625" style="2119"/>
    <col min="12033" max="12033" width="100.7109375" style="2119" customWidth="1"/>
    <col min="12034" max="12288" width="9.140625" style="2119"/>
    <col min="12289" max="12289" width="100.7109375" style="2119" customWidth="1"/>
    <col min="12290" max="12544" width="9.140625" style="2119"/>
    <col min="12545" max="12545" width="100.7109375" style="2119" customWidth="1"/>
    <col min="12546" max="12800" width="9.140625" style="2119"/>
    <col min="12801" max="12801" width="100.7109375" style="2119" customWidth="1"/>
    <col min="12802" max="13056" width="9.140625" style="2119"/>
    <col min="13057" max="13057" width="100.7109375" style="2119" customWidth="1"/>
    <col min="13058" max="13312" width="9.140625" style="2119"/>
    <col min="13313" max="13313" width="100.7109375" style="2119" customWidth="1"/>
    <col min="13314" max="13568" width="9.140625" style="2119"/>
    <col min="13569" max="13569" width="100.7109375" style="2119" customWidth="1"/>
    <col min="13570" max="13824" width="9.140625" style="2119"/>
    <col min="13825" max="13825" width="100.7109375" style="2119" customWidth="1"/>
    <col min="13826" max="14080" width="9.140625" style="2119"/>
    <col min="14081" max="14081" width="100.7109375" style="2119" customWidth="1"/>
    <col min="14082" max="14336" width="9.140625" style="2119"/>
    <col min="14337" max="14337" width="100.7109375" style="2119" customWidth="1"/>
    <col min="14338" max="14592" width="9.140625" style="2119"/>
    <col min="14593" max="14593" width="100.7109375" style="2119" customWidth="1"/>
    <col min="14594" max="14848" width="9.140625" style="2119"/>
    <col min="14849" max="14849" width="100.7109375" style="2119" customWidth="1"/>
    <col min="14850" max="15104" width="9.140625" style="2119"/>
    <col min="15105" max="15105" width="100.7109375" style="2119" customWidth="1"/>
    <col min="15106" max="15360" width="9.140625" style="2119"/>
    <col min="15361" max="15361" width="100.7109375" style="2119" customWidth="1"/>
    <col min="15362" max="15616" width="9.140625" style="2119"/>
    <col min="15617" max="15617" width="100.7109375" style="2119" customWidth="1"/>
    <col min="15618" max="15872" width="9.140625" style="2119"/>
    <col min="15873" max="15873" width="100.7109375" style="2119" customWidth="1"/>
    <col min="15874" max="16128" width="9.140625" style="2119"/>
    <col min="16129" max="16129" width="100.7109375" style="2119" customWidth="1"/>
    <col min="16130" max="16384" width="9.140625" style="2119"/>
  </cols>
  <sheetData>
    <row r="1" spans="1:8" ht="30" customHeight="1">
      <c r="A1" s="2117"/>
      <c r="B1" s="2118"/>
      <c r="C1" s="2118"/>
      <c r="D1" s="2118"/>
      <c r="E1" s="2118"/>
      <c r="F1" s="2118"/>
      <c r="G1" s="2118"/>
      <c r="H1" s="2118"/>
    </row>
    <row r="2" spans="1:8" ht="14.25">
      <c r="A2" s="2120" t="s">
        <v>602</v>
      </c>
      <c r="B2" s="2118"/>
      <c r="C2" s="2118"/>
      <c r="D2" s="2118"/>
      <c r="E2" s="2118"/>
      <c r="F2" s="2118"/>
      <c r="G2" s="2118"/>
      <c r="H2" s="2118"/>
    </row>
    <row r="3" spans="1:8" ht="14.25">
      <c r="A3" s="2120" t="s">
        <v>603</v>
      </c>
      <c r="B3" s="2118"/>
      <c r="C3" s="2118"/>
      <c r="D3" s="2118"/>
      <c r="E3" s="2118"/>
      <c r="F3" s="2118"/>
      <c r="G3" s="2118"/>
      <c r="H3" s="2118"/>
    </row>
    <row r="4" spans="1:8" ht="14.25">
      <c r="A4" s="2120" t="s">
        <v>465</v>
      </c>
      <c r="B4" s="2118"/>
      <c r="C4" s="2118"/>
      <c r="D4" s="2118"/>
      <c r="E4" s="2118"/>
      <c r="F4" s="2118"/>
      <c r="G4" s="2118"/>
      <c r="H4" s="2118"/>
    </row>
    <row r="5" spans="1:8" ht="14.25">
      <c r="A5" s="2120" t="s">
        <v>604</v>
      </c>
      <c r="B5" s="2118"/>
      <c r="C5" s="2118"/>
      <c r="D5" s="2118"/>
      <c r="E5" s="2118"/>
      <c r="F5" s="2118"/>
      <c r="G5" s="2118"/>
      <c r="H5" s="2118"/>
    </row>
    <row r="6" spans="1:8" ht="14.25">
      <c r="A6" s="2120"/>
      <c r="B6" s="2118"/>
      <c r="C6" s="2118"/>
      <c r="D6" s="2118"/>
      <c r="E6" s="2118"/>
      <c r="F6" s="2118"/>
      <c r="G6" s="2118"/>
      <c r="H6" s="2118"/>
    </row>
    <row r="7" spans="1:8">
      <c r="A7" s="2117" t="s">
        <v>605</v>
      </c>
      <c r="B7" s="2118"/>
      <c r="C7" s="2118"/>
      <c r="D7" s="2118"/>
      <c r="E7" s="2118"/>
      <c r="F7" s="2118"/>
      <c r="G7" s="2118"/>
      <c r="H7" s="2118"/>
    </row>
    <row r="8" spans="1:8">
      <c r="A8" s="2117" t="s">
        <v>606</v>
      </c>
      <c r="B8" s="2118"/>
      <c r="C8" s="2118"/>
      <c r="D8" s="2118"/>
      <c r="E8" s="2118"/>
      <c r="F8" s="2118"/>
      <c r="G8" s="2118"/>
      <c r="H8" s="2118"/>
    </row>
    <row r="9" spans="1:8">
      <c r="A9" s="2117"/>
      <c r="B9" s="2118"/>
      <c r="C9" s="2118"/>
      <c r="D9" s="2118"/>
      <c r="E9" s="2118"/>
      <c r="F9" s="2118"/>
      <c r="G9" s="2118"/>
      <c r="H9" s="2118"/>
    </row>
    <row r="10" spans="1:8">
      <c r="A10" s="2121" t="s">
        <v>607</v>
      </c>
      <c r="B10" s="2118"/>
      <c r="C10" s="2118"/>
      <c r="D10" s="2118"/>
      <c r="E10" s="2118"/>
      <c r="F10" s="2118"/>
      <c r="G10" s="2118"/>
      <c r="H10" s="2118"/>
    </row>
    <row r="11" spans="1:8">
      <c r="A11" s="2121" t="s">
        <v>608</v>
      </c>
      <c r="B11" s="2118"/>
      <c r="C11" s="2118"/>
      <c r="D11" s="2118"/>
      <c r="E11" s="2118"/>
      <c r="F11" s="2118"/>
      <c r="G11" s="2118"/>
      <c r="H11" s="2118"/>
    </row>
    <row r="12" spans="1:8">
      <c r="A12" s="2121" t="s">
        <v>609</v>
      </c>
      <c r="B12" s="2118"/>
      <c r="C12" s="2118"/>
      <c r="D12" s="2118"/>
      <c r="E12" s="2118"/>
      <c r="F12" s="2118"/>
      <c r="G12" s="2118"/>
      <c r="H12" s="2118"/>
    </row>
    <row r="13" spans="1:8">
      <c r="A13" s="2121" t="s">
        <v>610</v>
      </c>
      <c r="B13" s="2118"/>
      <c r="C13" s="2118"/>
      <c r="D13" s="2118"/>
      <c r="E13" s="2118"/>
      <c r="F13" s="2118"/>
      <c r="G13" s="2118"/>
      <c r="H13" s="2118"/>
    </row>
    <row r="14" spans="1:8">
      <c r="A14" s="2121" t="s">
        <v>611</v>
      </c>
      <c r="B14" s="2118"/>
      <c r="C14" s="2118"/>
      <c r="D14" s="2118"/>
      <c r="E14" s="2118"/>
      <c r="F14" s="2118"/>
      <c r="G14" s="2118"/>
      <c r="H14" s="2118"/>
    </row>
    <row r="15" spans="1:8">
      <c r="A15" s="2121" t="s">
        <v>612</v>
      </c>
      <c r="B15" s="2118"/>
      <c r="C15" s="2118"/>
      <c r="D15" s="2118"/>
      <c r="E15" s="2118"/>
      <c r="F15" s="2118"/>
      <c r="G15" s="2118"/>
      <c r="H15" s="2118"/>
    </row>
    <row r="16" spans="1:8">
      <c r="A16" s="2121"/>
      <c r="B16" s="2118"/>
      <c r="C16" s="2118"/>
      <c r="D16" s="2118"/>
      <c r="E16" s="2118"/>
      <c r="F16" s="2118"/>
      <c r="G16" s="2118"/>
      <c r="H16" s="2118"/>
    </row>
    <row r="17" spans="1:8">
      <c r="A17" s="2121" t="s">
        <v>599</v>
      </c>
      <c r="B17" s="2118"/>
      <c r="C17" s="2118"/>
      <c r="D17" s="2118"/>
      <c r="E17" s="2118"/>
      <c r="F17" s="2118"/>
      <c r="G17" s="2118"/>
      <c r="H17" s="2118"/>
    </row>
    <row r="18" spans="1:8">
      <c r="A18" s="2121"/>
      <c r="B18" s="2118"/>
      <c r="C18" s="2118"/>
      <c r="D18" s="2118"/>
      <c r="E18" s="2118"/>
      <c r="F18" s="2118"/>
      <c r="G18" s="2118"/>
      <c r="H18" s="2118"/>
    </row>
    <row r="19" spans="1:8">
      <c r="A19" s="2121" t="s">
        <v>600</v>
      </c>
      <c r="B19" s="2118"/>
      <c r="C19" s="2118"/>
      <c r="D19" s="2118"/>
      <c r="E19" s="2118"/>
      <c r="F19" s="2118"/>
      <c r="G19" s="2118"/>
      <c r="H19" s="2118"/>
    </row>
    <row r="20" spans="1:8">
      <c r="A20" s="2117"/>
      <c r="B20" s="2118"/>
      <c r="C20" s="2118"/>
      <c r="D20" s="2118"/>
      <c r="E20" s="2118"/>
      <c r="F20" s="2118"/>
      <c r="G20" s="2118"/>
      <c r="H20" s="2118"/>
    </row>
    <row r="21" spans="1:8">
      <c r="A21" s="2122" t="s">
        <v>601</v>
      </c>
      <c r="B21" s="2118"/>
      <c r="C21" s="2118"/>
      <c r="D21" s="2118"/>
      <c r="E21" s="2118"/>
      <c r="F21" s="2118"/>
      <c r="G21" s="2118"/>
      <c r="H21" s="2118"/>
    </row>
    <row r="22" spans="1:8">
      <c r="A22" s="2123"/>
      <c r="B22" s="2123"/>
      <c r="C22" s="2123"/>
      <c r="D22" s="2123"/>
      <c r="E22" s="2123"/>
      <c r="F22" s="2123"/>
      <c r="G22" s="2123"/>
      <c r="H22" s="2123"/>
    </row>
    <row r="23" spans="1:8">
      <c r="A23" s="2124" t="s">
        <v>884</v>
      </c>
      <c r="B23" s="2123"/>
      <c r="C23" s="2123"/>
      <c r="D23" s="2123"/>
      <c r="E23" s="2123"/>
      <c r="F23" s="2123"/>
      <c r="G23" s="2123"/>
      <c r="H23" s="2123"/>
    </row>
    <row r="24" spans="1:8">
      <c r="A24" s="2124" t="s">
        <v>885</v>
      </c>
      <c r="B24" s="2123"/>
      <c r="C24" s="2123"/>
      <c r="D24" s="2123"/>
      <c r="E24" s="2123"/>
      <c r="F24" s="2123"/>
      <c r="G24" s="2123"/>
      <c r="H24" s="2123"/>
    </row>
    <row r="25" spans="1:8">
      <c r="A25" s="2124" t="s">
        <v>886</v>
      </c>
      <c r="B25" s="2123"/>
      <c r="C25" s="2123"/>
      <c r="D25" s="2123"/>
      <c r="E25" s="2123"/>
      <c r="F25" s="2123"/>
      <c r="G25" s="2123"/>
      <c r="H25" s="2123"/>
    </row>
    <row r="26" spans="1:8">
      <c r="A26" s="2124" t="s">
        <v>887</v>
      </c>
      <c r="B26" s="2123"/>
      <c r="C26" s="2123"/>
      <c r="D26" s="2123"/>
      <c r="E26" s="2123"/>
      <c r="F26" s="2123"/>
      <c r="G26" s="2123"/>
      <c r="H26" s="2123"/>
    </row>
    <row r="27" spans="1:8">
      <c r="A27" s="2123"/>
      <c r="B27" s="2123"/>
      <c r="C27" s="2123"/>
      <c r="D27" s="2123"/>
      <c r="E27" s="2123"/>
      <c r="F27" s="2123"/>
      <c r="G27" s="2123"/>
      <c r="H27" s="2123"/>
    </row>
    <row r="28" spans="1:8">
      <c r="A28" s="2123"/>
      <c r="B28" s="2123"/>
      <c r="C28" s="2123"/>
      <c r="D28" s="2123"/>
      <c r="E28" s="2123"/>
      <c r="F28" s="2123"/>
      <c r="G28" s="2123"/>
      <c r="H28" s="2123"/>
    </row>
    <row r="29" spans="1:8">
      <c r="A29" s="2124" t="s">
        <v>879</v>
      </c>
      <c r="B29" s="2123"/>
      <c r="C29" s="2123"/>
      <c r="D29" s="2123"/>
      <c r="E29" s="2123"/>
      <c r="F29" s="2123"/>
      <c r="G29" s="2123"/>
      <c r="H29" s="2123"/>
    </row>
    <row r="30" spans="1:8">
      <c r="A30" s="2124" t="s">
        <v>880</v>
      </c>
      <c r="B30" s="2123"/>
      <c r="C30" s="2123"/>
      <c r="D30" s="2123"/>
      <c r="E30" s="2123"/>
      <c r="F30" s="2123"/>
      <c r="G30" s="2123"/>
      <c r="H30" s="2123"/>
    </row>
    <row r="31" spans="1:8">
      <c r="A31" s="2124" t="s">
        <v>881</v>
      </c>
      <c r="B31" s="2123"/>
      <c r="C31" s="2123"/>
      <c r="D31" s="2123"/>
      <c r="E31" s="2123"/>
      <c r="F31" s="2123"/>
      <c r="G31" s="2123"/>
      <c r="H31" s="2123"/>
    </row>
    <row r="32" spans="1:8">
      <c r="A32" s="2124" t="s">
        <v>882</v>
      </c>
      <c r="B32" s="2123"/>
      <c r="C32" s="2123"/>
      <c r="D32" s="2123"/>
      <c r="E32" s="2123"/>
      <c r="F32" s="2123"/>
      <c r="G32" s="2123"/>
      <c r="H32" s="2123"/>
    </row>
    <row r="33" spans="1:8">
      <c r="A33" s="2124" t="s">
        <v>883</v>
      </c>
      <c r="B33" s="2123"/>
      <c r="C33" s="2123"/>
      <c r="D33" s="2123"/>
      <c r="E33" s="2123"/>
      <c r="F33" s="2123"/>
      <c r="G33" s="2123"/>
      <c r="H33" s="2123"/>
    </row>
    <row r="34" spans="1:8">
      <c r="A34" s="2123"/>
      <c r="B34" s="2123"/>
      <c r="C34" s="2123"/>
      <c r="D34" s="2123"/>
      <c r="E34" s="2123"/>
      <c r="F34" s="2123"/>
      <c r="G34" s="2123"/>
      <c r="H34" s="2123"/>
    </row>
    <row r="35" spans="1:8">
      <c r="A35" s="2124" t="s">
        <v>875</v>
      </c>
      <c r="B35" s="2123"/>
      <c r="C35" s="2123"/>
      <c r="D35" s="2123"/>
      <c r="E35" s="2123"/>
      <c r="F35" s="2123"/>
      <c r="G35" s="2123"/>
      <c r="H35" s="2123"/>
    </row>
    <row r="36" spans="1:8">
      <c r="A36" s="2124" t="s">
        <v>876</v>
      </c>
      <c r="B36" s="2123"/>
      <c r="C36" s="2123"/>
      <c r="D36" s="2123"/>
      <c r="E36" s="2123"/>
      <c r="F36" s="2123"/>
      <c r="G36" s="2123"/>
      <c r="H36" s="2123"/>
    </row>
    <row r="37" spans="1:8">
      <c r="A37" s="2124" t="s">
        <v>877</v>
      </c>
      <c r="B37" s="2123"/>
      <c r="C37" s="2123"/>
      <c r="D37" s="2123"/>
      <c r="E37" s="2123"/>
      <c r="F37" s="2123"/>
      <c r="G37" s="2123"/>
      <c r="H37" s="2123"/>
    </row>
    <row r="38" spans="1:8">
      <c r="A38" s="2124" t="s">
        <v>878</v>
      </c>
      <c r="B38" s="2123"/>
      <c r="C38" s="2123"/>
      <c r="D38" s="2123"/>
      <c r="E38" s="2123"/>
      <c r="F38" s="2123"/>
      <c r="G38" s="2123"/>
      <c r="H38" s="2123"/>
    </row>
    <row r="39" spans="1:8">
      <c r="A39" s="2123"/>
      <c r="B39" s="2123"/>
      <c r="C39" s="2123"/>
      <c r="D39" s="2123"/>
      <c r="E39" s="2123"/>
      <c r="F39" s="2123"/>
      <c r="G39" s="2123"/>
      <c r="H39" s="2123"/>
    </row>
    <row r="40" spans="1:8">
      <c r="A40" s="2124" t="s">
        <v>869</v>
      </c>
      <c r="B40" s="2123"/>
      <c r="C40" s="2123"/>
      <c r="D40" s="2123"/>
      <c r="E40" s="2123"/>
      <c r="F40" s="2123"/>
      <c r="G40" s="2123"/>
      <c r="H40" s="2123"/>
    </row>
    <row r="41" spans="1:8">
      <c r="A41" s="2124" t="s">
        <v>870</v>
      </c>
      <c r="B41" s="2123"/>
      <c r="C41" s="2123"/>
      <c r="D41" s="2123"/>
      <c r="E41" s="2123"/>
      <c r="F41" s="2123"/>
      <c r="G41" s="2123"/>
      <c r="H41" s="2123"/>
    </row>
    <row r="42" spans="1:8">
      <c r="A42" s="2124" t="s">
        <v>871</v>
      </c>
      <c r="B42" s="2123"/>
      <c r="C42" s="2123"/>
      <c r="D42" s="2123"/>
      <c r="E42" s="2123"/>
      <c r="F42" s="2123"/>
      <c r="G42" s="2123"/>
      <c r="H42" s="2123"/>
    </row>
    <row r="43" spans="1:8">
      <c r="A43" s="2124" t="s">
        <v>872</v>
      </c>
      <c r="B43" s="2123"/>
      <c r="C43" s="2123"/>
      <c r="D43" s="2123"/>
      <c r="E43" s="2123"/>
      <c r="F43" s="2123"/>
      <c r="G43" s="2123"/>
      <c r="H43" s="2123"/>
    </row>
    <row r="44" spans="1:8">
      <c r="A44" s="2124" t="s">
        <v>873</v>
      </c>
      <c r="B44" s="2123"/>
      <c r="C44" s="2123"/>
      <c r="D44" s="2123"/>
      <c r="E44" s="2123"/>
      <c r="F44" s="2123"/>
      <c r="G44" s="2123"/>
      <c r="H44" s="2123"/>
    </row>
    <row r="45" spans="1:8">
      <c r="A45" s="2124" t="s">
        <v>874</v>
      </c>
      <c r="B45" s="2123"/>
      <c r="C45" s="2123"/>
      <c r="D45" s="2123"/>
      <c r="E45" s="2123"/>
      <c r="F45" s="2123"/>
      <c r="G45" s="2123"/>
      <c r="H45" s="2123"/>
    </row>
    <row r="46" spans="1:8">
      <c r="A46" s="2123"/>
      <c r="B46" s="2123"/>
      <c r="C46" s="2123"/>
      <c r="D46" s="2123"/>
      <c r="E46" s="2123"/>
      <c r="F46" s="2123"/>
      <c r="G46" s="2123"/>
      <c r="H46" s="2123"/>
    </row>
    <row r="47" spans="1:8" ht="15.75">
      <c r="A47" s="2125" t="s">
        <v>613</v>
      </c>
      <c r="B47" s="2123"/>
      <c r="C47" s="2123"/>
      <c r="D47" s="2123"/>
      <c r="E47" s="2123"/>
      <c r="F47" s="2123"/>
      <c r="G47" s="2123"/>
      <c r="H47" s="2123"/>
    </row>
    <row r="48" spans="1:8">
      <c r="A48" s="2123"/>
      <c r="B48" s="2123"/>
      <c r="C48" s="2123"/>
      <c r="D48" s="2123"/>
      <c r="E48" s="2123"/>
      <c r="F48" s="2123"/>
      <c r="G48" s="2123"/>
      <c r="H48" s="2123"/>
    </row>
    <row r="49" spans="1:8">
      <c r="A49" s="2124" t="s">
        <v>865</v>
      </c>
      <c r="B49" s="2123"/>
      <c r="C49" s="2123"/>
      <c r="D49" s="2123"/>
      <c r="E49" s="2123"/>
      <c r="F49" s="2123"/>
      <c r="G49" s="2123"/>
      <c r="H49" s="2123"/>
    </row>
    <row r="50" spans="1:8">
      <c r="A50" s="2124" t="s">
        <v>866</v>
      </c>
      <c r="B50" s="2123"/>
      <c r="C50" s="2123"/>
      <c r="D50" s="2123"/>
      <c r="E50" s="2123"/>
      <c r="F50" s="2123"/>
      <c r="G50" s="2123"/>
      <c r="H50" s="2123"/>
    </row>
    <row r="51" spans="1:8">
      <c r="A51" s="2124" t="s">
        <v>867</v>
      </c>
      <c r="B51" s="2123"/>
      <c r="C51" s="2123"/>
      <c r="D51" s="2123"/>
      <c r="E51" s="2123"/>
      <c r="F51" s="2123"/>
      <c r="G51" s="2123"/>
      <c r="H51" s="2123"/>
    </row>
    <row r="52" spans="1:8">
      <c r="A52" s="2124" t="s">
        <v>868</v>
      </c>
      <c r="B52" s="2123"/>
      <c r="C52" s="2123"/>
      <c r="D52" s="2123"/>
      <c r="E52" s="2123"/>
      <c r="F52" s="2123"/>
      <c r="G52" s="2123"/>
      <c r="H52" s="2123"/>
    </row>
    <row r="53" spans="1:8">
      <c r="A53" s="2123"/>
      <c r="B53" s="2123"/>
      <c r="C53" s="2123"/>
      <c r="D53" s="2123"/>
      <c r="E53" s="2123"/>
      <c r="F53" s="2123"/>
      <c r="G53" s="2123"/>
      <c r="H53" s="2123"/>
    </row>
    <row r="54" spans="1:8">
      <c r="A54" s="2124" t="s">
        <v>614</v>
      </c>
      <c r="B54" s="2123"/>
      <c r="C54" s="2123"/>
      <c r="D54" s="2123"/>
      <c r="E54" s="2123"/>
      <c r="F54" s="2123"/>
      <c r="G54" s="2123"/>
      <c r="H54" s="2123"/>
    </row>
    <row r="55" spans="1:8">
      <c r="A55" s="2123"/>
      <c r="B55" s="2123"/>
      <c r="C55" s="2123"/>
      <c r="D55" s="2123"/>
      <c r="E55" s="2123"/>
      <c r="F55" s="2123"/>
      <c r="G55" s="2123"/>
      <c r="H55" s="2123"/>
    </row>
    <row r="56" spans="1:8" ht="15.75">
      <c r="A56" s="2125" t="s">
        <v>615</v>
      </c>
      <c r="B56" s="2123"/>
      <c r="C56" s="2123"/>
      <c r="D56" s="2123"/>
      <c r="E56" s="2123"/>
      <c r="F56" s="2123"/>
      <c r="G56" s="2123"/>
      <c r="H56" s="2123"/>
    </row>
    <row r="57" spans="1:8">
      <c r="A57" s="2123"/>
      <c r="B57" s="2123"/>
      <c r="C57" s="2123"/>
      <c r="D57" s="2123"/>
      <c r="E57" s="2123"/>
      <c r="F57" s="2123"/>
      <c r="G57" s="2123"/>
      <c r="H57" s="2123"/>
    </row>
    <row r="58" spans="1:8">
      <c r="A58" s="2124" t="s">
        <v>863</v>
      </c>
      <c r="B58" s="2123"/>
      <c r="C58" s="2123"/>
      <c r="D58" s="2123"/>
      <c r="E58" s="2123"/>
      <c r="F58" s="2123"/>
      <c r="G58" s="2123"/>
      <c r="H58" s="2123"/>
    </row>
    <row r="59" spans="1:8">
      <c r="A59" s="2124" t="s">
        <v>864</v>
      </c>
      <c r="B59" s="2123"/>
      <c r="C59" s="2123"/>
      <c r="D59" s="2123"/>
      <c r="E59" s="2123"/>
      <c r="F59" s="2123"/>
      <c r="G59" s="2123"/>
      <c r="H59" s="2123"/>
    </row>
    <row r="60" spans="1:8">
      <c r="A60" s="2123"/>
      <c r="B60" s="2123"/>
      <c r="C60" s="2123"/>
      <c r="D60" s="2123"/>
      <c r="E60" s="2123"/>
      <c r="F60" s="2123"/>
      <c r="G60" s="2123"/>
      <c r="H60" s="2123"/>
    </row>
    <row r="61" spans="1:8" ht="15.75">
      <c r="A61" s="2125" t="s">
        <v>616</v>
      </c>
      <c r="B61" s="2123"/>
      <c r="C61" s="2123"/>
      <c r="D61" s="2123"/>
      <c r="E61" s="2123"/>
      <c r="F61" s="2123"/>
      <c r="G61" s="2123"/>
      <c r="H61" s="2123"/>
    </row>
    <row r="62" spans="1:8">
      <c r="A62" s="2123"/>
      <c r="B62" s="2123"/>
      <c r="C62" s="2123"/>
      <c r="D62" s="2123"/>
      <c r="E62" s="2123"/>
      <c r="F62" s="2123"/>
      <c r="G62" s="2123"/>
      <c r="H62" s="2123"/>
    </row>
    <row r="63" spans="1:8">
      <c r="A63" s="2124" t="s">
        <v>861</v>
      </c>
      <c r="B63" s="2123"/>
      <c r="C63" s="2123"/>
      <c r="D63" s="2123"/>
      <c r="E63" s="2123"/>
      <c r="F63" s="2123"/>
      <c r="G63" s="2123"/>
      <c r="H63" s="2123"/>
    </row>
    <row r="64" spans="1:8">
      <c r="A64" s="2124" t="s">
        <v>862</v>
      </c>
      <c r="B64" s="2123"/>
      <c r="C64" s="2123"/>
      <c r="D64" s="2123"/>
      <c r="E64" s="2123"/>
      <c r="F64" s="2123"/>
      <c r="G64" s="2123"/>
      <c r="H64" s="2123"/>
    </row>
    <row r="65" spans="1:8">
      <c r="A65" s="2123"/>
      <c r="B65" s="2123"/>
      <c r="C65" s="2123"/>
      <c r="D65" s="2123"/>
      <c r="E65" s="2123"/>
      <c r="F65" s="2123"/>
      <c r="G65" s="2123"/>
      <c r="H65" s="2123"/>
    </row>
    <row r="66" spans="1:8">
      <c r="A66" s="2124" t="s">
        <v>859</v>
      </c>
      <c r="B66" s="2123"/>
      <c r="C66" s="2123"/>
      <c r="D66" s="2123"/>
      <c r="E66" s="2123"/>
      <c r="F66" s="2123"/>
      <c r="G66" s="2123"/>
      <c r="H66" s="2123"/>
    </row>
    <row r="67" spans="1:8">
      <c r="A67" s="2124" t="s">
        <v>860</v>
      </c>
      <c r="B67" s="2123"/>
      <c r="C67" s="2123"/>
      <c r="D67" s="2123"/>
      <c r="E67" s="2123"/>
      <c r="F67" s="2123"/>
      <c r="G67" s="2123"/>
      <c r="H67" s="2123"/>
    </row>
    <row r="68" spans="1:8">
      <c r="A68" s="2123"/>
      <c r="B68" s="2123"/>
      <c r="C68" s="2123"/>
      <c r="D68" s="2123"/>
      <c r="E68" s="2123"/>
      <c r="F68" s="2123"/>
      <c r="G68" s="2123"/>
      <c r="H68" s="2123"/>
    </row>
    <row r="69" spans="1:8">
      <c r="A69" s="2124" t="s">
        <v>617</v>
      </c>
      <c r="B69" s="2123"/>
      <c r="C69" s="2123"/>
      <c r="D69" s="2123"/>
      <c r="E69" s="2123"/>
      <c r="F69" s="2123"/>
      <c r="G69" s="2123"/>
      <c r="H69" s="2123"/>
    </row>
    <row r="70" spans="1:8">
      <c r="A70" s="2123"/>
      <c r="B70" s="2123"/>
      <c r="C70" s="2123"/>
      <c r="D70" s="2123"/>
      <c r="E70" s="2123"/>
      <c r="F70" s="2123"/>
      <c r="G70" s="2123"/>
      <c r="H70" s="2123"/>
    </row>
    <row r="71" spans="1:8">
      <c r="A71" s="2124" t="s">
        <v>854</v>
      </c>
      <c r="B71" s="2123"/>
      <c r="C71" s="2123"/>
      <c r="D71" s="2123"/>
      <c r="E71" s="2123"/>
      <c r="F71" s="2123"/>
      <c r="G71" s="2123"/>
      <c r="H71" s="2123"/>
    </row>
    <row r="72" spans="1:8">
      <c r="A72" s="2124" t="s">
        <v>855</v>
      </c>
      <c r="B72" s="2123"/>
      <c r="C72" s="2123"/>
      <c r="D72" s="2123"/>
      <c r="E72" s="2123"/>
      <c r="F72" s="2123"/>
      <c r="G72" s="2123"/>
      <c r="H72" s="2123"/>
    </row>
    <row r="73" spans="1:8">
      <c r="A73" s="2124" t="s">
        <v>856</v>
      </c>
      <c r="B73" s="2123"/>
      <c r="C73" s="2123"/>
      <c r="D73" s="2123"/>
      <c r="E73" s="2123"/>
      <c r="F73" s="2123"/>
      <c r="G73" s="2123"/>
      <c r="H73" s="2123"/>
    </row>
    <row r="74" spans="1:8">
      <c r="A74" s="2124" t="s">
        <v>857</v>
      </c>
      <c r="B74" s="2123"/>
      <c r="C74" s="2123"/>
      <c r="D74" s="2123"/>
      <c r="E74" s="2123"/>
      <c r="F74" s="2123"/>
      <c r="G74" s="2123"/>
      <c r="H74" s="2123"/>
    </row>
    <row r="75" spans="1:8">
      <c r="A75" s="2124" t="s">
        <v>858</v>
      </c>
      <c r="B75" s="2123"/>
      <c r="C75" s="2123"/>
      <c r="D75" s="2123"/>
      <c r="E75" s="2123"/>
      <c r="F75" s="2123"/>
      <c r="G75" s="2123"/>
      <c r="H75" s="2123"/>
    </row>
    <row r="76" spans="1:8">
      <c r="A76" s="2124" t="s">
        <v>743</v>
      </c>
      <c r="B76" s="2123"/>
      <c r="C76" s="2123"/>
      <c r="D76" s="2123"/>
      <c r="E76" s="2123"/>
      <c r="F76" s="2123"/>
      <c r="G76" s="2123"/>
      <c r="H76" s="2123"/>
    </row>
    <row r="77" spans="1:8">
      <c r="A77" s="2123"/>
      <c r="B77" s="2123"/>
      <c r="C77" s="2123"/>
      <c r="D77" s="2123"/>
      <c r="E77" s="2123"/>
      <c r="F77" s="2123"/>
      <c r="G77" s="2123"/>
      <c r="H77" s="2123"/>
    </row>
    <row r="78" spans="1:8">
      <c r="A78" s="2124" t="s">
        <v>847</v>
      </c>
      <c r="B78" s="2123"/>
      <c r="C78" s="2123"/>
      <c r="D78" s="2123"/>
      <c r="E78" s="2123"/>
      <c r="F78" s="2123"/>
      <c r="G78" s="2123"/>
      <c r="H78" s="2123"/>
    </row>
    <row r="79" spans="1:8">
      <c r="A79" s="2124" t="s">
        <v>848</v>
      </c>
      <c r="B79" s="2123"/>
      <c r="C79" s="2123"/>
      <c r="D79" s="2123"/>
      <c r="E79" s="2123"/>
      <c r="F79" s="2123"/>
      <c r="G79" s="2123"/>
      <c r="H79" s="2123"/>
    </row>
    <row r="80" spans="1:8">
      <c r="A80" s="2124" t="s">
        <v>849</v>
      </c>
      <c r="B80" s="2123"/>
      <c r="C80" s="2123"/>
      <c r="D80" s="2123"/>
      <c r="E80" s="2123"/>
      <c r="F80" s="2123"/>
      <c r="G80" s="2123"/>
      <c r="H80" s="2123"/>
    </row>
    <row r="81" spans="1:8">
      <c r="A81" s="2124" t="s">
        <v>850</v>
      </c>
      <c r="B81" s="2123"/>
      <c r="C81" s="2123"/>
      <c r="D81" s="2123"/>
      <c r="E81" s="2123"/>
      <c r="F81" s="2123"/>
      <c r="G81" s="2123"/>
      <c r="H81" s="2123"/>
    </row>
    <row r="82" spans="1:8">
      <c r="A82" s="2124" t="s">
        <v>851</v>
      </c>
      <c r="B82" s="2123"/>
      <c r="C82" s="2123"/>
      <c r="D82" s="2123"/>
      <c r="E82" s="2123"/>
      <c r="F82" s="2123"/>
      <c r="G82" s="2123"/>
      <c r="H82" s="2123"/>
    </row>
    <row r="83" spans="1:8">
      <c r="A83" s="2124" t="s">
        <v>852</v>
      </c>
      <c r="B83" s="2123"/>
      <c r="C83" s="2123"/>
      <c r="D83" s="2123"/>
      <c r="E83" s="2123"/>
      <c r="F83" s="2123"/>
      <c r="G83" s="2123"/>
      <c r="H83" s="2123"/>
    </row>
    <row r="84" spans="1:8">
      <c r="A84" s="2124" t="s">
        <v>853</v>
      </c>
      <c r="B84" s="2123"/>
      <c r="C84" s="2123"/>
      <c r="D84" s="2123"/>
      <c r="E84" s="2123"/>
      <c r="F84" s="2123"/>
      <c r="G84" s="2123"/>
      <c r="H84" s="2123"/>
    </row>
    <row r="85" spans="1:8">
      <c r="A85" s="2123"/>
      <c r="B85" s="2123"/>
      <c r="C85" s="2123"/>
      <c r="D85" s="2123"/>
      <c r="E85" s="2123"/>
      <c r="F85" s="2123"/>
      <c r="G85" s="2123"/>
      <c r="H85" s="2123"/>
    </row>
    <row r="86" spans="1:8">
      <c r="A86" s="2124" t="s">
        <v>845</v>
      </c>
      <c r="B86" s="2123"/>
      <c r="C86" s="2123"/>
      <c r="D86" s="2123"/>
      <c r="E86" s="2123"/>
      <c r="F86" s="2123"/>
      <c r="G86" s="2123"/>
      <c r="H86" s="2123"/>
    </row>
    <row r="87" spans="1:8">
      <c r="A87" s="2124" t="s">
        <v>846</v>
      </c>
      <c r="B87" s="2123"/>
      <c r="C87" s="2123"/>
      <c r="D87" s="2123"/>
      <c r="E87" s="2123"/>
      <c r="F87" s="2123"/>
      <c r="G87" s="2123"/>
      <c r="H87" s="2123"/>
    </row>
    <row r="88" spans="1:8">
      <c r="A88" s="2123"/>
      <c r="B88" s="2123"/>
      <c r="C88" s="2123"/>
      <c r="D88" s="2123"/>
      <c r="E88" s="2123"/>
      <c r="F88" s="2123"/>
      <c r="G88" s="2123"/>
      <c r="H88" s="2123"/>
    </row>
    <row r="89" spans="1:8" ht="15.75">
      <c r="A89" s="2125" t="s">
        <v>618</v>
      </c>
      <c r="B89" s="2123"/>
      <c r="C89" s="2123"/>
      <c r="D89" s="2123"/>
      <c r="E89" s="2123"/>
      <c r="F89" s="2123"/>
      <c r="G89" s="2123"/>
      <c r="H89" s="2123"/>
    </row>
    <row r="90" spans="1:8">
      <c r="A90" s="2123"/>
      <c r="B90" s="2123"/>
      <c r="C90" s="2123"/>
      <c r="D90" s="2123"/>
      <c r="E90" s="2123"/>
      <c r="F90" s="2123"/>
      <c r="G90" s="2123"/>
      <c r="H90" s="2123"/>
    </row>
    <row r="91" spans="1:8">
      <c r="A91" s="2124" t="s">
        <v>836</v>
      </c>
      <c r="B91" s="2123"/>
      <c r="C91" s="2123"/>
      <c r="D91" s="2123"/>
      <c r="E91" s="2123"/>
      <c r="F91" s="2123"/>
      <c r="G91" s="2123"/>
      <c r="H91" s="2123"/>
    </row>
    <row r="92" spans="1:8">
      <c r="A92" s="2124" t="s">
        <v>837</v>
      </c>
      <c r="B92" s="2123"/>
      <c r="C92" s="2123"/>
      <c r="D92" s="2123"/>
      <c r="E92" s="2123"/>
      <c r="F92" s="2123"/>
      <c r="G92" s="2123"/>
      <c r="H92" s="2123"/>
    </row>
    <row r="93" spans="1:8">
      <c r="A93" s="2124" t="s">
        <v>838</v>
      </c>
      <c r="B93" s="2123"/>
      <c r="C93" s="2123"/>
      <c r="D93" s="2123"/>
      <c r="E93" s="2123"/>
      <c r="F93" s="2123"/>
      <c r="G93" s="2123"/>
      <c r="H93" s="2123"/>
    </row>
    <row r="94" spans="1:8">
      <c r="A94" s="2124" t="s">
        <v>839</v>
      </c>
      <c r="B94" s="2123"/>
      <c r="C94" s="2123"/>
      <c r="D94" s="2123"/>
      <c r="E94" s="2123"/>
      <c r="F94" s="2123"/>
      <c r="G94" s="2123"/>
      <c r="H94" s="2123"/>
    </row>
    <row r="95" spans="1:8">
      <c r="A95" s="2124" t="s">
        <v>840</v>
      </c>
      <c r="B95" s="2123"/>
      <c r="C95" s="2123"/>
      <c r="D95" s="2123"/>
      <c r="E95" s="2123"/>
      <c r="F95" s="2123"/>
      <c r="G95" s="2123"/>
      <c r="H95" s="2123"/>
    </row>
    <row r="96" spans="1:8">
      <c r="A96" s="2124" t="s">
        <v>841</v>
      </c>
      <c r="B96" s="2123"/>
      <c r="C96" s="2123"/>
      <c r="D96" s="2123"/>
      <c r="E96" s="2123"/>
      <c r="F96" s="2123"/>
      <c r="G96" s="2123"/>
      <c r="H96" s="2123"/>
    </row>
    <row r="97" spans="1:8">
      <c r="A97" s="2124" t="s">
        <v>842</v>
      </c>
      <c r="B97" s="2123"/>
      <c r="C97" s="2123"/>
      <c r="D97" s="2123"/>
      <c r="E97" s="2123"/>
      <c r="F97" s="2123"/>
      <c r="G97" s="2123"/>
      <c r="H97" s="2123"/>
    </row>
    <row r="98" spans="1:8">
      <c r="A98" s="2124" t="s">
        <v>843</v>
      </c>
      <c r="B98" s="2123"/>
      <c r="C98" s="2123"/>
      <c r="D98" s="2123"/>
      <c r="E98" s="2123"/>
      <c r="F98" s="2123"/>
      <c r="G98" s="2123"/>
      <c r="H98" s="2123"/>
    </row>
    <row r="99" spans="1:8">
      <c r="A99" s="2124" t="s">
        <v>844</v>
      </c>
      <c r="B99" s="2123"/>
      <c r="C99" s="2123"/>
      <c r="D99" s="2123"/>
      <c r="E99" s="2123"/>
      <c r="F99" s="2123"/>
      <c r="G99" s="2123"/>
      <c r="H99" s="2123"/>
    </row>
    <row r="100" spans="1:8">
      <c r="A100" s="2123"/>
      <c r="B100" s="2123"/>
      <c r="C100" s="2123"/>
      <c r="D100" s="2123"/>
      <c r="E100" s="2123"/>
      <c r="F100" s="2123"/>
      <c r="G100" s="2123"/>
      <c r="H100" s="2123"/>
    </row>
    <row r="101" spans="1:8" ht="15.75">
      <c r="A101" s="2126" t="s">
        <v>619</v>
      </c>
      <c r="B101" s="2126"/>
      <c r="C101" s="2126"/>
      <c r="D101" s="2126"/>
      <c r="E101" s="2126"/>
      <c r="F101" s="2126"/>
      <c r="G101" s="2126"/>
      <c r="H101" s="2126"/>
    </row>
    <row r="102" spans="1:8">
      <c r="A102" s="2127" t="s">
        <v>620</v>
      </c>
      <c r="B102" s="2127"/>
      <c r="C102" s="2127"/>
      <c r="D102" s="2127"/>
      <c r="E102" s="2127"/>
      <c r="F102" s="2127"/>
      <c r="G102" s="2127"/>
      <c r="H102" s="2127"/>
    </row>
    <row r="103" spans="1:8">
      <c r="A103" s="2128"/>
      <c r="B103" s="2128"/>
      <c r="C103" s="2128"/>
      <c r="D103" s="2128"/>
      <c r="E103" s="2128"/>
      <c r="F103" s="2128"/>
      <c r="G103" s="2128"/>
      <c r="H103" s="2128"/>
    </row>
    <row r="104" spans="1:8">
      <c r="A104" s="2127" t="s">
        <v>834</v>
      </c>
      <c r="B104" s="2127"/>
      <c r="C104" s="2127"/>
      <c r="D104" s="2127"/>
      <c r="E104" s="2127"/>
      <c r="F104" s="2127"/>
      <c r="G104" s="2127"/>
      <c r="H104" s="2127"/>
    </row>
    <row r="105" spans="1:8">
      <c r="A105" s="2124" t="s">
        <v>835</v>
      </c>
      <c r="B105" s="2124"/>
      <c r="C105" s="2124"/>
      <c r="D105" s="2124"/>
      <c r="E105" s="2124"/>
      <c r="F105" s="2124"/>
      <c r="G105" s="2124"/>
      <c r="H105" s="2124"/>
    </row>
    <row r="106" spans="1:8">
      <c r="A106" s="2128"/>
      <c r="B106" s="2128"/>
      <c r="C106" s="2128"/>
      <c r="D106" s="2128"/>
      <c r="E106" s="2128"/>
      <c r="F106" s="2128"/>
      <c r="G106" s="2128"/>
      <c r="H106" s="2128"/>
    </row>
    <row r="107" spans="1:8">
      <c r="A107" s="2127" t="s">
        <v>827</v>
      </c>
      <c r="B107" s="2127"/>
      <c r="C107" s="2127"/>
      <c r="D107" s="2127"/>
      <c r="E107" s="2127"/>
      <c r="F107" s="2127"/>
      <c r="G107" s="2127"/>
      <c r="H107" s="2127"/>
    </row>
    <row r="108" spans="1:8">
      <c r="A108" s="2124" t="s">
        <v>828</v>
      </c>
      <c r="B108" s="2124"/>
      <c r="C108" s="2124"/>
      <c r="D108" s="2124"/>
      <c r="E108" s="2124"/>
      <c r="F108" s="2124"/>
      <c r="G108" s="2124"/>
      <c r="H108" s="2124"/>
    </row>
    <row r="109" spans="1:8">
      <c r="A109" s="2124" t="s">
        <v>829</v>
      </c>
      <c r="B109" s="2124"/>
      <c r="C109" s="2124"/>
      <c r="D109" s="2124"/>
      <c r="E109" s="2124"/>
      <c r="F109" s="2124"/>
      <c r="G109" s="2124"/>
      <c r="H109" s="2124"/>
    </row>
    <row r="110" spans="1:8">
      <c r="A110" s="2124" t="s">
        <v>830</v>
      </c>
      <c r="B110" s="2124"/>
      <c r="C110" s="2124"/>
      <c r="D110" s="2124"/>
      <c r="E110" s="2124"/>
      <c r="F110" s="2124"/>
      <c r="G110" s="2124"/>
      <c r="H110" s="2124"/>
    </row>
    <row r="111" spans="1:8">
      <c r="A111" s="2124" t="s">
        <v>831</v>
      </c>
      <c r="B111" s="2124"/>
      <c r="C111" s="2124"/>
      <c r="D111" s="2124"/>
      <c r="E111" s="2124"/>
      <c r="F111" s="2124"/>
      <c r="G111" s="2124"/>
      <c r="H111" s="2124"/>
    </row>
    <row r="112" spans="1:8">
      <c r="A112" s="2124" t="s">
        <v>832</v>
      </c>
      <c r="B112" s="2124"/>
      <c r="C112" s="2124"/>
      <c r="D112" s="2124"/>
      <c r="E112" s="2124"/>
      <c r="F112" s="2124"/>
      <c r="G112" s="2124"/>
      <c r="H112" s="2124"/>
    </row>
    <row r="113" spans="1:8">
      <c r="A113" s="2124" t="s">
        <v>833</v>
      </c>
      <c r="B113" s="2124"/>
      <c r="C113" s="2124"/>
      <c r="D113" s="2124"/>
      <c r="E113" s="2124"/>
      <c r="F113" s="2124"/>
      <c r="G113" s="2124"/>
      <c r="H113" s="2124"/>
    </row>
    <row r="114" spans="1:8">
      <c r="A114" s="2129"/>
      <c r="B114" s="2129"/>
      <c r="C114" s="2129"/>
      <c r="D114" s="2129"/>
      <c r="E114" s="2129"/>
      <c r="F114" s="2129"/>
      <c r="G114" s="2129"/>
      <c r="H114" s="2129"/>
    </row>
    <row r="115" spans="1:8">
      <c r="A115" s="2130"/>
      <c r="B115" s="2131" t="s">
        <v>621</v>
      </c>
      <c r="C115" s="2132"/>
      <c r="D115" s="2131" t="s">
        <v>622</v>
      </c>
      <c r="E115" s="2133"/>
      <c r="F115" s="2132"/>
      <c r="G115" s="2131" t="s">
        <v>623</v>
      </c>
      <c r="H115" s="2132"/>
    </row>
    <row r="116" spans="1:8">
      <c r="A116" s="2130" t="s">
        <v>624</v>
      </c>
      <c r="B116" s="2130" t="s">
        <v>509</v>
      </c>
      <c r="C116" s="2130" t="s">
        <v>625</v>
      </c>
      <c r="D116" s="2130" t="s">
        <v>509</v>
      </c>
      <c r="E116" s="2130" t="s">
        <v>626</v>
      </c>
      <c r="F116" s="2130" t="s">
        <v>627</v>
      </c>
      <c r="G116" s="2130" t="s">
        <v>509</v>
      </c>
      <c r="H116" s="2130" t="s">
        <v>628</v>
      </c>
    </row>
    <row r="117" spans="1:8">
      <c r="A117" s="2130" t="s">
        <v>629</v>
      </c>
      <c r="B117" s="2130">
        <v>1189</v>
      </c>
      <c r="C117" s="2134">
        <v>0.38</v>
      </c>
      <c r="D117" s="2130">
        <v>315</v>
      </c>
      <c r="E117" s="2134">
        <v>0.41</v>
      </c>
      <c r="F117" s="2134">
        <v>0.26</v>
      </c>
      <c r="G117" s="2130">
        <v>555</v>
      </c>
      <c r="H117" s="2134">
        <v>0.39</v>
      </c>
    </row>
    <row r="118" spans="1:8">
      <c r="A118" s="2130" t="s">
        <v>630</v>
      </c>
      <c r="B118" s="2130">
        <v>1355</v>
      </c>
      <c r="C118" s="2134">
        <v>0.43</v>
      </c>
      <c r="D118" s="2130">
        <v>364</v>
      </c>
      <c r="E118" s="2134">
        <v>0.47</v>
      </c>
      <c r="F118" s="2134">
        <v>0.27</v>
      </c>
      <c r="G118" s="2130">
        <v>644</v>
      </c>
      <c r="H118" s="2134">
        <v>0.45</v>
      </c>
    </row>
    <row r="119" spans="1:8">
      <c r="A119" s="2130" t="s">
        <v>631</v>
      </c>
      <c r="B119" s="2130">
        <v>53</v>
      </c>
      <c r="C119" s="2134">
        <v>0.02</v>
      </c>
      <c r="D119" s="2130">
        <v>4</v>
      </c>
      <c r="E119" s="2134">
        <v>0.01</v>
      </c>
      <c r="F119" s="2134">
        <v>0.08</v>
      </c>
      <c r="G119" s="2130">
        <v>7</v>
      </c>
      <c r="H119" s="2134">
        <v>0</v>
      </c>
    </row>
    <row r="120" spans="1:8">
      <c r="A120" s="2130" t="s">
        <v>632</v>
      </c>
      <c r="B120" s="2130">
        <v>545</v>
      </c>
      <c r="C120" s="2134">
        <v>0.17</v>
      </c>
      <c r="D120" s="2130">
        <v>84</v>
      </c>
      <c r="E120" s="2134">
        <v>0.11</v>
      </c>
      <c r="F120" s="2134">
        <v>0.15</v>
      </c>
      <c r="G120" s="2130">
        <v>214</v>
      </c>
      <c r="H120" s="2134">
        <v>0.15</v>
      </c>
    </row>
    <row r="121" spans="1:8">
      <c r="A121" s="2130" t="s">
        <v>301</v>
      </c>
      <c r="B121" s="2135">
        <v>3142</v>
      </c>
      <c r="C121" s="2130"/>
      <c r="D121" s="2130">
        <v>767</v>
      </c>
      <c r="E121" s="2130"/>
      <c r="F121" s="2130"/>
      <c r="G121" s="2130">
        <v>1420</v>
      </c>
      <c r="H121" s="2130"/>
    </row>
    <row r="122" spans="1:8">
      <c r="A122" s="2136"/>
      <c r="B122" s="2136"/>
      <c r="C122" s="2136"/>
      <c r="D122" s="2136"/>
      <c r="E122" s="2136"/>
      <c r="F122" s="2136"/>
      <c r="G122" s="2136"/>
      <c r="H122" s="2136"/>
    </row>
    <row r="123" spans="1:8">
      <c r="A123" s="2127" t="s">
        <v>823</v>
      </c>
      <c r="B123" s="2127"/>
      <c r="C123" s="2127"/>
      <c r="D123" s="2127"/>
      <c r="E123" s="2127"/>
      <c r="F123" s="2127"/>
      <c r="G123" s="2127"/>
      <c r="H123" s="2127"/>
    </row>
    <row r="124" spans="1:8">
      <c r="A124" s="2124" t="s">
        <v>824</v>
      </c>
      <c r="B124" s="2124"/>
      <c r="C124" s="2124"/>
      <c r="D124" s="2124"/>
      <c r="E124" s="2124"/>
      <c r="F124" s="2124"/>
      <c r="G124" s="2124"/>
      <c r="H124" s="2124"/>
    </row>
    <row r="125" spans="1:8">
      <c r="A125" s="2124" t="s">
        <v>825</v>
      </c>
      <c r="B125" s="2124"/>
      <c r="C125" s="2124"/>
      <c r="D125" s="2124"/>
      <c r="E125" s="2124"/>
      <c r="F125" s="2124"/>
      <c r="G125" s="2124"/>
      <c r="H125" s="2124"/>
    </row>
    <row r="126" spans="1:8">
      <c r="A126" s="2124" t="s">
        <v>826</v>
      </c>
      <c r="B126" s="2124"/>
      <c r="C126" s="2124"/>
      <c r="D126" s="2124"/>
      <c r="E126" s="2124"/>
      <c r="F126" s="2124"/>
      <c r="G126" s="2124"/>
      <c r="H126" s="2124"/>
    </row>
    <row r="127" spans="1:8">
      <c r="A127" s="2123"/>
      <c r="B127" s="2123"/>
      <c r="C127" s="2123"/>
      <c r="D127" s="2123"/>
      <c r="E127" s="2123"/>
      <c r="F127" s="2123"/>
      <c r="G127" s="2123"/>
      <c r="H127" s="2123"/>
    </row>
    <row r="128" spans="1:8" ht="15.75">
      <c r="A128" s="2125" t="s">
        <v>633</v>
      </c>
      <c r="B128" s="2123"/>
      <c r="C128" s="2123"/>
      <c r="D128" s="2123"/>
      <c r="E128" s="2123"/>
      <c r="F128" s="2123"/>
      <c r="G128" s="2123"/>
      <c r="H128" s="2123"/>
    </row>
    <row r="129" spans="1:8">
      <c r="A129" s="2123"/>
      <c r="B129" s="2123"/>
      <c r="C129" s="2123"/>
      <c r="D129" s="2123"/>
      <c r="E129" s="2123"/>
      <c r="F129" s="2123"/>
      <c r="G129" s="2123"/>
      <c r="H129" s="2123"/>
    </row>
    <row r="130" spans="1:8">
      <c r="A130" s="2124" t="s">
        <v>821</v>
      </c>
      <c r="B130" s="2123"/>
      <c r="C130" s="2123"/>
      <c r="D130" s="2123"/>
      <c r="E130" s="2123"/>
      <c r="F130" s="2123"/>
      <c r="G130" s="2123"/>
      <c r="H130" s="2123"/>
    </row>
    <row r="131" spans="1:8">
      <c r="A131" s="2124" t="s">
        <v>822</v>
      </c>
      <c r="B131" s="2123"/>
      <c r="C131" s="2123"/>
      <c r="D131" s="2123"/>
      <c r="E131" s="2123"/>
      <c r="F131" s="2123"/>
      <c r="G131" s="2123"/>
      <c r="H131" s="2123"/>
    </row>
    <row r="132" spans="1:8">
      <c r="A132" s="2123"/>
      <c r="B132" s="2123"/>
      <c r="C132" s="2123"/>
      <c r="D132" s="2123"/>
      <c r="E132" s="2123"/>
      <c r="F132" s="2123"/>
      <c r="G132" s="2123"/>
      <c r="H132" s="2123"/>
    </row>
    <row r="133" spans="1:8">
      <c r="A133" s="2124" t="s">
        <v>818</v>
      </c>
      <c r="B133" s="2123"/>
      <c r="C133" s="2123"/>
      <c r="D133" s="2123"/>
      <c r="E133" s="2123"/>
      <c r="F133" s="2123"/>
      <c r="G133" s="2123"/>
      <c r="H133" s="2123"/>
    </row>
    <row r="134" spans="1:8">
      <c r="A134" s="2124" t="s">
        <v>819</v>
      </c>
      <c r="B134" s="2123"/>
      <c r="C134" s="2123"/>
      <c r="D134" s="2123"/>
      <c r="E134" s="2123"/>
      <c r="F134" s="2123"/>
      <c r="G134" s="2123"/>
      <c r="H134" s="2123"/>
    </row>
    <row r="135" spans="1:8">
      <c r="A135" s="2124" t="s">
        <v>820</v>
      </c>
      <c r="B135" s="2123"/>
      <c r="C135" s="2123"/>
      <c r="D135" s="2123"/>
      <c r="E135" s="2123"/>
      <c r="F135" s="2123"/>
      <c r="G135" s="2123"/>
      <c r="H135" s="2123"/>
    </row>
    <row r="136" spans="1:8">
      <c r="A136" s="2123"/>
      <c r="B136" s="2123"/>
      <c r="C136" s="2123"/>
      <c r="D136" s="2123"/>
      <c r="E136" s="2123"/>
      <c r="F136" s="2123"/>
      <c r="G136" s="2123"/>
      <c r="H136" s="2123"/>
    </row>
    <row r="137" spans="1:8">
      <c r="A137" s="2124" t="s">
        <v>815</v>
      </c>
      <c r="B137" s="2123"/>
      <c r="C137" s="2123"/>
      <c r="D137" s="2123"/>
      <c r="E137" s="2123"/>
      <c r="F137" s="2123"/>
      <c r="G137" s="2123"/>
      <c r="H137" s="2123"/>
    </row>
    <row r="138" spans="1:8">
      <c r="A138" s="2124" t="s">
        <v>816</v>
      </c>
      <c r="B138" s="2123"/>
      <c r="C138" s="2123"/>
      <c r="D138" s="2123"/>
      <c r="E138" s="2123"/>
      <c r="F138" s="2123"/>
      <c r="G138" s="2123"/>
      <c r="H138" s="2123"/>
    </row>
    <row r="139" spans="1:8">
      <c r="A139" s="2124" t="s">
        <v>817</v>
      </c>
      <c r="B139" s="2123"/>
      <c r="C139" s="2123"/>
      <c r="D139" s="2123"/>
      <c r="E139" s="2123"/>
      <c r="F139" s="2123"/>
      <c r="G139" s="2123"/>
      <c r="H139" s="2123"/>
    </row>
    <row r="140" spans="1:8">
      <c r="A140" s="2123"/>
      <c r="B140" s="2123"/>
      <c r="C140" s="2123"/>
      <c r="D140" s="2123"/>
      <c r="E140" s="2123"/>
      <c r="F140" s="2123"/>
      <c r="G140" s="2123"/>
      <c r="H140" s="2123"/>
    </row>
    <row r="141" spans="1:8">
      <c r="A141" s="2124" t="s">
        <v>812</v>
      </c>
      <c r="B141" s="2123"/>
      <c r="C141" s="2123"/>
      <c r="D141" s="2123"/>
      <c r="E141" s="2123"/>
      <c r="F141" s="2123"/>
      <c r="G141" s="2123"/>
      <c r="H141" s="2123"/>
    </row>
    <row r="142" spans="1:8">
      <c r="A142" s="2124" t="s">
        <v>813</v>
      </c>
      <c r="B142" s="2123"/>
      <c r="C142" s="2123"/>
      <c r="D142" s="2123"/>
      <c r="E142" s="2123"/>
      <c r="F142" s="2123"/>
      <c r="G142" s="2123"/>
      <c r="H142" s="2123"/>
    </row>
    <row r="143" spans="1:8">
      <c r="A143" s="2124" t="s">
        <v>814</v>
      </c>
      <c r="B143" s="2123"/>
      <c r="C143" s="2123"/>
      <c r="D143" s="2123"/>
      <c r="E143" s="2123"/>
      <c r="F143" s="2123"/>
      <c r="G143" s="2123"/>
      <c r="H143" s="2123"/>
    </row>
    <row r="144" spans="1:8">
      <c r="A144" s="2123"/>
      <c r="B144" s="2123"/>
      <c r="C144" s="2123"/>
      <c r="D144" s="2123"/>
      <c r="E144" s="2123"/>
      <c r="F144" s="2123"/>
      <c r="G144" s="2123"/>
      <c r="H144" s="2123"/>
    </row>
    <row r="145" spans="1:8">
      <c r="A145" s="2124" t="s">
        <v>810</v>
      </c>
      <c r="B145" s="2123"/>
      <c r="C145" s="2123"/>
      <c r="D145" s="2123"/>
      <c r="E145" s="2123"/>
      <c r="F145" s="2123"/>
      <c r="G145" s="2123"/>
      <c r="H145" s="2123"/>
    </row>
    <row r="146" spans="1:8">
      <c r="A146" s="2124" t="s">
        <v>811</v>
      </c>
      <c r="B146" s="2123"/>
      <c r="C146" s="2123"/>
      <c r="D146" s="2123"/>
      <c r="E146" s="2123"/>
      <c r="F146" s="2123"/>
      <c r="G146" s="2123"/>
      <c r="H146" s="2123"/>
    </row>
    <row r="147" spans="1:8">
      <c r="A147" s="2123"/>
      <c r="B147" s="2123"/>
      <c r="C147" s="2123"/>
      <c r="D147" s="2123"/>
      <c r="E147" s="2123"/>
      <c r="F147" s="2123"/>
      <c r="G147" s="2123"/>
      <c r="H147" s="2123"/>
    </row>
    <row r="148" spans="1:8" ht="15.75">
      <c r="A148" s="2125" t="s">
        <v>634</v>
      </c>
      <c r="B148" s="2123"/>
      <c r="C148" s="2123"/>
      <c r="D148" s="2123"/>
      <c r="E148" s="2123"/>
      <c r="F148" s="2123"/>
      <c r="G148" s="2123"/>
      <c r="H148" s="2123"/>
    </row>
    <row r="149" spans="1:8">
      <c r="A149" s="2123"/>
      <c r="B149" s="2123"/>
      <c r="C149" s="2123"/>
      <c r="D149" s="2123"/>
      <c r="E149" s="2123"/>
      <c r="F149" s="2123"/>
      <c r="G149" s="2123"/>
      <c r="H149" s="2123"/>
    </row>
    <row r="150" spans="1:8">
      <c r="A150" s="2124" t="s">
        <v>808</v>
      </c>
      <c r="B150" s="2123"/>
      <c r="C150" s="2123"/>
      <c r="D150" s="2123"/>
      <c r="E150" s="2123"/>
      <c r="F150" s="2123"/>
      <c r="G150" s="2123"/>
      <c r="H150" s="2123"/>
    </row>
    <row r="151" spans="1:8">
      <c r="A151" s="2124" t="s">
        <v>809</v>
      </c>
      <c r="B151" s="2123"/>
      <c r="C151" s="2123"/>
      <c r="D151" s="2123"/>
      <c r="E151" s="2123"/>
      <c r="F151" s="2123"/>
      <c r="G151" s="2123"/>
      <c r="H151" s="2123"/>
    </row>
    <row r="152" spans="1:8">
      <c r="A152" s="2123"/>
      <c r="B152" s="2123"/>
      <c r="C152" s="2123"/>
      <c r="D152" s="2123"/>
      <c r="E152" s="2123"/>
      <c r="F152" s="2123"/>
      <c r="G152" s="2123"/>
      <c r="H152" s="2123"/>
    </row>
    <row r="153" spans="1:8">
      <c r="A153" s="2124" t="s">
        <v>806</v>
      </c>
      <c r="B153" s="2123"/>
      <c r="C153" s="2123"/>
      <c r="D153" s="2123"/>
      <c r="E153" s="2123"/>
      <c r="F153" s="2123"/>
      <c r="G153" s="2123"/>
      <c r="H153" s="2123"/>
    </row>
    <row r="154" spans="1:8">
      <c r="A154" s="2124" t="s">
        <v>807</v>
      </c>
      <c r="B154" s="2123"/>
      <c r="C154" s="2123"/>
      <c r="D154" s="2123"/>
      <c r="E154" s="2123"/>
      <c r="F154" s="2123"/>
      <c r="G154" s="2123"/>
      <c r="H154" s="2123"/>
    </row>
    <row r="155" spans="1:8">
      <c r="A155" s="2123"/>
      <c r="B155" s="2123"/>
      <c r="C155" s="2123"/>
      <c r="D155" s="2123"/>
      <c r="E155" s="2123"/>
      <c r="F155" s="2123"/>
      <c r="G155" s="2123"/>
      <c r="H155" s="2123"/>
    </row>
    <row r="156" spans="1:8">
      <c r="A156" s="2124" t="s">
        <v>804</v>
      </c>
      <c r="B156" s="2123"/>
      <c r="C156" s="2123"/>
      <c r="D156" s="2123"/>
      <c r="E156" s="2123"/>
      <c r="F156" s="2123"/>
      <c r="G156" s="2123"/>
      <c r="H156" s="2123"/>
    </row>
    <row r="157" spans="1:8">
      <c r="A157" s="2124" t="s">
        <v>805</v>
      </c>
      <c r="B157" s="2123"/>
      <c r="C157" s="2123"/>
      <c r="D157" s="2123"/>
      <c r="E157" s="2123"/>
      <c r="F157" s="2123"/>
      <c r="G157" s="2123"/>
      <c r="H157" s="2123"/>
    </row>
    <row r="158" spans="1:8">
      <c r="A158" s="2123"/>
      <c r="B158" s="2123"/>
      <c r="C158" s="2123"/>
      <c r="D158" s="2123"/>
      <c r="E158" s="2123"/>
      <c r="F158" s="2123"/>
      <c r="G158" s="2123"/>
      <c r="H158" s="2123"/>
    </row>
    <row r="159" spans="1:8">
      <c r="A159" s="2124" t="s">
        <v>801</v>
      </c>
      <c r="B159" s="2123"/>
      <c r="C159" s="2123"/>
      <c r="D159" s="2123"/>
      <c r="E159" s="2123"/>
      <c r="F159" s="2123"/>
      <c r="G159" s="2123"/>
      <c r="H159" s="2123"/>
    </row>
    <row r="160" spans="1:8">
      <c r="A160" s="2124" t="s">
        <v>802</v>
      </c>
      <c r="B160" s="2123"/>
      <c r="C160" s="2123"/>
      <c r="D160" s="2123"/>
      <c r="E160" s="2123"/>
      <c r="F160" s="2123"/>
      <c r="G160" s="2123"/>
      <c r="H160" s="2123"/>
    </row>
    <row r="161" spans="1:8">
      <c r="A161" s="2124" t="s">
        <v>803</v>
      </c>
      <c r="B161" s="2123"/>
      <c r="C161" s="2123"/>
      <c r="D161" s="2123"/>
      <c r="E161" s="2123"/>
      <c r="F161" s="2123"/>
      <c r="G161" s="2123"/>
      <c r="H161" s="2123"/>
    </row>
    <row r="162" spans="1:8">
      <c r="A162" s="2123"/>
      <c r="B162" s="2123"/>
      <c r="C162" s="2123"/>
      <c r="D162" s="2123"/>
      <c r="E162" s="2123"/>
      <c r="F162" s="2123"/>
      <c r="G162" s="2123"/>
      <c r="H162" s="2123"/>
    </row>
    <row r="163" spans="1:8">
      <c r="A163" s="2123"/>
      <c r="B163" s="2123"/>
      <c r="C163" s="2123"/>
      <c r="D163" s="2123"/>
      <c r="E163" s="2123"/>
      <c r="F163" s="2123"/>
      <c r="G163" s="2123"/>
      <c r="H163" s="2123"/>
    </row>
    <row r="164" spans="1:8">
      <c r="A164" s="2124" t="s">
        <v>635</v>
      </c>
      <c r="B164" s="2123"/>
      <c r="C164" s="2123"/>
      <c r="D164" s="2123"/>
      <c r="E164" s="2123"/>
      <c r="F164" s="2123"/>
      <c r="G164" s="2123"/>
      <c r="H164" s="2123"/>
    </row>
    <row r="165" spans="1:8">
      <c r="A165" s="2123"/>
      <c r="B165" s="2123"/>
      <c r="C165" s="2123"/>
      <c r="D165" s="2123"/>
      <c r="E165" s="2123"/>
      <c r="F165" s="2123"/>
      <c r="G165" s="2123"/>
      <c r="H165" s="2123"/>
    </row>
    <row r="166" spans="1:8" ht="15.75">
      <c r="A166" s="2125" t="s">
        <v>636</v>
      </c>
      <c r="B166" s="2123"/>
      <c r="C166" s="2123"/>
      <c r="D166" s="2123"/>
      <c r="E166" s="2123"/>
      <c r="F166" s="2123"/>
      <c r="G166" s="2123"/>
      <c r="H166" s="2123"/>
    </row>
    <row r="167" spans="1:8">
      <c r="A167" s="2123"/>
      <c r="B167" s="2123"/>
      <c r="C167" s="2123"/>
      <c r="D167" s="2123"/>
      <c r="E167" s="2123"/>
      <c r="F167" s="2123"/>
      <c r="G167" s="2123"/>
      <c r="H167" s="2123"/>
    </row>
    <row r="168" spans="1:8">
      <c r="A168" s="2123"/>
      <c r="B168" s="2123"/>
      <c r="C168" s="2123"/>
      <c r="D168" s="2123"/>
      <c r="E168" s="2123"/>
      <c r="F168" s="2123"/>
      <c r="G168" s="2123"/>
      <c r="H168" s="2123"/>
    </row>
    <row r="169" spans="1:8">
      <c r="A169" s="2123"/>
      <c r="B169" s="2123"/>
      <c r="C169" s="2123"/>
      <c r="D169" s="2123"/>
      <c r="E169" s="2123"/>
      <c r="F169" s="2123"/>
      <c r="G169" s="2123"/>
      <c r="H169" s="2123"/>
    </row>
    <row r="170" spans="1:8">
      <c r="A170" s="2123"/>
      <c r="B170" s="2123"/>
      <c r="C170" s="2123"/>
      <c r="D170" s="2123"/>
      <c r="E170" s="2123"/>
      <c r="F170" s="2123"/>
      <c r="G170" s="2123"/>
      <c r="H170" s="2123"/>
    </row>
    <row r="171" spans="1:8">
      <c r="A171" s="2123"/>
      <c r="B171" s="2123"/>
      <c r="C171" s="2123"/>
      <c r="D171" s="2123"/>
      <c r="E171" s="2123"/>
      <c r="F171" s="2123"/>
      <c r="G171" s="2123"/>
      <c r="H171" s="2123"/>
    </row>
    <row r="172" spans="1:8">
      <c r="A172" s="2123"/>
      <c r="B172" s="2123"/>
      <c r="C172" s="2123"/>
      <c r="D172" s="2123"/>
      <c r="E172" s="2123"/>
      <c r="F172" s="2123"/>
      <c r="G172" s="2123"/>
      <c r="H172" s="2123"/>
    </row>
    <row r="173" spans="1:8">
      <c r="A173" s="2123"/>
      <c r="B173" s="2123"/>
      <c r="C173" s="2123"/>
      <c r="D173" s="2123"/>
      <c r="E173" s="2123"/>
      <c r="F173" s="2123"/>
      <c r="G173" s="2123"/>
      <c r="H173" s="2123"/>
    </row>
    <row r="174" spans="1:8">
      <c r="A174" s="2123"/>
      <c r="B174" s="2123"/>
      <c r="C174" s="2123"/>
      <c r="D174" s="2123"/>
      <c r="E174" s="2123"/>
      <c r="F174" s="2123"/>
      <c r="G174" s="2123"/>
      <c r="H174" s="2123"/>
    </row>
    <row r="175" spans="1:8">
      <c r="A175" s="2123"/>
      <c r="B175" s="2123"/>
      <c r="C175" s="2123"/>
      <c r="D175" s="2123"/>
      <c r="E175" s="2123"/>
      <c r="F175" s="2123"/>
      <c r="G175" s="2123"/>
      <c r="H175" s="2123"/>
    </row>
    <row r="176" spans="1:8">
      <c r="A176" s="2123"/>
      <c r="B176" s="2123"/>
      <c r="C176" s="2123"/>
      <c r="D176" s="2123"/>
      <c r="E176" s="2123"/>
      <c r="F176" s="2123"/>
      <c r="G176" s="2123"/>
      <c r="H176" s="2123"/>
    </row>
    <row r="177" spans="1:8">
      <c r="A177" s="2123"/>
      <c r="B177" s="2123"/>
      <c r="C177" s="2123"/>
      <c r="D177" s="2123"/>
      <c r="E177" s="2123"/>
      <c r="F177" s="2123"/>
      <c r="G177" s="2123"/>
      <c r="H177" s="2123"/>
    </row>
    <row r="178" spans="1:8">
      <c r="A178" s="2123"/>
      <c r="B178" s="2123"/>
      <c r="C178" s="2123"/>
      <c r="D178" s="2123"/>
      <c r="E178" s="2123"/>
      <c r="F178" s="2123"/>
      <c r="G178" s="2123"/>
      <c r="H178" s="2123"/>
    </row>
    <row r="179" spans="1:8">
      <c r="A179" s="2123"/>
      <c r="B179" s="2123"/>
      <c r="C179" s="2123"/>
      <c r="D179" s="2123"/>
      <c r="E179" s="2123"/>
      <c r="F179" s="2123"/>
      <c r="G179" s="2123"/>
      <c r="H179" s="2123"/>
    </row>
    <row r="180" spans="1:8">
      <c r="A180" s="2123"/>
      <c r="B180" s="2123"/>
      <c r="C180" s="2123"/>
      <c r="D180" s="2123"/>
      <c r="E180" s="2123"/>
      <c r="F180" s="2123"/>
      <c r="G180" s="2123"/>
      <c r="H180" s="2123"/>
    </row>
    <row r="181" spans="1:8">
      <c r="A181" s="2123"/>
      <c r="B181" s="2123"/>
      <c r="C181" s="2123"/>
      <c r="D181" s="2123"/>
      <c r="E181" s="2123"/>
      <c r="F181" s="2123"/>
      <c r="G181" s="2123"/>
      <c r="H181" s="2123"/>
    </row>
    <row r="182" spans="1:8">
      <c r="A182" s="2123"/>
      <c r="B182" s="2123"/>
      <c r="C182" s="2123"/>
      <c r="D182" s="2123"/>
      <c r="E182" s="2123"/>
      <c r="F182" s="2123"/>
      <c r="G182" s="2123"/>
      <c r="H182" s="2123"/>
    </row>
    <row r="183" spans="1:8">
      <c r="A183" s="2123"/>
      <c r="B183" s="2123"/>
      <c r="C183" s="2123"/>
      <c r="D183" s="2123"/>
      <c r="E183" s="2123"/>
      <c r="F183" s="2123"/>
      <c r="G183" s="2123"/>
      <c r="H183" s="2123"/>
    </row>
    <row r="184" spans="1:8">
      <c r="A184" s="2123"/>
      <c r="B184" s="2123"/>
      <c r="C184" s="2123"/>
      <c r="D184" s="2123"/>
      <c r="E184" s="2123"/>
      <c r="F184" s="2123"/>
      <c r="G184" s="2123"/>
      <c r="H184" s="2123"/>
    </row>
    <row r="185" spans="1:8">
      <c r="A185" s="2123"/>
      <c r="B185" s="2123"/>
      <c r="C185" s="2123"/>
      <c r="D185" s="2123"/>
      <c r="E185" s="2123"/>
      <c r="F185" s="2123"/>
      <c r="G185" s="2123"/>
      <c r="H185" s="2123"/>
    </row>
    <row r="186" spans="1:8">
      <c r="A186" s="2123"/>
      <c r="B186" s="2123"/>
      <c r="C186" s="2123"/>
      <c r="D186" s="2123"/>
      <c r="E186" s="2123"/>
      <c r="F186" s="2123"/>
      <c r="G186" s="2123"/>
      <c r="H186" s="2123"/>
    </row>
    <row r="187" spans="1:8">
      <c r="A187" s="2123"/>
      <c r="B187" s="2123"/>
      <c r="C187" s="2123"/>
      <c r="D187" s="2123"/>
      <c r="E187" s="2123"/>
      <c r="F187" s="2123"/>
      <c r="G187" s="2123"/>
      <c r="H187" s="2123"/>
    </row>
    <row r="188" spans="1:8">
      <c r="A188" s="2123"/>
      <c r="B188" s="2123"/>
      <c r="C188" s="2123"/>
      <c r="D188" s="2123"/>
      <c r="E188" s="2123"/>
      <c r="F188" s="2123"/>
      <c r="G188" s="2123"/>
      <c r="H188" s="2123"/>
    </row>
    <row r="189" spans="1:8">
      <c r="A189" s="2123"/>
      <c r="B189" s="2123"/>
      <c r="C189" s="2123"/>
      <c r="D189" s="2123"/>
      <c r="E189" s="2123"/>
      <c r="F189" s="2123"/>
      <c r="G189" s="2123"/>
      <c r="H189" s="2123"/>
    </row>
    <row r="190" spans="1:8">
      <c r="A190" s="2123"/>
      <c r="B190" s="2123"/>
      <c r="C190" s="2123"/>
      <c r="D190" s="2123"/>
      <c r="E190" s="2123"/>
      <c r="F190" s="2123"/>
      <c r="G190" s="2123"/>
      <c r="H190" s="2123"/>
    </row>
    <row r="191" spans="1:8">
      <c r="A191" s="2123"/>
      <c r="B191" s="2123"/>
      <c r="C191" s="2123"/>
      <c r="D191" s="2123"/>
      <c r="E191" s="2123"/>
      <c r="F191" s="2123"/>
      <c r="G191" s="2123"/>
      <c r="H191" s="2123"/>
    </row>
    <row r="192" spans="1:8">
      <c r="A192" s="2123"/>
      <c r="B192" s="2123"/>
      <c r="C192" s="2123"/>
      <c r="D192" s="2123"/>
      <c r="E192" s="2123"/>
      <c r="F192" s="2123"/>
      <c r="G192" s="2123"/>
      <c r="H192" s="2123"/>
    </row>
    <row r="193" spans="1:8" ht="15.75">
      <c r="A193" s="2125" t="s">
        <v>637</v>
      </c>
      <c r="B193" s="2123"/>
      <c r="C193" s="2123"/>
      <c r="D193" s="2123"/>
      <c r="E193" s="2123"/>
      <c r="F193" s="2123"/>
      <c r="G193" s="2123"/>
      <c r="H193" s="2123"/>
    </row>
    <row r="194" spans="1:8">
      <c r="A194" s="2123"/>
      <c r="B194" s="2123"/>
      <c r="C194" s="2123"/>
      <c r="D194" s="2123"/>
      <c r="E194" s="2123"/>
      <c r="F194" s="2123"/>
      <c r="G194" s="2123"/>
      <c r="H194" s="2123"/>
    </row>
    <row r="195" spans="1:8">
      <c r="A195" s="2124" t="s">
        <v>796</v>
      </c>
      <c r="B195" s="2123"/>
      <c r="C195" s="2123"/>
      <c r="D195" s="2123"/>
      <c r="E195" s="2123"/>
      <c r="F195" s="2123"/>
      <c r="G195" s="2123"/>
      <c r="H195" s="2123"/>
    </row>
    <row r="196" spans="1:8">
      <c r="A196" s="2124" t="s">
        <v>797</v>
      </c>
      <c r="B196" s="2123"/>
      <c r="C196" s="2123"/>
      <c r="D196" s="2123"/>
      <c r="E196" s="2123"/>
      <c r="F196" s="2123"/>
      <c r="G196" s="2123"/>
      <c r="H196" s="2123"/>
    </row>
    <row r="197" spans="1:8">
      <c r="A197" s="2124" t="s">
        <v>798</v>
      </c>
      <c r="B197" s="2123"/>
      <c r="C197" s="2123"/>
      <c r="D197" s="2123"/>
      <c r="E197" s="2123"/>
      <c r="F197" s="2123"/>
      <c r="G197" s="2123"/>
      <c r="H197" s="2123"/>
    </row>
    <row r="198" spans="1:8">
      <c r="A198" s="2124" t="s">
        <v>799</v>
      </c>
      <c r="B198" s="2123"/>
      <c r="C198" s="2123"/>
      <c r="D198" s="2123"/>
      <c r="E198" s="2123"/>
      <c r="F198" s="2123"/>
      <c r="G198" s="2123"/>
      <c r="H198" s="2123"/>
    </row>
    <row r="199" spans="1:8">
      <c r="A199" s="2124" t="s">
        <v>800</v>
      </c>
      <c r="B199" s="2123"/>
      <c r="C199" s="2123"/>
      <c r="D199" s="2123"/>
      <c r="E199" s="2123"/>
      <c r="F199" s="2123"/>
      <c r="G199" s="2123"/>
      <c r="H199" s="2123"/>
    </row>
    <row r="200" spans="1:8">
      <c r="A200" s="2123"/>
      <c r="B200" s="2123"/>
      <c r="C200" s="2123"/>
      <c r="D200" s="2123"/>
      <c r="E200" s="2123"/>
      <c r="F200" s="2123"/>
      <c r="G200" s="2123"/>
      <c r="H200" s="2123"/>
    </row>
    <row r="201" spans="1:8">
      <c r="A201" s="2124" t="s">
        <v>793</v>
      </c>
      <c r="B201" s="2123"/>
      <c r="C201" s="2123"/>
      <c r="D201" s="2123"/>
      <c r="E201" s="2123"/>
      <c r="F201" s="2123"/>
      <c r="G201" s="2123"/>
      <c r="H201" s="2123"/>
    </row>
    <row r="202" spans="1:8">
      <c r="A202" s="2124" t="s">
        <v>794</v>
      </c>
      <c r="B202" s="2123"/>
      <c r="C202" s="2123"/>
      <c r="D202" s="2123"/>
      <c r="E202" s="2123"/>
      <c r="F202" s="2123"/>
      <c r="G202" s="2123"/>
      <c r="H202" s="2123"/>
    </row>
    <row r="203" spans="1:8">
      <c r="A203" s="2124" t="s">
        <v>795</v>
      </c>
      <c r="B203" s="2123"/>
      <c r="C203" s="2123"/>
      <c r="D203" s="2123"/>
      <c r="E203" s="2123"/>
      <c r="F203" s="2123"/>
      <c r="G203" s="2123"/>
      <c r="H203" s="2123"/>
    </row>
    <row r="204" spans="1:8" ht="15.75">
      <c r="A204" s="2125" t="s">
        <v>638</v>
      </c>
      <c r="B204" s="2123"/>
      <c r="C204" s="2123"/>
      <c r="D204" s="2123"/>
      <c r="E204" s="2123"/>
      <c r="F204" s="2123"/>
      <c r="G204" s="2123"/>
      <c r="H204" s="2123"/>
    </row>
    <row r="205" spans="1:8">
      <c r="A205" s="2123"/>
      <c r="B205" s="2123"/>
      <c r="C205" s="2123"/>
      <c r="D205" s="2123"/>
      <c r="E205" s="2123"/>
      <c r="F205" s="2123"/>
      <c r="G205" s="2123"/>
      <c r="H205" s="2123"/>
    </row>
    <row r="206" spans="1:8">
      <c r="A206" s="2124" t="s">
        <v>786</v>
      </c>
      <c r="B206" s="2123"/>
      <c r="C206" s="2123"/>
      <c r="D206" s="2123"/>
      <c r="E206" s="2123"/>
      <c r="F206" s="2123"/>
      <c r="G206" s="2123"/>
      <c r="H206" s="2123"/>
    </row>
    <row r="207" spans="1:8">
      <c r="A207" s="2124" t="s">
        <v>787</v>
      </c>
      <c r="B207" s="2123"/>
      <c r="C207" s="2123"/>
      <c r="D207" s="2123"/>
      <c r="E207" s="2123"/>
      <c r="F207" s="2123"/>
      <c r="G207" s="2123"/>
      <c r="H207" s="2123"/>
    </row>
    <row r="208" spans="1:8">
      <c r="A208" s="2124" t="s">
        <v>788</v>
      </c>
      <c r="B208" s="2123"/>
      <c r="C208" s="2123"/>
      <c r="D208" s="2123"/>
      <c r="E208" s="2123"/>
      <c r="F208" s="2123"/>
      <c r="G208" s="2123"/>
      <c r="H208" s="2123"/>
    </row>
    <row r="209" spans="1:8">
      <c r="A209" s="2124" t="s">
        <v>789</v>
      </c>
      <c r="B209" s="2123"/>
      <c r="C209" s="2123"/>
      <c r="D209" s="2123"/>
      <c r="E209" s="2123"/>
      <c r="F209" s="2123"/>
      <c r="G209" s="2123"/>
      <c r="H209" s="2123"/>
    </row>
    <row r="210" spans="1:8">
      <c r="A210" s="2124" t="s">
        <v>790</v>
      </c>
      <c r="B210" s="2123"/>
      <c r="C210" s="2123"/>
      <c r="D210" s="2123"/>
      <c r="E210" s="2123"/>
      <c r="F210" s="2123"/>
      <c r="G210" s="2123"/>
      <c r="H210" s="2123"/>
    </row>
    <row r="211" spans="1:8">
      <c r="A211" s="2124" t="s">
        <v>791</v>
      </c>
      <c r="B211" s="2123"/>
      <c r="C211" s="2123"/>
      <c r="D211" s="2123"/>
      <c r="E211" s="2123"/>
      <c r="F211" s="2123"/>
      <c r="G211" s="2123"/>
      <c r="H211" s="2123"/>
    </row>
    <row r="212" spans="1:8">
      <c r="A212" s="2124" t="s">
        <v>792</v>
      </c>
      <c r="B212" s="2123"/>
      <c r="C212" s="2123"/>
      <c r="D212" s="2123"/>
      <c r="E212" s="2123"/>
      <c r="F212" s="2123"/>
      <c r="G212" s="2123"/>
      <c r="H212" s="2123"/>
    </row>
    <row r="213" spans="1:8">
      <c r="A213" s="2123"/>
      <c r="B213" s="2123"/>
      <c r="C213" s="2123"/>
      <c r="D213" s="2123"/>
      <c r="E213" s="2123"/>
      <c r="F213" s="2123"/>
      <c r="G213" s="2123"/>
      <c r="H213" s="2123"/>
    </row>
    <row r="214" spans="1:8">
      <c r="A214" s="2124" t="s">
        <v>783</v>
      </c>
      <c r="B214" s="2123"/>
      <c r="C214" s="2123"/>
      <c r="D214" s="2123"/>
      <c r="E214" s="2123"/>
      <c r="F214" s="2123"/>
      <c r="G214" s="2123"/>
      <c r="H214" s="2123"/>
    </row>
    <row r="215" spans="1:8">
      <c r="A215" s="2124" t="s">
        <v>784</v>
      </c>
      <c r="B215" s="2123"/>
      <c r="C215" s="2123"/>
      <c r="D215" s="2123"/>
      <c r="E215" s="2123"/>
      <c r="F215" s="2123"/>
      <c r="G215" s="2123"/>
      <c r="H215" s="2123"/>
    </row>
    <row r="216" spans="1:8">
      <c r="A216" s="2124" t="s">
        <v>785</v>
      </c>
      <c r="B216" s="2123"/>
      <c r="C216" s="2123"/>
      <c r="D216" s="2123"/>
      <c r="E216" s="2123"/>
      <c r="F216" s="2123"/>
      <c r="G216" s="2123"/>
      <c r="H216" s="2123"/>
    </row>
    <row r="217" spans="1:8">
      <c r="A217" s="2123"/>
      <c r="B217" s="2123"/>
      <c r="C217" s="2123"/>
      <c r="D217" s="2123"/>
      <c r="E217" s="2123"/>
      <c r="F217" s="2123"/>
      <c r="G217" s="2123"/>
      <c r="H217" s="2123"/>
    </row>
    <row r="218" spans="1:8">
      <c r="A218" s="2124" t="s">
        <v>778</v>
      </c>
      <c r="B218" s="2123"/>
      <c r="C218" s="2123"/>
      <c r="D218" s="2123"/>
      <c r="E218" s="2123"/>
      <c r="F218" s="2123"/>
      <c r="G218" s="2123"/>
      <c r="H218" s="2123"/>
    </row>
    <row r="219" spans="1:8">
      <c r="A219" s="2124" t="s">
        <v>779</v>
      </c>
      <c r="B219" s="2123"/>
      <c r="C219" s="2123"/>
      <c r="D219" s="2123"/>
      <c r="E219" s="2123"/>
      <c r="F219" s="2123"/>
      <c r="G219" s="2123"/>
      <c r="H219" s="2123"/>
    </row>
    <row r="220" spans="1:8">
      <c r="A220" s="2124" t="s">
        <v>780</v>
      </c>
      <c r="B220" s="2123"/>
      <c r="C220" s="2123"/>
      <c r="D220" s="2123"/>
      <c r="E220" s="2123"/>
      <c r="F220" s="2123"/>
      <c r="G220" s="2123"/>
      <c r="H220" s="2123"/>
    </row>
    <row r="221" spans="1:8">
      <c r="A221" s="2124" t="s">
        <v>781</v>
      </c>
      <c r="B221" s="2123"/>
      <c r="C221" s="2123"/>
      <c r="D221" s="2123"/>
      <c r="E221" s="2123"/>
      <c r="F221" s="2123"/>
      <c r="G221" s="2123"/>
      <c r="H221" s="2123"/>
    </row>
    <row r="222" spans="1:8">
      <c r="A222" s="2124" t="s">
        <v>782</v>
      </c>
      <c r="B222" s="2123"/>
      <c r="C222" s="2123"/>
      <c r="D222" s="2123"/>
      <c r="E222" s="2123"/>
      <c r="F222" s="2123"/>
      <c r="G222" s="2123"/>
      <c r="H222" s="2123"/>
    </row>
    <row r="223" spans="1:8">
      <c r="A223" s="2123"/>
      <c r="B223" s="2123"/>
      <c r="C223" s="2123"/>
      <c r="D223" s="2123"/>
      <c r="E223" s="2123"/>
      <c r="F223" s="2123"/>
      <c r="G223" s="2123"/>
      <c r="H223" s="2123"/>
    </row>
    <row r="224" spans="1:8">
      <c r="A224" s="2124" t="s">
        <v>772</v>
      </c>
      <c r="B224" s="2123"/>
      <c r="C224" s="2123"/>
      <c r="D224" s="2123"/>
      <c r="E224" s="2123"/>
      <c r="F224" s="2123"/>
      <c r="G224" s="2123"/>
      <c r="H224" s="2123"/>
    </row>
    <row r="225" spans="1:8">
      <c r="A225" s="2124" t="s">
        <v>773</v>
      </c>
      <c r="B225" s="2123"/>
      <c r="C225" s="2123"/>
      <c r="D225" s="2123"/>
      <c r="E225" s="2123"/>
      <c r="F225" s="2123"/>
      <c r="G225" s="2123"/>
      <c r="H225" s="2123"/>
    </row>
    <row r="226" spans="1:8">
      <c r="A226" s="2124" t="s">
        <v>774</v>
      </c>
      <c r="B226" s="2123"/>
      <c r="C226" s="2123"/>
      <c r="D226" s="2123"/>
      <c r="E226" s="2123"/>
      <c r="F226" s="2123"/>
      <c r="G226" s="2123"/>
      <c r="H226" s="2123"/>
    </row>
    <row r="227" spans="1:8">
      <c r="A227" s="2124" t="s">
        <v>775</v>
      </c>
      <c r="B227" s="2123"/>
      <c r="C227" s="2123"/>
      <c r="D227" s="2123"/>
      <c r="E227" s="2123"/>
      <c r="F227" s="2123"/>
      <c r="G227" s="2123"/>
      <c r="H227" s="2123"/>
    </row>
    <row r="228" spans="1:8">
      <c r="A228" s="2124" t="s">
        <v>776</v>
      </c>
      <c r="B228" s="2123"/>
      <c r="C228" s="2123"/>
      <c r="D228" s="2123"/>
      <c r="E228" s="2123"/>
      <c r="F228" s="2123"/>
      <c r="G228" s="2123"/>
      <c r="H228" s="2123"/>
    </row>
    <row r="229" spans="1:8">
      <c r="A229" s="2124" t="s">
        <v>777</v>
      </c>
      <c r="B229" s="2123"/>
      <c r="C229" s="2123"/>
      <c r="D229" s="2123"/>
      <c r="E229" s="2123"/>
      <c r="F229" s="2123"/>
      <c r="G229" s="2123"/>
      <c r="H229" s="2123"/>
    </row>
    <row r="230" spans="1:8">
      <c r="A230" s="2123"/>
      <c r="B230" s="2123"/>
      <c r="C230" s="2123"/>
      <c r="D230" s="2123"/>
      <c r="E230" s="2123"/>
      <c r="F230" s="2123"/>
      <c r="G230" s="2123"/>
      <c r="H230" s="2123"/>
    </row>
    <row r="231" spans="1:8">
      <c r="A231" s="2124" t="s">
        <v>762</v>
      </c>
      <c r="B231" s="2123"/>
      <c r="C231" s="2123"/>
      <c r="D231" s="2123"/>
      <c r="E231" s="2123"/>
      <c r="F231" s="2123"/>
      <c r="G231" s="2123"/>
      <c r="H231" s="2123"/>
    </row>
    <row r="232" spans="1:8">
      <c r="A232" s="2124" t="s">
        <v>763</v>
      </c>
      <c r="B232" s="2123"/>
      <c r="C232" s="2123"/>
      <c r="D232" s="2123"/>
      <c r="E232" s="2123"/>
      <c r="F232" s="2123"/>
      <c r="G232" s="2123"/>
      <c r="H232" s="2123"/>
    </row>
    <row r="233" spans="1:8">
      <c r="A233" s="2124" t="s">
        <v>764</v>
      </c>
      <c r="B233" s="2123"/>
      <c r="C233" s="2123"/>
      <c r="D233" s="2123"/>
      <c r="E233" s="2123"/>
      <c r="F233" s="2123"/>
      <c r="G233" s="2123"/>
      <c r="H233" s="2123"/>
    </row>
    <row r="234" spans="1:8">
      <c r="A234" s="2124" t="s">
        <v>765</v>
      </c>
      <c r="B234" s="2123"/>
      <c r="C234" s="2123"/>
      <c r="D234" s="2123"/>
      <c r="E234" s="2123"/>
      <c r="F234" s="2123"/>
      <c r="G234" s="2123"/>
      <c r="H234" s="2123"/>
    </row>
    <row r="235" spans="1:8">
      <c r="A235" s="2124" t="s">
        <v>766</v>
      </c>
      <c r="B235" s="2123"/>
      <c r="C235" s="2123"/>
      <c r="D235" s="2123"/>
      <c r="E235" s="2123"/>
      <c r="F235" s="2123"/>
      <c r="G235" s="2123"/>
      <c r="H235" s="2123"/>
    </row>
    <row r="236" spans="1:8">
      <c r="A236" s="2124" t="s">
        <v>767</v>
      </c>
      <c r="B236" s="2123"/>
      <c r="C236" s="2123"/>
      <c r="D236" s="2123"/>
      <c r="E236" s="2123"/>
      <c r="F236" s="2123"/>
      <c r="G236" s="2123"/>
      <c r="H236" s="2123"/>
    </row>
    <row r="237" spans="1:8">
      <c r="A237" s="2124" t="s">
        <v>768</v>
      </c>
      <c r="B237" s="2123"/>
      <c r="C237" s="2123"/>
      <c r="D237" s="2123"/>
      <c r="E237" s="2123"/>
      <c r="F237" s="2123"/>
      <c r="G237" s="2123"/>
      <c r="H237" s="2123"/>
    </row>
    <row r="238" spans="1:8">
      <c r="A238" s="2124" t="s">
        <v>769</v>
      </c>
      <c r="B238" s="2123"/>
      <c r="C238" s="2123"/>
      <c r="D238" s="2123"/>
      <c r="E238" s="2123"/>
      <c r="F238" s="2123"/>
      <c r="G238" s="2123"/>
      <c r="H238" s="2123"/>
    </row>
    <row r="239" spans="1:8">
      <c r="A239" s="2124" t="s">
        <v>770</v>
      </c>
      <c r="B239" s="2123"/>
      <c r="C239" s="2123"/>
      <c r="D239" s="2123"/>
      <c r="E239" s="2123"/>
      <c r="F239" s="2123"/>
      <c r="G239" s="2123"/>
      <c r="H239" s="2123"/>
    </row>
    <row r="240" spans="1:8">
      <c r="A240" s="2124" t="s">
        <v>771</v>
      </c>
      <c r="B240" s="2123"/>
      <c r="C240" s="2123"/>
      <c r="D240" s="2123"/>
      <c r="E240" s="2123"/>
      <c r="F240" s="2123"/>
      <c r="G240" s="2123"/>
      <c r="H240" s="2123"/>
    </row>
    <row r="241" spans="1:8">
      <c r="A241" s="2123"/>
      <c r="B241" s="2123"/>
      <c r="C241" s="2123"/>
      <c r="D241" s="2123"/>
      <c r="E241" s="2123"/>
      <c r="F241" s="2123"/>
      <c r="G241" s="2123"/>
      <c r="H241" s="2123"/>
    </row>
    <row r="242" spans="1:8">
      <c r="A242" s="2124" t="s">
        <v>760</v>
      </c>
      <c r="B242" s="2123"/>
      <c r="C242" s="2123"/>
      <c r="D242" s="2123"/>
      <c r="E242" s="2123"/>
      <c r="F242" s="2123"/>
      <c r="G242" s="2123"/>
      <c r="H242" s="2123"/>
    </row>
    <row r="243" spans="1:8">
      <c r="A243" s="2124" t="s">
        <v>761</v>
      </c>
      <c r="B243" s="2123"/>
      <c r="C243" s="2123"/>
      <c r="D243" s="2123"/>
      <c r="E243" s="2123"/>
      <c r="F243" s="2123"/>
      <c r="G243" s="2123"/>
      <c r="H243" s="2123"/>
    </row>
    <row r="244" spans="1:8">
      <c r="A244" s="2123"/>
      <c r="B244" s="2123"/>
      <c r="C244" s="2123"/>
      <c r="D244" s="2123"/>
      <c r="E244" s="2123"/>
      <c r="F244" s="2123"/>
      <c r="G244" s="2123"/>
      <c r="H244" s="2123"/>
    </row>
    <row r="245" spans="1:8">
      <c r="A245" s="2124" t="s">
        <v>744</v>
      </c>
      <c r="B245" s="2123"/>
      <c r="C245" s="2123"/>
      <c r="D245" s="2123"/>
      <c r="E245" s="2123"/>
      <c r="F245" s="2123"/>
      <c r="G245" s="2123"/>
      <c r="H245" s="2123"/>
    </row>
    <row r="246" spans="1:8">
      <c r="A246" s="2124" t="s">
        <v>745</v>
      </c>
      <c r="B246" s="2123"/>
      <c r="C246" s="2123"/>
      <c r="D246" s="2123"/>
      <c r="E246" s="2123"/>
      <c r="F246" s="2123"/>
      <c r="G246" s="2123"/>
      <c r="H246" s="2123"/>
    </row>
    <row r="247" spans="1:8">
      <c r="A247" s="2124" t="s">
        <v>746</v>
      </c>
      <c r="B247" s="2123"/>
      <c r="C247" s="2123"/>
      <c r="D247" s="2123"/>
      <c r="E247" s="2123"/>
      <c r="F247" s="2123"/>
      <c r="G247" s="2123"/>
      <c r="H247" s="2123"/>
    </row>
    <row r="248" spans="1:8">
      <c r="A248" s="2124" t="s">
        <v>747</v>
      </c>
      <c r="B248" s="2123"/>
      <c r="C248" s="2123"/>
      <c r="D248" s="2123"/>
      <c r="E248" s="2123"/>
      <c r="F248" s="2123"/>
      <c r="G248" s="2123"/>
      <c r="H248" s="2123"/>
    </row>
    <row r="249" spans="1:8">
      <c r="A249" s="2124" t="s">
        <v>748</v>
      </c>
      <c r="B249" s="2123"/>
      <c r="C249" s="2123"/>
      <c r="D249" s="2123"/>
      <c r="E249" s="2123"/>
      <c r="F249" s="2123"/>
      <c r="G249" s="2123"/>
      <c r="H249" s="2123"/>
    </row>
    <row r="250" spans="1:8">
      <c r="A250" s="2124" t="s">
        <v>749</v>
      </c>
      <c r="B250" s="2123"/>
      <c r="C250" s="2123"/>
      <c r="D250" s="2123"/>
      <c r="E250" s="2123"/>
      <c r="F250" s="2123"/>
      <c r="G250" s="2123"/>
      <c r="H250" s="2123"/>
    </row>
    <row r="251" spans="1:8">
      <c r="A251" s="2124" t="s">
        <v>750</v>
      </c>
      <c r="B251" s="2123"/>
      <c r="C251" s="2123"/>
      <c r="D251" s="2123"/>
      <c r="E251" s="2123"/>
      <c r="F251" s="2123"/>
      <c r="G251" s="2123"/>
      <c r="H251" s="2123"/>
    </row>
    <row r="252" spans="1:8">
      <c r="A252" s="2124" t="s">
        <v>751</v>
      </c>
      <c r="B252" s="2123"/>
      <c r="C252" s="2123"/>
      <c r="D252" s="2123"/>
      <c r="E252" s="2123"/>
      <c r="F252" s="2123"/>
      <c r="G252" s="2123"/>
      <c r="H252" s="2123"/>
    </row>
    <row r="253" spans="1:8">
      <c r="A253" s="2124" t="s">
        <v>752</v>
      </c>
      <c r="B253" s="2123"/>
      <c r="C253" s="2123"/>
      <c r="D253" s="2123"/>
      <c r="E253" s="2123"/>
      <c r="F253" s="2123"/>
      <c r="G253" s="2123"/>
      <c r="H253" s="2123"/>
    </row>
    <row r="254" spans="1:8">
      <c r="A254" s="2124" t="s">
        <v>753</v>
      </c>
      <c r="B254" s="2123"/>
      <c r="C254" s="2123"/>
      <c r="D254" s="2123"/>
      <c r="E254" s="2123"/>
      <c r="F254" s="2123"/>
      <c r="G254" s="2123"/>
      <c r="H254" s="2123"/>
    </row>
    <row r="255" spans="1:8">
      <c r="A255" s="2124" t="s">
        <v>754</v>
      </c>
      <c r="B255" s="2123"/>
      <c r="C255" s="2123"/>
      <c r="D255" s="2123"/>
      <c r="E255" s="2123"/>
      <c r="F255" s="2123"/>
      <c r="G255" s="2123"/>
      <c r="H255" s="2123"/>
    </row>
    <row r="256" spans="1:8">
      <c r="A256" s="2124" t="s">
        <v>755</v>
      </c>
      <c r="B256" s="2123"/>
      <c r="C256" s="2123"/>
      <c r="D256" s="2123"/>
      <c r="E256" s="2123"/>
      <c r="F256" s="2123"/>
      <c r="G256" s="2123"/>
      <c r="H256" s="2123"/>
    </row>
    <row r="257" spans="1:8">
      <c r="A257" s="2124" t="s">
        <v>756</v>
      </c>
      <c r="B257" s="2123"/>
      <c r="C257" s="2123"/>
      <c r="D257" s="2123"/>
      <c r="E257" s="2123"/>
      <c r="F257" s="2123"/>
      <c r="G257" s="2123"/>
      <c r="H257" s="2123"/>
    </row>
    <row r="258" spans="1:8">
      <c r="A258" s="2124" t="s">
        <v>757</v>
      </c>
      <c r="B258" s="2123"/>
      <c r="C258" s="2123"/>
      <c r="D258" s="2123"/>
      <c r="E258" s="2123"/>
      <c r="F258" s="2123"/>
      <c r="G258" s="2123"/>
      <c r="H258" s="2123"/>
    </row>
    <row r="259" spans="1:8">
      <c r="A259" s="2124" t="s">
        <v>758</v>
      </c>
      <c r="B259" s="2123"/>
      <c r="C259" s="2123"/>
      <c r="D259" s="2123"/>
      <c r="E259" s="2123"/>
      <c r="F259" s="2123"/>
      <c r="G259" s="2123"/>
      <c r="H259" s="2123"/>
    </row>
    <row r="260" spans="1:8">
      <c r="A260" s="2124" t="s">
        <v>759</v>
      </c>
      <c r="B260" s="2123"/>
      <c r="C260" s="2123"/>
      <c r="D260" s="2123"/>
      <c r="E260" s="2123"/>
      <c r="F260" s="2123"/>
      <c r="G260" s="2123"/>
      <c r="H260" s="2123"/>
    </row>
    <row r="261" spans="1:8">
      <c r="A261" s="2123"/>
      <c r="B261" s="2123"/>
      <c r="C261" s="2123"/>
      <c r="D261" s="2123"/>
      <c r="E261" s="2123"/>
      <c r="F261" s="2123"/>
      <c r="G261" s="2123"/>
      <c r="H261" s="2123"/>
    </row>
    <row r="262" spans="1:8">
      <c r="A262" s="2124" t="s">
        <v>737</v>
      </c>
      <c r="B262" s="2123"/>
      <c r="C262" s="2123"/>
      <c r="D262" s="2123"/>
      <c r="E262" s="2123"/>
      <c r="F262" s="2123"/>
      <c r="G262" s="2123"/>
      <c r="H262" s="2123"/>
    </row>
    <row r="263" spans="1:8">
      <c r="A263" s="2124" t="s">
        <v>738</v>
      </c>
      <c r="B263" s="2123"/>
      <c r="C263" s="2123"/>
      <c r="D263" s="2123"/>
      <c r="E263" s="2123"/>
      <c r="F263" s="2123"/>
      <c r="G263" s="2123"/>
      <c r="H263" s="2123"/>
    </row>
    <row r="264" spans="1:8">
      <c r="A264" s="2124" t="s">
        <v>739</v>
      </c>
      <c r="B264" s="2123"/>
      <c r="C264" s="2123"/>
      <c r="D264" s="2123"/>
      <c r="E264" s="2123"/>
      <c r="F264" s="2123"/>
      <c r="G264" s="2123"/>
      <c r="H264" s="2123"/>
    </row>
    <row r="265" spans="1:8">
      <c r="A265" s="2124" t="s">
        <v>740</v>
      </c>
      <c r="B265" s="2123"/>
      <c r="C265" s="2123"/>
      <c r="D265" s="2123"/>
      <c r="E265" s="2123"/>
      <c r="F265" s="2123"/>
      <c r="G265" s="2123"/>
      <c r="H265" s="2123"/>
    </row>
    <row r="266" spans="1:8">
      <c r="A266" s="2124" t="s">
        <v>741</v>
      </c>
      <c r="B266" s="2123"/>
      <c r="C266" s="2123"/>
      <c r="D266" s="2123"/>
      <c r="E266" s="2123"/>
      <c r="F266" s="2123"/>
      <c r="G266" s="2123"/>
      <c r="H266" s="2123"/>
    </row>
    <row r="267" spans="1:8">
      <c r="A267" s="2124" t="s">
        <v>742</v>
      </c>
      <c r="B267" s="2123"/>
      <c r="C267" s="2123"/>
      <c r="D267" s="2123"/>
      <c r="E267" s="2123"/>
      <c r="F267" s="2123"/>
      <c r="G267" s="2123"/>
      <c r="H267" s="2123"/>
    </row>
    <row r="268" spans="1:8">
      <c r="A268" s="2124" t="s">
        <v>743</v>
      </c>
      <c r="B268" s="2123"/>
      <c r="C268" s="2123"/>
      <c r="D268" s="2123"/>
      <c r="E268" s="2123"/>
      <c r="F268" s="2123"/>
      <c r="G268" s="2123"/>
      <c r="H268" s="2123"/>
    </row>
    <row r="269" spans="1:8">
      <c r="A269" s="2123"/>
      <c r="B269" s="2123"/>
      <c r="C269" s="2123"/>
      <c r="D269" s="2123"/>
      <c r="E269" s="2123"/>
      <c r="F269" s="2123"/>
      <c r="G269" s="2123"/>
      <c r="H269" s="2123"/>
    </row>
    <row r="270" spans="1:8">
      <c r="A270" s="2124" t="s">
        <v>728</v>
      </c>
      <c r="B270" s="2123"/>
      <c r="C270" s="2123"/>
      <c r="D270" s="2123"/>
      <c r="E270" s="2123"/>
      <c r="F270" s="2123"/>
      <c r="G270" s="2123"/>
      <c r="H270" s="2123"/>
    </row>
    <row r="271" spans="1:8">
      <c r="A271" s="2124" t="s">
        <v>729</v>
      </c>
      <c r="B271" s="2123"/>
      <c r="C271" s="2123"/>
      <c r="D271" s="2123"/>
      <c r="E271" s="2123"/>
      <c r="F271" s="2123"/>
      <c r="G271" s="2123"/>
      <c r="H271" s="2123"/>
    </row>
    <row r="272" spans="1:8">
      <c r="A272" s="2124" t="s">
        <v>730</v>
      </c>
      <c r="B272" s="2123"/>
      <c r="C272" s="2123"/>
      <c r="D272" s="2123"/>
      <c r="E272" s="2123"/>
      <c r="F272" s="2123"/>
      <c r="G272" s="2123"/>
      <c r="H272" s="2123"/>
    </row>
    <row r="273" spans="1:8">
      <c r="A273" s="2124" t="s">
        <v>731</v>
      </c>
      <c r="B273" s="2123"/>
      <c r="C273" s="2123"/>
      <c r="D273" s="2123"/>
      <c r="E273" s="2123"/>
      <c r="F273" s="2123"/>
      <c r="G273" s="2123"/>
      <c r="H273" s="2123"/>
    </row>
    <row r="274" spans="1:8">
      <c r="A274" s="2124" t="s">
        <v>732</v>
      </c>
      <c r="B274" s="2123"/>
      <c r="C274" s="2123"/>
      <c r="D274" s="2123"/>
      <c r="E274" s="2123"/>
      <c r="F274" s="2123"/>
      <c r="G274" s="2123"/>
      <c r="H274" s="2123"/>
    </row>
    <row r="275" spans="1:8">
      <c r="A275" s="2124" t="s">
        <v>733</v>
      </c>
      <c r="B275" s="2123"/>
      <c r="C275" s="2123"/>
      <c r="D275" s="2123"/>
      <c r="E275" s="2123"/>
      <c r="F275" s="2123"/>
      <c r="G275" s="2123"/>
      <c r="H275" s="2123"/>
    </row>
    <row r="276" spans="1:8">
      <c r="A276" s="2124" t="s">
        <v>734</v>
      </c>
      <c r="B276" s="2123"/>
      <c r="C276" s="2123"/>
      <c r="D276" s="2123"/>
      <c r="E276" s="2123"/>
      <c r="F276" s="2123"/>
      <c r="G276" s="2123"/>
      <c r="H276" s="2123"/>
    </row>
    <row r="277" spans="1:8">
      <c r="A277" s="2124" t="s">
        <v>735</v>
      </c>
      <c r="B277" s="2123"/>
      <c r="C277" s="2123"/>
      <c r="D277" s="2123"/>
      <c r="E277" s="2123"/>
      <c r="F277" s="2123"/>
      <c r="G277" s="2123"/>
      <c r="H277" s="2123"/>
    </row>
    <row r="278" spans="1:8">
      <c r="A278" s="2124" t="s">
        <v>736</v>
      </c>
      <c r="B278" s="2123"/>
      <c r="C278" s="2123"/>
      <c r="D278" s="2123"/>
      <c r="E278" s="2123"/>
      <c r="F278" s="2123"/>
      <c r="G278" s="2123"/>
      <c r="H278" s="2123"/>
    </row>
    <row r="279" spans="1:8">
      <c r="A279" s="2123"/>
      <c r="B279" s="2123"/>
      <c r="C279" s="2123"/>
      <c r="D279" s="2123"/>
      <c r="E279" s="2123"/>
      <c r="F279" s="2123"/>
      <c r="G279" s="2123"/>
      <c r="H279" s="2123"/>
    </row>
    <row r="280" spans="1:8">
      <c r="A280" s="2124" t="s">
        <v>721</v>
      </c>
      <c r="B280" s="2123"/>
      <c r="C280" s="2123"/>
      <c r="D280" s="2123"/>
      <c r="E280" s="2123"/>
      <c r="F280" s="2123"/>
      <c r="G280" s="2123"/>
      <c r="H280" s="2123"/>
    </row>
    <row r="281" spans="1:8">
      <c r="A281" s="2124" t="s">
        <v>722</v>
      </c>
      <c r="B281" s="2123"/>
      <c r="C281" s="2123"/>
      <c r="D281" s="2123"/>
      <c r="E281" s="2123"/>
      <c r="F281" s="2123"/>
      <c r="G281" s="2123"/>
      <c r="H281" s="2123"/>
    </row>
    <row r="282" spans="1:8">
      <c r="A282" s="2124" t="s">
        <v>723</v>
      </c>
      <c r="B282" s="2123"/>
      <c r="C282" s="2123"/>
      <c r="D282" s="2123"/>
      <c r="E282" s="2123"/>
      <c r="F282" s="2123"/>
      <c r="G282" s="2123"/>
      <c r="H282" s="2123"/>
    </row>
    <row r="283" spans="1:8">
      <c r="A283" s="2124" t="s">
        <v>724</v>
      </c>
      <c r="B283" s="2123"/>
      <c r="C283" s="2123"/>
      <c r="D283" s="2123"/>
      <c r="E283" s="2123"/>
      <c r="F283" s="2123"/>
      <c r="G283" s="2123"/>
      <c r="H283" s="2123"/>
    </row>
    <row r="284" spans="1:8">
      <c r="A284" s="2124" t="s">
        <v>725</v>
      </c>
      <c r="B284" s="2123"/>
      <c r="C284" s="2123"/>
      <c r="D284" s="2123"/>
      <c r="E284" s="2123"/>
      <c r="F284" s="2123"/>
      <c r="G284" s="2123"/>
      <c r="H284" s="2123"/>
    </row>
    <row r="285" spans="1:8">
      <c r="A285" s="2124" t="s">
        <v>726</v>
      </c>
      <c r="B285" s="2123"/>
      <c r="C285" s="2123"/>
      <c r="D285" s="2123"/>
      <c r="E285" s="2123"/>
      <c r="F285" s="2123"/>
      <c r="G285" s="2123"/>
      <c r="H285" s="2123"/>
    </row>
    <row r="286" spans="1:8">
      <c r="A286" s="2124" t="s">
        <v>727</v>
      </c>
      <c r="B286" s="2123"/>
      <c r="C286" s="2123"/>
      <c r="D286" s="2123"/>
      <c r="E286" s="2123"/>
      <c r="F286" s="2123"/>
      <c r="G286" s="2123"/>
      <c r="H286" s="2123"/>
    </row>
    <row r="287" spans="1:8">
      <c r="A287" s="2123"/>
      <c r="B287" s="2123"/>
      <c r="C287" s="2123"/>
      <c r="D287" s="2123"/>
      <c r="E287" s="2123"/>
      <c r="F287" s="2123"/>
      <c r="G287" s="2123"/>
      <c r="H287" s="2123"/>
    </row>
    <row r="288" spans="1:8">
      <c r="A288" s="2124" t="s">
        <v>718</v>
      </c>
      <c r="B288" s="2123"/>
      <c r="C288" s="2123"/>
      <c r="D288" s="2123"/>
      <c r="E288" s="2123"/>
      <c r="F288" s="2123"/>
      <c r="G288" s="2123"/>
      <c r="H288" s="2123"/>
    </row>
    <row r="289" spans="1:8">
      <c r="A289" s="2124" t="s">
        <v>719</v>
      </c>
      <c r="B289" s="2123"/>
      <c r="C289" s="2123"/>
      <c r="D289" s="2123"/>
      <c r="E289" s="2123"/>
      <c r="F289" s="2123"/>
      <c r="G289" s="2123"/>
      <c r="H289" s="2123"/>
    </row>
    <row r="290" spans="1:8">
      <c r="A290" s="2124" t="s">
        <v>720</v>
      </c>
      <c r="B290" s="2123"/>
      <c r="C290" s="2123"/>
      <c r="D290" s="2123"/>
      <c r="E290" s="2123"/>
      <c r="F290" s="2123"/>
      <c r="G290" s="2123"/>
      <c r="H290" s="2123"/>
    </row>
    <row r="291" spans="1:8">
      <c r="A291" s="2123"/>
      <c r="B291" s="2123"/>
      <c r="C291" s="2123"/>
      <c r="D291" s="2123"/>
      <c r="E291" s="2123"/>
      <c r="F291" s="2123"/>
      <c r="G291" s="2123"/>
      <c r="H291" s="2123"/>
    </row>
    <row r="292" spans="1:8">
      <c r="A292" s="2124" t="s">
        <v>716</v>
      </c>
      <c r="B292" s="2123"/>
      <c r="C292" s="2123"/>
      <c r="D292" s="2123"/>
      <c r="E292" s="2123"/>
      <c r="F292" s="2123"/>
      <c r="G292" s="2123"/>
      <c r="H292" s="2123"/>
    </row>
    <row r="293" spans="1:8">
      <c r="A293" s="2124" t="s">
        <v>717</v>
      </c>
      <c r="B293" s="2123"/>
      <c r="C293" s="2123"/>
      <c r="D293" s="2123"/>
      <c r="E293" s="2123"/>
      <c r="F293" s="2123"/>
      <c r="G293" s="2123"/>
      <c r="H293" s="2123"/>
    </row>
    <row r="294" spans="1:8">
      <c r="A294" s="2123"/>
      <c r="B294" s="2123"/>
      <c r="C294" s="2123"/>
      <c r="D294" s="2123"/>
      <c r="E294" s="2123"/>
      <c r="F294" s="2123"/>
      <c r="G294" s="2123"/>
      <c r="H294" s="2123"/>
    </row>
    <row r="295" spans="1:8">
      <c r="A295" s="2124" t="s">
        <v>703</v>
      </c>
      <c r="B295" s="2123"/>
      <c r="C295" s="2123"/>
      <c r="D295" s="2123"/>
      <c r="E295" s="2123"/>
      <c r="F295" s="2123"/>
      <c r="G295" s="2123"/>
      <c r="H295" s="2123"/>
    </row>
    <row r="296" spans="1:8">
      <c r="A296" s="2124" t="s">
        <v>704</v>
      </c>
      <c r="B296" s="2123"/>
      <c r="C296" s="2123"/>
      <c r="D296" s="2123"/>
      <c r="E296" s="2123"/>
      <c r="F296" s="2123"/>
      <c r="G296" s="2123"/>
      <c r="H296" s="2123"/>
    </row>
    <row r="297" spans="1:8">
      <c r="A297" s="2124" t="s">
        <v>705</v>
      </c>
      <c r="B297" s="2123"/>
      <c r="C297" s="2123"/>
      <c r="D297" s="2123"/>
      <c r="E297" s="2123"/>
      <c r="F297" s="2123"/>
      <c r="G297" s="2123"/>
      <c r="H297" s="2123"/>
    </row>
    <row r="298" spans="1:8">
      <c r="A298" s="2124" t="s">
        <v>706</v>
      </c>
      <c r="B298" s="2123"/>
      <c r="C298" s="2123"/>
      <c r="D298" s="2123"/>
      <c r="E298" s="2123"/>
      <c r="F298" s="2123"/>
      <c r="G298" s="2123"/>
      <c r="H298" s="2123"/>
    </row>
    <row r="299" spans="1:8">
      <c r="A299" s="2124" t="s">
        <v>707</v>
      </c>
      <c r="B299" s="2123"/>
      <c r="C299" s="2123"/>
      <c r="D299" s="2123"/>
      <c r="E299" s="2123"/>
      <c r="F299" s="2123"/>
      <c r="G299" s="2123"/>
      <c r="H299" s="2123"/>
    </row>
    <row r="300" spans="1:8">
      <c r="A300" s="2124" t="s">
        <v>708</v>
      </c>
      <c r="B300" s="2123"/>
      <c r="C300" s="2123"/>
      <c r="D300" s="2123"/>
      <c r="E300" s="2123"/>
      <c r="F300" s="2123"/>
      <c r="G300" s="2123"/>
      <c r="H300" s="2123"/>
    </row>
    <row r="301" spans="1:8">
      <c r="A301" s="2124" t="s">
        <v>709</v>
      </c>
      <c r="B301" s="2123"/>
      <c r="C301" s="2123"/>
      <c r="D301" s="2123"/>
      <c r="E301" s="2123"/>
      <c r="F301" s="2123"/>
      <c r="G301" s="2123"/>
      <c r="H301" s="2123"/>
    </row>
    <row r="302" spans="1:8">
      <c r="A302" s="2124" t="s">
        <v>710</v>
      </c>
      <c r="B302" s="2123"/>
      <c r="C302" s="2123"/>
      <c r="D302" s="2123"/>
      <c r="E302" s="2123"/>
      <c r="F302" s="2123"/>
      <c r="G302" s="2123"/>
      <c r="H302" s="2123"/>
    </row>
    <row r="303" spans="1:8">
      <c r="A303" s="2124" t="s">
        <v>711</v>
      </c>
      <c r="B303" s="2123"/>
      <c r="C303" s="2123"/>
      <c r="D303" s="2123"/>
      <c r="E303" s="2123"/>
      <c r="F303" s="2123"/>
      <c r="G303" s="2123"/>
      <c r="H303" s="2123"/>
    </row>
    <row r="304" spans="1:8">
      <c r="A304" s="2124" t="s">
        <v>712</v>
      </c>
      <c r="B304" s="2123"/>
      <c r="C304" s="2123"/>
      <c r="D304" s="2123"/>
      <c r="E304" s="2123"/>
      <c r="F304" s="2123"/>
      <c r="G304" s="2123"/>
      <c r="H304" s="2123"/>
    </row>
    <row r="305" spans="1:8">
      <c r="A305" s="2124" t="s">
        <v>713</v>
      </c>
      <c r="B305" s="2123"/>
      <c r="C305" s="2123"/>
      <c r="D305" s="2123"/>
      <c r="E305" s="2123"/>
      <c r="F305" s="2123"/>
      <c r="G305" s="2123"/>
      <c r="H305" s="2123"/>
    </row>
    <row r="306" spans="1:8">
      <c r="A306" s="2124" t="s">
        <v>714</v>
      </c>
      <c r="B306" s="2123"/>
      <c r="C306" s="2123"/>
      <c r="D306" s="2123"/>
      <c r="E306" s="2123"/>
      <c r="F306" s="2123"/>
      <c r="G306" s="2123"/>
      <c r="H306" s="2123"/>
    </row>
    <row r="307" spans="1:8">
      <c r="A307" s="2124" t="s">
        <v>715</v>
      </c>
      <c r="B307" s="2123"/>
      <c r="C307" s="2123"/>
      <c r="D307" s="2123"/>
      <c r="E307" s="2123"/>
      <c r="F307" s="2123"/>
      <c r="G307" s="2123"/>
      <c r="H307" s="2123"/>
    </row>
    <row r="308" spans="1:8">
      <c r="A308" s="2123"/>
      <c r="B308" s="2123"/>
      <c r="C308" s="2123"/>
      <c r="D308" s="2123"/>
      <c r="E308" s="2123"/>
      <c r="F308" s="2123"/>
      <c r="G308" s="2123"/>
      <c r="H308" s="2123"/>
    </row>
    <row r="309" spans="1:8">
      <c r="A309" s="2124" t="s">
        <v>695</v>
      </c>
      <c r="B309" s="2123"/>
      <c r="C309" s="2123"/>
      <c r="D309" s="2123"/>
      <c r="E309" s="2123"/>
      <c r="F309" s="2123"/>
      <c r="G309" s="2123"/>
      <c r="H309" s="2123"/>
    </row>
    <row r="310" spans="1:8">
      <c r="A310" s="2124" t="s">
        <v>696</v>
      </c>
      <c r="B310" s="2123"/>
      <c r="C310" s="2123"/>
      <c r="D310" s="2123"/>
      <c r="E310" s="2123"/>
      <c r="F310" s="2123"/>
      <c r="G310" s="2123"/>
      <c r="H310" s="2123"/>
    </row>
    <row r="311" spans="1:8">
      <c r="A311" s="2124" t="s">
        <v>697</v>
      </c>
      <c r="B311" s="2123"/>
      <c r="C311" s="2123"/>
      <c r="D311" s="2123"/>
      <c r="E311" s="2123"/>
      <c r="F311" s="2123"/>
      <c r="G311" s="2123"/>
      <c r="H311" s="2123"/>
    </row>
    <row r="312" spans="1:8">
      <c r="A312" s="2124" t="s">
        <v>698</v>
      </c>
      <c r="B312" s="2123"/>
      <c r="C312" s="2123"/>
      <c r="D312" s="2123"/>
      <c r="E312" s="2123"/>
      <c r="F312" s="2123"/>
      <c r="G312" s="2123"/>
      <c r="H312" s="2123"/>
    </row>
    <row r="313" spans="1:8">
      <c r="A313" s="2124" t="s">
        <v>699</v>
      </c>
      <c r="B313" s="2123"/>
      <c r="C313" s="2123"/>
      <c r="D313" s="2123"/>
      <c r="E313" s="2123"/>
      <c r="F313" s="2123"/>
      <c r="G313" s="2123"/>
      <c r="H313" s="2123"/>
    </row>
    <row r="314" spans="1:8">
      <c r="A314" s="2124" t="s">
        <v>700</v>
      </c>
      <c r="B314" s="2123"/>
      <c r="C314" s="2123"/>
      <c r="D314" s="2123"/>
      <c r="E314" s="2123"/>
      <c r="F314" s="2123"/>
      <c r="G314" s="2123"/>
      <c r="H314" s="2123"/>
    </row>
    <row r="315" spans="1:8">
      <c r="A315" s="2124" t="s">
        <v>701</v>
      </c>
      <c r="B315" s="2123"/>
      <c r="C315" s="2123"/>
      <c r="D315" s="2123"/>
      <c r="E315" s="2123"/>
      <c r="F315" s="2123"/>
      <c r="G315" s="2123"/>
      <c r="H315" s="2123"/>
    </row>
    <row r="316" spans="1:8">
      <c r="A316" s="2124" t="s">
        <v>702</v>
      </c>
      <c r="B316" s="2123"/>
      <c r="C316" s="2123"/>
      <c r="D316" s="2123"/>
      <c r="E316" s="2123"/>
      <c r="F316" s="2123"/>
      <c r="G316" s="2123"/>
      <c r="H316" s="2123"/>
    </row>
    <row r="317" spans="1:8">
      <c r="A317" s="2123"/>
      <c r="B317" s="2123"/>
      <c r="C317" s="2123"/>
      <c r="D317" s="2123"/>
      <c r="E317" s="2123"/>
      <c r="F317" s="2123"/>
      <c r="G317" s="2123"/>
      <c r="H317" s="2123"/>
    </row>
    <row r="318" spans="1:8">
      <c r="A318" s="2124" t="s">
        <v>660</v>
      </c>
      <c r="B318" s="2123"/>
      <c r="C318" s="2123"/>
      <c r="D318" s="2123"/>
      <c r="E318" s="2123"/>
      <c r="F318" s="2123"/>
      <c r="G318" s="2123"/>
      <c r="H318" s="2123"/>
    </row>
    <row r="319" spans="1:8">
      <c r="A319" s="2124" t="s">
        <v>661</v>
      </c>
      <c r="B319" s="2123"/>
      <c r="C319" s="2123"/>
      <c r="D319" s="2123"/>
      <c r="E319" s="2123"/>
      <c r="F319" s="2123"/>
      <c r="G319" s="2123"/>
      <c r="H319" s="2123"/>
    </row>
    <row r="320" spans="1:8">
      <c r="A320" s="2124" t="s">
        <v>662</v>
      </c>
      <c r="B320" s="2123"/>
      <c r="C320" s="2123"/>
      <c r="D320" s="2123"/>
      <c r="E320" s="2123"/>
      <c r="F320" s="2123"/>
      <c r="G320" s="2123"/>
      <c r="H320" s="2123"/>
    </row>
    <row r="321" spans="1:8">
      <c r="A321" s="2124" t="s">
        <v>663</v>
      </c>
      <c r="B321" s="2123"/>
      <c r="C321" s="2123"/>
      <c r="D321" s="2123"/>
      <c r="E321" s="2123"/>
      <c r="F321" s="2123"/>
      <c r="G321" s="2123"/>
      <c r="H321" s="2123"/>
    </row>
    <row r="322" spans="1:8">
      <c r="A322" s="2124" t="s">
        <v>664</v>
      </c>
      <c r="B322" s="2123"/>
      <c r="C322" s="2123"/>
      <c r="D322" s="2123"/>
      <c r="E322" s="2123"/>
      <c r="F322" s="2123"/>
      <c r="G322" s="2123"/>
      <c r="H322" s="2123"/>
    </row>
    <row r="323" spans="1:8">
      <c r="A323" s="2124" t="s">
        <v>665</v>
      </c>
      <c r="B323" s="2123"/>
      <c r="C323" s="2123"/>
      <c r="D323" s="2123"/>
      <c r="E323" s="2123"/>
      <c r="F323" s="2123"/>
      <c r="G323" s="2123"/>
      <c r="H323" s="2123"/>
    </row>
    <row r="324" spans="1:8">
      <c r="A324" s="2124" t="s">
        <v>666</v>
      </c>
      <c r="B324" s="2123"/>
      <c r="C324" s="2123"/>
      <c r="D324" s="2123"/>
      <c r="E324" s="2123"/>
      <c r="F324" s="2123"/>
      <c r="G324" s="2123"/>
      <c r="H324" s="2123"/>
    </row>
    <row r="325" spans="1:8">
      <c r="A325" s="2124" t="s">
        <v>667</v>
      </c>
      <c r="B325" s="2123"/>
      <c r="C325" s="2123"/>
      <c r="D325" s="2123"/>
      <c r="E325" s="2123"/>
      <c r="F325" s="2123"/>
      <c r="G325" s="2123"/>
      <c r="H325" s="2123"/>
    </row>
    <row r="326" spans="1:8">
      <c r="A326" s="2124" t="s">
        <v>668</v>
      </c>
      <c r="B326" s="2123"/>
      <c r="C326" s="2123"/>
      <c r="D326" s="2123"/>
      <c r="E326" s="2123"/>
      <c r="F326" s="2123"/>
      <c r="G326" s="2123"/>
      <c r="H326" s="2123"/>
    </row>
    <row r="327" spans="1:8">
      <c r="A327" s="2124" t="s">
        <v>669</v>
      </c>
      <c r="B327" s="2123"/>
      <c r="C327" s="2123"/>
      <c r="D327" s="2123"/>
      <c r="E327" s="2123"/>
      <c r="F327" s="2123"/>
      <c r="G327" s="2123"/>
      <c r="H327" s="2123"/>
    </row>
    <row r="328" spans="1:8">
      <c r="A328" s="2124" t="s">
        <v>670</v>
      </c>
      <c r="B328" s="2123"/>
      <c r="C328" s="2123"/>
      <c r="D328" s="2123"/>
      <c r="E328" s="2123"/>
      <c r="F328" s="2123"/>
      <c r="G328" s="2123"/>
      <c r="H328" s="2123"/>
    </row>
    <row r="329" spans="1:8">
      <c r="A329" s="2124" t="s">
        <v>671</v>
      </c>
      <c r="B329" s="2123"/>
      <c r="C329" s="2123"/>
      <c r="D329" s="2123"/>
      <c r="E329" s="2123"/>
      <c r="F329" s="2123"/>
      <c r="G329" s="2123"/>
      <c r="H329" s="2123"/>
    </row>
    <row r="330" spans="1:8">
      <c r="A330" s="2124" t="s">
        <v>672</v>
      </c>
      <c r="B330" s="2123"/>
      <c r="C330" s="2123"/>
      <c r="D330" s="2123"/>
      <c r="E330" s="2123"/>
      <c r="F330" s="2123"/>
      <c r="G330" s="2123"/>
      <c r="H330" s="2123"/>
    </row>
    <row r="331" spans="1:8">
      <c r="A331" s="2124" t="s">
        <v>673</v>
      </c>
      <c r="B331" s="2123"/>
      <c r="C331" s="2123"/>
      <c r="D331" s="2123"/>
      <c r="E331" s="2123"/>
      <c r="F331" s="2123"/>
      <c r="G331" s="2123"/>
      <c r="H331" s="2123"/>
    </row>
    <row r="332" spans="1:8">
      <c r="A332" s="2124" t="s">
        <v>674</v>
      </c>
      <c r="B332" s="2123"/>
      <c r="C332" s="2123"/>
      <c r="D332" s="2123"/>
      <c r="E332" s="2123"/>
      <c r="F332" s="2123"/>
      <c r="G332" s="2123"/>
      <c r="H332" s="2123"/>
    </row>
    <row r="333" spans="1:8">
      <c r="A333" s="2124" t="s">
        <v>675</v>
      </c>
      <c r="B333" s="2123"/>
      <c r="C333" s="2123"/>
      <c r="D333" s="2123"/>
      <c r="E333" s="2123"/>
      <c r="F333" s="2123"/>
      <c r="G333" s="2123"/>
      <c r="H333" s="2123"/>
    </row>
    <row r="334" spans="1:8">
      <c r="A334" s="2124" t="s">
        <v>676</v>
      </c>
      <c r="B334" s="2123"/>
      <c r="C334" s="2123"/>
      <c r="D334" s="2123"/>
      <c r="E334" s="2123"/>
      <c r="F334" s="2123"/>
      <c r="G334" s="2123"/>
      <c r="H334" s="2123"/>
    </row>
    <row r="335" spans="1:8">
      <c r="A335" s="2124" t="s">
        <v>677</v>
      </c>
      <c r="B335" s="2123"/>
      <c r="C335" s="2123"/>
      <c r="D335" s="2123"/>
      <c r="E335" s="2123"/>
      <c r="F335" s="2123"/>
      <c r="G335" s="2123"/>
      <c r="H335" s="2123"/>
    </row>
    <row r="336" spans="1:8">
      <c r="A336" s="2124" t="s">
        <v>678</v>
      </c>
      <c r="B336" s="2123"/>
      <c r="C336" s="2123"/>
      <c r="D336" s="2123"/>
      <c r="E336" s="2123"/>
      <c r="F336" s="2123"/>
      <c r="G336" s="2123"/>
      <c r="H336" s="2123"/>
    </row>
    <row r="337" spans="1:8">
      <c r="A337" s="2124" t="s">
        <v>679</v>
      </c>
      <c r="B337" s="2123"/>
      <c r="C337" s="2123"/>
      <c r="D337" s="2123"/>
      <c r="E337" s="2123"/>
      <c r="F337" s="2123"/>
      <c r="G337" s="2123"/>
      <c r="H337" s="2123"/>
    </row>
    <row r="338" spans="1:8">
      <c r="A338" s="2124" t="s">
        <v>680</v>
      </c>
      <c r="B338" s="2123"/>
      <c r="C338" s="2123"/>
      <c r="D338" s="2123"/>
      <c r="E338" s="2123"/>
      <c r="F338" s="2123"/>
      <c r="G338" s="2123"/>
      <c r="H338" s="2123"/>
    </row>
    <row r="339" spans="1:8">
      <c r="A339" s="2124" t="s">
        <v>681</v>
      </c>
      <c r="B339" s="2123"/>
      <c r="C339" s="2123"/>
      <c r="D339" s="2123"/>
      <c r="E339" s="2123"/>
      <c r="F339" s="2123"/>
      <c r="G339" s="2123"/>
      <c r="H339" s="2123"/>
    </row>
    <row r="340" spans="1:8">
      <c r="A340" s="2124" t="s">
        <v>682</v>
      </c>
      <c r="B340" s="2123"/>
      <c r="C340" s="2123"/>
      <c r="D340" s="2123"/>
      <c r="E340" s="2123"/>
      <c r="F340" s="2123"/>
      <c r="G340" s="2123"/>
      <c r="H340" s="2123"/>
    </row>
    <row r="341" spans="1:8">
      <c r="A341" s="2124" t="s">
        <v>683</v>
      </c>
      <c r="B341" s="2123"/>
      <c r="C341" s="2123"/>
      <c r="D341" s="2123"/>
      <c r="E341" s="2123"/>
      <c r="F341" s="2123"/>
      <c r="G341" s="2123"/>
      <c r="H341" s="2123"/>
    </row>
    <row r="342" spans="1:8">
      <c r="A342" s="2124" t="s">
        <v>684</v>
      </c>
      <c r="B342" s="2123"/>
      <c r="C342" s="2123"/>
      <c r="D342" s="2123"/>
      <c r="E342" s="2123"/>
      <c r="F342" s="2123"/>
      <c r="G342" s="2123"/>
      <c r="H342" s="2123"/>
    </row>
    <row r="343" spans="1:8">
      <c r="A343" s="2124" t="s">
        <v>685</v>
      </c>
      <c r="B343" s="2123"/>
      <c r="C343" s="2123"/>
      <c r="D343" s="2123"/>
      <c r="E343" s="2123"/>
      <c r="F343" s="2123"/>
      <c r="G343" s="2123"/>
      <c r="H343" s="2123"/>
    </row>
    <row r="344" spans="1:8">
      <c r="A344" s="2124" t="s">
        <v>686</v>
      </c>
      <c r="B344" s="2123"/>
      <c r="C344" s="2123"/>
      <c r="D344" s="2123"/>
      <c r="E344" s="2123"/>
      <c r="F344" s="2123"/>
      <c r="G344" s="2123"/>
      <c r="H344" s="2123"/>
    </row>
    <row r="345" spans="1:8">
      <c r="A345" s="2124" t="s">
        <v>687</v>
      </c>
      <c r="B345" s="2123"/>
      <c r="C345" s="2123"/>
      <c r="D345" s="2123"/>
      <c r="E345" s="2123"/>
      <c r="F345" s="2123"/>
      <c r="G345" s="2123"/>
      <c r="H345" s="2123"/>
    </row>
    <row r="346" spans="1:8">
      <c r="A346" s="2124" t="s">
        <v>688</v>
      </c>
      <c r="B346" s="2123"/>
      <c r="C346" s="2123"/>
      <c r="D346" s="2123"/>
      <c r="E346" s="2123"/>
      <c r="F346" s="2123"/>
      <c r="G346" s="2123"/>
      <c r="H346" s="2123"/>
    </row>
    <row r="347" spans="1:8">
      <c r="A347" s="2124" t="s">
        <v>689</v>
      </c>
      <c r="B347" s="2123"/>
      <c r="C347" s="2123"/>
      <c r="D347" s="2123"/>
      <c r="E347" s="2123"/>
      <c r="F347" s="2123"/>
      <c r="G347" s="2123"/>
      <c r="H347" s="2123"/>
    </row>
    <row r="348" spans="1:8">
      <c r="A348" s="2124" t="s">
        <v>690</v>
      </c>
      <c r="B348" s="2123"/>
      <c r="C348" s="2123"/>
      <c r="D348" s="2123"/>
      <c r="E348" s="2123"/>
      <c r="F348" s="2123"/>
      <c r="G348" s="2123"/>
      <c r="H348" s="2123"/>
    </row>
    <row r="349" spans="1:8">
      <c r="A349" s="2124" t="s">
        <v>691</v>
      </c>
      <c r="B349" s="2123"/>
      <c r="C349" s="2123"/>
      <c r="D349" s="2123"/>
      <c r="E349" s="2123"/>
      <c r="F349" s="2123"/>
      <c r="G349" s="2123"/>
      <c r="H349" s="2123"/>
    </row>
    <row r="350" spans="1:8">
      <c r="A350" s="2124" t="s">
        <v>692</v>
      </c>
      <c r="B350" s="2123"/>
      <c r="C350" s="2123"/>
      <c r="D350" s="2123"/>
      <c r="E350" s="2123"/>
      <c r="F350" s="2123"/>
      <c r="G350" s="2123"/>
      <c r="H350" s="2123"/>
    </row>
    <row r="351" spans="1:8">
      <c r="A351" s="2124" t="s">
        <v>693</v>
      </c>
      <c r="B351" s="2123"/>
      <c r="C351" s="2123"/>
      <c r="D351" s="2123"/>
      <c r="E351" s="2123"/>
      <c r="F351" s="2123"/>
      <c r="G351" s="2123"/>
      <c r="H351" s="2123"/>
    </row>
    <row r="352" spans="1:8">
      <c r="A352" s="2124" t="s">
        <v>694</v>
      </c>
      <c r="B352" s="2123"/>
      <c r="C352" s="2123"/>
      <c r="D352" s="2123"/>
      <c r="E352" s="2123"/>
      <c r="F352" s="2123"/>
      <c r="G352" s="2123"/>
      <c r="H352" s="2123"/>
    </row>
    <row r="353" spans="1:8">
      <c r="A353" s="2123"/>
      <c r="B353" s="2123"/>
      <c r="C353" s="2123"/>
      <c r="D353" s="2123"/>
      <c r="E353" s="2123"/>
      <c r="F353" s="2123"/>
      <c r="G353" s="2123"/>
      <c r="H353" s="2123"/>
    </row>
    <row r="354" spans="1:8">
      <c r="A354" s="2124" t="s">
        <v>652</v>
      </c>
      <c r="B354" s="2123"/>
      <c r="C354" s="2123"/>
      <c r="D354" s="2123"/>
      <c r="E354" s="2123"/>
      <c r="F354" s="2123"/>
      <c r="G354" s="2123"/>
      <c r="H354" s="2123"/>
    </row>
    <row r="355" spans="1:8">
      <c r="A355" s="2124" t="s">
        <v>656</v>
      </c>
      <c r="B355" s="2123"/>
      <c r="C355" s="2123"/>
      <c r="D355" s="2123"/>
      <c r="E355" s="2123"/>
      <c r="F355" s="2123"/>
      <c r="G355" s="2123"/>
      <c r="H355" s="2123"/>
    </row>
    <row r="356" spans="1:8">
      <c r="A356" s="2124" t="s">
        <v>657</v>
      </c>
      <c r="B356" s="2123"/>
      <c r="C356" s="2123"/>
      <c r="D356" s="2123"/>
      <c r="E356" s="2123"/>
      <c r="F356" s="2123"/>
      <c r="G356" s="2123"/>
      <c r="H356" s="2123"/>
    </row>
    <row r="357" spans="1:8">
      <c r="A357" s="2124" t="s">
        <v>658</v>
      </c>
      <c r="B357" s="2123"/>
      <c r="C357" s="2123"/>
      <c r="D357" s="2123"/>
      <c r="E357" s="2123"/>
      <c r="F357" s="2123"/>
      <c r="G357" s="2123"/>
      <c r="H357" s="2123"/>
    </row>
    <row r="358" spans="1:8">
      <c r="A358" s="2124" t="s">
        <v>659</v>
      </c>
      <c r="B358" s="2123"/>
      <c r="C358" s="2123"/>
      <c r="D358" s="2123"/>
      <c r="E358" s="2123"/>
      <c r="F358" s="2123"/>
      <c r="G358" s="2123"/>
      <c r="H358" s="2123"/>
    </row>
    <row r="359" spans="1:8">
      <c r="A359" s="2123"/>
      <c r="B359" s="2123"/>
      <c r="C359" s="2123"/>
      <c r="D359" s="2123"/>
      <c r="E359" s="2123"/>
      <c r="F359" s="2123"/>
      <c r="G359" s="2123"/>
      <c r="H359" s="2123"/>
    </row>
    <row r="360" spans="1:8">
      <c r="A360" s="2124" t="s">
        <v>652</v>
      </c>
      <c r="B360" s="2123"/>
      <c r="C360" s="2123"/>
      <c r="D360" s="2123"/>
      <c r="E360" s="2123"/>
      <c r="F360" s="2123"/>
      <c r="G360" s="2123"/>
      <c r="H360" s="2123"/>
    </row>
    <row r="361" spans="1:8">
      <c r="A361" s="2124" t="s">
        <v>653</v>
      </c>
      <c r="B361" s="2123"/>
      <c r="C361" s="2123"/>
      <c r="D361" s="2123"/>
      <c r="E361" s="2123"/>
      <c r="F361" s="2123"/>
      <c r="G361" s="2123"/>
      <c r="H361" s="2123"/>
    </row>
    <row r="362" spans="1:8">
      <c r="A362" s="2124" t="s">
        <v>654</v>
      </c>
      <c r="B362" s="2123"/>
      <c r="C362" s="2123"/>
      <c r="D362" s="2123"/>
      <c r="E362" s="2123"/>
      <c r="F362" s="2123"/>
      <c r="G362" s="2123"/>
      <c r="H362" s="2123"/>
    </row>
    <row r="363" spans="1:8">
      <c r="A363" s="2124" t="s">
        <v>655</v>
      </c>
      <c r="B363" s="2123"/>
      <c r="C363" s="2123"/>
      <c r="D363" s="2123"/>
      <c r="E363" s="2123"/>
      <c r="F363" s="2123"/>
      <c r="G363" s="2123"/>
      <c r="H363" s="2123"/>
    </row>
    <row r="364" spans="1:8">
      <c r="A364" s="2123"/>
      <c r="B364" s="2123"/>
      <c r="C364" s="2123"/>
      <c r="D364" s="2123"/>
      <c r="E364" s="2123"/>
      <c r="F364" s="2123"/>
      <c r="G364" s="2123"/>
      <c r="H364" s="2123"/>
    </row>
    <row r="365" spans="1:8">
      <c r="A365" s="2124" t="s">
        <v>646</v>
      </c>
      <c r="B365" s="2123"/>
      <c r="C365" s="2123"/>
      <c r="D365" s="2123"/>
      <c r="E365" s="2123"/>
      <c r="F365" s="2123"/>
      <c r="G365" s="2123"/>
      <c r="H365" s="2123"/>
    </row>
    <row r="366" spans="1:8">
      <c r="A366" s="2124" t="s">
        <v>647</v>
      </c>
      <c r="B366" s="2123"/>
      <c r="C366" s="2123"/>
      <c r="D366" s="2123"/>
      <c r="E366" s="2123"/>
      <c r="F366" s="2123"/>
      <c r="G366" s="2123"/>
      <c r="H366" s="2123"/>
    </row>
    <row r="367" spans="1:8">
      <c r="A367" s="2124" t="s">
        <v>648</v>
      </c>
      <c r="B367" s="2123"/>
      <c r="C367" s="2123"/>
      <c r="D367" s="2123"/>
      <c r="E367" s="2123"/>
      <c r="F367" s="2123"/>
      <c r="G367" s="2123"/>
      <c r="H367" s="2123"/>
    </row>
    <row r="368" spans="1:8">
      <c r="A368" s="2124" t="s">
        <v>649</v>
      </c>
      <c r="B368" s="2123"/>
      <c r="C368" s="2123"/>
      <c r="D368" s="2123"/>
      <c r="E368" s="2123"/>
      <c r="F368" s="2123"/>
      <c r="G368" s="2123"/>
      <c r="H368" s="2123"/>
    </row>
    <row r="369" spans="1:8">
      <c r="A369" s="2124" t="s">
        <v>650</v>
      </c>
      <c r="B369" s="2123"/>
      <c r="C369" s="2123"/>
      <c r="D369" s="2123"/>
      <c r="E369" s="2123"/>
      <c r="F369" s="2123"/>
      <c r="G369" s="2123"/>
      <c r="H369" s="2123"/>
    </row>
    <row r="370" spans="1:8">
      <c r="A370" s="2124" t="s">
        <v>651</v>
      </c>
      <c r="B370" s="2123"/>
      <c r="C370" s="2123"/>
      <c r="D370" s="2123"/>
      <c r="E370" s="2123"/>
      <c r="F370" s="2123"/>
      <c r="G370" s="2123"/>
      <c r="H370" s="2123"/>
    </row>
    <row r="371" spans="1:8">
      <c r="A371" s="2123"/>
      <c r="B371" s="2123"/>
      <c r="C371" s="2123"/>
      <c r="D371" s="2123"/>
      <c r="E371" s="2123"/>
      <c r="F371" s="2123"/>
      <c r="G371" s="2123"/>
      <c r="H371" s="2123"/>
    </row>
    <row r="372" spans="1:8">
      <c r="A372" s="2124" t="s">
        <v>641</v>
      </c>
      <c r="B372" s="2123"/>
      <c r="C372" s="2123"/>
      <c r="D372" s="2123"/>
      <c r="E372" s="2123"/>
      <c r="F372" s="2123"/>
      <c r="G372" s="2123"/>
      <c r="H372" s="2123"/>
    </row>
    <row r="373" spans="1:8">
      <c r="A373" s="2124" t="s">
        <v>642</v>
      </c>
      <c r="B373" s="2123"/>
      <c r="C373" s="2123"/>
      <c r="D373" s="2123"/>
      <c r="E373" s="2123"/>
      <c r="F373" s="2123"/>
      <c r="G373" s="2123"/>
      <c r="H373" s="2123"/>
    </row>
    <row r="374" spans="1:8">
      <c r="A374" s="2124" t="s">
        <v>643</v>
      </c>
      <c r="B374" s="2123"/>
      <c r="C374" s="2123"/>
      <c r="D374" s="2123"/>
      <c r="E374" s="2123"/>
      <c r="F374" s="2123"/>
      <c r="G374" s="2123"/>
      <c r="H374" s="2123"/>
    </row>
    <row r="375" spans="1:8">
      <c r="A375" s="2124" t="s">
        <v>644</v>
      </c>
      <c r="B375" s="2123"/>
      <c r="C375" s="2123"/>
      <c r="D375" s="2123"/>
      <c r="E375" s="2123"/>
      <c r="F375" s="2123"/>
      <c r="G375" s="2123"/>
      <c r="H375" s="2123"/>
    </row>
    <row r="376" spans="1:8">
      <c r="A376" s="2124" t="s">
        <v>645</v>
      </c>
      <c r="B376" s="2123"/>
      <c r="C376" s="2123"/>
      <c r="D376" s="2123"/>
      <c r="E376" s="2123"/>
      <c r="F376" s="2123"/>
      <c r="G376" s="2123"/>
      <c r="H376" s="2123"/>
    </row>
    <row r="377" spans="1:8">
      <c r="A377" s="2123"/>
      <c r="B377" s="2123"/>
      <c r="C377" s="2123"/>
      <c r="D377" s="2123"/>
      <c r="E377" s="2123"/>
      <c r="F377" s="2123"/>
      <c r="G377" s="2123"/>
      <c r="H377" s="2123"/>
    </row>
    <row r="378" spans="1:8">
      <c r="A378" s="2124" t="s">
        <v>639</v>
      </c>
      <c r="B378" s="2123"/>
      <c r="C378" s="2123"/>
      <c r="D378" s="2123"/>
      <c r="E378" s="2123"/>
      <c r="F378" s="2123"/>
      <c r="G378" s="2123"/>
      <c r="H378" s="2123"/>
    </row>
    <row r="379" spans="1:8">
      <c r="A379" s="2124" t="s">
        <v>640</v>
      </c>
      <c r="B379" s="2123"/>
      <c r="C379" s="2123"/>
      <c r="D379" s="2123"/>
      <c r="E379" s="2123"/>
      <c r="F379" s="2123"/>
      <c r="G379" s="2123"/>
      <c r="H379" s="2123"/>
    </row>
    <row r="381" spans="1:8">
      <c r="A381" s="2119" t="s">
        <v>888</v>
      </c>
    </row>
  </sheetData>
  <mergeCells count="12">
    <mergeCell ref="A122:H122"/>
    <mergeCell ref="A123:H123"/>
    <mergeCell ref="B115:C115"/>
    <mergeCell ref="D115:F115"/>
    <mergeCell ref="G115:H115"/>
    <mergeCell ref="A101:H101"/>
    <mergeCell ref="A102:H102"/>
    <mergeCell ref="A103:H103"/>
    <mergeCell ref="A104:H104"/>
    <mergeCell ref="A106:H106"/>
    <mergeCell ref="A107:H107"/>
    <mergeCell ref="A114:H114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P4926"/>
  <sheetViews>
    <sheetView zoomScaleNormal="100" workbookViewId="0">
      <pane xSplit="1" ySplit="8" topLeftCell="AK9" activePane="bottomRight" state="frozen"/>
      <selection pane="topRight" activeCell="B1" sqref="B1"/>
      <selection pane="bottomLeft" activeCell="A9" sqref="A9"/>
      <selection pane="bottomRight"/>
    </sheetView>
  </sheetViews>
  <sheetFormatPr defaultRowHeight="12.75" outlineLevelRow="1" outlineLevelCol="1"/>
  <cols>
    <col min="1" max="1" width="26.7109375" customWidth="1"/>
    <col min="2" max="2" width="1.28515625" style="42" hidden="1" customWidth="1" outlineLevel="1"/>
    <col min="3" max="7" width="7.28515625" hidden="1" customWidth="1" outlineLevel="1"/>
    <col min="8" max="8" width="0.85546875" hidden="1" customWidth="1" outlineLevel="1"/>
    <col min="9" max="13" width="7.28515625" hidden="1" customWidth="1" outlineLevel="1"/>
    <col min="14" max="14" width="0.85546875" hidden="1" customWidth="1" outlineLevel="1"/>
    <col min="15" max="19" width="7.28515625" hidden="1" customWidth="1" outlineLevel="1"/>
    <col min="20" max="20" width="0.85546875" hidden="1" customWidth="1" outlineLevel="1"/>
    <col min="21" max="25" width="7.28515625" hidden="1" customWidth="1" outlineLevel="1"/>
    <col min="26" max="26" width="0.85546875" hidden="1" customWidth="1" outlineLevel="1"/>
    <col min="27" max="30" width="7.28515625" hidden="1" customWidth="1" outlineLevel="1"/>
    <col min="31" max="31" width="7.28515625" hidden="1" customWidth="1" outlineLevel="1" collapsed="1"/>
    <col min="32" max="32" width="0.85546875" hidden="1" customWidth="1" outlineLevel="1"/>
    <col min="33" max="36" width="7.28515625" hidden="1" customWidth="1" outlineLevel="1"/>
    <col min="37" max="37" width="7.28515625" customWidth="1" collapsed="1"/>
    <col min="38" max="38" width="0.85546875" customWidth="1"/>
    <col min="39" max="42" width="7.28515625" hidden="1" customWidth="1" outlineLevel="1"/>
    <col min="43" max="43" width="7.28515625" customWidth="1" collapsed="1"/>
    <col min="44" max="44" width="0.85546875" customWidth="1"/>
    <col min="45" max="48" width="7.28515625" hidden="1" customWidth="1" outlineLevel="1"/>
    <col min="49" max="49" width="7.28515625" customWidth="1" collapsed="1"/>
    <col min="50" max="50" width="0.85546875" customWidth="1"/>
    <col min="51" max="54" width="7.28515625" hidden="1" customWidth="1" outlineLevel="1"/>
    <col min="55" max="55" width="7.28515625" customWidth="1" collapsed="1"/>
    <col min="56" max="56" width="0.85546875" customWidth="1"/>
    <col min="57" max="59" width="7.7109375" hidden="1" customWidth="1" outlineLevel="1"/>
    <col min="60" max="60" width="7.28515625" hidden="1" customWidth="1" outlineLevel="1"/>
    <col min="61" max="61" width="7.28515625" customWidth="1" collapsed="1"/>
    <col min="62" max="62" width="0.85546875" customWidth="1"/>
    <col min="63" max="66" width="7.28515625" hidden="1" customWidth="1" outlineLevel="1"/>
    <col min="67" max="67" width="7.28515625" customWidth="1" collapsed="1"/>
    <col min="68" max="68" width="0.85546875" customWidth="1"/>
    <col min="69" max="72" width="7.28515625" customWidth="1" outlineLevel="1"/>
    <col min="73" max="73" width="7.28515625" customWidth="1"/>
    <col min="74" max="74" width="0.85546875" customWidth="1"/>
    <col min="75" max="78" width="7.28515625" customWidth="1" outlineLevel="1"/>
    <col min="79" max="79" width="7.28515625" customWidth="1"/>
    <col min="80" max="80" width="0.85546875" customWidth="1"/>
    <col min="81" max="84" width="7.28515625" hidden="1" customWidth="1" outlineLevel="1"/>
    <col min="85" max="85" width="7.28515625" customWidth="1" collapsed="1"/>
    <col min="86" max="86" width="0.85546875" customWidth="1"/>
    <col min="87" max="90" width="7.28515625" hidden="1" customWidth="1" outlineLevel="1"/>
    <col min="91" max="91" width="7.28515625" customWidth="1" collapsed="1"/>
    <col min="92" max="93" width="9.140625" customWidth="1"/>
    <col min="94" max="94" width="27.28515625" hidden="1" customWidth="1" outlineLevel="1"/>
    <col min="95" max="95" width="9.140625" hidden="1" customWidth="1" outlineLevel="1"/>
    <col min="96" max="96" width="12.5703125" hidden="1" customWidth="1" outlineLevel="1"/>
    <col min="97" max="99" width="9.140625" hidden="1" customWidth="1" outlineLevel="1"/>
    <col min="100" max="100" width="9.140625" customWidth="1" collapsed="1"/>
    <col min="101" max="101" width="17.7109375" bestFit="1" customWidth="1"/>
  </cols>
  <sheetData>
    <row r="1" spans="1:99" s="24" customFormat="1">
      <c r="A1" s="345"/>
      <c r="B1" s="346"/>
      <c r="C1" s="346"/>
      <c r="D1" s="346"/>
      <c r="E1" s="346"/>
      <c r="F1" s="346"/>
      <c r="G1" s="347"/>
      <c r="H1" s="346"/>
      <c r="I1" s="348"/>
      <c r="J1" s="348"/>
      <c r="K1" s="348"/>
      <c r="L1" s="348"/>
      <c r="M1" s="347"/>
      <c r="N1" s="346"/>
      <c r="O1" s="348"/>
      <c r="P1" s="348"/>
      <c r="Q1" s="348"/>
      <c r="R1" s="349"/>
      <c r="S1" s="347"/>
      <c r="T1" s="346"/>
      <c r="U1" s="348"/>
      <c r="V1" s="346"/>
      <c r="W1" s="346"/>
      <c r="X1" s="350"/>
      <c r="Y1" s="351"/>
      <c r="Z1" s="352"/>
      <c r="AA1" s="351"/>
      <c r="AB1" s="351"/>
      <c r="AC1" s="351"/>
      <c r="AD1" s="351"/>
      <c r="AE1" s="351"/>
      <c r="AF1" s="346"/>
      <c r="AG1" s="352"/>
      <c r="AH1" s="352"/>
      <c r="AI1" s="352"/>
      <c r="AJ1" s="352"/>
      <c r="AK1" s="351"/>
      <c r="AL1" s="346"/>
      <c r="AM1" s="352"/>
      <c r="AN1" s="352"/>
      <c r="AO1" s="352"/>
      <c r="AP1" s="352"/>
      <c r="AQ1" s="1241"/>
      <c r="AR1" s="346"/>
      <c r="AS1" s="352"/>
      <c r="AT1" s="352"/>
      <c r="AU1" s="352"/>
      <c r="AV1" s="353"/>
      <c r="AW1" s="351"/>
      <c r="AX1" s="346"/>
      <c r="AY1" s="352"/>
      <c r="AZ1" s="352"/>
      <c r="BA1" s="352"/>
      <c r="BB1" s="353"/>
      <c r="BC1" s="351"/>
      <c r="BD1" s="352"/>
      <c r="BE1" s="1697"/>
      <c r="BF1" s="1697"/>
      <c r="BG1" s="1697"/>
      <c r="BH1" s="1215"/>
      <c r="BI1" s="1697"/>
      <c r="BJ1" s="346"/>
      <c r="BK1" s="352"/>
      <c r="BL1" s="352"/>
      <c r="BM1" s="352"/>
      <c r="BN1" s="353"/>
      <c r="BO1" s="351"/>
      <c r="BP1" s="346"/>
      <c r="BQ1" s="352"/>
      <c r="BR1" s="352"/>
      <c r="BS1" s="352"/>
      <c r="BT1" s="353"/>
      <c r="BU1" s="351"/>
      <c r="BV1" s="346"/>
      <c r="BW1" s="352"/>
      <c r="BX1" s="352"/>
      <c r="BY1" s="352"/>
      <c r="BZ1" s="353"/>
      <c r="CA1" s="351"/>
      <c r="CB1" s="346"/>
      <c r="CC1" s="352"/>
      <c r="CD1" s="352"/>
      <c r="CE1" s="352"/>
      <c r="CF1" s="353"/>
      <c r="CG1" s="351"/>
      <c r="CH1" s="346"/>
      <c r="CI1" s="352"/>
      <c r="CJ1" s="352"/>
      <c r="CK1" s="352"/>
      <c r="CL1" s="353"/>
      <c r="CM1" s="351"/>
      <c r="CN1"/>
      <c r="CO1"/>
      <c r="CP1"/>
      <c r="CQ1"/>
      <c r="CR1"/>
      <c r="CS1"/>
      <c r="CT1"/>
      <c r="CU1"/>
    </row>
    <row r="2" spans="1:99" s="24" customFormat="1">
      <c r="A2" s="345" t="s">
        <v>263</v>
      </c>
      <c r="B2" s="346"/>
      <c r="C2" s="346"/>
      <c r="D2" s="346"/>
      <c r="E2" s="346"/>
      <c r="F2" s="346"/>
      <c r="G2" s="347"/>
      <c r="H2" s="346"/>
      <c r="I2" s="348"/>
      <c r="J2" s="348"/>
      <c r="K2" s="348"/>
      <c r="L2" s="348"/>
      <c r="M2" s="347"/>
      <c r="N2" s="346"/>
      <c r="O2" s="348"/>
      <c r="P2" s="348"/>
      <c r="Q2" s="348"/>
      <c r="R2" s="349"/>
      <c r="S2" s="347"/>
      <c r="T2" s="346"/>
      <c r="U2" s="348"/>
      <c r="V2" s="346"/>
      <c r="W2" s="346"/>
      <c r="X2" s="350"/>
      <c r="Y2" s="354"/>
      <c r="Z2" s="355"/>
      <c r="AA2" s="354"/>
      <c r="AB2" s="354"/>
      <c r="AC2" s="354"/>
      <c r="AD2" s="354"/>
      <c r="AE2" s="354"/>
      <c r="AF2" s="346"/>
      <c r="AG2" s="355"/>
      <c r="AH2" s="355"/>
      <c r="AI2" s="355"/>
      <c r="AJ2" s="355"/>
      <c r="AK2" s="354"/>
      <c r="AL2" s="346"/>
      <c r="AM2" s="355"/>
      <c r="AN2" s="355"/>
      <c r="AO2" s="1241"/>
      <c r="AQ2" s="1242"/>
      <c r="AR2" s="1445"/>
      <c r="AS2" s="355"/>
      <c r="AT2" s="355"/>
      <c r="AU2" s="355"/>
      <c r="AV2" s="149"/>
      <c r="AW2" s="354"/>
      <c r="AX2" s="346"/>
      <c r="AY2" s="355"/>
      <c r="AZ2" s="355"/>
      <c r="BA2" s="355"/>
      <c r="BB2" s="149"/>
      <c r="BC2" s="1492"/>
      <c r="BD2" s="355"/>
      <c r="BE2" s="355"/>
      <c r="BF2" s="355"/>
      <c r="BG2" s="355"/>
      <c r="BH2" s="149"/>
      <c r="BI2" s="354"/>
      <c r="BJ2" s="346"/>
      <c r="BK2" s="1770"/>
      <c r="BL2" s="1770"/>
      <c r="BM2" s="1770"/>
      <c r="BN2" s="1770"/>
      <c r="BO2" s="1492"/>
      <c r="BP2" s="346"/>
      <c r="BQ2" s="1770"/>
      <c r="BR2" s="1770"/>
      <c r="BS2" s="1770"/>
      <c r="BT2" s="1770"/>
      <c r="BU2" s="354"/>
      <c r="BV2" s="346"/>
      <c r="BW2" s="1770"/>
      <c r="BX2" s="1770"/>
      <c r="BY2" s="1770"/>
      <c r="BZ2" s="1770"/>
      <c r="CA2" s="354"/>
      <c r="CB2" s="346"/>
      <c r="CC2" s="1770"/>
      <c r="CD2" s="1770"/>
      <c r="CE2" s="1770"/>
      <c r="CF2" s="1770"/>
      <c r="CG2" s="354"/>
      <c r="CH2" s="346"/>
      <c r="CI2" s="1770"/>
      <c r="CJ2" s="1770"/>
      <c r="CK2" s="1770"/>
      <c r="CL2" s="1770"/>
      <c r="CM2" s="354"/>
      <c r="CN2"/>
      <c r="CO2"/>
      <c r="CP2"/>
      <c r="CQ2"/>
      <c r="CR2"/>
      <c r="CS2"/>
      <c r="CT2"/>
      <c r="CU2"/>
    </row>
    <row r="3" spans="1:99" s="24" customFormat="1" ht="13.5" customHeight="1">
      <c r="A3" s="322" t="s">
        <v>48</v>
      </c>
      <c r="B3" s="346"/>
      <c r="C3" s="346"/>
      <c r="D3" s="346"/>
      <c r="E3" s="346"/>
      <c r="F3" s="346"/>
      <c r="G3" s="349"/>
      <c r="H3" s="346"/>
      <c r="I3" s="348"/>
      <c r="J3" s="348"/>
      <c r="K3" s="348"/>
      <c r="L3" s="348"/>
      <c r="M3" s="349"/>
      <c r="N3" s="346"/>
      <c r="O3" s="348"/>
      <c r="P3" s="348"/>
      <c r="Q3" s="93"/>
      <c r="R3" s="93"/>
      <c r="S3" s="349"/>
      <c r="T3" s="346"/>
      <c r="U3" s="93"/>
      <c r="V3" s="346"/>
      <c r="W3" s="93"/>
      <c r="X3" s="93"/>
      <c r="Y3" s="357"/>
      <c r="Z3" s="346"/>
      <c r="AA3" s="346"/>
      <c r="AB3" s="346"/>
      <c r="AC3" s="346"/>
      <c r="AD3" s="356"/>
      <c r="AE3" s="349"/>
      <c r="AF3" s="346"/>
      <c r="AG3" s="349"/>
      <c r="AH3" s="349"/>
      <c r="AI3" s="349"/>
      <c r="AJ3" s="349"/>
      <c r="AK3" s="349"/>
      <c r="AL3" s="346"/>
      <c r="AM3" s="349"/>
      <c r="AN3" s="349"/>
      <c r="AO3" s="349"/>
      <c r="AP3" s="349"/>
      <c r="AQ3" s="349"/>
      <c r="AR3" s="346"/>
      <c r="AS3" s="349"/>
      <c r="AT3" s="349"/>
      <c r="AU3" s="349"/>
      <c r="AV3" s="349"/>
      <c r="AW3" s="349"/>
      <c r="AX3" s="1481"/>
      <c r="AY3" s="349"/>
      <c r="AZ3" s="349"/>
      <c r="BA3" s="349"/>
      <c r="BB3" s="349"/>
      <c r="BC3" s="1493"/>
      <c r="BD3" s="349"/>
      <c r="BE3" s="349"/>
      <c r="BF3" s="1678"/>
      <c r="BG3" s="349"/>
      <c r="BH3" s="349"/>
      <c r="BI3" s="349"/>
      <c r="BJ3" s="346"/>
      <c r="BK3" s="349"/>
      <c r="BL3" s="349"/>
      <c r="BM3" s="349"/>
      <c r="BN3" s="349"/>
      <c r="BO3" s="349"/>
      <c r="BP3" s="346"/>
      <c r="BQ3" s="349"/>
      <c r="BR3" s="349"/>
      <c r="BS3" s="349"/>
      <c r="BT3" s="349"/>
      <c r="BU3" s="349"/>
      <c r="BV3" s="346"/>
      <c r="BW3" s="349"/>
      <c r="BX3" s="349"/>
      <c r="BY3" s="349"/>
      <c r="BZ3" s="349"/>
      <c r="CA3" s="349"/>
      <c r="CB3" s="346"/>
      <c r="CC3" s="349"/>
      <c r="CD3" s="349"/>
      <c r="CE3" s="349"/>
      <c r="CF3" s="349"/>
      <c r="CG3" s="349"/>
      <c r="CH3" s="346"/>
      <c r="CI3" s="349"/>
      <c r="CJ3" s="349"/>
      <c r="CK3" s="349"/>
      <c r="CL3" s="349"/>
      <c r="CM3" s="349"/>
      <c r="CN3"/>
      <c r="CO3"/>
      <c r="CP3"/>
      <c r="CQ3"/>
      <c r="CR3"/>
      <c r="CS3"/>
      <c r="CT3"/>
      <c r="CU3"/>
    </row>
    <row r="4" spans="1:99" s="24" customFormat="1">
      <c r="A4" s="359" t="s">
        <v>167</v>
      </c>
      <c r="B4" s="360"/>
      <c r="C4" s="360"/>
      <c r="D4" s="361"/>
      <c r="E4" s="360"/>
      <c r="F4" s="362"/>
      <c r="G4" s="360"/>
      <c r="H4" s="360"/>
      <c r="I4" s="360"/>
      <c r="J4" s="360"/>
      <c r="K4" s="361"/>
      <c r="L4" s="363"/>
      <c r="M4" s="360"/>
      <c r="N4" s="360"/>
      <c r="O4" s="364"/>
      <c r="P4" s="365"/>
      <c r="Q4" s="365"/>
      <c r="R4" s="366"/>
      <c r="S4" s="367"/>
      <c r="T4" s="360"/>
      <c r="U4" s="360"/>
      <c r="V4" s="362"/>
      <c r="W4" s="361"/>
      <c r="X4" s="360"/>
      <c r="Y4" s="368"/>
      <c r="Z4" s="360"/>
      <c r="AA4" s="365"/>
      <c r="AB4" s="360"/>
      <c r="AC4" s="360"/>
      <c r="AD4" s="360"/>
      <c r="AE4" s="360"/>
      <c r="AF4" s="360"/>
      <c r="AG4" s="360"/>
      <c r="AH4" s="360"/>
      <c r="AI4" s="369"/>
      <c r="AJ4" s="370"/>
      <c r="AK4" s="370"/>
      <c r="AL4" s="360"/>
      <c r="AM4" s="360"/>
      <c r="AN4" s="360"/>
      <c r="AO4" s="360"/>
      <c r="AP4" s="360"/>
      <c r="AQ4" s="370"/>
      <c r="AR4" s="360"/>
      <c r="AS4" s="360"/>
      <c r="AT4" s="360"/>
      <c r="AU4" s="360"/>
      <c r="AV4" s="360"/>
      <c r="AW4" s="1528"/>
      <c r="AX4" s="360"/>
      <c r="AY4" s="360"/>
      <c r="AZ4" s="360"/>
      <c r="BA4" s="360"/>
      <c r="BB4" s="360"/>
      <c r="BC4" s="360"/>
      <c r="BD4" s="360"/>
      <c r="BE4" s="360"/>
      <c r="BF4" s="360"/>
      <c r="BG4" s="360"/>
      <c r="BH4" s="360"/>
      <c r="BI4" s="360"/>
      <c r="BJ4" s="360"/>
      <c r="BK4" s="360"/>
      <c r="BL4" s="360"/>
      <c r="BM4" s="360"/>
      <c r="BN4" s="360"/>
      <c r="BO4" s="360"/>
      <c r="BP4" s="360"/>
      <c r="BQ4" s="360"/>
      <c r="BR4" s="360"/>
      <c r="BS4" s="360"/>
      <c r="BT4" s="360"/>
      <c r="BU4" s="360"/>
      <c r="BV4" s="360"/>
      <c r="BW4" s="360"/>
      <c r="BX4" s="360"/>
      <c r="BY4" s="360"/>
      <c r="BZ4" s="360"/>
      <c r="CA4" s="360"/>
      <c r="CB4" s="360"/>
      <c r="CC4" s="360"/>
      <c r="CD4" s="360"/>
      <c r="CE4" s="360"/>
      <c r="CF4" s="360"/>
      <c r="CG4" s="360"/>
      <c r="CH4" s="360"/>
      <c r="CI4" s="360"/>
      <c r="CJ4" s="360"/>
      <c r="CK4" s="360"/>
      <c r="CL4" s="360"/>
      <c r="CM4" s="360"/>
      <c r="CN4"/>
      <c r="CO4"/>
      <c r="CP4"/>
      <c r="CQ4"/>
      <c r="CR4"/>
      <c r="CS4"/>
      <c r="CT4"/>
      <c r="CU4"/>
    </row>
    <row r="5" spans="1:99" s="24" customFormat="1" collapsed="1">
      <c r="A5" s="371" t="s">
        <v>168</v>
      </c>
      <c r="B5" s="346"/>
      <c r="C5" s="346"/>
      <c r="D5" s="346"/>
      <c r="E5" s="346"/>
      <c r="F5" s="372"/>
      <c r="G5" s="350"/>
      <c r="H5" s="346"/>
      <c r="I5" s="346"/>
      <c r="J5" s="373"/>
      <c r="K5" s="374"/>
      <c r="L5" s="372"/>
      <c r="M5" s="350"/>
      <c r="N5" s="346"/>
      <c r="O5" s="347"/>
      <c r="P5" s="375"/>
      <c r="Q5" s="376"/>
      <c r="R5" s="376"/>
      <c r="S5" s="376"/>
      <c r="T5" s="376"/>
      <c r="U5" s="376"/>
      <c r="V5" s="376"/>
      <c r="W5" s="376"/>
      <c r="X5" s="376"/>
      <c r="Y5" s="348"/>
      <c r="Z5" s="376"/>
      <c r="AA5" s="376"/>
      <c r="AB5" s="377"/>
      <c r="AC5" s="376"/>
      <c r="AD5" s="376"/>
      <c r="AE5" s="376"/>
      <c r="AF5" s="346"/>
      <c r="AG5" s="349"/>
      <c r="AH5" s="376"/>
      <c r="AI5" s="376"/>
      <c r="AJ5" s="376"/>
      <c r="AK5" s="376"/>
      <c r="AL5" s="346"/>
      <c r="AM5" s="376"/>
      <c r="AN5" s="376"/>
      <c r="AO5" s="376"/>
      <c r="AP5" s="376"/>
      <c r="AQ5" s="1240"/>
      <c r="AR5" s="346"/>
      <c r="AS5" s="378"/>
      <c r="AT5" s="376"/>
      <c r="AU5" s="376"/>
      <c r="AV5" s="376"/>
      <c r="AW5" s="376"/>
      <c r="AX5" s="346"/>
      <c r="AY5" s="376"/>
      <c r="AZ5" s="376"/>
      <c r="BA5" s="376"/>
      <c r="BB5" s="376"/>
      <c r="BC5" s="376"/>
      <c r="BD5" s="376"/>
      <c r="BE5" s="376"/>
      <c r="BF5" s="376"/>
      <c r="BG5" s="376"/>
      <c r="BH5" s="376"/>
      <c r="BI5" s="376"/>
      <c r="BJ5" s="346"/>
      <c r="BK5" s="376"/>
      <c r="BL5" s="376"/>
      <c r="BM5" s="376"/>
      <c r="BN5" s="376"/>
      <c r="BO5" s="376"/>
      <c r="BP5" s="346"/>
      <c r="BQ5" s="376"/>
      <c r="BR5" s="376"/>
      <c r="BS5" s="376"/>
      <c r="BT5" s="376"/>
      <c r="BU5" s="376"/>
      <c r="BV5" s="346"/>
      <c r="BW5" s="376"/>
      <c r="BX5" s="376"/>
      <c r="BY5" s="376"/>
      <c r="BZ5" s="376"/>
      <c r="CA5" s="376"/>
      <c r="CB5" s="346"/>
      <c r="CC5" s="376"/>
      <c r="CD5" s="376"/>
      <c r="CE5" s="376"/>
      <c r="CF5" s="376"/>
      <c r="CG5" s="376"/>
      <c r="CH5" s="346"/>
      <c r="CI5" s="376"/>
      <c r="CJ5" s="376"/>
      <c r="CK5" s="376"/>
      <c r="CL5" s="376"/>
      <c r="CM5" s="376"/>
      <c r="CN5"/>
      <c r="CO5"/>
      <c r="CP5"/>
      <c r="CQ5"/>
      <c r="CR5"/>
      <c r="CS5"/>
      <c r="CT5"/>
      <c r="CU5"/>
    </row>
    <row r="6" spans="1:99" ht="12.75" hidden="1" customHeight="1" outlineLevel="1">
      <c r="B6"/>
    </row>
    <row r="7" spans="1:99" s="24" customFormat="1" ht="12.75" customHeight="1" collapsed="1">
      <c r="A7" s="1263"/>
      <c r="B7" s="1264"/>
      <c r="C7" s="133">
        <v>2007</v>
      </c>
      <c r="D7" s="134"/>
      <c r="E7" s="134"/>
      <c r="F7" s="134"/>
      <c r="G7" s="135">
        <v>2007</v>
      </c>
      <c r="H7" s="1265"/>
      <c r="I7" s="133">
        <f>C7+1</f>
        <v>2008</v>
      </c>
      <c r="J7" s="134"/>
      <c r="K7" s="134"/>
      <c r="L7" s="134"/>
      <c r="M7" s="135">
        <f>G7+1</f>
        <v>2008</v>
      </c>
      <c r="N7" s="1265"/>
      <c r="O7" s="133">
        <f>I7+1</f>
        <v>2009</v>
      </c>
      <c r="P7" s="134"/>
      <c r="Q7" s="134"/>
      <c r="R7" s="134"/>
      <c r="S7" s="135">
        <f>M7+1</f>
        <v>2009</v>
      </c>
      <c r="T7" s="1266"/>
      <c r="U7" s="133">
        <f>O7+1</f>
        <v>2010</v>
      </c>
      <c r="V7" s="134"/>
      <c r="W7" s="134"/>
      <c r="X7" s="134"/>
      <c r="Y7" s="135">
        <f>S7+1</f>
        <v>2010</v>
      </c>
      <c r="Z7" s="1266"/>
      <c r="AA7" s="133">
        <f>U7+1</f>
        <v>2011</v>
      </c>
      <c r="AB7" s="134"/>
      <c r="AC7" s="134"/>
      <c r="AD7" s="134"/>
      <c r="AE7" s="135">
        <f>Y7+1</f>
        <v>2011</v>
      </c>
      <c r="AF7" s="1265"/>
      <c r="AG7" s="133">
        <f>AA7+1</f>
        <v>2012</v>
      </c>
      <c r="AH7" s="134"/>
      <c r="AI7" s="134"/>
      <c r="AJ7" s="134"/>
      <c r="AK7" s="135">
        <f>AE7+1</f>
        <v>2012</v>
      </c>
      <c r="AL7" s="1265"/>
      <c r="AM7" s="133">
        <f>AG7+1</f>
        <v>2013</v>
      </c>
      <c r="AN7" s="134"/>
      <c r="AO7" s="134"/>
      <c r="AP7" s="134"/>
      <c r="AQ7" s="135">
        <f>AK7+1</f>
        <v>2013</v>
      </c>
      <c r="AR7" s="1265"/>
      <c r="AS7" s="133">
        <f>AM7+1</f>
        <v>2014</v>
      </c>
      <c r="AT7" s="134"/>
      <c r="AU7" s="134"/>
      <c r="AV7" s="134"/>
      <c r="AW7" s="135">
        <f>AQ7+1</f>
        <v>2014</v>
      </c>
      <c r="AX7" s="1265"/>
      <c r="AY7" s="133">
        <f>AS7+1</f>
        <v>2015</v>
      </c>
      <c r="AZ7" s="134"/>
      <c r="BA7" s="134"/>
      <c r="BB7" s="134"/>
      <c r="BC7" s="135">
        <f>AW7+1</f>
        <v>2015</v>
      </c>
      <c r="BD7" s="1266"/>
      <c r="BE7" s="133">
        <f>AY7+1</f>
        <v>2016</v>
      </c>
      <c r="BF7" s="134"/>
      <c r="BG7" s="134"/>
      <c r="BH7" s="134"/>
      <c r="BI7" s="135">
        <f>BC7+1</f>
        <v>2016</v>
      </c>
      <c r="BJ7" s="1265"/>
      <c r="BK7" s="133">
        <f>BE7+1</f>
        <v>2017</v>
      </c>
      <c r="BL7" s="134"/>
      <c r="BM7" s="134"/>
      <c r="BN7" s="134"/>
      <c r="BO7" s="135">
        <f>BI7+1</f>
        <v>2017</v>
      </c>
      <c r="BP7" s="1265"/>
      <c r="BQ7" s="138">
        <f>BK7+1</f>
        <v>2018</v>
      </c>
      <c r="BR7" s="134"/>
      <c r="BS7" s="134"/>
      <c r="BT7" s="134"/>
      <c r="BU7" s="139">
        <f>BO7+1</f>
        <v>2018</v>
      </c>
      <c r="BV7" s="1265"/>
      <c r="BW7" s="138">
        <f>BQ7+1</f>
        <v>2019</v>
      </c>
      <c r="BX7" s="134"/>
      <c r="BY7" s="134"/>
      <c r="BZ7" s="134"/>
      <c r="CA7" s="139">
        <f>BU7+1</f>
        <v>2019</v>
      </c>
      <c r="CB7" s="1265"/>
      <c r="CC7" s="138">
        <f>BW7+1</f>
        <v>2020</v>
      </c>
      <c r="CD7" s="134"/>
      <c r="CE7" s="134"/>
      <c r="CF7" s="134"/>
      <c r="CG7" s="139">
        <f>CA7+1</f>
        <v>2020</v>
      </c>
      <c r="CH7" s="1265"/>
      <c r="CI7" s="138">
        <f>CC7+1</f>
        <v>2021</v>
      </c>
      <c r="CJ7" s="134"/>
      <c r="CK7" s="134"/>
      <c r="CL7" s="134"/>
      <c r="CM7" s="139">
        <f>CG7+1</f>
        <v>2021</v>
      </c>
      <c r="CN7"/>
      <c r="CO7"/>
      <c r="CP7"/>
      <c r="CQ7"/>
      <c r="CR7"/>
      <c r="CS7"/>
      <c r="CT7"/>
      <c r="CU7"/>
    </row>
    <row r="8" spans="1:99">
      <c r="A8" s="1986"/>
      <c r="B8" s="1120"/>
      <c r="C8" s="1187">
        <v>39172</v>
      </c>
      <c r="D8" s="1188">
        <f>C8+FLOOR(365/4,1)</f>
        <v>39263</v>
      </c>
      <c r="E8" s="1188">
        <f>D8+FLOOR(365/4,1)+1</f>
        <v>39355</v>
      </c>
      <c r="F8" s="1188">
        <f>E8+FLOOR(365/4,1)+1</f>
        <v>39447</v>
      </c>
      <c r="G8" s="1189"/>
      <c r="H8" s="1987"/>
      <c r="I8" s="1187">
        <f>C8+366</f>
        <v>39538</v>
      </c>
      <c r="J8" s="1188">
        <f>I8+FLOOR(365/4,1)</f>
        <v>39629</v>
      </c>
      <c r="K8" s="1188">
        <f>J8+FLOOR(365/4,1)+1</f>
        <v>39721</v>
      </c>
      <c r="L8" s="1188">
        <f>K8+FLOOR(365/4,1)+1</f>
        <v>39813</v>
      </c>
      <c r="M8" s="1189"/>
      <c r="N8" s="1987"/>
      <c r="O8" s="1187">
        <f>I8+365</f>
        <v>39903</v>
      </c>
      <c r="P8" s="1188">
        <f>O8+FLOOR(365/4,1)</f>
        <v>39994</v>
      </c>
      <c r="Q8" s="1188">
        <f>P8+FLOOR(365/4,1)+1</f>
        <v>40086</v>
      </c>
      <c r="R8" s="1188">
        <f>Q8+FLOOR(365/4,1)+1</f>
        <v>40178</v>
      </c>
      <c r="S8" s="1189"/>
      <c r="T8" s="1988"/>
      <c r="U8" s="1187">
        <f>O8+365</f>
        <v>40268</v>
      </c>
      <c r="V8" s="1188">
        <f>U8+FLOOR(365/4,1)</f>
        <v>40359</v>
      </c>
      <c r="W8" s="1188">
        <f>V8+FLOOR(365/4,1)+1</f>
        <v>40451</v>
      </c>
      <c r="X8" s="1188">
        <f>W8+FLOOR(365/4,1)+1</f>
        <v>40543</v>
      </c>
      <c r="Y8" s="1189"/>
      <c r="Z8" s="1988"/>
      <c r="AA8" s="1187">
        <f>U8+365</f>
        <v>40633</v>
      </c>
      <c r="AB8" s="1188">
        <f>AA8+FLOOR(365/4,1)</f>
        <v>40724</v>
      </c>
      <c r="AC8" s="1188">
        <f>AB8+FLOOR(365/4,1)+1</f>
        <v>40816</v>
      </c>
      <c r="AD8" s="1188">
        <f>AC8+FLOOR(365/4,1)+1</f>
        <v>40908</v>
      </c>
      <c r="AE8" s="1189"/>
      <c r="AF8" s="1987"/>
      <c r="AG8" s="1187">
        <f>AA8+366</f>
        <v>40999</v>
      </c>
      <c r="AH8" s="1188">
        <f>AG8+FLOOR(365/4,1)</f>
        <v>41090</v>
      </c>
      <c r="AI8" s="1188">
        <f>AH8+FLOOR(365/4,1)+1</f>
        <v>41182</v>
      </c>
      <c r="AJ8" s="1188">
        <f>AI8+FLOOR(365/4,1)+1</f>
        <v>41274</v>
      </c>
      <c r="AK8" s="1189"/>
      <c r="AL8" s="1987"/>
      <c r="AM8" s="1187">
        <f>AG8+365</f>
        <v>41364</v>
      </c>
      <c r="AN8" s="1188">
        <f>AM8+FLOOR(365/4,1)</f>
        <v>41455</v>
      </c>
      <c r="AO8" s="1188">
        <f>AN8+FLOOR(365/4,1)+1</f>
        <v>41547</v>
      </c>
      <c r="AP8" s="1188">
        <f>AO8+FLOOR(365/4,1)+1</f>
        <v>41639</v>
      </c>
      <c r="AQ8" s="1189"/>
      <c r="AR8" s="1987"/>
      <c r="AS8" s="1187">
        <f>AM8+365</f>
        <v>41729</v>
      </c>
      <c r="AT8" s="1188">
        <f>AS8+FLOOR(365/4,1)</f>
        <v>41820</v>
      </c>
      <c r="AU8" s="1188">
        <f>AT8+FLOOR(365/4,1)+1</f>
        <v>41912</v>
      </c>
      <c r="AV8" s="1188">
        <f>AU8+FLOOR(365/4,1)+1</f>
        <v>42004</v>
      </c>
      <c r="AW8" s="1189"/>
      <c r="AX8" s="1987"/>
      <c r="AY8" s="1187">
        <f>AS8+365</f>
        <v>42094</v>
      </c>
      <c r="AZ8" s="1187">
        <f>AY8+FLOOR(365/4,1)</f>
        <v>42185</v>
      </c>
      <c r="BA8" s="1187">
        <f>AZ8+FLOOR(365/4,1)+1</f>
        <v>42277</v>
      </c>
      <c r="BB8" s="1187">
        <f>BA8+FLOOR(365/4,1)+1</f>
        <v>42369</v>
      </c>
      <c r="BC8" s="1189"/>
      <c r="BD8" s="1988"/>
      <c r="BE8" s="1187">
        <f>AY8+365+1</f>
        <v>42460</v>
      </c>
      <c r="BF8" s="1187">
        <f>BE8+FLOOR(365/4,1)</f>
        <v>42551</v>
      </c>
      <c r="BG8" s="1187">
        <f>BF8+FLOOR(365/4,1)+1</f>
        <v>42643</v>
      </c>
      <c r="BH8" s="1187">
        <f>BG8+FLOOR(365/4,1)+1</f>
        <v>42735</v>
      </c>
      <c r="BI8" s="1189"/>
      <c r="BJ8" s="1987"/>
      <c r="BK8" s="1187">
        <f>BE8+365</f>
        <v>42825</v>
      </c>
      <c r="BL8" s="1187">
        <f>BK8+FLOOR(365/4,1)</f>
        <v>42916</v>
      </c>
      <c r="BM8" s="1187">
        <f>BL8+FLOOR(365/4,1)+1</f>
        <v>43008</v>
      </c>
      <c r="BN8" s="1187">
        <f>BM8+FLOOR(365/4,1)+1</f>
        <v>43100</v>
      </c>
      <c r="BO8" s="1189"/>
      <c r="BP8" s="1987"/>
      <c r="BQ8" s="1190">
        <f>BK8+365</f>
        <v>43190</v>
      </c>
      <c r="BR8" s="1191">
        <f>BQ8+FLOOR(365/4,1)</f>
        <v>43281</v>
      </c>
      <c r="BS8" s="1191">
        <f>BR8+FLOOR(365/4,1)+1</f>
        <v>43373</v>
      </c>
      <c r="BT8" s="1192">
        <f>BS8+FLOOR(365/4,1)+1</f>
        <v>43465</v>
      </c>
      <c r="BU8" s="1189"/>
      <c r="BV8" s="1987"/>
      <c r="BW8" s="1190">
        <f>BQ8+365</f>
        <v>43555</v>
      </c>
      <c r="BX8" s="1191">
        <f>BW8+FLOOR(365/4,1)</f>
        <v>43646</v>
      </c>
      <c r="BY8" s="1191">
        <f>BX8+FLOOR(365/4,1)+1</f>
        <v>43738</v>
      </c>
      <c r="BZ8" s="1192">
        <f>BY8+FLOOR(365/4,1)+1</f>
        <v>43830</v>
      </c>
      <c r="CA8" s="1189"/>
      <c r="CB8" s="1987"/>
      <c r="CC8" s="1190">
        <f>BW8+365</f>
        <v>43920</v>
      </c>
      <c r="CD8" s="1191">
        <f>CC8+FLOOR(365/4,1)</f>
        <v>44011</v>
      </c>
      <c r="CE8" s="1191">
        <f>CD8+FLOOR(365/4,1)+1</f>
        <v>44103</v>
      </c>
      <c r="CF8" s="1192">
        <f>CE8+FLOOR(365/4,1)+1</f>
        <v>44195</v>
      </c>
      <c r="CG8" s="1189"/>
      <c r="CH8" s="1987"/>
      <c r="CI8" s="1190">
        <f>CC8+365</f>
        <v>44285</v>
      </c>
      <c r="CJ8" s="1191">
        <f>CI8+FLOOR(365/4,1)</f>
        <v>44376</v>
      </c>
      <c r="CK8" s="1191">
        <f>CJ8+FLOOR(365/4,1)+1</f>
        <v>44468</v>
      </c>
      <c r="CL8" s="1192">
        <f>CK8+FLOOR(365/4,1)+1</f>
        <v>44560</v>
      </c>
      <c r="CM8" s="1189"/>
      <c r="CN8" s="42"/>
      <c r="CO8" s="42"/>
    </row>
    <row r="9" spans="1:99" s="24" customFormat="1">
      <c r="A9" s="148" t="s">
        <v>187</v>
      </c>
      <c r="B9" s="402"/>
      <c r="C9" s="1999">
        <f>SUM(C10:C11)</f>
        <v>330.77699999999999</v>
      </c>
      <c r="D9" s="2000">
        <f>SUM(D10:D11)</f>
        <v>352.63</v>
      </c>
      <c r="E9" s="380">
        <f>SUM(E10:E11)</f>
        <v>352.63799999999998</v>
      </c>
      <c r="F9" s="380">
        <f>SUM(F10:F11)</f>
        <v>437.00299999999987</v>
      </c>
      <c r="G9" s="381">
        <f>SUM(G10:G11)</f>
        <v>1473.0479999999998</v>
      </c>
      <c r="H9" s="148"/>
      <c r="I9" s="2001">
        <f>SUM(I10:I11)</f>
        <v>371.99800000000005</v>
      </c>
      <c r="J9" s="380">
        <f>SUM(J10:J11)</f>
        <v>398.48500000000001</v>
      </c>
      <c r="K9" s="380">
        <f>SUM(K10:K11)</f>
        <v>386.30999999999995</v>
      </c>
      <c r="L9" s="2002">
        <f>SUM(L10:L11)</f>
        <v>418.3309999999999</v>
      </c>
      <c r="M9" s="381">
        <f>SUM(I9:L9)</f>
        <v>1575.124</v>
      </c>
      <c r="N9" s="148"/>
      <c r="O9" s="382">
        <v>333.05200000000002</v>
      </c>
      <c r="P9" s="383">
        <v>362.83699999999999</v>
      </c>
      <c r="Q9" s="383">
        <v>373.96300000000002</v>
      </c>
      <c r="R9" s="1154">
        <v>428.84800000000001</v>
      </c>
      <c r="S9" s="381">
        <f>SUM(O9:R9)</f>
        <v>1498.7</v>
      </c>
      <c r="T9" s="379"/>
      <c r="U9" s="382">
        <v>367.7</v>
      </c>
      <c r="V9" s="383">
        <v>391.05500000000001</v>
      </c>
      <c r="W9" s="383">
        <v>401.03800000000001</v>
      </c>
      <c r="X9" s="1154">
        <v>483.57799999999997</v>
      </c>
      <c r="Y9" s="381">
        <f>SUM(U9:X9)</f>
        <v>1643.3710000000001</v>
      </c>
      <c r="Z9" s="379"/>
      <c r="AA9" s="382">
        <v>427.60300000000001</v>
      </c>
      <c r="AB9" s="383">
        <f>SUM(AB10:AB11)</f>
        <v>447.62700000000007</v>
      </c>
      <c r="AC9" s="383">
        <v>454.53399999999999</v>
      </c>
      <c r="AD9" s="383">
        <v>521.41999999999996</v>
      </c>
      <c r="AE9" s="381">
        <f>SUM(AE10:AE11)</f>
        <v>1851.184</v>
      </c>
      <c r="AF9" s="148"/>
      <c r="AG9" s="382">
        <v>420.45800000000003</v>
      </c>
      <c r="AH9" s="383">
        <v>451.46499999999997</v>
      </c>
      <c r="AI9" s="383">
        <v>449.952</v>
      </c>
      <c r="AJ9" s="1154">
        <v>521.76599999999996</v>
      </c>
      <c r="AK9" s="381">
        <f t="shared" ref="AK9:AK14" si="0">SUM(AG9:AJ9)</f>
        <v>1843.6410000000001</v>
      </c>
      <c r="AL9" s="148"/>
      <c r="AM9" s="382">
        <v>430.33800000000002</v>
      </c>
      <c r="AN9" s="383">
        <v>451.11500000000001</v>
      </c>
      <c r="AO9" s="383">
        <v>457.31700000000001</v>
      </c>
      <c r="AP9" s="383">
        <v>565.44799999999998</v>
      </c>
      <c r="AQ9" s="381">
        <f>SUM(AM9:AP9)</f>
        <v>1904.2179999999998</v>
      </c>
      <c r="AR9" s="148"/>
      <c r="AS9" s="382">
        <v>430.50799999999998</v>
      </c>
      <c r="AT9" s="383">
        <v>481.80099999999999</v>
      </c>
      <c r="AU9" s="383">
        <v>493.16500000000002</v>
      </c>
      <c r="AV9" s="383">
        <v>583.87</v>
      </c>
      <c r="AW9" s="381">
        <f>SUM(AS9:AV9)</f>
        <v>1989.3440000000001</v>
      </c>
      <c r="AX9" s="148"/>
      <c r="AY9" s="382">
        <v>460.404</v>
      </c>
      <c r="AZ9" s="383">
        <v>494.74</v>
      </c>
      <c r="BA9" s="383">
        <v>500.57799999999997</v>
      </c>
      <c r="BB9" s="383">
        <v>586.61</v>
      </c>
      <c r="BC9" s="381">
        <f>SUM(AY9:BB9)</f>
        <v>2042.3319999999999</v>
      </c>
      <c r="BD9" s="379"/>
      <c r="BE9" s="382">
        <v>475.24599999999998</v>
      </c>
      <c r="BF9" s="383">
        <v>536.55999999999995</v>
      </c>
      <c r="BG9" s="383">
        <v>526.83000000000004</v>
      </c>
      <c r="BH9" s="383">
        <v>628.78700000000003</v>
      </c>
      <c r="BI9" s="381">
        <f>SUM(BE9:BH9)</f>
        <v>2167.4229999999998</v>
      </c>
      <c r="BJ9" s="148"/>
      <c r="BK9" s="382">
        <v>497.96899999999999</v>
      </c>
      <c r="BL9" s="383">
        <v>558.25</v>
      </c>
      <c r="BM9" s="383">
        <v>565.58399999999995</v>
      </c>
      <c r="BN9" s="2103">
        <v>687.27499999999998</v>
      </c>
      <c r="BO9" s="381">
        <f>SUM(BK9:BN9)</f>
        <v>2309.078</v>
      </c>
      <c r="BP9" s="148"/>
      <c r="BQ9" s="384">
        <f>SUM(BQ10:BQ11)</f>
        <v>541.1096557337778</v>
      </c>
      <c r="BR9" s="385">
        <f>SUM(BR10:BR11)</f>
        <v>607.36940357463959</v>
      </c>
      <c r="BS9" s="385">
        <f>SUM(BS10:BS11)</f>
        <v>601.56211985292123</v>
      </c>
      <c r="BT9" s="2003">
        <f>SUM(BT10:BT11)</f>
        <v>732.05547214701062</v>
      </c>
      <c r="BU9" s="381">
        <f>SUM(BQ9:BT9)</f>
        <v>2482.0966513083495</v>
      </c>
      <c r="BV9" s="148"/>
      <c r="BW9" s="384">
        <f>SUM(BW10:BW11)</f>
        <v>576.55947318761059</v>
      </c>
      <c r="BX9" s="385">
        <f>SUM(BX10:BX11)</f>
        <v>642.94287128261487</v>
      </c>
      <c r="BY9" s="385">
        <f>SUM(BY10:BY11)</f>
        <v>635.17739289131771</v>
      </c>
      <c r="BZ9" s="2003">
        <f>SUM(BZ10:BZ11)</f>
        <v>768.06896235218198</v>
      </c>
      <c r="CA9" s="381">
        <f>SUM(BW9:BZ9)</f>
        <v>2622.7486997137253</v>
      </c>
      <c r="CB9" s="148"/>
      <c r="CC9" s="384">
        <f>SUM(CC10:CC11)</f>
        <v>609.76634303680248</v>
      </c>
      <c r="CD9" s="385">
        <f>SUM(CD10:CD11)</f>
        <v>675.47609966489892</v>
      </c>
      <c r="CE9" s="385">
        <f>SUM(CE10:CE11)</f>
        <v>666.42839152814736</v>
      </c>
      <c r="CF9" s="2003">
        <f>SUM(CF10:CF11)</f>
        <v>800.644640098124</v>
      </c>
      <c r="CG9" s="381">
        <f>SUM(CC9:CF9)</f>
        <v>2752.3154743279729</v>
      </c>
      <c r="CH9" s="148"/>
      <c r="CI9" s="384">
        <f>SUM(CI10:CI11)</f>
        <v>644.90177492360704</v>
      </c>
      <c r="CJ9" s="385">
        <f>SUM(CJ10:CJ11)</f>
        <v>709.71254217696151</v>
      </c>
      <c r="CK9" s="385">
        <f>SUM(CK10:CK11)</f>
        <v>699.251438459665</v>
      </c>
      <c r="CL9" s="2003">
        <f>SUM(CL10:CL11)</f>
        <v>834.79537649334588</v>
      </c>
      <c r="CM9" s="381">
        <f>SUM(CI9:CL9)</f>
        <v>2888.6611320535794</v>
      </c>
      <c r="CN9"/>
      <c r="CO9"/>
      <c r="CP9"/>
      <c r="CQ9"/>
      <c r="CR9"/>
      <c r="CS9"/>
      <c r="CT9"/>
      <c r="CU9"/>
    </row>
    <row r="10" spans="1:99" s="24" customFormat="1" ht="12" hidden="1" customHeight="1" outlineLevel="1">
      <c r="A10" s="474" t="s">
        <v>185</v>
      </c>
      <c r="B10" s="386">
        <f>RevBuild!B9</f>
        <v>0</v>
      </c>
      <c r="C10" s="1144">
        <f>RevBuild!C9</f>
        <v>242.06299999999999</v>
      </c>
      <c r="D10" s="1144">
        <f>RevBuild!D9</f>
        <v>258.64100000000002</v>
      </c>
      <c r="E10" s="1144">
        <f>RevBuild!E9</f>
        <v>258.46899999999999</v>
      </c>
      <c r="F10" s="1144">
        <f>RevBuild!F9</f>
        <v>328.41899999999987</v>
      </c>
      <c r="G10" s="1143">
        <f>RevBuild!G9</f>
        <v>1087.5919999999999</v>
      </c>
      <c r="H10" s="1143">
        <f>RevBuild!H9</f>
        <v>0</v>
      </c>
      <c r="I10" s="1143">
        <f>RevBuild!I9</f>
        <v>270.46500000000003</v>
      </c>
      <c r="J10" s="1144">
        <f>RevBuild!J9</f>
        <v>287.12099999999998</v>
      </c>
      <c r="K10" s="1144">
        <f>RevBuild!K9</f>
        <v>277.71699999999998</v>
      </c>
      <c r="L10" s="1145">
        <f>RevBuild!L9</f>
        <v>304.58299999999997</v>
      </c>
      <c r="M10" s="1149">
        <f>RevBuild!M9</f>
        <v>1139.886</v>
      </c>
      <c r="N10" s="1143">
        <f>RevBuild!N9</f>
        <v>0</v>
      </c>
      <c r="O10" s="1143">
        <f>RevBuild!O9</f>
        <v>227.44799999999998</v>
      </c>
      <c r="P10" s="1144">
        <f>RevBuild!P9</f>
        <v>253.52100000000002</v>
      </c>
      <c r="Q10" s="1144">
        <f>RevBuild!Q9</f>
        <v>259.53199999999998</v>
      </c>
      <c r="R10" s="1145">
        <f>RevBuild!R9</f>
        <v>311.47700000000009</v>
      </c>
      <c r="S10" s="1149">
        <f>RevBuild!S9</f>
        <v>1051.9780000000001</v>
      </c>
      <c r="T10" s="1151"/>
      <c r="U10" s="1143">
        <f>RevBuild!U9</f>
        <v>253.042</v>
      </c>
      <c r="V10" s="1144">
        <f>RevBuild!V9</f>
        <v>275.42500000000001</v>
      </c>
      <c r="W10" s="1144">
        <f>RevBuild!W9</f>
        <v>282.93400000000003</v>
      </c>
      <c r="X10" s="1145">
        <f>RevBuild!X9</f>
        <v>355.226</v>
      </c>
      <c r="Y10" s="1149">
        <f>RevBuild!Y9</f>
        <v>1166.627</v>
      </c>
      <c r="Z10" s="1151"/>
      <c r="AA10" s="1143">
        <f>RevBuild!AA9</f>
        <v>303.33600000000001</v>
      </c>
      <c r="AB10" s="1144">
        <f>RevBuild!AB9</f>
        <v>316.15000000000003</v>
      </c>
      <c r="AC10" s="1144">
        <v>321.34800000000001</v>
      </c>
      <c r="AD10" s="1144">
        <f>RevBuild!AD9</f>
        <v>381.30199999999991</v>
      </c>
      <c r="AE10" s="1150">
        <f>SUM(AA10:AD10)</f>
        <v>1322.136</v>
      </c>
      <c r="AF10" s="1143"/>
      <c r="AG10" s="1143">
        <f>RevBuild!AG9</f>
        <v>286.50700000000001</v>
      </c>
      <c r="AH10" s="1144">
        <f>RevBuild!AH9</f>
        <v>313.85500000000002</v>
      </c>
      <c r="AI10" s="1144">
        <f>RevBuild!AI9</f>
        <v>310.82299999999998</v>
      </c>
      <c r="AJ10" s="1145">
        <f>RevBuild!AJ9</f>
        <v>369.32199999999989</v>
      </c>
      <c r="AK10" s="1149">
        <f t="shared" si="0"/>
        <v>1280.5070000000001</v>
      </c>
      <c r="AL10" s="1143"/>
      <c r="AM10" s="1143">
        <f>RevBuild!AM9</f>
        <v>293.714</v>
      </c>
      <c r="AN10" s="1144">
        <f>RevBuild!AN9</f>
        <v>305.21099999999996</v>
      </c>
      <c r="AO10" s="1144">
        <f>RevBuild!AO9</f>
        <v>312.94299999999998</v>
      </c>
      <c r="AP10" s="1145">
        <f>RevBuild!AP9</f>
        <v>400.63499999999993</v>
      </c>
      <c r="AQ10" s="1149">
        <f>RevBuild!AQ9</f>
        <v>1312.5029999999999</v>
      </c>
      <c r="AR10" s="1143"/>
      <c r="AS10" s="1143">
        <f>RevBuild!AS9</f>
        <v>284.79500000000002</v>
      </c>
      <c r="AT10" s="1144">
        <f>RevBuild!AT9</f>
        <v>321.26499999999999</v>
      </c>
      <c r="AU10" s="1144">
        <f>RevBuild!AU9</f>
        <v>331.16500000000002</v>
      </c>
      <c r="AV10" s="1144">
        <f>RevBuild!AV9</f>
        <v>409.50399999999991</v>
      </c>
      <c r="AW10" s="1149">
        <f>RevBuild!AW9</f>
        <v>1346.7289999999998</v>
      </c>
      <c r="AX10" s="1143"/>
      <c r="AY10" s="1143">
        <f>RevBuild!AY9</f>
        <v>302.87299999999999</v>
      </c>
      <c r="AZ10" s="1144">
        <f>RevBuild!AZ9</f>
        <v>332.036</v>
      </c>
      <c r="BA10" s="1144">
        <f>RevBuild!BA9</f>
        <v>336.93300000000005</v>
      </c>
      <c r="BB10" s="1145">
        <f>RevBuild!BB9</f>
        <v>413.41399999999999</v>
      </c>
      <c r="BC10" s="1149">
        <f>RevBuild!BC9</f>
        <v>1385.2560000000001</v>
      </c>
      <c r="BD10" s="1144"/>
      <c r="BE10" s="1143">
        <f>RevBuild!BE9</f>
        <v>307.85700000000003</v>
      </c>
      <c r="BF10" s="1144">
        <f>RevBuild!BF9</f>
        <v>359.68700000000001</v>
      </c>
      <c r="BG10" s="1144">
        <f>RevBuild!BG9</f>
        <v>349.93399999999997</v>
      </c>
      <c r="BH10" s="1145">
        <f>RevBuild!BH9</f>
        <v>442.81799999999998</v>
      </c>
      <c r="BI10" s="1149">
        <f>RevBuild!BI9</f>
        <v>1460.296</v>
      </c>
      <c r="BJ10" s="1143"/>
      <c r="BK10" s="1143">
        <f>RevBuild!BK9</f>
        <v>324.29599999999999</v>
      </c>
      <c r="BL10" s="1144">
        <f>RevBuild!BL9</f>
        <v>372.83799999999997</v>
      </c>
      <c r="BM10" s="1144">
        <f>RevBuild!BM9</f>
        <v>375.55</v>
      </c>
      <c r="BN10" s="1145">
        <f>RevBuild!BN9</f>
        <v>479.66499999999996</v>
      </c>
      <c r="BO10" s="1149">
        <f>RevBuild!BO9</f>
        <v>1552.3489999999999</v>
      </c>
      <c r="BP10" s="1143"/>
      <c r="BQ10" s="1143">
        <f>RevBuild!BQ9</f>
        <v>349.70091713291112</v>
      </c>
      <c r="BR10" s="1144">
        <f>RevBuild!BR9</f>
        <v>406.37676697315504</v>
      </c>
      <c r="BS10" s="1144">
        <f>RevBuild!BS9</f>
        <v>397.27544681453526</v>
      </c>
      <c r="BT10" s="1145">
        <f>RevBuild!BT9</f>
        <v>510.49581386229619</v>
      </c>
      <c r="BU10" s="1149">
        <f>RevBuild!BU9</f>
        <v>1663.8489447828977</v>
      </c>
      <c r="BV10" s="1143"/>
      <c r="BW10" s="1143">
        <f>RevBuild!BW9</f>
        <v>373.84539933319184</v>
      </c>
      <c r="BX10" s="1144">
        <f>RevBuild!BX9</f>
        <v>430.08329283313191</v>
      </c>
      <c r="BY10" s="1144">
        <f>RevBuild!BY9</f>
        <v>420.67638620101241</v>
      </c>
      <c r="BZ10" s="1145">
        <f>RevBuild!BZ9</f>
        <v>535.43132115323181</v>
      </c>
      <c r="CA10" s="1149">
        <f>RevBuild!CA9</f>
        <v>1760.036399520568</v>
      </c>
      <c r="CB10" s="1143"/>
      <c r="CC10" s="1143">
        <f>RevBuild!CC9</f>
        <v>395.07757326674357</v>
      </c>
      <c r="CD10" s="1144">
        <f>RevBuild!CD9</f>
        <v>450.04719367394216</v>
      </c>
      <c r="CE10" s="1144">
        <f>RevBuild!CE9</f>
        <v>441.20233450332671</v>
      </c>
      <c r="CF10" s="1145">
        <f>RevBuild!CF9</f>
        <v>556.37511683922628</v>
      </c>
      <c r="CG10" s="1149">
        <f>RevBuild!CG9</f>
        <v>1842.7022182832388</v>
      </c>
      <c r="CH10" s="1143"/>
      <c r="CI10" s="1143">
        <f>RevBuild!CI9</f>
        <v>417.52923490875082</v>
      </c>
      <c r="CJ10" s="1144">
        <f>RevBuild!CJ9</f>
        <v>470.97026135031729</v>
      </c>
      <c r="CK10" s="1144">
        <f>RevBuild!CK9</f>
        <v>462.76407858360329</v>
      </c>
      <c r="CL10" s="1145">
        <f>RevBuild!CL9</f>
        <v>578.31237707150331</v>
      </c>
      <c r="CM10" s="1149">
        <f>RevBuild!CM9</f>
        <v>1929.5759519141748</v>
      </c>
      <c r="CN10"/>
      <c r="CO10" s="2042"/>
      <c r="CP10"/>
      <c r="CQ10"/>
      <c r="CR10"/>
      <c r="CS10"/>
      <c r="CT10"/>
      <c r="CU10"/>
    </row>
    <row r="11" spans="1:99" s="24" customFormat="1" ht="12" hidden="1" customHeight="1" outlineLevel="1">
      <c r="A11" s="474" t="s">
        <v>186</v>
      </c>
      <c r="B11" s="391">
        <f>RevBuild!B13</f>
        <v>0</v>
      </c>
      <c r="C11" s="1147">
        <f>RevBuild!C13</f>
        <v>88.713999999999999</v>
      </c>
      <c r="D11" s="1147">
        <f>RevBuild!D13</f>
        <v>93.98899999999999</v>
      </c>
      <c r="E11" s="1147">
        <f>RevBuild!E13</f>
        <v>94.168999999999997</v>
      </c>
      <c r="F11" s="1147">
        <f>RevBuild!F13</f>
        <v>108.584</v>
      </c>
      <c r="G11" s="1146">
        <f>RevBuild!G13</f>
        <v>385.45599999999996</v>
      </c>
      <c r="H11" s="1146">
        <f>RevBuild!H13</f>
        <v>0</v>
      </c>
      <c r="I11" s="1146">
        <f>RevBuild!I13</f>
        <v>101.533</v>
      </c>
      <c r="J11" s="1147">
        <f>RevBuild!J13</f>
        <v>111.364</v>
      </c>
      <c r="K11" s="1147">
        <f>RevBuild!K13</f>
        <v>108.59299999999999</v>
      </c>
      <c r="L11" s="1148">
        <f>RevBuild!L13</f>
        <v>113.74799999999996</v>
      </c>
      <c r="M11" s="1150">
        <f>RevBuild!M13</f>
        <v>435.238</v>
      </c>
      <c r="N11" s="1146">
        <f>RevBuild!N13</f>
        <v>0</v>
      </c>
      <c r="O11" s="1146">
        <f>RevBuild!O13</f>
        <v>105.60399999999998</v>
      </c>
      <c r="P11" s="1147">
        <f>RevBuild!P13</f>
        <v>109.316</v>
      </c>
      <c r="Q11" s="1147">
        <f>RevBuild!Q13</f>
        <v>116.00999999999999</v>
      </c>
      <c r="R11" s="1148">
        <f>RevBuild!R13</f>
        <v>115.79200000000003</v>
      </c>
      <c r="S11" s="1150">
        <f>RevBuild!S13</f>
        <v>446.72199999999998</v>
      </c>
      <c r="T11" s="1151"/>
      <c r="U11" s="1146">
        <f>RevBuild!U13</f>
        <v>114.65800000000002</v>
      </c>
      <c r="V11" s="1147">
        <f>RevBuild!V13</f>
        <v>115.63</v>
      </c>
      <c r="W11" s="1147">
        <f>RevBuild!W13</f>
        <v>118.104</v>
      </c>
      <c r="X11" s="1148">
        <f>RevBuild!X13</f>
        <v>128.35199999999998</v>
      </c>
      <c r="Y11" s="1150">
        <f>RevBuild!Y13</f>
        <v>476.74399999999997</v>
      </c>
      <c r="Z11" s="1151"/>
      <c r="AA11" s="1146">
        <f>RevBuild!AA13</f>
        <v>124.267</v>
      </c>
      <c r="AB11" s="1147">
        <f>RevBuild!AB13</f>
        <v>131.477</v>
      </c>
      <c r="AC11" s="1147">
        <f>RevBuild!AC13</f>
        <v>133.18600000000001</v>
      </c>
      <c r="AD11" s="1147">
        <f>RevBuild!AD13</f>
        <v>140.11799999999999</v>
      </c>
      <c r="AE11" s="1150">
        <f>SUM(AA11:AD11)</f>
        <v>529.048</v>
      </c>
      <c r="AF11" s="1146"/>
      <c r="AG11" s="1146">
        <f>RevBuild!AG13</f>
        <v>133.95099999999999</v>
      </c>
      <c r="AH11" s="1147">
        <f>RevBuild!AH13</f>
        <v>137.60999999999999</v>
      </c>
      <c r="AI11" s="1147">
        <f>RevBuild!AI13</f>
        <v>139.12899999999999</v>
      </c>
      <c r="AJ11" s="1148">
        <f>RevBuild!AJ13</f>
        <v>152.44400000000002</v>
      </c>
      <c r="AK11" s="1150">
        <f t="shared" si="0"/>
        <v>563.13400000000001</v>
      </c>
      <c r="AL11" s="1146"/>
      <c r="AM11" s="1146">
        <f>RevBuild!AM13</f>
        <v>136.624</v>
      </c>
      <c r="AN11" s="1147">
        <f>RevBuild!AN13</f>
        <v>145.904</v>
      </c>
      <c r="AO11" s="1147">
        <f>RevBuild!AO13</f>
        <v>144.374</v>
      </c>
      <c r="AP11" s="1148">
        <f>RevBuild!AP13</f>
        <v>164.81299999999999</v>
      </c>
      <c r="AQ11" s="1150">
        <f>RevBuild!AQ13</f>
        <v>591.71500000000003</v>
      </c>
      <c r="AR11" s="1146"/>
      <c r="AS11" s="1146">
        <f>RevBuild!AS13</f>
        <v>145.71299999999999</v>
      </c>
      <c r="AT11" s="1147">
        <f>RevBuild!AT13</f>
        <v>160.536</v>
      </c>
      <c r="AU11" s="1147">
        <f>RevBuild!AU13</f>
        <v>162</v>
      </c>
      <c r="AV11" s="1147">
        <f>RevBuild!AV13</f>
        <v>174.36600000000004</v>
      </c>
      <c r="AW11" s="1150">
        <f>RevBuild!AW13</f>
        <v>642.61500000000001</v>
      </c>
      <c r="AX11" s="1146"/>
      <c r="AY11" s="1143">
        <f>RevBuild!AY13</f>
        <v>157.53100000000001</v>
      </c>
      <c r="AZ11" s="1147">
        <f>RevBuild!AZ13</f>
        <v>162.70400000000001</v>
      </c>
      <c r="BA11" s="1147">
        <f>RevBuild!BA13</f>
        <v>163.64499999999998</v>
      </c>
      <c r="BB11" s="1148">
        <f>RevBuild!BB13</f>
        <v>173.196</v>
      </c>
      <c r="BC11" s="1150">
        <f>RevBuild!BC13</f>
        <v>657.07600000000002</v>
      </c>
      <c r="BD11" s="1147"/>
      <c r="BE11" s="1143">
        <f>RevBuild!BE13</f>
        <v>167.38900000000001</v>
      </c>
      <c r="BF11" s="1147">
        <f>RevBuild!BF13</f>
        <v>176.87299999999999</v>
      </c>
      <c r="BG11" s="1147">
        <f>RevBuild!BG13</f>
        <v>176.89599999999999</v>
      </c>
      <c r="BH11" s="1148">
        <f>RevBuild!BH13</f>
        <v>185.96899999999999</v>
      </c>
      <c r="BI11" s="1150">
        <f>RevBuild!BI13</f>
        <v>707.12699999999995</v>
      </c>
      <c r="BJ11" s="1146"/>
      <c r="BK11" s="1146">
        <f>RevBuild!BK13</f>
        <v>173.673</v>
      </c>
      <c r="BL11" s="1147">
        <f>RevBuild!BL13</f>
        <v>185.41200000000001</v>
      </c>
      <c r="BM11" s="1147">
        <f>RevBuild!BM13</f>
        <v>190.03399999999999</v>
      </c>
      <c r="BN11" s="1148">
        <f>RevBuild!BN13</f>
        <v>207.61</v>
      </c>
      <c r="BO11" s="1150">
        <f>RevBuild!BO13</f>
        <v>756.72900000000004</v>
      </c>
      <c r="BP11" s="1146"/>
      <c r="BQ11" s="1146">
        <f>RevBuild!BQ13</f>
        <v>191.40873860086674</v>
      </c>
      <c r="BR11" s="1147">
        <f>RevBuild!BR13</f>
        <v>200.99263660148458</v>
      </c>
      <c r="BS11" s="1147">
        <f>RevBuild!BS13</f>
        <v>204.286673038386</v>
      </c>
      <c r="BT11" s="1148">
        <f>RevBuild!BT13</f>
        <v>221.55965828471446</v>
      </c>
      <c r="BU11" s="1150">
        <f>RevBuild!BU13</f>
        <v>818.2477065254518</v>
      </c>
      <c r="BV11" s="1146"/>
      <c r="BW11" s="1146">
        <f>RevBuild!BW13</f>
        <v>202.71407385441876</v>
      </c>
      <c r="BX11" s="1147">
        <f>RevBuild!BX13</f>
        <v>212.859578449483</v>
      </c>
      <c r="BY11" s="1147">
        <f>RevBuild!BY13</f>
        <v>214.50100669030533</v>
      </c>
      <c r="BZ11" s="1148">
        <f>RevBuild!BZ13</f>
        <v>232.63764119895021</v>
      </c>
      <c r="CA11" s="1150">
        <f>RevBuild!CA13</f>
        <v>862.71230019315726</v>
      </c>
      <c r="CB11" s="1146"/>
      <c r="CC11" s="1146">
        <f>RevBuild!CC13</f>
        <v>214.68876977005888</v>
      </c>
      <c r="CD11" s="1147">
        <f>RevBuild!CD13</f>
        <v>225.42890599095679</v>
      </c>
      <c r="CE11" s="1147">
        <f>RevBuild!CE13</f>
        <v>225.22605702482062</v>
      </c>
      <c r="CF11" s="1148">
        <f>RevBuild!CF13</f>
        <v>244.26952325889769</v>
      </c>
      <c r="CG11" s="1150">
        <f>RevBuild!CG13</f>
        <v>909.61325604473404</v>
      </c>
      <c r="CH11" s="1146"/>
      <c r="CI11" s="1146">
        <f>RevBuild!CI13</f>
        <v>227.37254001485618</v>
      </c>
      <c r="CJ11" s="1147">
        <f>RevBuild!CJ13</f>
        <v>238.74228082664425</v>
      </c>
      <c r="CK11" s="1147">
        <f>RevBuild!CK13</f>
        <v>236.48735987606165</v>
      </c>
      <c r="CL11" s="1148">
        <f>RevBuild!CL13</f>
        <v>256.48299942184258</v>
      </c>
      <c r="CM11" s="1150">
        <f>RevBuild!CM13</f>
        <v>959.08518013940466</v>
      </c>
      <c r="CN11"/>
      <c r="CO11"/>
      <c r="CP11"/>
      <c r="CQ11"/>
      <c r="CR11"/>
      <c r="CS11"/>
      <c r="CT11"/>
      <c r="CU11"/>
    </row>
    <row r="12" spans="1:99" s="24" customFormat="1" collapsed="1">
      <c r="A12" s="398" t="s">
        <v>188</v>
      </c>
      <c r="B12" s="397"/>
      <c r="C12" s="392">
        <f>SUM(C13:C14)</f>
        <v>143.232</v>
      </c>
      <c r="D12" s="392">
        <f>SUM(D13:D14)</f>
        <v>152.21899999999999</v>
      </c>
      <c r="E12" s="399">
        <f>SUM(E13:E14)-2.556</f>
        <v>151.12299999999999</v>
      </c>
      <c r="F12" s="392">
        <f>SUM(F13:F14)</f>
        <v>181.99199999999993</v>
      </c>
      <c r="G12" s="394">
        <f>SUM(C12:F12)</f>
        <v>628.56599999999992</v>
      </c>
      <c r="H12" s="398"/>
      <c r="I12" s="393">
        <f>SUM(I13:I14)</f>
        <v>155.45099999999999</v>
      </c>
      <c r="J12" s="392">
        <f>SUM(J13:J14)</f>
        <v>166.53199999999998</v>
      </c>
      <c r="K12" s="392">
        <f>SUM(K13:K14)</f>
        <v>157.32</v>
      </c>
      <c r="L12" s="399">
        <f>172.063-0.8</f>
        <v>171.26299999999998</v>
      </c>
      <c r="M12" s="394">
        <f>SUM(I12:L12)</f>
        <v>650.56599999999992</v>
      </c>
      <c r="N12" s="398"/>
      <c r="O12" s="400">
        <v>127.45399999999999</v>
      </c>
      <c r="P12" s="399">
        <v>144.154</v>
      </c>
      <c r="Q12" s="399">
        <v>153.143</v>
      </c>
      <c r="R12" s="399">
        <v>170.131</v>
      </c>
      <c r="S12" s="394">
        <f>SUM(O12:R12)</f>
        <v>594.88199999999995</v>
      </c>
      <c r="T12" s="387"/>
      <c r="U12" s="400">
        <v>145.93199999999999</v>
      </c>
      <c r="V12" s="399">
        <f>SUM(V13:V14)</f>
        <v>155.13300000000001</v>
      </c>
      <c r="W12" s="399">
        <v>162.98500000000001</v>
      </c>
      <c r="X12" s="399">
        <v>189.25299999999999</v>
      </c>
      <c r="Y12" s="394">
        <f>SUM(U12:X12)</f>
        <v>653.303</v>
      </c>
      <c r="Z12" s="387"/>
      <c r="AA12" s="395">
        <f>SUM(AA13:AA14)</f>
        <v>169.82900000000001</v>
      </c>
      <c r="AB12" s="396">
        <f>SUM(AB13:AB14)</f>
        <v>176.10300000000001</v>
      </c>
      <c r="AC12" s="396">
        <f>SUM(AC13:AC14)</f>
        <v>180.31799999999998</v>
      </c>
      <c r="AD12" s="399">
        <v>204.24299999999999</v>
      </c>
      <c r="AE12" s="388">
        <f>SUM(AE13:AE14)</f>
        <v>730.49299999999994</v>
      </c>
      <c r="AF12" s="398"/>
      <c r="AG12" s="395">
        <f>SUM(AG13:AG14)</f>
        <v>167.29000000000002</v>
      </c>
      <c r="AH12" s="396">
        <f>SUM(AH13:AH14)</f>
        <v>177.35599999999999</v>
      </c>
      <c r="AI12" s="396">
        <f>SUM(AI13:AI14)</f>
        <v>182.702</v>
      </c>
      <c r="AJ12" s="396">
        <f>SUM(AJ13:AJ14)</f>
        <v>208.36300000000006</v>
      </c>
      <c r="AK12" s="388">
        <f t="shared" si="0"/>
        <v>735.71100000000001</v>
      </c>
      <c r="AL12" s="398"/>
      <c r="AM12" s="395">
        <f>SUM(AM13:AM14)</f>
        <v>174.56799999999998</v>
      </c>
      <c r="AN12" s="1230">
        <f>SUM(AN13:AN14)</f>
        <v>188.32900000000001</v>
      </c>
      <c r="AO12" s="1230">
        <f>SUM(AO13:AO14)</f>
        <v>191.56799999999998</v>
      </c>
      <c r="AP12" s="1230">
        <f>SUM(AP13:AP14)</f>
        <v>228.99100000000004</v>
      </c>
      <c r="AQ12" s="388">
        <f>+SUM(AM12:AP12)</f>
        <v>783.4559999999999</v>
      </c>
      <c r="AR12" s="398"/>
      <c r="AS12" s="395">
        <f>SUM(AS13:AS14)</f>
        <v>187.71899999999999</v>
      </c>
      <c r="AT12" s="1230">
        <f>SUM(AT13:AT14)</f>
        <v>201.85300000000001</v>
      </c>
      <c r="AU12" s="1230">
        <f>SUM(AU13:AU14)</f>
        <v>202.22199999999998</v>
      </c>
      <c r="AV12" s="1230">
        <f>SUM(AV13:AV14)</f>
        <v>233.11900000000003</v>
      </c>
      <c r="AW12" s="388">
        <f>SUM(AS12:AV12)</f>
        <v>824.91300000000001</v>
      </c>
      <c r="AX12" s="398"/>
      <c r="AY12" s="398">
        <f>SUM(AY13:AY14)</f>
        <v>189.24600000000001</v>
      </c>
      <c r="AZ12" s="387">
        <f>SUM(AZ13:AZ14)</f>
        <v>208.70699999999999</v>
      </c>
      <c r="BA12" s="387">
        <f>SUM(BA13:BA14)</f>
        <v>206.80400000000003</v>
      </c>
      <c r="BB12" s="387">
        <f>+BB9-BB15</f>
        <v>237.91500000000002</v>
      </c>
      <c r="BC12" s="388">
        <f>SUM(AY12:BB12)</f>
        <v>842.67200000000003</v>
      </c>
      <c r="BD12" s="387"/>
      <c r="BE12" s="395">
        <f>SUM(BE13:BE14)</f>
        <v>201.15100000000001</v>
      </c>
      <c r="BF12" s="396">
        <f>SUM(BF13:BF14)</f>
        <v>220.37899999999999</v>
      </c>
      <c r="BG12" s="396">
        <f>SUM(BG13:BG14)</f>
        <v>218.34399999999999</v>
      </c>
      <c r="BH12" s="396">
        <f>SUM(BH13:BH14)</f>
        <v>251.57900000000004</v>
      </c>
      <c r="BI12" s="388">
        <f>SUM(BE12:BH12)</f>
        <v>891.45300000000009</v>
      </c>
      <c r="BJ12" s="398"/>
      <c r="BK12" s="395">
        <f>SUM(BK13:BK14)</f>
        <v>211.095</v>
      </c>
      <c r="BL12" s="396">
        <f>SUM(BL13:BL14)</f>
        <v>229.62700000000001</v>
      </c>
      <c r="BM12" s="396">
        <f>SUM(BM13:BM14)</f>
        <v>235.892</v>
      </c>
      <c r="BN12" s="396">
        <f>SUM(BN13:BN14)</f>
        <v>270.45300000000009</v>
      </c>
      <c r="BO12" s="388">
        <f>SUM(BK12:BN12)</f>
        <v>947.06700000000012</v>
      </c>
      <c r="BP12" s="398"/>
      <c r="BQ12" s="395">
        <f>SUM(BQ13:BQ14)</f>
        <v>229.48550756139537</v>
      </c>
      <c r="BR12" s="396">
        <f>SUM(BR13:BR14)</f>
        <v>249.79984778970956</v>
      </c>
      <c r="BS12" s="396">
        <f>SUM(BS13:BS14)</f>
        <v>250.91500181199478</v>
      </c>
      <c r="BT12" s="396">
        <f>SUM(BT13:BT14)</f>
        <v>288.08161331714746</v>
      </c>
      <c r="BU12" s="388">
        <f>SUM(BQ12:BT12)</f>
        <v>1018.2819704802472</v>
      </c>
      <c r="BV12" s="398"/>
      <c r="BW12" s="395">
        <f>SUM(BW13:BW14)</f>
        <v>243.14846651268522</v>
      </c>
      <c r="BX12" s="396">
        <f>SUM(BX13:BX14)</f>
        <v>262.93153913189121</v>
      </c>
      <c r="BY12" s="396">
        <f>SUM(BY13:BY14)</f>
        <v>263.4499585841304</v>
      </c>
      <c r="BZ12" s="396">
        <f>SUM(BZ13:BZ14)</f>
        <v>300.41774696939655</v>
      </c>
      <c r="CA12" s="388">
        <f>SUM(BW12:BZ12)</f>
        <v>1069.9477111981034</v>
      </c>
      <c r="CB12" s="398"/>
      <c r="CC12" s="395">
        <f>SUM(CC13:CC14)</f>
        <v>255.76467678320114</v>
      </c>
      <c r="CD12" s="396">
        <f>SUM(CD13:CD14)</f>
        <v>274.74155867410497</v>
      </c>
      <c r="CE12" s="396">
        <f>SUM(CE13:CE14)</f>
        <v>274.86469467840709</v>
      </c>
      <c r="CF12" s="396">
        <f>SUM(CF13:CF14)</f>
        <v>311.27785459500137</v>
      </c>
      <c r="CG12" s="388">
        <f>SUM(CC12:CF12)</f>
        <v>1116.6487847307144</v>
      </c>
      <c r="CH12" s="398"/>
      <c r="CI12" s="395">
        <f>SUM(CI13:CI14)</f>
        <v>269.03537423228858</v>
      </c>
      <c r="CJ12" s="396">
        <f>SUM(CJ13:CJ14)</f>
        <v>287.10406897342665</v>
      </c>
      <c r="CK12" s="396">
        <f>SUM(CK13:CK14)</f>
        <v>286.77962361169551</v>
      </c>
      <c r="CL12" s="396">
        <f>SUM(CL13:CL14)</f>
        <v>322.59986856771127</v>
      </c>
      <c r="CM12" s="388">
        <f>SUM(CI12:CL12)</f>
        <v>1165.5189353851219</v>
      </c>
      <c r="CN12"/>
      <c r="CO12"/>
      <c r="CP12"/>
      <c r="CQ12"/>
      <c r="CR12"/>
      <c r="CS12"/>
      <c r="CT12"/>
      <c r="CU12"/>
    </row>
    <row r="13" spans="1:99" s="24" customFormat="1" ht="12.75" hidden="1" customHeight="1" outlineLevel="1">
      <c r="A13" s="474" t="s">
        <v>185</v>
      </c>
      <c r="B13" s="397"/>
      <c r="C13" s="399">
        <v>98.123000000000005</v>
      </c>
      <c r="D13" s="399">
        <v>103.602</v>
      </c>
      <c r="E13" s="399">
        <v>105.446</v>
      </c>
      <c r="F13" s="399">
        <f>437.936-SUM(C13:E13)</f>
        <v>130.76499999999993</v>
      </c>
      <c r="G13" s="394">
        <f>SUM(C13:F13)</f>
        <v>437.93599999999998</v>
      </c>
      <c r="H13" s="398"/>
      <c r="I13" s="400">
        <v>106.34</v>
      </c>
      <c r="J13" s="399">
        <f>121.256-8.7</f>
        <v>112.556</v>
      </c>
      <c r="K13" s="399">
        <f>109.278-1.2</f>
        <v>108.078</v>
      </c>
      <c r="L13" s="392">
        <f>M13-SUM(I13:K13)</f>
        <v>120.20899999999995</v>
      </c>
      <c r="M13" s="394">
        <f>457.883-0.8-1.2-8.7</f>
        <v>447.18299999999999</v>
      </c>
      <c r="N13" s="398"/>
      <c r="O13" s="400">
        <v>83.402000000000001</v>
      </c>
      <c r="P13" s="399">
        <v>98.506</v>
      </c>
      <c r="Q13" s="399">
        <v>104.038</v>
      </c>
      <c r="R13" s="392">
        <f>S13-SUM(O13:Q13)</f>
        <v>120.73499999999996</v>
      </c>
      <c r="S13" s="394">
        <v>406.68099999999998</v>
      </c>
      <c r="T13" s="387"/>
      <c r="U13" s="400">
        <v>97.405000000000001</v>
      </c>
      <c r="V13" s="399">
        <v>106.89</v>
      </c>
      <c r="W13" s="399">
        <v>113.345</v>
      </c>
      <c r="X13" s="392">
        <f>Y13-U13-V13-W13</f>
        <v>136.13900000000004</v>
      </c>
      <c r="Y13" s="394">
        <v>453.779</v>
      </c>
      <c r="Z13" s="387"/>
      <c r="AA13" s="400">
        <v>115.901</v>
      </c>
      <c r="AB13" s="399">
        <v>121.28</v>
      </c>
      <c r="AC13" s="399">
        <v>124.22799999999999</v>
      </c>
      <c r="AD13" s="399">
        <f>506.073-SUM(AA13:AC13)</f>
        <v>144.66399999999999</v>
      </c>
      <c r="AE13" s="394">
        <f>SUM(AA13:AD13)</f>
        <v>506.07299999999998</v>
      </c>
      <c r="AF13" s="398"/>
      <c r="AG13" s="400">
        <v>109.712</v>
      </c>
      <c r="AH13" s="399">
        <f>120.321-1.903</f>
        <v>118.41799999999999</v>
      </c>
      <c r="AI13" s="399">
        <v>122.861</v>
      </c>
      <c r="AJ13" s="1155">
        <f>501.66-SUM(AG13:AI13)-1.903</f>
        <v>148.76600000000005</v>
      </c>
      <c r="AK13" s="394">
        <f t="shared" si="0"/>
        <v>499.75700000000006</v>
      </c>
      <c r="AL13" s="398"/>
      <c r="AM13" s="400">
        <v>113.752</v>
      </c>
      <c r="AN13" s="1229">
        <v>123.70399999999999</v>
      </c>
      <c r="AO13" s="1229">
        <v>128.374</v>
      </c>
      <c r="AP13" s="399">
        <f>526.721-SUM(AM13:AO13)</f>
        <v>160.89100000000002</v>
      </c>
      <c r="AQ13" s="394">
        <f>SUM(AM13:AP13)</f>
        <v>526.721</v>
      </c>
      <c r="AR13" s="398"/>
      <c r="AS13" s="400">
        <v>122.47499999999999</v>
      </c>
      <c r="AT13" s="1229">
        <v>131.303</v>
      </c>
      <c r="AU13" s="1229">
        <v>133.86799999999999</v>
      </c>
      <c r="AV13" s="399">
        <f>549.121-SUM(AS13:AU13)</f>
        <v>161.47500000000002</v>
      </c>
      <c r="AW13" s="394">
        <f>SUM(AS13:AV13)</f>
        <v>549.12099999999998</v>
      </c>
      <c r="AX13" s="398"/>
      <c r="AY13" s="400">
        <v>121.953</v>
      </c>
      <c r="AZ13" s="1229">
        <v>138.20099999999999</v>
      </c>
      <c r="BA13" s="1229">
        <v>138.01400000000001</v>
      </c>
      <c r="BB13" s="399">
        <f>+(AV13/AV12)*BB12</f>
        <v>164.79705483036562</v>
      </c>
      <c r="BC13" s="394">
        <f>SUM(AY13:BB13)</f>
        <v>562.9650548303656</v>
      </c>
      <c r="BD13" s="392"/>
      <c r="BE13" s="400">
        <v>129.25800000000001</v>
      </c>
      <c r="BF13" s="1229">
        <v>144.81399999999999</v>
      </c>
      <c r="BG13" s="1229">
        <v>145.62299999999999</v>
      </c>
      <c r="BH13" s="1229">
        <f>595.796-SUM(BE13:BG13)</f>
        <v>176.10100000000006</v>
      </c>
      <c r="BI13" s="394">
        <f>SUM(BE13:BH13)</f>
        <v>595.79600000000005</v>
      </c>
      <c r="BJ13" s="398"/>
      <c r="BK13" s="400">
        <v>133.15600000000001</v>
      </c>
      <c r="BL13" s="1229">
        <v>148.023</v>
      </c>
      <c r="BM13" s="1229">
        <v>155.62100000000001</v>
      </c>
      <c r="BN13" s="2114">
        <f>623.214-SUM(BK13:BM13)</f>
        <v>186.4140000000001</v>
      </c>
      <c r="BO13" s="394">
        <f>SUM(BK13:BN13)</f>
        <v>623.21400000000006</v>
      </c>
      <c r="BP13" s="398"/>
      <c r="BQ13" s="395">
        <f t="shared" ref="BQ13:BT14" si="1">BQ10*(1-BQ45)</f>
        <v>143.5872638631063</v>
      </c>
      <c r="BR13" s="396">
        <f t="shared" si="1"/>
        <v>161.33845846632408</v>
      </c>
      <c r="BS13" s="396">
        <f t="shared" si="1"/>
        <v>164.6236248401672</v>
      </c>
      <c r="BT13" s="396">
        <f t="shared" si="1"/>
        <v>198.39589431233497</v>
      </c>
      <c r="BU13" s="394">
        <f>SUM(BQ13:BT13)</f>
        <v>667.9452414819325</v>
      </c>
      <c r="BV13" s="398"/>
      <c r="BW13" s="395">
        <f t="shared" ref="BW13:BZ14" si="2">BW10*(1-BW45)</f>
        <v>152.37945670234609</v>
      </c>
      <c r="BX13" s="396">
        <f t="shared" si="2"/>
        <v>169.46010082351782</v>
      </c>
      <c r="BY13" s="396">
        <f t="shared" si="2"/>
        <v>173.05851377040176</v>
      </c>
      <c r="BZ13" s="396">
        <f t="shared" si="2"/>
        <v>206.48037965554238</v>
      </c>
      <c r="CA13" s="394">
        <f>SUM(BW13:BZ13)</f>
        <v>701.37845095180808</v>
      </c>
      <c r="CB13" s="398"/>
      <c r="CC13" s="395">
        <f t="shared" ref="CC13:CF14" si="3">CC10*(1-CC45)</f>
        <v>159.84846216328862</v>
      </c>
      <c r="CD13" s="396">
        <f t="shared" si="3"/>
        <v>175.97607426181858</v>
      </c>
      <c r="CE13" s="396">
        <f t="shared" si="3"/>
        <v>180.17890368101681</v>
      </c>
      <c r="CF13" s="396">
        <f t="shared" si="3"/>
        <v>212.88788843871345</v>
      </c>
      <c r="CG13" s="394">
        <f>SUM(CC13:CF13)</f>
        <v>728.89132854483751</v>
      </c>
      <c r="CH13" s="398"/>
      <c r="CI13" s="395">
        <f t="shared" ref="CI13:CL14" si="4">CI10*(1-CI45)</f>
        <v>167.67982107899547</v>
      </c>
      <c r="CJ13" s="396">
        <f t="shared" si="4"/>
        <v>182.74443727073435</v>
      </c>
      <c r="CK13" s="396">
        <f t="shared" si="4"/>
        <v>187.59603042431175</v>
      </c>
      <c r="CL13" s="396">
        <f t="shared" si="4"/>
        <v>219.5468871030308</v>
      </c>
      <c r="CM13" s="394">
        <f>SUM(CI13:CL13)</f>
        <v>757.56717587707237</v>
      </c>
      <c r="CN13"/>
      <c r="CO13"/>
      <c r="CP13"/>
      <c r="CQ13"/>
      <c r="CR13"/>
      <c r="CS13"/>
      <c r="CT13"/>
      <c r="CU13"/>
    </row>
    <row r="14" spans="1:99" s="24" customFormat="1" ht="12.75" hidden="1" customHeight="1" outlineLevel="1">
      <c r="A14" s="474" t="s">
        <v>186</v>
      </c>
      <c r="B14" s="397"/>
      <c r="C14" s="399">
        <v>45.109000000000002</v>
      </c>
      <c r="D14" s="399">
        <v>48.616999999999997</v>
      </c>
      <c r="E14" s="399">
        <v>48.232999999999997</v>
      </c>
      <c r="F14" s="399">
        <f>193.186-SUM(C14:E14)</f>
        <v>51.227000000000004</v>
      </c>
      <c r="G14" s="394">
        <f>SUM(C14:F14)</f>
        <v>193.18600000000001</v>
      </c>
      <c r="H14" s="398"/>
      <c r="I14" s="400">
        <v>49.110999999999997</v>
      </c>
      <c r="J14" s="399">
        <f>53.976</f>
        <v>53.975999999999999</v>
      </c>
      <c r="K14" s="399">
        <v>49.241999999999997</v>
      </c>
      <c r="L14" s="392">
        <f>M14-SUM(I14:K14)</f>
        <v>51.051000000000016</v>
      </c>
      <c r="M14" s="394">
        <v>203.38</v>
      </c>
      <c r="N14" s="398"/>
      <c r="O14" s="400">
        <v>44.052</v>
      </c>
      <c r="P14" s="399">
        <v>45.648000000000003</v>
      </c>
      <c r="Q14" s="399">
        <v>49.104999999999997</v>
      </c>
      <c r="R14" s="392">
        <f>S14-SUM(O14:Q14)</f>
        <v>49.395999999999987</v>
      </c>
      <c r="S14" s="394">
        <v>188.20099999999999</v>
      </c>
      <c r="T14" s="387"/>
      <c r="U14" s="400">
        <v>48.527000000000001</v>
      </c>
      <c r="V14" s="399">
        <v>48.243000000000002</v>
      </c>
      <c r="W14" s="399">
        <v>49.64</v>
      </c>
      <c r="X14" s="392">
        <f>Y14-U14-V14-W14</f>
        <v>53.114000000000019</v>
      </c>
      <c r="Y14" s="394">
        <v>199.524</v>
      </c>
      <c r="Z14" s="387"/>
      <c r="AA14" s="400">
        <v>53.927999999999997</v>
      </c>
      <c r="AB14" s="399">
        <v>54.823</v>
      </c>
      <c r="AC14" s="399">
        <v>56.09</v>
      </c>
      <c r="AD14" s="399">
        <f>224.42-SUM(AA14:AC14)</f>
        <v>59.578999999999979</v>
      </c>
      <c r="AE14" s="394">
        <f>SUM(AA14:AD14)</f>
        <v>224.42</v>
      </c>
      <c r="AF14" s="398"/>
      <c r="AG14" s="400">
        <v>57.578000000000003</v>
      </c>
      <c r="AH14" s="399">
        <v>58.938000000000002</v>
      </c>
      <c r="AI14" s="399">
        <v>59.841000000000001</v>
      </c>
      <c r="AJ14" s="1155">
        <f>235.954-SUM(AG14:AI14)</f>
        <v>59.597000000000008</v>
      </c>
      <c r="AK14" s="394">
        <f t="shared" si="0"/>
        <v>235.95400000000001</v>
      </c>
      <c r="AL14" s="398"/>
      <c r="AM14" s="400">
        <v>60.816000000000003</v>
      </c>
      <c r="AN14" s="1229">
        <v>64.625</v>
      </c>
      <c r="AO14" s="1229">
        <v>63.194000000000003</v>
      </c>
      <c r="AP14" s="399">
        <f>256.735-SUM(AM14:AO14)</f>
        <v>68.100000000000023</v>
      </c>
      <c r="AQ14" s="394">
        <f>SUM(AM14:AP14)</f>
        <v>256.73500000000001</v>
      </c>
      <c r="AR14" s="398"/>
      <c r="AS14" s="400">
        <v>65.244</v>
      </c>
      <c r="AT14" s="1229">
        <v>70.55</v>
      </c>
      <c r="AU14" s="1229">
        <v>68.353999999999999</v>
      </c>
      <c r="AV14" s="399">
        <f>275.792-SUM(AS14:AU14)</f>
        <v>71.644000000000005</v>
      </c>
      <c r="AW14" s="394">
        <f>SUM(AS14:AV14)</f>
        <v>275.79199999999997</v>
      </c>
      <c r="AX14" s="398"/>
      <c r="AY14" s="400">
        <v>67.293000000000006</v>
      </c>
      <c r="AZ14" s="1229">
        <v>70.506</v>
      </c>
      <c r="BA14" s="1229">
        <v>68.790000000000006</v>
      </c>
      <c r="BB14" s="399">
        <f>+(AV14/AV12)*BB12</f>
        <v>73.117945169634396</v>
      </c>
      <c r="BC14" s="394">
        <f>SUM(AY14:BB14)</f>
        <v>279.70694516963442</v>
      </c>
      <c r="BD14" s="387"/>
      <c r="BE14" s="400">
        <v>71.893000000000001</v>
      </c>
      <c r="BF14" s="1229">
        <v>75.564999999999998</v>
      </c>
      <c r="BG14" s="1229">
        <v>72.721000000000004</v>
      </c>
      <c r="BH14" s="1229">
        <f>295.657-SUM(BE14:BG14)</f>
        <v>75.47799999999998</v>
      </c>
      <c r="BI14" s="394">
        <f>SUM(BE14:BH14)</f>
        <v>295.65699999999998</v>
      </c>
      <c r="BJ14" s="398"/>
      <c r="BK14" s="400">
        <v>77.938999999999993</v>
      </c>
      <c r="BL14" s="1229">
        <v>81.603999999999999</v>
      </c>
      <c r="BM14" s="1229">
        <v>80.271000000000001</v>
      </c>
      <c r="BN14" s="2114">
        <f>323.853-SUM(BK14:BM14)</f>
        <v>84.038999999999987</v>
      </c>
      <c r="BO14" s="394">
        <f>SUM(BK14:BN14)</f>
        <v>323.85300000000001</v>
      </c>
      <c r="BP14" s="398"/>
      <c r="BQ14" s="395">
        <f t="shared" si="1"/>
        <v>85.89824369828905</v>
      </c>
      <c r="BR14" s="396">
        <f t="shared" si="1"/>
        <v>88.461389323385475</v>
      </c>
      <c r="BS14" s="396">
        <f t="shared" si="1"/>
        <v>86.291376971827589</v>
      </c>
      <c r="BT14" s="396">
        <f t="shared" si="1"/>
        <v>89.685719004812469</v>
      </c>
      <c r="BU14" s="394">
        <f>SUM(BQ14:BT14)</f>
        <v>350.33672899831464</v>
      </c>
      <c r="BV14" s="398"/>
      <c r="BW14" s="395">
        <f t="shared" si="2"/>
        <v>90.769009810339114</v>
      </c>
      <c r="BX14" s="396">
        <f t="shared" si="2"/>
        <v>93.471438308373422</v>
      </c>
      <c r="BY14" s="396">
        <f t="shared" si="2"/>
        <v>90.391444813728668</v>
      </c>
      <c r="BZ14" s="396">
        <f t="shared" si="2"/>
        <v>93.937367313854153</v>
      </c>
      <c r="CA14" s="394">
        <f>SUM(BW14:BZ14)</f>
        <v>368.56926024629541</v>
      </c>
      <c r="CB14" s="398"/>
      <c r="CC14" s="395">
        <f t="shared" si="3"/>
        <v>95.916214619912537</v>
      </c>
      <c r="CD14" s="396">
        <f t="shared" si="3"/>
        <v>98.765484412286398</v>
      </c>
      <c r="CE14" s="396">
        <f t="shared" si="3"/>
        <v>94.685790997390299</v>
      </c>
      <c r="CF14" s="396">
        <f t="shared" si="3"/>
        <v>98.389966156287954</v>
      </c>
      <c r="CG14" s="394">
        <f>SUM(CC14:CF14)</f>
        <v>387.75745618587723</v>
      </c>
      <c r="CH14" s="398"/>
      <c r="CI14" s="395">
        <f t="shared" si="4"/>
        <v>101.35555315329312</v>
      </c>
      <c r="CJ14" s="396">
        <f t="shared" si="4"/>
        <v>104.35963170269231</v>
      </c>
      <c r="CK14" s="396">
        <f t="shared" si="4"/>
        <v>99.18359318738375</v>
      </c>
      <c r="CL14" s="396">
        <f t="shared" si="4"/>
        <v>103.0529814646805</v>
      </c>
      <c r="CM14" s="394">
        <f>SUM(CI14:CL14)</f>
        <v>407.95175950804969</v>
      </c>
      <c r="CN14"/>
      <c r="CO14"/>
      <c r="CP14"/>
      <c r="CQ14"/>
      <c r="CR14"/>
      <c r="CS14"/>
      <c r="CT14"/>
      <c r="CU14"/>
    </row>
    <row r="15" spans="1:99" s="24" customFormat="1" collapsed="1">
      <c r="A15" s="148" t="s">
        <v>189</v>
      </c>
      <c r="B15" s="402"/>
      <c r="C15" s="403">
        <f>C9-C12</f>
        <v>187.54499999999999</v>
      </c>
      <c r="D15" s="403">
        <f>D9-D12</f>
        <v>200.411</v>
      </c>
      <c r="E15" s="403">
        <f>E9-E12</f>
        <v>201.51499999999999</v>
      </c>
      <c r="F15" s="404">
        <f>F9-F12</f>
        <v>255.01099999999994</v>
      </c>
      <c r="G15" s="381">
        <f>G9-G12</f>
        <v>844.48199999999986</v>
      </c>
      <c r="H15" s="148"/>
      <c r="I15" s="405">
        <f>I9-I12</f>
        <v>216.54700000000005</v>
      </c>
      <c r="J15" s="403">
        <f>J9-J12</f>
        <v>231.95300000000003</v>
      </c>
      <c r="K15" s="403">
        <f>K9-K12</f>
        <v>228.98999999999995</v>
      </c>
      <c r="L15" s="404">
        <f>L9-L12</f>
        <v>247.06799999999993</v>
      </c>
      <c r="M15" s="381">
        <f>M9-M12</f>
        <v>924.55800000000011</v>
      </c>
      <c r="N15" s="148"/>
      <c r="O15" s="405">
        <f>O9-O12</f>
        <v>205.59800000000001</v>
      </c>
      <c r="P15" s="403">
        <f>P9-P12</f>
        <v>218.68299999999999</v>
      </c>
      <c r="Q15" s="403">
        <f>Q9-Q12</f>
        <v>220.82000000000002</v>
      </c>
      <c r="R15" s="403">
        <f>R9-R12</f>
        <v>258.71699999999998</v>
      </c>
      <c r="S15" s="381">
        <f>S9-S12</f>
        <v>903.8180000000001</v>
      </c>
      <c r="T15" s="379"/>
      <c r="U15" s="405">
        <f>U9-U12</f>
        <v>221.768</v>
      </c>
      <c r="V15" s="403">
        <f>V9-V12</f>
        <v>235.922</v>
      </c>
      <c r="W15" s="403">
        <f>W9-W12</f>
        <v>238.053</v>
      </c>
      <c r="X15" s="403">
        <f>X9-X12</f>
        <v>294.32499999999999</v>
      </c>
      <c r="Y15" s="381">
        <f>Y9-Y12</f>
        <v>990.0680000000001</v>
      </c>
      <c r="Z15" s="379"/>
      <c r="AA15" s="405">
        <f>AA9-AA12</f>
        <v>257.774</v>
      </c>
      <c r="AB15" s="403">
        <f>AB9-AB12</f>
        <v>271.52400000000006</v>
      </c>
      <c r="AC15" s="403">
        <f>AC9-AC12</f>
        <v>274.21600000000001</v>
      </c>
      <c r="AD15" s="403">
        <f>AD9-AD12</f>
        <v>317.17699999999996</v>
      </c>
      <c r="AE15" s="381">
        <f>AE9-AE12</f>
        <v>1120.691</v>
      </c>
      <c r="AF15" s="148"/>
      <c r="AG15" s="405">
        <f>AG9-AG12</f>
        <v>253.16800000000001</v>
      </c>
      <c r="AH15" s="403">
        <f>AH9-AH12</f>
        <v>274.10899999999998</v>
      </c>
      <c r="AI15" s="403">
        <f>AI9-AI12</f>
        <v>267.25</v>
      </c>
      <c r="AJ15" s="407">
        <f>AJ9-AJ12</f>
        <v>313.40299999999991</v>
      </c>
      <c r="AK15" s="381">
        <f>AK9-AK12</f>
        <v>1107.93</v>
      </c>
      <c r="AL15" s="148"/>
      <c r="AM15" s="405">
        <f>AM9-AM12</f>
        <v>255.77000000000004</v>
      </c>
      <c r="AN15" s="403">
        <f>AN9-AN12</f>
        <v>262.786</v>
      </c>
      <c r="AO15" s="403">
        <f>AO9-AO12</f>
        <v>265.74900000000002</v>
      </c>
      <c r="AP15" s="403">
        <f>AP9-AP12</f>
        <v>336.45699999999994</v>
      </c>
      <c r="AQ15" s="381">
        <f>AQ9-AQ12</f>
        <v>1120.7619999999999</v>
      </c>
      <c r="AR15" s="148"/>
      <c r="AS15" s="405">
        <f>AS9-AS12</f>
        <v>242.78899999999999</v>
      </c>
      <c r="AT15" s="403">
        <f>AT9-AT12</f>
        <v>279.94799999999998</v>
      </c>
      <c r="AU15" s="403">
        <f>AU9-AU12</f>
        <v>290.94300000000004</v>
      </c>
      <c r="AV15" s="403">
        <f>AV9-AV12</f>
        <v>350.75099999999998</v>
      </c>
      <c r="AW15" s="381">
        <f>AW9-AW12</f>
        <v>1164.431</v>
      </c>
      <c r="AX15" s="148"/>
      <c r="AY15" s="405">
        <f>AY9-AY12</f>
        <v>271.15800000000002</v>
      </c>
      <c r="AZ15" s="403">
        <f>AZ9-AZ12</f>
        <v>286.03300000000002</v>
      </c>
      <c r="BA15" s="403">
        <f>BA9-BA12</f>
        <v>293.77399999999994</v>
      </c>
      <c r="BB15" s="403">
        <v>348.69499999999999</v>
      </c>
      <c r="BC15" s="381">
        <f>BC9-BC12</f>
        <v>1199.6599999999999</v>
      </c>
      <c r="BD15" s="379"/>
      <c r="BE15" s="405">
        <f>BE9-BE12</f>
        <v>274.09499999999997</v>
      </c>
      <c r="BF15" s="409">
        <f>BF9-BF12</f>
        <v>316.18099999999993</v>
      </c>
      <c r="BG15" s="409">
        <f>BG9-BG12</f>
        <v>308.48600000000005</v>
      </c>
      <c r="BH15" s="409">
        <f>BH9-BH12</f>
        <v>377.20799999999997</v>
      </c>
      <c r="BI15" s="381">
        <f>BI9-BI12</f>
        <v>1275.9699999999998</v>
      </c>
      <c r="BJ15" s="148"/>
      <c r="BK15" s="408">
        <f>BK9-BK12</f>
        <v>286.87400000000002</v>
      </c>
      <c r="BL15" s="409">
        <f>BL9-BL12</f>
        <v>328.62299999999999</v>
      </c>
      <c r="BM15" s="409">
        <f>BM9-BM12</f>
        <v>329.69199999999995</v>
      </c>
      <c r="BN15" s="409">
        <f>BN9-BN12</f>
        <v>416.82199999999989</v>
      </c>
      <c r="BO15" s="381">
        <f>BO9-BO12</f>
        <v>1362.011</v>
      </c>
      <c r="BP15" s="148"/>
      <c r="BQ15" s="408">
        <f>BQ9-BQ12</f>
        <v>311.62414817238243</v>
      </c>
      <c r="BR15" s="409">
        <f>BR9-BR12</f>
        <v>357.56955578493</v>
      </c>
      <c r="BS15" s="409">
        <f>BS9-BS12</f>
        <v>350.64711804092644</v>
      </c>
      <c r="BT15" s="409">
        <f>BT9-BT12</f>
        <v>443.97385882986316</v>
      </c>
      <c r="BU15" s="381">
        <f>BU9-BU12</f>
        <v>1463.8146808281022</v>
      </c>
      <c r="BV15" s="148"/>
      <c r="BW15" s="408">
        <f>BW9-BW12</f>
        <v>333.41100667492537</v>
      </c>
      <c r="BX15" s="409">
        <f>BX9-BX12</f>
        <v>380.01133215072366</v>
      </c>
      <c r="BY15" s="409">
        <f>BY9-BY12</f>
        <v>371.72743430718731</v>
      </c>
      <c r="BZ15" s="409">
        <f>BZ9-BZ12</f>
        <v>467.65121538278544</v>
      </c>
      <c r="CA15" s="381">
        <f>CA9-CA12</f>
        <v>1552.8009885156218</v>
      </c>
      <c r="CB15" s="148"/>
      <c r="CC15" s="408">
        <f>CC9-CC12</f>
        <v>354.00166625360134</v>
      </c>
      <c r="CD15" s="409">
        <f>CD9-CD12</f>
        <v>400.73454099079396</v>
      </c>
      <c r="CE15" s="409">
        <f>CE9-CE12</f>
        <v>391.56369684974027</v>
      </c>
      <c r="CF15" s="409">
        <f>CF9-CF12</f>
        <v>489.36678550312263</v>
      </c>
      <c r="CG15" s="381">
        <f>CG9-CG12</f>
        <v>1635.6666895972585</v>
      </c>
      <c r="CH15" s="148"/>
      <c r="CI15" s="408">
        <f>CI9-CI12</f>
        <v>375.86640069131846</v>
      </c>
      <c r="CJ15" s="409">
        <f>CJ9-CJ12</f>
        <v>422.60847320353486</v>
      </c>
      <c r="CK15" s="409">
        <f>CK9-CK12</f>
        <v>412.47181484796948</v>
      </c>
      <c r="CL15" s="409">
        <f>CL9-CL12</f>
        <v>512.19550792563462</v>
      </c>
      <c r="CM15" s="381">
        <f>CM9-CM12</f>
        <v>1723.1421966684575</v>
      </c>
      <c r="CN15"/>
      <c r="CO15"/>
      <c r="CP15"/>
      <c r="CQ15"/>
      <c r="CR15"/>
      <c r="CS15"/>
      <c r="CT15"/>
      <c r="CU15"/>
    </row>
    <row r="16" spans="1:99" s="24" customFormat="1">
      <c r="A16" s="398" t="s">
        <v>190</v>
      </c>
      <c r="B16" s="397"/>
      <c r="C16" s="410">
        <v>18.722000000000001</v>
      </c>
      <c r="D16" s="410">
        <f>19.115</f>
        <v>19.114999999999998</v>
      </c>
      <c r="E16" s="410">
        <f>21.974-2.243</f>
        <v>19.731000000000002</v>
      </c>
      <c r="F16" s="410">
        <v>20.838000000000001</v>
      </c>
      <c r="G16" s="394">
        <f>SUM(C16:F16)</f>
        <v>78.406000000000006</v>
      </c>
      <c r="H16" s="411"/>
      <c r="I16" s="412">
        <v>19.786000000000001</v>
      </c>
      <c r="J16" s="410">
        <v>22.228000000000002</v>
      </c>
      <c r="K16" s="410">
        <f>19.946</f>
        <v>19.946000000000002</v>
      </c>
      <c r="L16" s="410">
        <v>19.628</v>
      </c>
      <c r="M16" s="394">
        <f>SUM(I16:L16)</f>
        <v>81.588000000000008</v>
      </c>
      <c r="N16" s="411"/>
      <c r="O16" s="412">
        <v>18.332000000000001</v>
      </c>
      <c r="P16" s="410">
        <v>19.722000000000001</v>
      </c>
      <c r="Q16" s="410">
        <v>19.309999999999999</v>
      </c>
      <c r="R16" s="410">
        <v>19.79</v>
      </c>
      <c r="S16" s="394">
        <f>SUM(O16:R16)</f>
        <v>77.153999999999996</v>
      </c>
      <c r="T16" s="413"/>
      <c r="U16" s="412">
        <v>20.076000000000001</v>
      </c>
      <c r="V16" s="410">
        <v>20.806999999999999</v>
      </c>
      <c r="W16" s="410">
        <v>20.524000000000001</v>
      </c>
      <c r="X16" s="410">
        <v>22.867000000000001</v>
      </c>
      <c r="Y16" s="394">
        <f>SUM(U16:X16)</f>
        <v>84.274000000000001</v>
      </c>
      <c r="Z16" s="348"/>
      <c r="AA16" s="412">
        <f>22.254</f>
        <v>22.254000000000001</v>
      </c>
      <c r="AB16" s="410">
        <v>23.013999999999999</v>
      </c>
      <c r="AC16" s="410">
        <v>23.372</v>
      </c>
      <c r="AD16" s="410">
        <v>23.707000000000001</v>
      </c>
      <c r="AE16" s="394">
        <f>SUM(AA16:AD16)</f>
        <v>92.347000000000008</v>
      </c>
      <c r="AF16" s="411"/>
      <c r="AG16" s="412">
        <v>23.347000000000001</v>
      </c>
      <c r="AH16" s="410">
        <v>23.943000000000001</v>
      </c>
      <c r="AI16" s="410">
        <v>23.756</v>
      </c>
      <c r="AJ16" s="410">
        <v>24.957999999999998</v>
      </c>
      <c r="AK16" s="394">
        <f>SUM(AG16:AJ16)</f>
        <v>96.004000000000005</v>
      </c>
      <c r="AL16" s="411"/>
      <c r="AM16" s="412">
        <v>25.312000000000001</v>
      </c>
      <c r="AN16" s="410">
        <v>24.65</v>
      </c>
      <c r="AO16" s="410">
        <v>23.599</v>
      </c>
      <c r="AP16" s="410">
        <v>26.975000000000001</v>
      </c>
      <c r="AQ16" s="394">
        <f>SUM(AM16:AP16)</f>
        <v>100.536</v>
      </c>
      <c r="AR16" s="411"/>
      <c r="AS16" s="412">
        <v>24.745999999999999</v>
      </c>
      <c r="AT16" s="410">
        <v>26.977</v>
      </c>
      <c r="AU16" s="410">
        <v>27.279</v>
      </c>
      <c r="AV16" s="410">
        <f>44.18-15.456</f>
        <v>28.724</v>
      </c>
      <c r="AW16" s="394">
        <f>SUM(AS16:AV16)</f>
        <v>107.726</v>
      </c>
      <c r="AX16" s="411"/>
      <c r="AY16" s="412">
        <v>28.951000000000001</v>
      </c>
      <c r="AZ16" s="410">
        <v>30.555</v>
      </c>
      <c r="BA16" s="410">
        <v>30.702999999999999</v>
      </c>
      <c r="BB16" s="410">
        <v>28.335999999999999</v>
      </c>
      <c r="BC16" s="394">
        <f>SUM(AY16:BB16)</f>
        <v>118.545</v>
      </c>
      <c r="BD16" s="387"/>
      <c r="BE16" s="412">
        <v>29.437999999999999</v>
      </c>
      <c r="BF16" s="410">
        <v>32.578000000000003</v>
      </c>
      <c r="BG16" s="410">
        <v>30.417999999999999</v>
      </c>
      <c r="BH16" s="410">
        <v>32.753</v>
      </c>
      <c r="BI16" s="394">
        <f>SUM(BE16:BH16)</f>
        <v>125.187</v>
      </c>
      <c r="BJ16" s="411"/>
      <c r="BK16" s="412">
        <v>30.751999999999999</v>
      </c>
      <c r="BL16" s="410">
        <v>32.936999999999998</v>
      </c>
      <c r="BM16" s="410">
        <v>33.781999999999996</v>
      </c>
      <c r="BN16" s="410">
        <v>35.122</v>
      </c>
      <c r="BO16" s="394">
        <f>SUM(BK16:BN16)</f>
        <v>132.59299999999999</v>
      </c>
      <c r="BP16" s="411"/>
      <c r="BQ16" s="414">
        <f>BQ$9*BQ47</f>
        <v>33.416144645801516</v>
      </c>
      <c r="BR16" s="89">
        <f>BR$9*BR47</f>
        <v>35.835066807949666</v>
      </c>
      <c r="BS16" s="89">
        <f>BS9*BS47</f>
        <v>35.930951959163245</v>
      </c>
      <c r="BT16" s="89">
        <f>BT9*BT47</f>
        <v>37.410428566072248</v>
      </c>
      <c r="BU16" s="394">
        <f>SUM(BQ16:BT16)</f>
        <v>142.59259197898669</v>
      </c>
      <c r="BV16" s="411"/>
      <c r="BW16" s="414">
        <f>BW$9*BW47</f>
        <v>35.605342741145336</v>
      </c>
      <c r="BX16" s="89">
        <f>BX$9*BX47</f>
        <v>37.93391733351632</v>
      </c>
      <c r="BY16" s="89">
        <f>BY9*BY47</f>
        <v>37.938772466432034</v>
      </c>
      <c r="BZ16" s="89">
        <f>BZ9*BZ47</f>
        <v>39.250835685472822</v>
      </c>
      <c r="CA16" s="394">
        <f>SUM(BW16:BZ16)</f>
        <v>150.7288682265665</v>
      </c>
      <c r="CB16" s="411"/>
      <c r="CC16" s="414">
        <f>CC$9*CC47</f>
        <v>37.656027947658892</v>
      </c>
      <c r="CD16" s="89">
        <f>CD$9*CD47</f>
        <v>39.853392377362781</v>
      </c>
      <c r="CE16" s="89">
        <f>CE9*CE47</f>
        <v>39.805376252871142</v>
      </c>
      <c r="CF16" s="89">
        <f>CF9*CF47</f>
        <v>40.915559346006056</v>
      </c>
      <c r="CG16" s="394">
        <f>SUM(CC16:CF16)</f>
        <v>158.23035592389886</v>
      </c>
      <c r="CH16" s="411"/>
      <c r="CI16" s="414">
        <f>CI$9*CI47</f>
        <v>39.825811210036697</v>
      </c>
      <c r="CJ16" s="89">
        <f>CJ$9*CJ47</f>
        <v>41.873357817613218</v>
      </c>
      <c r="CK16" s="89">
        <f>CK9*CK47</f>
        <v>41.765877560264087</v>
      </c>
      <c r="CL16" s="89">
        <f>CL9*CL47</f>
        <v>42.660773654213081</v>
      </c>
      <c r="CM16" s="394">
        <f>SUM(CI16:CL16)</f>
        <v>166.12582024212708</v>
      </c>
      <c r="CN16"/>
      <c r="CO16"/>
      <c r="CP16"/>
      <c r="CQ16"/>
      <c r="CR16"/>
      <c r="CS16"/>
      <c r="CT16"/>
      <c r="CU16"/>
    </row>
    <row r="17" spans="1:103" s="24" customFormat="1">
      <c r="A17" s="398" t="s">
        <v>44</v>
      </c>
      <c r="B17" s="397"/>
      <c r="C17" s="399">
        <v>93.906999999999996</v>
      </c>
      <c r="D17" s="399">
        <f>102.223</f>
        <v>102.223</v>
      </c>
      <c r="E17" s="399">
        <f>105.577-7.368</f>
        <v>98.209000000000003</v>
      </c>
      <c r="F17" s="399">
        <v>101.996</v>
      </c>
      <c r="G17" s="394">
        <f>SUM(C17:F17)</f>
        <v>396.33499999999998</v>
      </c>
      <c r="H17" s="415"/>
      <c r="I17" s="399">
        <v>105.837</v>
      </c>
      <c r="J17" s="399">
        <f>111.935</f>
        <v>111.935</v>
      </c>
      <c r="K17" s="399">
        <f>107.463</f>
        <v>107.46299999999999</v>
      </c>
      <c r="L17" s="399">
        <v>101.464</v>
      </c>
      <c r="M17" s="394">
        <f>SUM(I17:L17)</f>
        <v>426.69900000000001</v>
      </c>
      <c r="N17" s="415"/>
      <c r="O17" s="400">
        <f>99.159-1-1.3</f>
        <v>96.859000000000009</v>
      </c>
      <c r="P17" s="399">
        <f>109.583-5.9</f>
        <v>103.68299999999999</v>
      </c>
      <c r="Q17" s="399">
        <v>102.675</v>
      </c>
      <c r="R17" s="399">
        <f>109.986-2.5</f>
        <v>107.486</v>
      </c>
      <c r="S17" s="394">
        <f>SUM(O17:R17)</f>
        <v>410.70299999999997</v>
      </c>
      <c r="T17" s="387"/>
      <c r="U17" s="400">
        <f>106.693-1-1</f>
        <v>104.693</v>
      </c>
      <c r="V17" s="399">
        <f>106.939-1-1</f>
        <v>104.93899999999999</v>
      </c>
      <c r="W17" s="399">
        <f>111.306-3-1-1</f>
        <v>106.306</v>
      </c>
      <c r="X17" s="399">
        <f>120.518-1-1</f>
        <v>118.518</v>
      </c>
      <c r="Y17" s="394">
        <f>SUM(U17:X17)</f>
        <v>434.45600000000002</v>
      </c>
      <c r="Z17" s="387"/>
      <c r="AA17" s="400">
        <v>117.124</v>
      </c>
      <c r="AB17" s="399">
        <v>125.43899999999999</v>
      </c>
      <c r="AC17" s="399">
        <f>121.211-3</f>
        <v>118.211</v>
      </c>
      <c r="AD17" s="399">
        <f>126.237-2</f>
        <v>124.23699999999999</v>
      </c>
      <c r="AE17" s="394">
        <f>SUM(AA17:AD17)</f>
        <v>485.01099999999997</v>
      </c>
      <c r="AF17" s="415"/>
      <c r="AG17" s="400">
        <f>119.604-2.617-0.379</f>
        <v>116.60799999999999</v>
      </c>
      <c r="AH17" s="399">
        <f>128.14-2.59-2.126-0.484-3</f>
        <v>119.93999999999998</v>
      </c>
      <c r="AI17" s="399">
        <f>121.749-6.621-1.756</f>
        <v>113.372</v>
      </c>
      <c r="AJ17" s="399">
        <f>129.04-2.592-1.582-4.434</f>
        <v>120.432</v>
      </c>
      <c r="AK17" s="394">
        <f>SUM(AG17:AJ17)</f>
        <v>470.35199999999998</v>
      </c>
      <c r="AL17" s="415"/>
      <c r="AM17" s="400">
        <f>121.053-2.439-1.027</f>
        <v>117.587</v>
      </c>
      <c r="AN17" s="399">
        <f>125.444-2.382-2.911</f>
        <v>120.151</v>
      </c>
      <c r="AO17" s="399">
        <f>123.081-2.518-2.848</f>
        <v>117.715</v>
      </c>
      <c r="AP17" s="399">
        <f>130.68+2.625-2.625-2.713</f>
        <v>127.96700000000001</v>
      </c>
      <c r="AQ17" s="394">
        <f>SUM(AM17:AP17)</f>
        <v>483.41999999999996</v>
      </c>
      <c r="AR17" s="415"/>
      <c r="AS17" s="400">
        <f>129.282-2.647-8.318</f>
        <v>118.31700000000001</v>
      </c>
      <c r="AT17" s="399">
        <f>134.576-2.646-6.048</f>
        <v>125.88200000000001</v>
      </c>
      <c r="AU17" s="399">
        <f>124.951-2.725-0.191</f>
        <v>122.035</v>
      </c>
      <c r="AV17" s="399">
        <f>134.532-2.616-3.14</f>
        <v>128.77600000000001</v>
      </c>
      <c r="AW17" s="394">
        <f>SUM(AS17:AV17)</f>
        <v>495.01000000000005</v>
      </c>
      <c r="AX17" s="415"/>
      <c r="AY17" s="400">
        <f>122.225-2.474-1.272</f>
        <v>118.47899999999998</v>
      </c>
      <c r="AZ17" s="399">
        <v>120.64400000000001</v>
      </c>
      <c r="BA17" s="399">
        <v>122.923</v>
      </c>
      <c r="BB17" s="399">
        <v>126.246</v>
      </c>
      <c r="BC17" s="394">
        <f>SUM(AY17:BB17)</f>
        <v>488.29199999999997</v>
      </c>
      <c r="BD17" s="387"/>
      <c r="BE17" s="400">
        <v>118.658</v>
      </c>
      <c r="BF17" s="399">
        <v>127.601</v>
      </c>
      <c r="BG17" s="399">
        <v>122.89700000000001</v>
      </c>
      <c r="BH17" s="399">
        <v>129.934</v>
      </c>
      <c r="BI17" s="394">
        <f>SUM(BE17:BH17)</f>
        <v>499.09000000000003</v>
      </c>
      <c r="BJ17" s="415"/>
      <c r="BK17" s="400">
        <v>121.176</v>
      </c>
      <c r="BL17" s="399">
        <v>128.52699999999999</v>
      </c>
      <c r="BM17" s="399">
        <v>128.809</v>
      </c>
      <c r="BN17" s="399">
        <v>145.964</v>
      </c>
      <c r="BO17" s="394">
        <f>SUM(BK17:BN17)</f>
        <v>524.47599999999989</v>
      </c>
      <c r="BP17" s="415"/>
      <c r="BQ17" s="395">
        <f>BQ$9*BQ48</f>
        <v>130.05053756504518</v>
      </c>
      <c r="BR17" s="396">
        <f>BR$9*BR48</f>
        <v>138.01374908123793</v>
      </c>
      <c r="BS17" s="396">
        <f>BS$9*BS48</f>
        <v>135.19815512134403</v>
      </c>
      <c r="BT17" s="396">
        <f>BT$9*BT48</f>
        <v>153.27834514947691</v>
      </c>
      <c r="BU17" s="394">
        <f>SUM(BQ17:BT17)</f>
        <v>556.54078691710401</v>
      </c>
      <c r="BV17" s="415"/>
      <c r="BW17" s="395">
        <f>BW$9*BW48</f>
        <v>138.57056260544456</v>
      </c>
      <c r="BX17" s="396">
        <f>BX$9*BX48</f>
        <v>146.09717840333198</v>
      </c>
      <c r="BY17" s="396">
        <f>BY$9*BY48</f>
        <v>142.7530239348967</v>
      </c>
      <c r="BZ17" s="396">
        <f>BZ$9*BZ48</f>
        <v>160.81887778905403</v>
      </c>
      <c r="CA17" s="394">
        <f>SUM(BW17:BZ17)</f>
        <v>588.23964273272725</v>
      </c>
      <c r="CB17" s="415"/>
      <c r="CC17" s="395">
        <f>CC$9*CC48</f>
        <v>146.55151661167764</v>
      </c>
      <c r="CD17" s="396">
        <f>CD$9*CD48</f>
        <v>153.48976813921482</v>
      </c>
      <c r="CE17" s="396">
        <f>CE$9*CE48</f>
        <v>149.77653359742666</v>
      </c>
      <c r="CF17" s="396">
        <f>CF$9*CF48</f>
        <v>167.63959857729768</v>
      </c>
      <c r="CG17" s="394">
        <f>SUM(CC17:CF17)</f>
        <v>617.45741692561683</v>
      </c>
      <c r="CH17" s="415"/>
      <c r="CI17" s="395">
        <f>CI$9*CI48</f>
        <v>154.99598208376869</v>
      </c>
      <c r="CJ17" s="396">
        <f>CJ$9*CJ48</f>
        <v>161.26938258552164</v>
      </c>
      <c r="CK17" s="396">
        <f>CK$9*CK48</f>
        <v>157.15335345384889</v>
      </c>
      <c r="CL17" s="396">
        <f>CL$9*CL48</f>
        <v>174.79010637275667</v>
      </c>
      <c r="CM17" s="394">
        <f>SUM(CI17:CL17)</f>
        <v>648.2088244958959</v>
      </c>
      <c r="CN17"/>
      <c r="CO17"/>
      <c r="CP17"/>
      <c r="CQ17"/>
      <c r="CR17"/>
      <c r="CS17"/>
      <c r="CT17"/>
      <c r="CU17"/>
    </row>
    <row r="18" spans="1:103" s="24" customFormat="1">
      <c r="A18" s="1267" t="s">
        <v>192</v>
      </c>
      <c r="B18" s="416"/>
      <c r="C18" s="417">
        <f>SUM(C19:C20)</f>
        <v>2.125</v>
      </c>
      <c r="D18" s="417">
        <f>SUM(D19:D20)</f>
        <v>2.133</v>
      </c>
      <c r="E18" s="417">
        <f>SUM(D19:D20)</f>
        <v>2.133</v>
      </c>
      <c r="F18" s="417">
        <f>SUM(F19:F20)</f>
        <v>2.2610000000000001</v>
      </c>
      <c r="G18" s="418">
        <f>SUM(G19:G20)</f>
        <v>8.6950000000000003</v>
      </c>
      <c r="H18" s="419"/>
      <c r="I18" s="417">
        <f>SUM(I19:I20)</f>
        <v>2.2719999999999998</v>
      </c>
      <c r="J18" s="417">
        <f>SUM(J19:J20)</f>
        <v>2.3519999999999999</v>
      </c>
      <c r="K18" s="417">
        <f>SUM(K19:K20)</f>
        <v>3.5490000000000004</v>
      </c>
      <c r="L18" s="420">
        <f>SUM(L19:L20)</f>
        <v>8.8440000000000012</v>
      </c>
      <c r="M18" s="418">
        <f>SUM(I18:L18)</f>
        <v>17.017000000000003</v>
      </c>
      <c r="N18" s="419"/>
      <c r="O18" s="421">
        <f>SUM(O19:O20)</f>
        <v>4.9160000000000004</v>
      </c>
      <c r="P18" s="417">
        <f>SUM(P19:P20)</f>
        <v>8.5830000000000002</v>
      </c>
      <c r="Q18" s="417">
        <f>SUM(Q19:Q20)</f>
        <v>2.7229999999999999</v>
      </c>
      <c r="R18" s="417">
        <f>SUM(R19:R20)</f>
        <v>5.1370000000000005</v>
      </c>
      <c r="S18" s="418">
        <f>SUM(O18:R18)</f>
        <v>21.359000000000002</v>
      </c>
      <c r="T18" s="416"/>
      <c r="U18" s="417">
        <f>SUM(U19:U20)</f>
        <v>4.6419999999999995</v>
      </c>
      <c r="V18" s="417">
        <f>SUM(V19:V20)</f>
        <v>4.5920000000000005</v>
      </c>
      <c r="W18" s="417">
        <f>SUM(W19:W20)</f>
        <v>7.4079999999999995</v>
      </c>
      <c r="X18" s="417">
        <f>SUM(X19:X20)</f>
        <v>4.7639999999999993</v>
      </c>
      <c r="Y18" s="418">
        <f>SUM(U18:X18)</f>
        <v>21.405999999999999</v>
      </c>
      <c r="Z18" s="419"/>
      <c r="AA18" s="417">
        <f>SUM(AA19:AA20)</f>
        <v>2.5009999999999999</v>
      </c>
      <c r="AB18" s="417">
        <f>SUM(AB19:AB20)</f>
        <v>2.504</v>
      </c>
      <c r="AC18" s="417">
        <f>SUM(AC19:AC20)</f>
        <v>5.3689999999999998</v>
      </c>
      <c r="AD18" s="417">
        <f>SUM(AD19:AD20)</f>
        <v>4.359</v>
      </c>
      <c r="AE18" s="418">
        <f>SUM(AA18:AD18)</f>
        <v>14.732999999999999</v>
      </c>
      <c r="AF18" s="419"/>
      <c r="AG18" s="421">
        <f>SUM(AG19:AG20)</f>
        <v>2.996</v>
      </c>
      <c r="AH18" s="417">
        <f>SUM(AH19:AH20)</f>
        <v>8.1999999999999993</v>
      </c>
      <c r="AI18" s="417">
        <f>SUM(AI19:AI20)</f>
        <v>8.3770000000000007</v>
      </c>
      <c r="AJ18" s="417">
        <f>SUM(AJ19:AJ20)</f>
        <v>8.6080000000000005</v>
      </c>
      <c r="AK18" s="418">
        <f>SUM(AG18:AJ18)</f>
        <v>28.181000000000001</v>
      </c>
      <c r="AL18" s="419"/>
      <c r="AM18" s="417">
        <f>SUM(AM19:AM20)</f>
        <v>3.4660000000000002</v>
      </c>
      <c r="AN18" s="417">
        <f>SUM(AN19:AN20)</f>
        <v>5.2930000000000001</v>
      </c>
      <c r="AO18" s="417">
        <f>SUM(AO19:AO20)</f>
        <v>5.3659999999999997</v>
      </c>
      <c r="AP18" s="417">
        <f>SUM(AP19:AP20)</f>
        <v>5.3380000000000001</v>
      </c>
      <c r="AQ18" s="418">
        <f>SUM(AM18:AP18)</f>
        <v>19.463000000000001</v>
      </c>
      <c r="AR18" s="419"/>
      <c r="AS18" s="417">
        <f>SUM(AS19:AS20)</f>
        <v>10.965</v>
      </c>
      <c r="AT18" s="417">
        <f>SUM(AT19:AT20)</f>
        <v>8.6939999999999991</v>
      </c>
      <c r="AU18" s="417">
        <f>SUM(AU19:AU20)</f>
        <v>2.9159999999999999</v>
      </c>
      <c r="AV18" s="110">
        <f>SUM(AV19:AV20)</f>
        <v>21.212</v>
      </c>
      <c r="AW18" s="418">
        <f>SUM(AS18:AV18)</f>
        <v>43.786999999999999</v>
      </c>
      <c r="AX18" s="419"/>
      <c r="AY18" s="417">
        <f>SUM(AY19:AY20)</f>
        <v>3.7460000000000004</v>
      </c>
      <c r="AZ18" s="417">
        <f>SUM(AZ19:AZ20)</f>
        <v>4.516</v>
      </c>
      <c r="BA18" s="417">
        <f>SUM(BA19:BA20)</f>
        <v>4.3049999999999997</v>
      </c>
      <c r="BB18" s="417">
        <f>SUM(BB19:BB20)</f>
        <v>12.805000000000001</v>
      </c>
      <c r="BC18" s="418">
        <f>SUM(AY18:BB18)</f>
        <v>25.372</v>
      </c>
      <c r="BD18" s="419"/>
      <c r="BE18" s="417">
        <f>SUM(BE19:BE20)</f>
        <v>13.337</v>
      </c>
      <c r="BF18" s="110">
        <f>SUM(BF19:BF20)</f>
        <v>4.391</v>
      </c>
      <c r="BG18" s="110">
        <f>SUM(BG19:BG20)</f>
        <v>3.44</v>
      </c>
      <c r="BH18" s="110">
        <f>SUM(BH19:BH20)</f>
        <v>6.1859999999999999</v>
      </c>
      <c r="BI18" s="418">
        <f>SUM(BE18:BH18)</f>
        <v>27.354000000000003</v>
      </c>
      <c r="BJ18" s="419"/>
      <c r="BK18" s="110">
        <f>SUM(BK19:BK20)</f>
        <v>16.077000000000002</v>
      </c>
      <c r="BL18" s="110">
        <f>SUM(BL19:BL20)</f>
        <v>13.374000000000001</v>
      </c>
      <c r="BM18" s="110">
        <f>SUM(BM19:BM20)</f>
        <v>8.0670000000000002</v>
      </c>
      <c r="BN18" s="110">
        <f>SUM(BN19:BN20)</f>
        <v>5.5659999999999998</v>
      </c>
      <c r="BO18" s="418">
        <f>SUM(BK18:BN18)</f>
        <v>43.084000000000003</v>
      </c>
      <c r="BP18" s="419"/>
      <c r="BQ18" s="110">
        <f>SUM(BQ19:BQ20)</f>
        <v>4.5</v>
      </c>
      <c r="BR18" s="110">
        <f>SUM(BR19:BR20)</f>
        <v>4.5</v>
      </c>
      <c r="BS18" s="110">
        <f>SUM(BS19:BS20)</f>
        <v>4.5</v>
      </c>
      <c r="BT18" s="110">
        <f>SUM(BT19:BT20)</f>
        <v>4.5</v>
      </c>
      <c r="BU18" s="418">
        <f>SUM(BQ18:BT18)</f>
        <v>18</v>
      </c>
      <c r="BV18" s="419"/>
      <c r="BW18" s="110">
        <f>SUM(BW19:BW20)</f>
        <v>4.5</v>
      </c>
      <c r="BX18" s="110">
        <f>SUM(BX19:BX20)</f>
        <v>4.5</v>
      </c>
      <c r="BY18" s="110">
        <f>SUM(BY19:BY20)</f>
        <v>4.5</v>
      </c>
      <c r="BZ18" s="110">
        <f>SUM(BZ19:BZ20)</f>
        <v>4.5</v>
      </c>
      <c r="CA18" s="418">
        <f>SUM(BW18:BZ18)</f>
        <v>18</v>
      </c>
      <c r="CB18" s="419"/>
      <c r="CC18" s="110">
        <f>SUM(CC19:CC20)</f>
        <v>4.5</v>
      </c>
      <c r="CD18" s="110">
        <f>SUM(CD19:CD20)</f>
        <v>4.5</v>
      </c>
      <c r="CE18" s="110">
        <f>SUM(CE19:CE20)</f>
        <v>4.5</v>
      </c>
      <c r="CF18" s="110">
        <f>SUM(CF19:CF20)</f>
        <v>4.5</v>
      </c>
      <c r="CG18" s="418">
        <f>SUM(CC18:CF18)</f>
        <v>18</v>
      </c>
      <c r="CH18" s="419"/>
      <c r="CI18" s="110">
        <f>SUM(CI19:CI20)</f>
        <v>4.5</v>
      </c>
      <c r="CJ18" s="110">
        <f>SUM(CJ19:CJ20)</f>
        <v>4.5</v>
      </c>
      <c r="CK18" s="110">
        <f>SUM(CK19:CK20)</f>
        <v>4.5</v>
      </c>
      <c r="CL18" s="110">
        <f>SUM(CL19:CL20)</f>
        <v>4.5</v>
      </c>
      <c r="CM18" s="418">
        <f>SUM(CI18:CL18)</f>
        <v>18</v>
      </c>
      <c r="CN18"/>
      <c r="CO18"/>
      <c r="CP18"/>
      <c r="CQ18"/>
      <c r="CR18"/>
      <c r="CS18"/>
      <c r="CT18"/>
      <c r="CU18"/>
    </row>
    <row r="19" spans="1:103" s="24" customFormat="1" ht="12.75" hidden="1" customHeight="1" outlineLevel="1">
      <c r="A19" s="1268" t="s">
        <v>193</v>
      </c>
      <c r="B19" s="416"/>
      <c r="C19" s="422">
        <v>2.125</v>
      </c>
      <c r="D19" s="422">
        <v>2.133</v>
      </c>
      <c r="E19" s="422">
        <v>2.1760000000000002</v>
      </c>
      <c r="F19" s="422">
        <v>2.2610000000000001</v>
      </c>
      <c r="G19" s="418">
        <f>SUM(C19:F19)</f>
        <v>8.6950000000000003</v>
      </c>
      <c r="H19" s="419"/>
      <c r="I19" s="422">
        <v>2.2719999999999998</v>
      </c>
      <c r="J19" s="422">
        <f>2.352</f>
        <v>2.3519999999999999</v>
      </c>
      <c r="K19" s="422">
        <v>2.3490000000000002</v>
      </c>
      <c r="L19" s="422">
        <v>2.3170000000000002</v>
      </c>
      <c r="M19" s="423">
        <v>0</v>
      </c>
      <c r="N19" s="419"/>
      <c r="O19" s="422">
        <v>2.6160000000000001</v>
      </c>
      <c r="P19" s="422">
        <v>2.6829999999999998</v>
      </c>
      <c r="Q19" s="422">
        <v>2.7229999999999999</v>
      </c>
      <c r="R19" s="422">
        <v>2.637</v>
      </c>
      <c r="S19" s="423">
        <f>SUM(O19:R19)</f>
        <v>10.658999999999999</v>
      </c>
      <c r="T19" s="419"/>
      <c r="U19" s="422">
        <v>2.6419999999999999</v>
      </c>
      <c r="V19" s="422">
        <v>2.5920000000000001</v>
      </c>
      <c r="W19" s="422">
        <v>2.4079999999999999</v>
      </c>
      <c r="X19" s="422">
        <v>2.7639999999999998</v>
      </c>
      <c r="Y19" s="423">
        <f>SUM(U19:X19)</f>
        <v>10.405999999999999</v>
      </c>
      <c r="Z19" s="419"/>
      <c r="AA19" s="422">
        <v>2.5009999999999999</v>
      </c>
      <c r="AB19" s="422">
        <v>2.504</v>
      </c>
      <c r="AC19" s="422">
        <v>2.3690000000000002</v>
      </c>
      <c r="AD19" s="422">
        <v>2.359</v>
      </c>
      <c r="AE19" s="419">
        <f>SUM(AA19:AD19)</f>
        <v>9.7330000000000005</v>
      </c>
      <c r="AF19" s="419"/>
      <c r="AG19" s="422">
        <v>2.617</v>
      </c>
      <c r="AH19" s="422">
        <v>2.59</v>
      </c>
      <c r="AI19" s="422">
        <v>6.6210000000000004</v>
      </c>
      <c r="AJ19" s="422">
        <v>2.5920000000000001</v>
      </c>
      <c r="AK19" s="419">
        <f>SUM(AG19:AJ19)</f>
        <v>14.42</v>
      </c>
      <c r="AL19" s="419"/>
      <c r="AM19" s="422">
        <v>2.4390000000000001</v>
      </c>
      <c r="AN19" s="422">
        <v>2.3820000000000001</v>
      </c>
      <c r="AO19" s="422">
        <v>2.5179999999999998</v>
      </c>
      <c r="AP19" s="422">
        <v>2.625</v>
      </c>
      <c r="AQ19" s="423">
        <f>SUM(AM19:AP19)</f>
        <v>9.9639999999999986</v>
      </c>
      <c r="AR19" s="419"/>
      <c r="AS19" s="422">
        <v>2.6469999999999998</v>
      </c>
      <c r="AT19" s="422">
        <f>2.646</f>
        <v>2.6459999999999999</v>
      </c>
      <c r="AU19" s="422">
        <v>2.7250000000000001</v>
      </c>
      <c r="AV19" s="422">
        <v>2.6160000000000001</v>
      </c>
      <c r="AW19" s="419">
        <f>SUM(AS19:AV19)</f>
        <v>10.633999999999999</v>
      </c>
      <c r="AX19" s="419"/>
      <c r="AY19" s="422">
        <v>2.4740000000000002</v>
      </c>
      <c r="AZ19" s="422">
        <v>2.5</v>
      </c>
      <c r="BA19" s="422">
        <v>2.573</v>
      </c>
      <c r="BB19" s="422">
        <v>2.5760000000000001</v>
      </c>
      <c r="BC19" s="423">
        <f>SUM(AY19:BB19)</f>
        <v>10.123000000000001</v>
      </c>
      <c r="BD19" s="419"/>
      <c r="BE19" s="422">
        <v>2.6440000000000001</v>
      </c>
      <c r="BF19" s="422">
        <v>2.411</v>
      </c>
      <c r="BG19" s="422">
        <v>2.476</v>
      </c>
      <c r="BH19" s="422">
        <v>2.3580000000000001</v>
      </c>
      <c r="BI19" s="423">
        <f>SUM(BE19:BH19)</f>
        <v>9.8889999999999993</v>
      </c>
      <c r="BJ19" s="419"/>
      <c r="BK19" s="422">
        <v>1.7290000000000001</v>
      </c>
      <c r="BL19" s="422">
        <v>1.6930000000000001</v>
      </c>
      <c r="BM19" s="422">
        <v>1.6819999999999999</v>
      </c>
      <c r="BN19" s="422">
        <v>1.639</v>
      </c>
      <c r="BO19" s="423">
        <f>SUM(BK19:BN19)</f>
        <v>6.7430000000000003</v>
      </c>
      <c r="BP19" s="419"/>
      <c r="BQ19" s="422">
        <v>2.5</v>
      </c>
      <c r="BR19" s="422">
        <f>BQ19</f>
        <v>2.5</v>
      </c>
      <c r="BS19" s="422">
        <f>BR19</f>
        <v>2.5</v>
      </c>
      <c r="BT19" s="422">
        <f>BS19</f>
        <v>2.5</v>
      </c>
      <c r="BU19" s="423">
        <f>SUM(BQ19:BT19)</f>
        <v>10</v>
      </c>
      <c r="BV19" s="419"/>
      <c r="BW19" s="422">
        <v>2.5</v>
      </c>
      <c r="BX19" s="422">
        <f>BW19</f>
        <v>2.5</v>
      </c>
      <c r="BY19" s="422">
        <f>BX19</f>
        <v>2.5</v>
      </c>
      <c r="BZ19" s="422">
        <f>BY19</f>
        <v>2.5</v>
      </c>
      <c r="CA19" s="423">
        <f>SUM(BW19:BZ19)</f>
        <v>10</v>
      </c>
      <c r="CB19" s="419"/>
      <c r="CC19" s="422">
        <v>2.5</v>
      </c>
      <c r="CD19" s="422">
        <f>CC19</f>
        <v>2.5</v>
      </c>
      <c r="CE19" s="422">
        <f>CD19</f>
        <v>2.5</v>
      </c>
      <c r="CF19" s="422">
        <f>CE19</f>
        <v>2.5</v>
      </c>
      <c r="CG19" s="423">
        <f>SUM(CC19:CF19)</f>
        <v>10</v>
      </c>
      <c r="CH19" s="419"/>
      <c r="CI19" s="422">
        <v>2.5</v>
      </c>
      <c r="CJ19" s="422">
        <f>CI19</f>
        <v>2.5</v>
      </c>
      <c r="CK19" s="422">
        <f>CJ19</f>
        <v>2.5</v>
      </c>
      <c r="CL19" s="422">
        <f>CK19</f>
        <v>2.5</v>
      </c>
      <c r="CM19" s="423">
        <f>SUM(CI19:CL19)</f>
        <v>10</v>
      </c>
      <c r="CN19"/>
      <c r="CO19"/>
      <c r="CP19"/>
      <c r="CQ19"/>
      <c r="CR19"/>
      <c r="CS19"/>
      <c r="CT19"/>
      <c r="CU19"/>
    </row>
    <row r="20" spans="1:103" s="24" customFormat="1" ht="12.75" hidden="1" customHeight="1" outlineLevel="1">
      <c r="A20" s="1268" t="s">
        <v>45</v>
      </c>
      <c r="B20" s="416"/>
      <c r="C20" s="422">
        <v>0</v>
      </c>
      <c r="D20" s="422">
        <v>0</v>
      </c>
      <c r="E20" s="422">
        <v>0</v>
      </c>
      <c r="F20" s="422">
        <v>0</v>
      </c>
      <c r="G20" s="418">
        <f>SUM(C20:F20)</f>
        <v>0</v>
      </c>
      <c r="H20" s="419"/>
      <c r="I20" s="422">
        <v>0</v>
      </c>
      <c r="J20" s="422">
        <v>0</v>
      </c>
      <c r="K20" s="422">
        <v>1.2</v>
      </c>
      <c r="L20" s="422">
        <v>6.5270000000000001</v>
      </c>
      <c r="M20" s="423">
        <v>0</v>
      </c>
      <c r="N20" s="419"/>
      <c r="O20" s="422">
        <f>1+1.3</f>
        <v>2.2999999999999998</v>
      </c>
      <c r="P20" s="422">
        <f>5.9</f>
        <v>5.9</v>
      </c>
      <c r="Q20" s="422">
        <v>0</v>
      </c>
      <c r="R20" s="422">
        <v>2.5</v>
      </c>
      <c r="S20" s="423">
        <f>SUM(O20:R20)</f>
        <v>10.7</v>
      </c>
      <c r="T20" s="419"/>
      <c r="U20" s="422">
        <v>2</v>
      </c>
      <c r="V20" s="422">
        <v>2</v>
      </c>
      <c r="W20" s="422">
        <f>3+1+1</f>
        <v>5</v>
      </c>
      <c r="X20" s="422">
        <v>2</v>
      </c>
      <c r="Y20" s="423">
        <f>SUM(U20:X20)</f>
        <v>11</v>
      </c>
      <c r="Z20" s="419"/>
      <c r="AA20" s="422">
        <v>0</v>
      </c>
      <c r="AB20" s="422">
        <v>0</v>
      </c>
      <c r="AC20" s="422">
        <v>3</v>
      </c>
      <c r="AD20" s="422">
        <v>2</v>
      </c>
      <c r="AE20" s="419">
        <f>SUM(AA20:AD20)</f>
        <v>5</v>
      </c>
      <c r="AF20" s="419"/>
      <c r="AG20" s="422">
        <v>0.379</v>
      </c>
      <c r="AH20" s="422">
        <f>2.126+0.484+3</f>
        <v>5.6099999999999994</v>
      </c>
      <c r="AI20" s="422">
        <v>1.756</v>
      </c>
      <c r="AJ20" s="422">
        <f>1.582+4.434</f>
        <v>6.016</v>
      </c>
      <c r="AK20" s="419">
        <f>SUM(AG20:AJ20)</f>
        <v>13.760999999999999</v>
      </c>
      <c r="AL20" s="419"/>
      <c r="AM20" s="422">
        <v>1.0269999999999999</v>
      </c>
      <c r="AN20" s="422">
        <f>2.911</f>
        <v>2.911</v>
      </c>
      <c r="AO20" s="422">
        <v>2.8479999999999999</v>
      </c>
      <c r="AP20" s="422">
        <v>2.7130000000000001</v>
      </c>
      <c r="AQ20" s="423">
        <f>SUM(AM20:AP20)</f>
        <v>9.4989999999999988</v>
      </c>
      <c r="AR20" s="419"/>
      <c r="AS20" s="422">
        <v>8.3179999999999996</v>
      </c>
      <c r="AT20" s="422">
        <v>6.048</v>
      </c>
      <c r="AU20" s="422">
        <v>0.191</v>
      </c>
      <c r="AV20" s="422">
        <f>15.456+3.14</f>
        <v>18.596</v>
      </c>
      <c r="AW20" s="419">
        <f>SUM(AS20:AV20)</f>
        <v>33.152999999999999</v>
      </c>
      <c r="AX20" s="419"/>
      <c r="AY20" s="422">
        <v>1.272</v>
      </c>
      <c r="AZ20" s="422">
        <v>2.016</v>
      </c>
      <c r="BA20" s="422">
        <v>1.732</v>
      </c>
      <c r="BB20" s="422">
        <f>3.939+2.435+3.855</f>
        <v>10.229000000000001</v>
      </c>
      <c r="BC20" s="423">
        <f>SUM(AY20:BB20)</f>
        <v>15.249000000000002</v>
      </c>
      <c r="BD20" s="419"/>
      <c r="BE20" s="422">
        <f>7.085+3.608</f>
        <v>10.693</v>
      </c>
      <c r="BF20" s="422">
        <v>1.98</v>
      </c>
      <c r="BG20" s="422">
        <v>0.96399999999999997</v>
      </c>
      <c r="BH20" s="422">
        <f>0.304+3.524</f>
        <v>3.8279999999999998</v>
      </c>
      <c r="BI20" s="423">
        <f>SUM(BE20:BH20)</f>
        <v>17.465</v>
      </c>
      <c r="BJ20" s="419"/>
      <c r="BK20" s="422">
        <f>9.348+5</f>
        <v>14.348000000000001</v>
      </c>
      <c r="BL20" s="422">
        <f>1.663+10.018</f>
        <v>11.681000000000001</v>
      </c>
      <c r="BM20" s="422">
        <f>2.53+3.855</f>
        <v>6.3849999999999998</v>
      </c>
      <c r="BN20" s="422">
        <f>2.452+1.096+0.379</f>
        <v>3.927</v>
      </c>
      <c r="BO20" s="423">
        <f>SUM(BK20:BN20)</f>
        <v>36.341000000000001</v>
      </c>
      <c r="BP20" s="419"/>
      <c r="BQ20" s="422">
        <v>2</v>
      </c>
      <c r="BR20" s="422">
        <v>2</v>
      </c>
      <c r="BS20" s="422">
        <f>BR20</f>
        <v>2</v>
      </c>
      <c r="BT20" s="422">
        <v>2</v>
      </c>
      <c r="BU20" s="423">
        <f>SUM(BQ20:BT20)</f>
        <v>8</v>
      </c>
      <c r="BV20" s="419"/>
      <c r="BW20" s="422">
        <v>2</v>
      </c>
      <c r="BX20" s="422">
        <v>2</v>
      </c>
      <c r="BY20" s="422">
        <f>BX20</f>
        <v>2</v>
      </c>
      <c r="BZ20" s="422">
        <v>2</v>
      </c>
      <c r="CA20" s="423">
        <f>SUM(BW20:BZ20)</f>
        <v>8</v>
      </c>
      <c r="CB20" s="419"/>
      <c r="CC20" s="422">
        <v>2</v>
      </c>
      <c r="CD20" s="422">
        <v>2</v>
      </c>
      <c r="CE20" s="422">
        <f>CD20</f>
        <v>2</v>
      </c>
      <c r="CF20" s="422">
        <v>2</v>
      </c>
      <c r="CG20" s="423">
        <f>SUM(CC20:CF20)</f>
        <v>8</v>
      </c>
      <c r="CH20" s="419"/>
      <c r="CI20" s="422">
        <v>2</v>
      </c>
      <c r="CJ20" s="422">
        <v>2</v>
      </c>
      <c r="CK20" s="422">
        <f>CJ20</f>
        <v>2</v>
      </c>
      <c r="CL20" s="422">
        <v>2</v>
      </c>
      <c r="CM20" s="423">
        <f>SUM(CI20:CL20)</f>
        <v>8</v>
      </c>
      <c r="CN20"/>
      <c r="CO20"/>
      <c r="CP20"/>
      <c r="CQ20"/>
      <c r="CR20"/>
      <c r="CS20"/>
      <c r="CT20"/>
      <c r="CU20"/>
    </row>
    <row r="21" spans="1:103" s="339" customFormat="1" collapsed="1">
      <c r="A21" s="1269" t="s">
        <v>194</v>
      </c>
      <c r="B21" s="424"/>
      <c r="C21" s="425">
        <f>C16+C17</f>
        <v>112.62899999999999</v>
      </c>
      <c r="D21" s="425">
        <f>D16+D17</f>
        <v>121.33799999999999</v>
      </c>
      <c r="E21" s="425">
        <f>E16+E17</f>
        <v>117.94</v>
      </c>
      <c r="F21" s="425">
        <f>F16+F17</f>
        <v>122.834</v>
      </c>
      <c r="G21" s="426">
        <f>G16+G17</f>
        <v>474.74099999999999</v>
      </c>
      <c r="H21" s="427"/>
      <c r="I21" s="425">
        <f>I16+I17</f>
        <v>125.623</v>
      </c>
      <c r="J21" s="425">
        <f>J16+J17</f>
        <v>134.16300000000001</v>
      </c>
      <c r="K21" s="425">
        <f>K16+K17</f>
        <v>127.40899999999999</v>
      </c>
      <c r="L21" s="425">
        <f>L16+L17</f>
        <v>121.092</v>
      </c>
      <c r="M21" s="426">
        <f>M16+M17</f>
        <v>508.28700000000003</v>
      </c>
      <c r="N21" s="427"/>
      <c r="O21" s="425">
        <f>O16+O17</f>
        <v>115.191</v>
      </c>
      <c r="P21" s="425">
        <f>P16+P17</f>
        <v>123.405</v>
      </c>
      <c r="Q21" s="425">
        <f>Q16+Q17</f>
        <v>121.985</v>
      </c>
      <c r="R21" s="425">
        <f>R16+R17</f>
        <v>127.27600000000001</v>
      </c>
      <c r="S21" s="426">
        <f>S16+S17</f>
        <v>487.85699999999997</v>
      </c>
      <c r="T21" s="427"/>
      <c r="U21" s="425">
        <f>U16+U17</f>
        <v>124.76900000000001</v>
      </c>
      <c r="V21" s="425">
        <f>V16+V17</f>
        <v>125.746</v>
      </c>
      <c r="W21" s="425">
        <f>W16+W17</f>
        <v>126.83</v>
      </c>
      <c r="X21" s="425">
        <f>X16+X17</f>
        <v>141.38499999999999</v>
      </c>
      <c r="Y21" s="426">
        <f>Y16+Y17</f>
        <v>518.73</v>
      </c>
      <c r="Z21" s="427"/>
      <c r="AA21" s="425">
        <f>AA16+AA17</f>
        <v>139.37799999999999</v>
      </c>
      <c r="AB21" s="425">
        <f>AB16+AB17</f>
        <v>148.453</v>
      </c>
      <c r="AC21" s="425">
        <f>AC16+AC17</f>
        <v>141.583</v>
      </c>
      <c r="AD21" s="425">
        <f>AD16+AD17</f>
        <v>147.94399999999999</v>
      </c>
      <c r="AE21" s="426">
        <f>AE16+AE17</f>
        <v>577.35799999999995</v>
      </c>
      <c r="AF21" s="427"/>
      <c r="AG21" s="425">
        <f>AG16+AG17</f>
        <v>139.95499999999998</v>
      </c>
      <c r="AH21" s="425">
        <f>AH16+AH17</f>
        <v>143.88299999999998</v>
      </c>
      <c r="AI21" s="425">
        <f>AI16+AI17</f>
        <v>137.12799999999999</v>
      </c>
      <c r="AJ21" s="425">
        <f>AJ16+AJ17</f>
        <v>145.38999999999999</v>
      </c>
      <c r="AK21" s="426">
        <f>AK16+AK17</f>
        <v>566.35599999999999</v>
      </c>
      <c r="AL21" s="427"/>
      <c r="AM21" s="425">
        <f>AM16+AM17</f>
        <v>142.899</v>
      </c>
      <c r="AN21" s="425">
        <f>AN16+AN17</f>
        <v>144.80099999999999</v>
      </c>
      <c r="AO21" s="425">
        <f>AO16+AO17</f>
        <v>141.31399999999999</v>
      </c>
      <c r="AP21" s="425">
        <f>AP16+AP17</f>
        <v>154.94200000000001</v>
      </c>
      <c r="AQ21" s="426">
        <f>AQ16+AQ17</f>
        <v>583.9559999999999</v>
      </c>
      <c r="AR21" s="427"/>
      <c r="AS21" s="425">
        <f>AS16+AS17</f>
        <v>143.06300000000002</v>
      </c>
      <c r="AT21" s="425">
        <f>AT16+AT17</f>
        <v>152.85900000000001</v>
      </c>
      <c r="AU21" s="425">
        <f>AU16+AU17</f>
        <v>149.31399999999999</v>
      </c>
      <c r="AV21" s="425">
        <f>AV16+AV17</f>
        <v>157.5</v>
      </c>
      <c r="AW21" s="426">
        <f>AW16+AW17</f>
        <v>602.7360000000001</v>
      </c>
      <c r="AX21" s="427"/>
      <c r="AY21" s="425">
        <f>AY16+AY17</f>
        <v>147.42999999999998</v>
      </c>
      <c r="AZ21" s="425">
        <f>AZ16+AZ17</f>
        <v>151.19900000000001</v>
      </c>
      <c r="BA21" s="425">
        <f>BA16+BA17</f>
        <v>153.626</v>
      </c>
      <c r="BB21" s="425">
        <f>BB16+BB17</f>
        <v>154.58199999999999</v>
      </c>
      <c r="BC21" s="426">
        <f>BC16+BC17</f>
        <v>606.83699999999999</v>
      </c>
      <c r="BD21" s="427"/>
      <c r="BE21" s="425">
        <f>BE16+BE17</f>
        <v>148.096</v>
      </c>
      <c r="BF21" s="425">
        <f>BF16+BF17</f>
        <v>160.179</v>
      </c>
      <c r="BG21" s="425">
        <f>BG16+BG17</f>
        <v>153.315</v>
      </c>
      <c r="BH21" s="425">
        <f>BH16+BH17</f>
        <v>162.68700000000001</v>
      </c>
      <c r="BI21" s="426">
        <f>BI16+BI17</f>
        <v>624.27700000000004</v>
      </c>
      <c r="BJ21" s="427"/>
      <c r="BK21" s="425">
        <f>BK16+BK17</f>
        <v>151.928</v>
      </c>
      <c r="BL21" s="425">
        <f>BL16+BL17</f>
        <v>161.464</v>
      </c>
      <c r="BM21" s="425">
        <f>BM16+BM17</f>
        <v>162.59100000000001</v>
      </c>
      <c r="BN21" s="425">
        <f>BN16+BN17</f>
        <v>181.08600000000001</v>
      </c>
      <c r="BO21" s="426">
        <f>BO16+BO17</f>
        <v>657.06899999999985</v>
      </c>
      <c r="BP21" s="427"/>
      <c r="BQ21" s="425">
        <f>BQ16+BQ17</f>
        <v>163.4666822108467</v>
      </c>
      <c r="BR21" s="425">
        <f>BR16+BR17</f>
        <v>173.84881588918759</v>
      </c>
      <c r="BS21" s="425">
        <f>BS16+BS17</f>
        <v>171.12910708050728</v>
      </c>
      <c r="BT21" s="425">
        <f>BT16+BT17</f>
        <v>190.68877371554916</v>
      </c>
      <c r="BU21" s="426">
        <f>BU16+BU17</f>
        <v>699.13337889609068</v>
      </c>
      <c r="BV21" s="427"/>
      <c r="BW21" s="425">
        <f>BW16+BW17</f>
        <v>174.1759053465899</v>
      </c>
      <c r="BX21" s="425">
        <f>BX16+BX17</f>
        <v>184.0310957368483</v>
      </c>
      <c r="BY21" s="425">
        <f>BY16+BY17</f>
        <v>180.69179640132873</v>
      </c>
      <c r="BZ21" s="425">
        <f>BZ16+BZ17</f>
        <v>200.06971347452685</v>
      </c>
      <c r="CA21" s="426">
        <f>CA16+CA17</f>
        <v>738.96851095929378</v>
      </c>
      <c r="CB21" s="427"/>
      <c r="CC21" s="425">
        <f>CC16+CC17</f>
        <v>184.20754455933653</v>
      </c>
      <c r="CD21" s="425">
        <f>CD16+CD17</f>
        <v>193.3431605165776</v>
      </c>
      <c r="CE21" s="425">
        <f>CE16+CE17</f>
        <v>189.58190985029779</v>
      </c>
      <c r="CF21" s="425">
        <f>CF16+CF17</f>
        <v>208.55515792330374</v>
      </c>
      <c r="CG21" s="426">
        <f>CG16+CG17</f>
        <v>775.68777284951568</v>
      </c>
      <c r="CH21" s="427"/>
      <c r="CI21" s="425">
        <f>CI16+CI17</f>
        <v>194.8217932938054</v>
      </c>
      <c r="CJ21" s="425">
        <f>CJ16+CJ17</f>
        <v>203.14274040313487</v>
      </c>
      <c r="CK21" s="425">
        <f>CK16+CK17</f>
        <v>198.919231014113</v>
      </c>
      <c r="CL21" s="425">
        <f>CL16+CL17</f>
        <v>217.45088002696974</v>
      </c>
      <c r="CM21" s="426">
        <f>CM16+CM17</f>
        <v>814.33464473802292</v>
      </c>
      <c r="CN21"/>
      <c r="CO21"/>
      <c r="CP21"/>
      <c r="CQ21"/>
      <c r="CR21"/>
      <c r="CS21"/>
      <c r="CT21"/>
      <c r="CU21"/>
    </row>
    <row r="22" spans="1:103" s="24" customFormat="1" collapsed="1">
      <c r="A22" s="148" t="s">
        <v>227</v>
      </c>
      <c r="B22" s="429"/>
      <c r="C22" s="417">
        <f>+C15-C21</f>
        <v>74.915999999999997</v>
      </c>
      <c r="D22" s="417">
        <f>+D15-D21</f>
        <v>79.073000000000008</v>
      </c>
      <c r="E22" s="417">
        <f>+E15-E21</f>
        <v>83.574999999999989</v>
      </c>
      <c r="F22" s="417">
        <f>+F15-F21</f>
        <v>132.17699999999994</v>
      </c>
      <c r="G22" s="418">
        <f>+G15-G21</f>
        <v>369.74099999999987</v>
      </c>
      <c r="H22" s="430"/>
      <c r="I22" s="417">
        <f>+I15-I21</f>
        <v>90.924000000000049</v>
      </c>
      <c r="J22" s="417">
        <f>+J15-J21</f>
        <v>97.79000000000002</v>
      </c>
      <c r="K22" s="417">
        <f>+K15-K21</f>
        <v>101.58099999999996</v>
      </c>
      <c r="L22" s="417">
        <f>+L15-L21</f>
        <v>125.97599999999993</v>
      </c>
      <c r="M22" s="418">
        <f>+M15-M21</f>
        <v>416.27100000000007</v>
      </c>
      <c r="N22" s="430"/>
      <c r="O22" s="417">
        <f>+O15-O21</f>
        <v>90.407000000000011</v>
      </c>
      <c r="P22" s="417">
        <f>+P15-P21</f>
        <v>95.277999999999992</v>
      </c>
      <c r="Q22" s="417">
        <f>+Q15-Q21</f>
        <v>98.835000000000022</v>
      </c>
      <c r="R22" s="417">
        <f>+R15-R21</f>
        <v>131.44099999999997</v>
      </c>
      <c r="S22" s="418">
        <f>+S15-S21</f>
        <v>415.96100000000013</v>
      </c>
      <c r="T22" s="431"/>
      <c r="U22" s="417">
        <f>+U15-U21</f>
        <v>96.998999999999995</v>
      </c>
      <c r="V22" s="417">
        <f>+V15-V21</f>
        <v>110.176</v>
      </c>
      <c r="W22" s="417">
        <f>+W15-W21</f>
        <v>111.223</v>
      </c>
      <c r="X22" s="417">
        <f>+X15-X21</f>
        <v>152.94</v>
      </c>
      <c r="Y22" s="418">
        <f>+Y15-Y21</f>
        <v>471.33800000000008</v>
      </c>
      <c r="Z22" s="431"/>
      <c r="AA22" s="417">
        <f>+AA15-AA21</f>
        <v>118.39600000000002</v>
      </c>
      <c r="AB22" s="417">
        <f>+AB15-AB21</f>
        <v>123.07100000000005</v>
      </c>
      <c r="AC22" s="417">
        <f>+AC15-AC21</f>
        <v>132.63300000000001</v>
      </c>
      <c r="AD22" s="417">
        <f>+AD15-AD21</f>
        <v>169.23299999999998</v>
      </c>
      <c r="AE22" s="418">
        <f>+AE15-AE21</f>
        <v>543.33300000000008</v>
      </c>
      <c r="AF22" s="430"/>
      <c r="AG22" s="417">
        <f>+AG15-AG21</f>
        <v>113.21300000000002</v>
      </c>
      <c r="AH22" s="417">
        <f>+AH15-AH21</f>
        <v>130.226</v>
      </c>
      <c r="AI22" s="417">
        <f>+AI15-AI21</f>
        <v>130.12200000000001</v>
      </c>
      <c r="AJ22" s="417">
        <f>+AJ15-AJ21</f>
        <v>168.01299999999992</v>
      </c>
      <c r="AK22" s="418">
        <f>+AK15-AK21</f>
        <v>541.57400000000007</v>
      </c>
      <c r="AL22" s="430"/>
      <c r="AM22" s="417">
        <f>+AM15-AM21</f>
        <v>112.87100000000004</v>
      </c>
      <c r="AN22" s="417">
        <f>+AN15-AN21</f>
        <v>117.98500000000001</v>
      </c>
      <c r="AO22" s="417">
        <f>+AO15-AO21</f>
        <v>124.43500000000003</v>
      </c>
      <c r="AP22" s="417">
        <f>+AP15-AP21</f>
        <v>181.51499999999993</v>
      </c>
      <c r="AQ22" s="418">
        <f>+AQ15-AQ21</f>
        <v>536.80600000000004</v>
      </c>
      <c r="AR22" s="430"/>
      <c r="AS22" s="417">
        <f>+AS15-AS21</f>
        <v>99.725999999999971</v>
      </c>
      <c r="AT22" s="392">
        <f>+AT15-AT21</f>
        <v>127.08899999999997</v>
      </c>
      <c r="AU22" s="392">
        <f>+AU15-AU21</f>
        <v>141.62900000000005</v>
      </c>
      <c r="AV22" s="417">
        <f>+AV15-AV21</f>
        <v>193.25099999999998</v>
      </c>
      <c r="AW22" s="418">
        <f>+AW15-AW21</f>
        <v>561.69499999999994</v>
      </c>
      <c r="AX22" s="430"/>
      <c r="AY22" s="417">
        <f>+AY15-AY21</f>
        <v>123.72800000000004</v>
      </c>
      <c r="AZ22" s="392">
        <f>+AZ15-AZ21</f>
        <v>134.834</v>
      </c>
      <c r="BA22" s="392">
        <f>+BA15-BA21</f>
        <v>140.14799999999994</v>
      </c>
      <c r="BB22" s="392">
        <f>+BB15-BB21</f>
        <v>194.113</v>
      </c>
      <c r="BC22" s="418">
        <f>+BC15-BC21</f>
        <v>592.82299999999987</v>
      </c>
      <c r="BD22" s="431"/>
      <c r="BE22" s="1658">
        <f>+BE15-BE21</f>
        <v>125.99899999999997</v>
      </c>
      <c r="BF22" s="417">
        <f>+BF15-BF21</f>
        <v>156.00199999999992</v>
      </c>
      <c r="BG22" s="417">
        <f>+BG15-BG21</f>
        <v>155.17100000000005</v>
      </c>
      <c r="BH22" s="417">
        <f>+BH15-BH21</f>
        <v>214.52099999999996</v>
      </c>
      <c r="BI22" s="418">
        <f>+BI15-BI21</f>
        <v>651.69299999999976</v>
      </c>
      <c r="BJ22" s="430"/>
      <c r="BK22" s="417">
        <f>+BK15-BK21</f>
        <v>134.94600000000003</v>
      </c>
      <c r="BL22" s="417">
        <f>+BL15-BL21</f>
        <v>167.15899999999999</v>
      </c>
      <c r="BM22" s="417">
        <f>+BM15-BM21</f>
        <v>167.10099999999994</v>
      </c>
      <c r="BN22" s="417">
        <f>+BN15-BN21</f>
        <v>235.73599999999988</v>
      </c>
      <c r="BO22" s="418">
        <f>+BO15-BO21</f>
        <v>704.94200000000012</v>
      </c>
      <c r="BP22" s="430"/>
      <c r="BQ22" s="417">
        <f>+BQ15-BQ21</f>
        <v>148.15746596153573</v>
      </c>
      <c r="BR22" s="417">
        <f>+BR15-BR21</f>
        <v>183.72073989574241</v>
      </c>
      <c r="BS22" s="417">
        <f>+BS15-BS21</f>
        <v>179.51801096041916</v>
      </c>
      <c r="BT22" s="417">
        <f>+BT15-BT21</f>
        <v>253.285085114314</v>
      </c>
      <c r="BU22" s="418">
        <f>+BU15-BU21</f>
        <v>764.68130193201148</v>
      </c>
      <c r="BV22" s="430"/>
      <c r="BW22" s="417">
        <f>+BW15-BW21</f>
        <v>159.23510132833547</v>
      </c>
      <c r="BX22" s="417">
        <f>+BX15-BX21</f>
        <v>195.98023641387536</v>
      </c>
      <c r="BY22" s="417">
        <f>+BY15-BY21</f>
        <v>191.03563790585858</v>
      </c>
      <c r="BZ22" s="417">
        <f>+BZ15-BZ21</f>
        <v>267.58150190825859</v>
      </c>
      <c r="CA22" s="418">
        <f>+CA15-CA21</f>
        <v>813.83247755632806</v>
      </c>
      <c r="CB22" s="430"/>
      <c r="CC22" s="417">
        <f>+CC15-CC21</f>
        <v>169.79412169426482</v>
      </c>
      <c r="CD22" s="417">
        <f>+CD15-CD21</f>
        <v>207.39138047421636</v>
      </c>
      <c r="CE22" s="417">
        <f>+CE15-CE21</f>
        <v>201.98178699944248</v>
      </c>
      <c r="CF22" s="417">
        <f>+CF15-CF21</f>
        <v>280.81162757981889</v>
      </c>
      <c r="CG22" s="418">
        <f>+CG15-CG21</f>
        <v>859.9789167477428</v>
      </c>
      <c r="CH22" s="430"/>
      <c r="CI22" s="417">
        <f>+CI15-CI21</f>
        <v>181.04460739751306</v>
      </c>
      <c r="CJ22" s="417">
        <f>+CJ15-CJ21</f>
        <v>219.46573280039999</v>
      </c>
      <c r="CK22" s="417">
        <f>+CK15-CK21</f>
        <v>213.55258383385649</v>
      </c>
      <c r="CL22" s="417">
        <f>+CL15-CL21</f>
        <v>294.74462789866487</v>
      </c>
      <c r="CM22" s="418">
        <f>+CM15-CM21</f>
        <v>908.80755193043456</v>
      </c>
      <c r="CN22"/>
      <c r="CO22"/>
      <c r="CP22"/>
      <c r="CQ22"/>
      <c r="CR22"/>
      <c r="CS22"/>
      <c r="CT22"/>
      <c r="CU22"/>
    </row>
    <row r="23" spans="1:103" s="24" customFormat="1" ht="11.25" hidden="1" customHeight="1" outlineLevel="1">
      <c r="A23" s="1267" t="s">
        <v>195</v>
      </c>
      <c r="B23" s="416"/>
      <c r="C23" s="422">
        <v>2.5939999999999999</v>
      </c>
      <c r="D23" s="422">
        <f>5.483-C23</f>
        <v>2.8889999999999998</v>
      </c>
      <c r="E23" s="422">
        <v>2.7389999999999999</v>
      </c>
      <c r="F23" s="422">
        <v>3.2870000000000008</v>
      </c>
      <c r="G23" s="1153">
        <f>CFS!G13</f>
        <v>27.466999999999999</v>
      </c>
      <c r="H23" s="1153"/>
      <c r="I23" s="1152">
        <f>CFS!I13</f>
        <v>7.1139999999999999</v>
      </c>
      <c r="J23" s="1152">
        <f>CFS!J13</f>
        <v>8.4969999999999999</v>
      </c>
      <c r="K23" s="1152">
        <f>CFS!K13</f>
        <v>6.4409999999999989</v>
      </c>
      <c r="L23" s="1152">
        <f>CFS!L13</f>
        <v>7.0190000000000019</v>
      </c>
      <c r="M23" s="1153">
        <f>CFS!M13</f>
        <v>29.071000000000002</v>
      </c>
      <c r="N23" s="1153"/>
      <c r="O23" s="1152">
        <f>CFS!O13</f>
        <v>8.3629999999999995</v>
      </c>
      <c r="P23" s="1152">
        <f>CFS!P13</f>
        <v>7.9329999999999998</v>
      </c>
      <c r="Q23" s="1152">
        <f>CFS!Q13</f>
        <v>7.4860000000000007</v>
      </c>
      <c r="R23" s="1152">
        <f>CFS!R13</f>
        <v>8.0229999999999997</v>
      </c>
      <c r="S23" s="1153">
        <f>CFS!S13</f>
        <v>31.805</v>
      </c>
      <c r="T23" s="1153"/>
      <c r="U23" s="1152">
        <f>CFS!U13</f>
        <v>8.4410000000000007</v>
      </c>
      <c r="V23" s="1152">
        <f>CFS!V13</f>
        <v>8.6769999999999978</v>
      </c>
      <c r="W23" s="1152">
        <f>CFS!W13</f>
        <v>8.7789999999999981</v>
      </c>
      <c r="X23" s="1152">
        <f>CFS!X13</f>
        <v>8.5239999999999991</v>
      </c>
      <c r="Y23" s="1153">
        <f>CFS!Y13</f>
        <v>34.420999999999999</v>
      </c>
      <c r="Z23" s="1153"/>
      <c r="AA23" s="1152">
        <f>CFS!AA13</f>
        <v>8.64</v>
      </c>
      <c r="AB23" s="1152">
        <f>CFS!AB13</f>
        <v>9.2989999999999995</v>
      </c>
      <c r="AC23" s="1152">
        <f>CFS!AC13</f>
        <v>9.3279999999999994</v>
      </c>
      <c r="AD23" s="1152">
        <f>CFS!AD13</f>
        <v>9.2639999999999993</v>
      </c>
      <c r="AE23" s="1153">
        <f>CFS!AE13</f>
        <v>36.530999999999999</v>
      </c>
      <c r="AF23" s="1153"/>
      <c r="AG23" s="1152">
        <f>CFS!AG13</f>
        <v>7.7629999999999999</v>
      </c>
      <c r="AH23" s="1152">
        <f>CFS!AH13</f>
        <v>9.4049999999999994</v>
      </c>
      <c r="AI23" s="1152">
        <f>CFS!AI13</f>
        <v>9.9329999999999998</v>
      </c>
      <c r="AJ23" s="1152">
        <f>CFS!AJ13</f>
        <v>10.320999999999998</v>
      </c>
      <c r="AK23" s="1153">
        <f>CFS!AK13</f>
        <v>37.421999999999997</v>
      </c>
      <c r="AL23" s="1153"/>
      <c r="AM23" s="1152">
        <f>CFS!AM13</f>
        <v>8.4870000000000001</v>
      </c>
      <c r="AN23" s="1152">
        <f>CFS!AN13</f>
        <v>9.604000000000001</v>
      </c>
      <c r="AO23" s="1152">
        <f>CFS!AO13</f>
        <v>9.7159999999999958</v>
      </c>
      <c r="AP23" s="1152">
        <f>CFS!AP13</f>
        <v>10.358000000000004</v>
      </c>
      <c r="AQ23" s="1153">
        <f>CFS!AQ13</f>
        <v>38.164999999999999</v>
      </c>
      <c r="AR23" s="1153"/>
      <c r="AS23" s="1152">
        <f>CFS!AS13</f>
        <v>8.8190000000000008</v>
      </c>
      <c r="AT23" s="1152">
        <f>CFS!AT13</f>
        <v>12.598000000000001</v>
      </c>
      <c r="AU23" s="1152">
        <f>CFS!AU13</f>
        <v>17.336999999999996</v>
      </c>
      <c r="AV23" s="1152">
        <f>CFS!AV13</f>
        <v>7.6390000000000029</v>
      </c>
      <c r="AW23" s="1153">
        <f>CFS!AW13</f>
        <v>46.393000000000001</v>
      </c>
      <c r="AX23" s="1153"/>
      <c r="AY23" s="1152">
        <f>CFS!AY13</f>
        <v>11.445</v>
      </c>
      <c r="AZ23" s="1152">
        <f>CFS!AZ13</f>
        <v>11.320999999999998</v>
      </c>
      <c r="BA23" s="1152">
        <f>CFS!BA13</f>
        <v>10.436</v>
      </c>
      <c r="BB23" s="1152">
        <f>CFS!BB13</f>
        <v>12.085000000000001</v>
      </c>
      <c r="BC23" s="1153">
        <f>CFS!BC13</f>
        <v>45.286999999999999</v>
      </c>
      <c r="BD23" s="1153"/>
      <c r="BE23" s="1152">
        <f>CFS!BE13</f>
        <v>12.356</v>
      </c>
      <c r="BF23" s="1152">
        <f>CFS!BF13</f>
        <v>13.699</v>
      </c>
      <c r="BG23" s="1152">
        <f>CFS!BG13</f>
        <v>12.798999999999999</v>
      </c>
      <c r="BH23" s="1152">
        <f>CFS!BH13</f>
        <v>12.829999999999998</v>
      </c>
      <c r="BI23" s="1153">
        <f>CFS!BI13</f>
        <v>51.683999999999997</v>
      </c>
      <c r="BJ23" s="1153"/>
      <c r="BK23" s="1152">
        <f>CFS!BK13</f>
        <v>12.782999999999999</v>
      </c>
      <c r="BL23" s="1152">
        <f>CFS!BL13</f>
        <v>18.012999999999998</v>
      </c>
      <c r="BM23" s="1152">
        <f>CFS!BM13</f>
        <v>14.658000000000001</v>
      </c>
      <c r="BN23" s="1152">
        <f>CFS!BN13</f>
        <v>15.996000000000002</v>
      </c>
      <c r="BO23" s="1153">
        <f>CFS!BO13</f>
        <v>61.45</v>
      </c>
      <c r="BP23" s="1153"/>
      <c r="BQ23" s="1152">
        <f>CFS!BQ13</f>
        <v>12.946315669005504</v>
      </c>
      <c r="BR23" s="1152">
        <f>CFS!BR13</f>
        <v>13.362667395155919</v>
      </c>
      <c r="BS23" s="1152">
        <f>CFS!BS13</f>
        <v>13.775038228315095</v>
      </c>
      <c r="BT23" s="1152">
        <f>CFS!BT13</f>
        <v>14.276862254471872</v>
      </c>
      <c r="BU23" s="1153">
        <f>CFS!BU13</f>
        <v>54.360883546948394</v>
      </c>
      <c r="BV23" s="1153"/>
      <c r="BW23" s="1152">
        <f>CFS!BW13</f>
        <v>13.610351455183638</v>
      </c>
      <c r="BX23" s="1152">
        <f>CFS!BX13</f>
        <v>14.193822110872613</v>
      </c>
      <c r="BY23" s="1152">
        <f>CFS!BY13</f>
        <v>14.770245594921482</v>
      </c>
      <c r="BZ23" s="1152">
        <f>CFS!BZ13</f>
        <v>15.467268178256088</v>
      </c>
      <c r="CA23" s="1153">
        <f>CFS!CA13</f>
        <v>58.041687339233818</v>
      </c>
      <c r="CB23" s="1153"/>
      <c r="CC23" s="1152">
        <f>CFS!CC13</f>
        <v>14.552777003397139</v>
      </c>
      <c r="CD23" s="1152">
        <f>CFS!CD13</f>
        <v>15.097379608751964</v>
      </c>
      <c r="CE23" s="1152">
        <f>CFS!CE13</f>
        <v>15.634687499421535</v>
      </c>
      <c r="CF23" s="1152">
        <f>CFS!CF13</f>
        <v>16.280207240500648</v>
      </c>
      <c r="CG23" s="1153">
        <f>CFS!CG13</f>
        <v>61.565051352071279</v>
      </c>
      <c r="CH23" s="1153"/>
      <c r="CI23" s="1152">
        <f>CFS!CI13</f>
        <v>14.974314953024921</v>
      </c>
      <c r="CJ23" s="1152">
        <f>CFS!CJ13</f>
        <v>15.328816367842313</v>
      </c>
      <c r="CK23" s="1152">
        <f>CFS!CK13</f>
        <v>15.678092461352914</v>
      </c>
      <c r="CL23" s="1152">
        <f>CFS!CL13</f>
        <v>16.095072751911342</v>
      </c>
      <c r="CM23" s="1153">
        <f>CFS!CM13</f>
        <v>62.076296534131487</v>
      </c>
      <c r="CN23"/>
      <c r="CO23"/>
      <c r="CP23"/>
      <c r="CQ23"/>
      <c r="CR23"/>
      <c r="CS23"/>
      <c r="CT23"/>
      <c r="CU23"/>
    </row>
    <row r="24" spans="1:103" s="24" customFormat="1" ht="11.25" hidden="1" customHeight="1" outlineLevel="1">
      <c r="A24" s="1268" t="s">
        <v>196</v>
      </c>
      <c r="B24" s="432"/>
      <c r="C24" s="422">
        <v>1.3739999999999999</v>
      </c>
      <c r="D24" s="422">
        <v>1.1950000000000001</v>
      </c>
      <c r="E24" s="422">
        <v>0.87</v>
      </c>
      <c r="F24" s="422">
        <v>0.92099999999999982</v>
      </c>
      <c r="G24" s="1153">
        <f>CFS!G14</f>
        <v>25.85</v>
      </c>
      <c r="H24" s="1153"/>
      <c r="I24" s="1152">
        <f>CFS!I14</f>
        <v>6.633</v>
      </c>
      <c r="J24" s="1152">
        <f>CFS!J14</f>
        <v>16.542999999999999</v>
      </c>
      <c r="K24" s="1152">
        <f>CFS!K14</f>
        <v>7.2370000000000019</v>
      </c>
      <c r="L24" s="1152">
        <f>CFS!L14</f>
        <v>5.7870000000000026</v>
      </c>
      <c r="M24" s="1153">
        <f>CFS!M14</f>
        <v>36.200000000000003</v>
      </c>
      <c r="N24" s="1153"/>
      <c r="O24" s="1152">
        <f>CFS!O14</f>
        <v>6.048</v>
      </c>
      <c r="P24" s="1152">
        <f>CFS!P14</f>
        <v>6.5630000000000006</v>
      </c>
      <c r="Q24" s="1152">
        <f>CFS!Q14</f>
        <v>6.1789999999999985</v>
      </c>
      <c r="R24" s="1152">
        <f>CFS!R14</f>
        <v>6.6769999999999996</v>
      </c>
      <c r="S24" s="1153">
        <f>CFS!S14</f>
        <v>25.466999999999999</v>
      </c>
      <c r="T24" s="1153"/>
      <c r="U24" s="1152">
        <f>CFS!U14</f>
        <v>6.5439999999999996</v>
      </c>
      <c r="V24" s="1152">
        <f>CFS!V14</f>
        <v>6.6239999999999997</v>
      </c>
      <c r="W24" s="1152">
        <f>CFS!W14</f>
        <v>6.4529999999999985</v>
      </c>
      <c r="X24" s="1152">
        <f>CFS!X14</f>
        <v>8.5160000000000018</v>
      </c>
      <c r="Y24" s="1153">
        <f>CFS!Y14</f>
        <v>28.137</v>
      </c>
      <c r="Z24" s="1153"/>
      <c r="AA24" s="1152">
        <f>CFS!AA14</f>
        <v>7.52</v>
      </c>
      <c r="AB24" s="1152">
        <f>CFS!AB14</f>
        <v>7.9860000000000007</v>
      </c>
      <c r="AC24" s="1152">
        <f>CFS!AC14</f>
        <v>7.2719999999999985</v>
      </c>
      <c r="AD24" s="1152">
        <f>CFS!AD14</f>
        <v>7.078000000000003</v>
      </c>
      <c r="AE24" s="1153">
        <f>CFS!AE14</f>
        <v>29.856000000000002</v>
      </c>
      <c r="AF24" s="1153"/>
      <c r="AG24" s="1152">
        <f>CFS!AG14</f>
        <v>6.806</v>
      </c>
      <c r="AH24" s="1152">
        <f>CFS!AH14</f>
        <v>6.6290000000000004</v>
      </c>
      <c r="AI24" s="1152">
        <f>CFS!AI14</f>
        <v>10.688999999999998</v>
      </c>
      <c r="AJ24" s="1152">
        <f>CFS!AJ14</f>
        <v>7.2850000000000001</v>
      </c>
      <c r="AK24" s="1153">
        <f>CFS!AK14</f>
        <v>31.408999999999999</v>
      </c>
      <c r="AL24" s="1153"/>
      <c r="AM24" s="1152">
        <f>CFS!AM14</f>
        <v>9.7750000000000004</v>
      </c>
      <c r="AN24" s="1152">
        <f>CFS!AN14</f>
        <v>9.8179999999999996</v>
      </c>
      <c r="AO24" s="1152">
        <f>CFS!AO14</f>
        <v>10.855000000000002</v>
      </c>
      <c r="AP24" s="1152">
        <f>CFS!AP14</f>
        <v>11.082000000000001</v>
      </c>
      <c r="AQ24" s="1153">
        <f>CFS!AQ14</f>
        <v>41.53</v>
      </c>
      <c r="AR24" s="1153"/>
      <c r="AS24" s="1152">
        <f>CFS!AS14</f>
        <v>11.523</v>
      </c>
      <c r="AT24" s="1152">
        <f>CFS!AT14</f>
        <v>12.277000000000001</v>
      </c>
      <c r="AU24" s="1152">
        <f>CFS!AU14</f>
        <v>12.089000000000002</v>
      </c>
      <c r="AV24" s="1152">
        <f>CFS!AV14</f>
        <v>11.948999999999998</v>
      </c>
      <c r="AW24" s="1153">
        <f>CFS!AW14</f>
        <v>47.838000000000001</v>
      </c>
      <c r="AX24" s="1153"/>
      <c r="AY24" s="1152">
        <f>CFS!AY14</f>
        <v>11.103999999999999</v>
      </c>
      <c r="AZ24" s="1152">
        <f>CFS!AZ14</f>
        <v>11.268000000000001</v>
      </c>
      <c r="BA24" s="1152">
        <f>CFS!BA14</f>
        <v>11.320999999999998</v>
      </c>
      <c r="BB24" s="1152">
        <f>CFS!BB14</f>
        <v>11.007000000000005</v>
      </c>
      <c r="BC24" s="1153">
        <f>CFS!BC14</f>
        <v>44.7</v>
      </c>
      <c r="BD24" s="1153"/>
      <c r="BE24" s="1152">
        <f>CFS!BE14</f>
        <v>11.074999999999999</v>
      </c>
      <c r="BF24" s="1152">
        <f>CFS!BF14</f>
        <v>10.946999999999999</v>
      </c>
      <c r="BG24" s="1152">
        <f>CFS!BG14</f>
        <v>11.488</v>
      </c>
      <c r="BH24" s="1152">
        <f>CFS!BH14</f>
        <v>11.255000000000003</v>
      </c>
      <c r="BI24" s="1153">
        <f>CFS!BI14</f>
        <v>44.765000000000001</v>
      </c>
      <c r="BJ24" s="1153"/>
      <c r="BK24" s="1152">
        <f>CFS!BK14</f>
        <v>10.167</v>
      </c>
      <c r="BL24" s="1152">
        <f>CFS!BL14</f>
        <v>11.442000000000002</v>
      </c>
      <c r="BM24" s="1152">
        <f>CFS!BM14</f>
        <v>11.186</v>
      </c>
      <c r="BN24" s="1152">
        <f>CFS!BN14</f>
        <v>11.756999999999998</v>
      </c>
      <c r="BO24" s="1153">
        <f>CFS!BO14</f>
        <v>44.552</v>
      </c>
      <c r="BP24" s="1153"/>
      <c r="BQ24" s="1152">
        <f>CFS!BQ14</f>
        <v>10</v>
      </c>
      <c r="BR24" s="1152">
        <f>CFS!BR14</f>
        <v>10</v>
      </c>
      <c r="BS24" s="1152">
        <f>CFS!BS14</f>
        <v>10</v>
      </c>
      <c r="BT24" s="1152">
        <f>CFS!BT14</f>
        <v>10</v>
      </c>
      <c r="BU24" s="1153">
        <f>CFS!BU14</f>
        <v>40</v>
      </c>
      <c r="BV24" s="1153"/>
      <c r="BW24" s="1152">
        <f>CFS!BW14</f>
        <v>10</v>
      </c>
      <c r="BX24" s="1152">
        <f>CFS!BX14</f>
        <v>10</v>
      </c>
      <c r="BY24" s="1152">
        <f>CFS!BY14</f>
        <v>10</v>
      </c>
      <c r="BZ24" s="1152">
        <f>CFS!BZ14</f>
        <v>10</v>
      </c>
      <c r="CA24" s="1153">
        <f>CFS!CA14</f>
        <v>40</v>
      </c>
      <c r="CB24" s="1153"/>
      <c r="CC24" s="1152">
        <f>CFS!CC14</f>
        <v>10</v>
      </c>
      <c r="CD24" s="1152">
        <f>CFS!CD14</f>
        <v>10</v>
      </c>
      <c r="CE24" s="1152">
        <f>CFS!CE14</f>
        <v>10</v>
      </c>
      <c r="CF24" s="1152">
        <f>CFS!CF14</f>
        <v>10</v>
      </c>
      <c r="CG24" s="1153">
        <f>CFS!CG14</f>
        <v>40</v>
      </c>
      <c r="CH24" s="1153"/>
      <c r="CI24" s="1152">
        <f>CFS!CI14</f>
        <v>10</v>
      </c>
      <c r="CJ24" s="1152">
        <f>CFS!CJ14</f>
        <v>10</v>
      </c>
      <c r="CK24" s="1152">
        <f>CFS!CK14</f>
        <v>10</v>
      </c>
      <c r="CL24" s="1152">
        <f>CFS!CL14</f>
        <v>10</v>
      </c>
      <c r="CM24" s="1153">
        <f>CFS!CM14</f>
        <v>40</v>
      </c>
      <c r="CN24"/>
      <c r="CO24"/>
      <c r="CP24"/>
      <c r="CQ24"/>
      <c r="CR24"/>
      <c r="CS24"/>
      <c r="CT24"/>
      <c r="CU24"/>
    </row>
    <row r="25" spans="1:103" s="24" customFormat="1" ht="11.25" hidden="1" customHeight="1" outlineLevel="1">
      <c r="A25" s="1268" t="s">
        <v>197</v>
      </c>
      <c r="B25" s="432"/>
      <c r="C25" s="417">
        <f>C69</f>
        <v>6.9379999999999997</v>
      </c>
      <c r="D25" s="417">
        <f>D69</f>
        <v>6.8579999999999997</v>
      </c>
      <c r="E25" s="417">
        <f>E69</f>
        <v>7.1059999999999999</v>
      </c>
      <c r="F25" s="417">
        <f>F69</f>
        <v>7.9529999999999994</v>
      </c>
      <c r="G25" s="418">
        <f>G69</f>
        <v>28.855</v>
      </c>
      <c r="H25" s="419"/>
      <c r="I25" s="110">
        <f>I69</f>
        <v>7.4530000000000003</v>
      </c>
      <c r="J25" s="110">
        <f>J69</f>
        <v>8.0560000000000009</v>
      </c>
      <c r="K25" s="110">
        <f>K69</f>
        <v>7.6720000000000006</v>
      </c>
      <c r="L25" s="110">
        <f>L69</f>
        <v>7.6009999999999991</v>
      </c>
      <c r="M25" s="418">
        <f>M69</f>
        <v>30.782</v>
      </c>
      <c r="N25" s="419"/>
      <c r="O25" s="110">
        <f>O69</f>
        <v>7.3479999999999999</v>
      </c>
      <c r="P25" s="110">
        <f>P69</f>
        <v>7.1580000000000004</v>
      </c>
      <c r="Q25" s="110">
        <f>Q69</f>
        <v>7.2510000000000021</v>
      </c>
      <c r="R25" s="110">
        <f>R69</f>
        <v>6.4979999999999976</v>
      </c>
      <c r="S25" s="418">
        <f>S69</f>
        <v>28.254999999999999</v>
      </c>
      <c r="T25" s="419"/>
      <c r="U25" s="110">
        <f>U69</f>
        <v>6.0309999999999997</v>
      </c>
      <c r="V25" s="110">
        <f>V69</f>
        <v>6.2830000000000004</v>
      </c>
      <c r="W25" s="110">
        <f>W69</f>
        <v>6.2440000000000007</v>
      </c>
      <c r="X25" s="110">
        <f>X69</f>
        <v>6.2939999999999996</v>
      </c>
      <c r="Y25" s="418">
        <f>Y69</f>
        <v>24.852</v>
      </c>
      <c r="Z25" s="419"/>
      <c r="AA25" s="110">
        <f>AA69</f>
        <v>7.0149999999999997</v>
      </c>
      <c r="AB25" s="110">
        <f>AB69</f>
        <v>6.7480000000000002</v>
      </c>
      <c r="AC25" s="110">
        <f>AC69</f>
        <v>6.8819999999999997</v>
      </c>
      <c r="AD25" s="110">
        <f>AD69</f>
        <v>4.4383199999999992</v>
      </c>
      <c r="AE25" s="418">
        <f>AE69</f>
        <v>25.083320000000001</v>
      </c>
      <c r="AF25" s="419"/>
      <c r="AG25" s="110">
        <f>AG69</f>
        <v>7.2670000000000003</v>
      </c>
      <c r="AH25" s="110">
        <f>AH69</f>
        <v>7.1139999999999999</v>
      </c>
      <c r="AI25" s="110">
        <f>AI69</f>
        <v>7.3060000000000009</v>
      </c>
      <c r="AJ25" s="110">
        <f>AJ69</f>
        <v>7.4959999999999987</v>
      </c>
      <c r="AK25" s="418">
        <f>AK69</f>
        <v>29.183</v>
      </c>
      <c r="AL25" s="419"/>
      <c r="AM25" s="110">
        <f>AM69</f>
        <v>7.431</v>
      </c>
      <c r="AN25" s="110">
        <f>AN69</f>
        <v>7.8760000000000003</v>
      </c>
      <c r="AO25" s="110">
        <f>AO69</f>
        <v>8.6779999999999973</v>
      </c>
      <c r="AP25" s="110">
        <f>AP69</f>
        <v>7.722999999999999</v>
      </c>
      <c r="AQ25" s="418">
        <f>AQ69</f>
        <v>31.707999999999998</v>
      </c>
      <c r="AR25" s="419"/>
      <c r="AS25" s="110">
        <f>AS69</f>
        <v>8.1289999999999996</v>
      </c>
      <c r="AT25" s="110">
        <f>AT69</f>
        <v>8.224000000000002</v>
      </c>
      <c r="AU25" s="110">
        <f>AU69</f>
        <v>8.1069999999999993</v>
      </c>
      <c r="AV25" s="110">
        <f>AV69</f>
        <v>8.5379999999999967</v>
      </c>
      <c r="AW25" s="418">
        <f>AW69</f>
        <v>32.997999999999998</v>
      </c>
      <c r="AX25" s="419"/>
      <c r="AY25" s="110">
        <f>AY69</f>
        <v>8.4550000000000001</v>
      </c>
      <c r="AZ25" s="110">
        <f>AZ69</f>
        <v>8.1549999999999994</v>
      </c>
      <c r="BA25" s="110">
        <f>BA69</f>
        <v>4.6087800000000003</v>
      </c>
      <c r="BB25" s="110">
        <f>BB69</f>
        <v>4.6374599999999999</v>
      </c>
      <c r="BC25" s="418">
        <f>BC69</f>
        <v>25.85624</v>
      </c>
      <c r="BD25" s="419"/>
      <c r="BE25" s="110">
        <f>BE69</f>
        <v>4.4428799999999997</v>
      </c>
      <c r="BF25" s="110">
        <f>BF69</f>
        <v>4.8053699999999999</v>
      </c>
      <c r="BG25" s="110">
        <f>BG69</f>
        <v>4.59945</v>
      </c>
      <c r="BH25" s="110">
        <f>BH69</f>
        <v>4.8806099999999999</v>
      </c>
      <c r="BI25" s="418">
        <f>BI69</f>
        <v>18.72831</v>
      </c>
      <c r="BJ25" s="419"/>
      <c r="BK25" s="110">
        <f>BK69</f>
        <v>7.5964</v>
      </c>
      <c r="BL25" s="110">
        <f>BL69</f>
        <v>8.0731999999999999</v>
      </c>
      <c r="BM25" s="110">
        <f>BM69</f>
        <v>8.1295500000000001</v>
      </c>
      <c r="BN25" s="110">
        <f>BN69</f>
        <v>9.0543000000000013</v>
      </c>
      <c r="BO25" s="418">
        <f>BO69</f>
        <v>32.853449999999995</v>
      </c>
      <c r="BP25" s="419"/>
      <c r="BQ25" s="110">
        <f>BQ69</f>
        <v>8.1733341105423349</v>
      </c>
      <c r="BR25" s="110">
        <f>BR69</f>
        <v>8.6924407944593796</v>
      </c>
      <c r="BS25" s="110">
        <f>BS69</f>
        <v>8.5564553540253652</v>
      </c>
      <c r="BT25" s="110">
        <f>BT69</f>
        <v>9.5344386857774577</v>
      </c>
      <c r="BU25" s="418">
        <f>BU69</f>
        <v>34.956668944804541</v>
      </c>
      <c r="BV25" s="419"/>
      <c r="BW25" s="110">
        <f>BW69</f>
        <v>8.7087952673294957</v>
      </c>
      <c r="BX25" s="110">
        <f>BX69</f>
        <v>9.201554786842415</v>
      </c>
      <c r="BY25" s="110">
        <f>BY69</f>
        <v>9.0345898200664365</v>
      </c>
      <c r="BZ25" s="110">
        <f>BZ69</f>
        <v>10.003485673726344</v>
      </c>
      <c r="CA25" s="418">
        <f>CA69</f>
        <v>36.948425547964689</v>
      </c>
      <c r="CB25" s="419"/>
      <c r="CC25" s="110">
        <f>CC69</f>
        <v>9.210377227966827</v>
      </c>
      <c r="CD25" s="110">
        <f>CD69</f>
        <v>9.667158025828881</v>
      </c>
      <c r="CE25" s="110">
        <f>CE69</f>
        <v>9.4790954925148903</v>
      </c>
      <c r="CF25" s="110">
        <f>CF69</f>
        <v>10.427757896165188</v>
      </c>
      <c r="CG25" s="418">
        <f>CG69</f>
        <v>38.784388642475783</v>
      </c>
      <c r="CH25" s="419"/>
      <c r="CI25" s="110">
        <f>CI69</f>
        <v>9.7410896646902714</v>
      </c>
      <c r="CJ25" s="110">
        <f>CJ69</f>
        <v>10.157137020156744</v>
      </c>
      <c r="CK25" s="110">
        <f>CK69</f>
        <v>9.9459615507056505</v>
      </c>
      <c r="CL25" s="110">
        <f>CL69</f>
        <v>10.872544001348487</v>
      </c>
      <c r="CM25" s="418">
        <f>CM69</f>
        <v>40.716732236901152</v>
      </c>
      <c r="CN25"/>
      <c r="CO25"/>
      <c r="CP25"/>
      <c r="CQ25"/>
      <c r="CR25"/>
      <c r="CS25"/>
      <c r="CT25"/>
      <c r="CU25"/>
    </row>
    <row r="26" spans="1:103" s="339" customFormat="1" ht="11.25" hidden="1" customHeight="1" outlineLevel="1">
      <c r="A26" s="1270" t="s">
        <v>198</v>
      </c>
      <c r="B26" s="433"/>
      <c r="C26" s="434">
        <f>SUM(C23:C25)</f>
        <v>10.905999999999999</v>
      </c>
      <c r="D26" s="434">
        <f>SUM(D23:D25)</f>
        <v>10.942</v>
      </c>
      <c r="E26" s="434">
        <f>SUM(E23:E25)</f>
        <v>10.715</v>
      </c>
      <c r="F26" s="434">
        <f>SUM(F23:F25)</f>
        <v>12.161</v>
      </c>
      <c r="G26" s="435">
        <f>SUM(G23:G25)</f>
        <v>82.171999999999997</v>
      </c>
      <c r="H26" s="436"/>
      <c r="I26" s="437">
        <f>SUM(I23:I25)</f>
        <v>21.2</v>
      </c>
      <c r="J26" s="437">
        <f>SUM(J23:J25)</f>
        <v>33.096000000000004</v>
      </c>
      <c r="K26" s="437">
        <f>SUM(K23:K25)</f>
        <v>21.35</v>
      </c>
      <c r="L26" s="437">
        <f>SUM(L23:L25)</f>
        <v>20.407000000000004</v>
      </c>
      <c r="M26" s="435">
        <f>SUM(M23:M25)</f>
        <v>96.052999999999997</v>
      </c>
      <c r="N26" s="436"/>
      <c r="O26" s="437">
        <f>SUM(O23:O25)</f>
        <v>21.759</v>
      </c>
      <c r="P26" s="437">
        <f>SUM(P23:P25)</f>
        <v>21.654</v>
      </c>
      <c r="Q26" s="437">
        <f>SUM(Q23:Q25)</f>
        <v>20.916</v>
      </c>
      <c r="R26" s="437">
        <f>SUM(R23:R25)</f>
        <v>21.197999999999997</v>
      </c>
      <c r="S26" s="435">
        <f>SUM(S23:S25)</f>
        <v>85.527000000000001</v>
      </c>
      <c r="T26" s="436"/>
      <c r="U26" s="437">
        <f>SUM(U23:U25)</f>
        <v>21.015999999999998</v>
      </c>
      <c r="V26" s="437">
        <f>SUM(V23:V25)</f>
        <v>21.584</v>
      </c>
      <c r="W26" s="437">
        <f>SUM(W23:W25)</f>
        <v>21.475999999999996</v>
      </c>
      <c r="X26" s="437">
        <f>SUM(X23:X25)</f>
        <v>23.334</v>
      </c>
      <c r="Y26" s="435">
        <f>SUM(Y23:Y25)</f>
        <v>87.41</v>
      </c>
      <c r="Z26" s="436"/>
      <c r="AA26" s="437">
        <f>SUM(AA23:AA25)</f>
        <v>23.175000000000001</v>
      </c>
      <c r="AB26" s="437">
        <f>SUM(AB23:AB25)</f>
        <v>24.033000000000001</v>
      </c>
      <c r="AC26" s="437">
        <f>SUM(AC23:AC25)</f>
        <v>23.481999999999999</v>
      </c>
      <c r="AD26" s="437">
        <f>SUM(AD23:AD25)</f>
        <v>20.780320000000003</v>
      </c>
      <c r="AE26" s="435">
        <f>SUM(AE23:AE25)</f>
        <v>91.470320000000001</v>
      </c>
      <c r="AF26" s="436"/>
      <c r="AG26" s="437">
        <f>SUM(AG23:AG25)</f>
        <v>21.835999999999999</v>
      </c>
      <c r="AH26" s="437">
        <f>SUM(AH23:AH25)</f>
        <v>23.148</v>
      </c>
      <c r="AI26" s="437">
        <f>SUM(AI23:AI25)</f>
        <v>27.928000000000001</v>
      </c>
      <c r="AJ26" s="437">
        <f>SUM(AJ23:AJ25)</f>
        <v>25.101999999999997</v>
      </c>
      <c r="AK26" s="435">
        <f>SUM(AK23:AK25)</f>
        <v>98.013999999999982</v>
      </c>
      <c r="AL26" s="436"/>
      <c r="AM26" s="437">
        <f>SUM(AM23:AM25)</f>
        <v>25.693000000000001</v>
      </c>
      <c r="AN26" s="437">
        <f>SUM(AN23:AN25)</f>
        <v>27.298000000000002</v>
      </c>
      <c r="AO26" s="437">
        <f>SUM(AO23:AO25)</f>
        <v>29.248999999999995</v>
      </c>
      <c r="AP26" s="437">
        <f>SUM(AP23:AP25)</f>
        <v>29.163000000000004</v>
      </c>
      <c r="AQ26" s="435">
        <f>SUM(AQ23:AQ25)</f>
        <v>111.40299999999999</v>
      </c>
      <c r="AR26" s="436"/>
      <c r="AS26" s="437">
        <f>SUM(AS23:AS25)</f>
        <v>28.470999999999997</v>
      </c>
      <c r="AT26" s="437">
        <f>SUM(AT23:AT25)</f>
        <v>33.099000000000004</v>
      </c>
      <c r="AU26" s="437">
        <f>SUM(AU23:AU25)</f>
        <v>37.533000000000001</v>
      </c>
      <c r="AV26" s="437">
        <f>SUM(AV23:AV25)</f>
        <v>28.125999999999998</v>
      </c>
      <c r="AW26" s="435">
        <f>SUM(AW23:AW25)</f>
        <v>127.22899999999998</v>
      </c>
      <c r="AX26" s="436"/>
      <c r="AY26" s="437">
        <f>SUM(AY23:AY25)</f>
        <v>31.003999999999998</v>
      </c>
      <c r="AZ26" s="437">
        <f>SUM(AZ23:AZ25)</f>
        <v>30.744</v>
      </c>
      <c r="BA26" s="437">
        <f>SUM(BA23:BA25)</f>
        <v>26.365779999999997</v>
      </c>
      <c r="BB26" s="437">
        <f>SUM(BB23:BB25)</f>
        <v>27.729460000000007</v>
      </c>
      <c r="BC26" s="435">
        <f>SUM(BC23:BC25)</f>
        <v>115.84323999999999</v>
      </c>
      <c r="BD26" s="436"/>
      <c r="BE26" s="437">
        <f>SUM(BE23:BE25)</f>
        <v>27.873879999999996</v>
      </c>
      <c r="BF26" s="437">
        <f>SUM(BF23:BF25)</f>
        <v>29.451370000000001</v>
      </c>
      <c r="BG26" s="437">
        <f>SUM(BG23:BG25)</f>
        <v>28.88645</v>
      </c>
      <c r="BH26" s="437">
        <f>SUM(BH23:BH25)</f>
        <v>28.965610000000002</v>
      </c>
      <c r="BI26" s="435">
        <f>SUM(BI23:BI25)</f>
        <v>115.17731000000001</v>
      </c>
      <c r="BJ26" s="436"/>
      <c r="BK26" s="437">
        <f>SUM(BK23:BK25)</f>
        <v>30.546399999999998</v>
      </c>
      <c r="BL26" s="437">
        <f>SUM(BL23:BL25)</f>
        <v>37.528199999999998</v>
      </c>
      <c r="BM26" s="437">
        <f>SUM(BM23:BM25)</f>
        <v>33.973550000000003</v>
      </c>
      <c r="BN26" s="437">
        <f>SUM(BN23:BN25)</f>
        <v>36.807299999999998</v>
      </c>
      <c r="BO26" s="435">
        <f>SUM(BO23:BO25)</f>
        <v>138.85545000000002</v>
      </c>
      <c r="BP26" s="436"/>
      <c r="BQ26" s="437">
        <f>SUM(BQ23:BQ25)</f>
        <v>31.119649779547839</v>
      </c>
      <c r="BR26" s="437">
        <f>SUM(BR23:BR25)</f>
        <v>32.055108189615297</v>
      </c>
      <c r="BS26" s="437">
        <f>SUM(BS23:BS25)</f>
        <v>32.331493582340464</v>
      </c>
      <c r="BT26" s="437">
        <f>SUM(BT23:BT25)</f>
        <v>33.811300940249332</v>
      </c>
      <c r="BU26" s="435">
        <f>SUM(BU23:BU25)</f>
        <v>129.31755249175293</v>
      </c>
      <c r="BV26" s="436"/>
      <c r="BW26" s="437">
        <f>SUM(BW23:BW25)</f>
        <v>32.319146722513139</v>
      </c>
      <c r="BX26" s="437">
        <f>SUM(BX23:BX25)</f>
        <v>33.395376897715025</v>
      </c>
      <c r="BY26" s="437">
        <f>SUM(BY23:BY25)</f>
        <v>33.80483541498792</v>
      </c>
      <c r="BZ26" s="437">
        <f>SUM(BZ23:BZ25)</f>
        <v>35.47075385198243</v>
      </c>
      <c r="CA26" s="435">
        <f>SUM(CA23:CA25)</f>
        <v>134.99011288719851</v>
      </c>
      <c r="CB26" s="436"/>
      <c r="CC26" s="437">
        <f>SUM(CC23:CC25)</f>
        <v>33.76315423136397</v>
      </c>
      <c r="CD26" s="437">
        <f>SUM(CD23:CD25)</f>
        <v>34.764537634580847</v>
      </c>
      <c r="CE26" s="437">
        <f>SUM(CE23:CE25)</f>
        <v>35.113782991936425</v>
      </c>
      <c r="CF26" s="437">
        <f>SUM(CF23:CF25)</f>
        <v>36.707965136665834</v>
      </c>
      <c r="CG26" s="435">
        <f>SUM(CG23:CG25)</f>
        <v>140.34943999454705</v>
      </c>
      <c r="CH26" s="436"/>
      <c r="CI26" s="437">
        <f>SUM(CI23:CI25)</f>
        <v>34.715404617715194</v>
      </c>
      <c r="CJ26" s="437">
        <f>SUM(CJ23:CJ25)</f>
        <v>35.485953387999061</v>
      </c>
      <c r="CK26" s="437">
        <f>SUM(CK23:CK25)</f>
        <v>35.624054012058565</v>
      </c>
      <c r="CL26" s="437">
        <f>SUM(CL23:CL25)</f>
        <v>36.967616753259833</v>
      </c>
      <c r="CM26" s="435">
        <f>SUM(CM23:CM25)</f>
        <v>142.79302877103265</v>
      </c>
      <c r="CN26"/>
      <c r="CO26"/>
      <c r="CP26"/>
      <c r="CQ26"/>
      <c r="CR26"/>
      <c r="CS26"/>
      <c r="CT26"/>
      <c r="CU26"/>
    </row>
    <row r="27" spans="1:103" s="339" customFormat="1" ht="11.25" hidden="1" customHeight="1" outlineLevel="1">
      <c r="A27" s="148" t="s">
        <v>199</v>
      </c>
      <c r="B27" s="402"/>
      <c r="C27" s="434">
        <f>C22+C26</f>
        <v>85.822000000000003</v>
      </c>
      <c r="D27" s="434">
        <f>D22+D26</f>
        <v>90.015000000000015</v>
      </c>
      <c r="E27" s="434">
        <f>E22+E26</f>
        <v>94.289999999999992</v>
      </c>
      <c r="F27" s="434">
        <f>F22+F26</f>
        <v>144.33799999999994</v>
      </c>
      <c r="G27" s="435">
        <f>G26+G22</f>
        <v>451.9129999999999</v>
      </c>
      <c r="H27" s="431"/>
      <c r="I27" s="404">
        <f>I26+I22</f>
        <v>112.12400000000005</v>
      </c>
      <c r="J27" s="404">
        <f>J26+J22</f>
        <v>130.88600000000002</v>
      </c>
      <c r="K27" s="404">
        <f>K26+K22</f>
        <v>122.93099999999995</v>
      </c>
      <c r="L27" s="404">
        <f>L26+L22</f>
        <v>146.38299999999992</v>
      </c>
      <c r="M27" s="435">
        <f>M26+M22</f>
        <v>512.32400000000007</v>
      </c>
      <c r="N27" s="431"/>
      <c r="O27" s="404">
        <f>O26+O22</f>
        <v>112.16600000000001</v>
      </c>
      <c r="P27" s="404">
        <f>P26+P22</f>
        <v>116.93199999999999</v>
      </c>
      <c r="Q27" s="404">
        <f>Q26+Q22</f>
        <v>119.75100000000002</v>
      </c>
      <c r="R27" s="404">
        <f>R26+R22</f>
        <v>152.63899999999998</v>
      </c>
      <c r="S27" s="435">
        <f>S26+S22</f>
        <v>501.48800000000011</v>
      </c>
      <c r="T27" s="431"/>
      <c r="U27" s="404">
        <f>U26+U22</f>
        <v>118.01499999999999</v>
      </c>
      <c r="V27" s="404">
        <f>V26+V22</f>
        <v>131.76</v>
      </c>
      <c r="W27" s="404">
        <f>W26+W22</f>
        <v>132.69899999999998</v>
      </c>
      <c r="X27" s="404">
        <f>X26+X22</f>
        <v>176.274</v>
      </c>
      <c r="Y27" s="435">
        <f>Y26+Y22</f>
        <v>558.74800000000005</v>
      </c>
      <c r="Z27" s="431"/>
      <c r="AA27" s="404">
        <f>AA26+AA22</f>
        <v>141.57100000000003</v>
      </c>
      <c r="AB27" s="404">
        <f>AB26+AB22</f>
        <v>147.10400000000004</v>
      </c>
      <c r="AC27" s="404">
        <f>AC26+AC22</f>
        <v>156.11500000000001</v>
      </c>
      <c r="AD27" s="404">
        <f>AD26+AD22</f>
        <v>190.01331999999996</v>
      </c>
      <c r="AE27" s="435">
        <f>AE26+AE22</f>
        <v>634.8033200000001</v>
      </c>
      <c r="AF27" s="431"/>
      <c r="AG27" s="404">
        <f>AG26+AG22</f>
        <v>135.04900000000004</v>
      </c>
      <c r="AH27" s="404">
        <f>AH26+AH22</f>
        <v>153.374</v>
      </c>
      <c r="AI27" s="404">
        <f>AI26+AI22</f>
        <v>158.05000000000001</v>
      </c>
      <c r="AJ27" s="404">
        <f>AJ26+AJ22</f>
        <v>193.11499999999992</v>
      </c>
      <c r="AK27" s="435">
        <f>AK26+AK22</f>
        <v>639.58800000000008</v>
      </c>
      <c r="AL27" s="431"/>
      <c r="AM27" s="404">
        <f>AM26+AM22</f>
        <v>138.56400000000005</v>
      </c>
      <c r="AN27" s="404">
        <f>AN26+AN22</f>
        <v>145.28300000000002</v>
      </c>
      <c r="AO27" s="404">
        <f>AO26+AO22</f>
        <v>153.68400000000003</v>
      </c>
      <c r="AP27" s="404">
        <f>AP26+AP22</f>
        <v>210.67799999999994</v>
      </c>
      <c r="AQ27" s="435">
        <f>AQ26+AQ22</f>
        <v>648.20900000000006</v>
      </c>
      <c r="AR27" s="431"/>
      <c r="AS27" s="404">
        <f>AS26+AS22</f>
        <v>128.19699999999997</v>
      </c>
      <c r="AT27" s="404">
        <f>AT26+AT22</f>
        <v>160.18799999999999</v>
      </c>
      <c r="AU27" s="404">
        <f>AU26+AU22</f>
        <v>179.16200000000003</v>
      </c>
      <c r="AV27" s="404">
        <f>AV26+AV22</f>
        <v>221.37699999999998</v>
      </c>
      <c r="AW27" s="435">
        <f>AW26+AW22</f>
        <v>688.92399999999998</v>
      </c>
      <c r="AX27" s="431"/>
      <c r="AY27" s="404">
        <f>AY26+AY22</f>
        <v>154.73200000000003</v>
      </c>
      <c r="AZ27" s="404">
        <f>AZ26+AZ22</f>
        <v>165.578</v>
      </c>
      <c r="BA27" s="404">
        <f>BA26+BA22</f>
        <v>166.51377999999994</v>
      </c>
      <c r="BB27" s="404">
        <f>BB26+BB22</f>
        <v>221.84246000000002</v>
      </c>
      <c r="BC27" s="435">
        <f>BC26+BC22</f>
        <v>708.6662399999999</v>
      </c>
      <c r="BD27" s="431"/>
      <c r="BE27" s="404">
        <f>BE26+BE22</f>
        <v>153.87287999999995</v>
      </c>
      <c r="BF27" s="404">
        <f>BF26+BF22</f>
        <v>185.45336999999992</v>
      </c>
      <c r="BG27" s="404">
        <f>BG26+BG22</f>
        <v>184.05745000000005</v>
      </c>
      <c r="BH27" s="404">
        <f>BH26+BH22</f>
        <v>243.48660999999996</v>
      </c>
      <c r="BI27" s="435">
        <f>BI26+BI22</f>
        <v>766.87030999999979</v>
      </c>
      <c r="BJ27" s="431"/>
      <c r="BK27" s="404">
        <f>BK26+BK22</f>
        <v>165.49240000000003</v>
      </c>
      <c r="BL27" s="404">
        <f>BL26+BL22</f>
        <v>204.68719999999999</v>
      </c>
      <c r="BM27" s="404">
        <f>BM26+BM22</f>
        <v>201.07454999999993</v>
      </c>
      <c r="BN27" s="404">
        <f>BN26+BN22</f>
        <v>272.54329999999987</v>
      </c>
      <c r="BO27" s="435">
        <f>BO26+BO22</f>
        <v>843.79745000000014</v>
      </c>
      <c r="BP27" s="431"/>
      <c r="BQ27" s="404">
        <f>BQ26+BQ22</f>
        <v>179.27711574108358</v>
      </c>
      <c r="BR27" s="404">
        <f>BR26+BR22</f>
        <v>215.77584808535772</v>
      </c>
      <c r="BS27" s="404">
        <f>BS26+BS22</f>
        <v>211.84950454275963</v>
      </c>
      <c r="BT27" s="404">
        <f>BT26+BT22</f>
        <v>287.09638605456331</v>
      </c>
      <c r="BU27" s="435">
        <f>BU26+BU22</f>
        <v>893.99885442376444</v>
      </c>
      <c r="BV27" s="431"/>
      <c r="BW27" s="404">
        <f>BW26+BW22</f>
        <v>191.55424805084863</v>
      </c>
      <c r="BX27" s="404">
        <f>BX26+BX22</f>
        <v>229.37561331159037</v>
      </c>
      <c r="BY27" s="404">
        <f>BY26+BY22</f>
        <v>224.84047332084651</v>
      </c>
      <c r="BZ27" s="404">
        <f>BZ26+BZ22</f>
        <v>303.052255760241</v>
      </c>
      <c r="CA27" s="435">
        <f>CA26+CA22</f>
        <v>948.82259044352656</v>
      </c>
      <c r="CB27" s="431"/>
      <c r="CC27" s="404">
        <f>CC26+CC22</f>
        <v>203.5572759256288</v>
      </c>
      <c r="CD27" s="404">
        <f>CD26+CD22</f>
        <v>242.15591810879721</v>
      </c>
      <c r="CE27" s="404">
        <f>CE26+CE22</f>
        <v>237.09556999137891</v>
      </c>
      <c r="CF27" s="404">
        <f>CF26+CF22</f>
        <v>317.51959271648474</v>
      </c>
      <c r="CG27" s="435">
        <f>CG26+CG22</f>
        <v>1000.3283567422899</v>
      </c>
      <c r="CH27" s="431"/>
      <c r="CI27" s="404">
        <f>CI26+CI22</f>
        <v>215.76001201522826</v>
      </c>
      <c r="CJ27" s="404">
        <f>CJ26+CJ22</f>
        <v>254.95168618839904</v>
      </c>
      <c r="CK27" s="404">
        <f>CK26+CK22</f>
        <v>249.17663784591505</v>
      </c>
      <c r="CL27" s="404">
        <f>CL26+CL22</f>
        <v>331.71224465192472</v>
      </c>
      <c r="CM27" s="435">
        <f>CM26+CM22</f>
        <v>1051.6005807014672</v>
      </c>
      <c r="CN27"/>
      <c r="CO27"/>
      <c r="CP27"/>
      <c r="CQ27"/>
      <c r="CR27"/>
      <c r="CS27"/>
      <c r="CT27"/>
      <c r="CU27"/>
    </row>
    <row r="28" spans="1:103" s="24" customFormat="1" collapsed="1">
      <c r="A28" s="1268" t="s">
        <v>200</v>
      </c>
      <c r="B28" s="416"/>
      <c r="C28" s="438">
        <f>-13.188+6.353</f>
        <v>-6.8350000000000009</v>
      </c>
      <c r="D28" s="438">
        <f>-13.335+6.939</f>
        <v>-6.3960000000000008</v>
      </c>
      <c r="E28" s="438">
        <f>-14.783+8.061</f>
        <v>-6.7219999999999995</v>
      </c>
      <c r="F28" s="438">
        <v>-5.734</v>
      </c>
      <c r="G28" s="418">
        <f>SUM(C28:F28)</f>
        <v>-25.687000000000005</v>
      </c>
      <c r="H28" s="419"/>
      <c r="I28" s="438">
        <f>-11.157+6.913</f>
        <v>-4.2439999999999998</v>
      </c>
      <c r="J28" s="438">
        <f>-4.855</f>
        <v>-4.8550000000000004</v>
      </c>
      <c r="K28" s="438">
        <v>-4.5419999999999998</v>
      </c>
      <c r="L28" s="438">
        <v>-3.9209999999999998</v>
      </c>
      <c r="M28" s="418">
        <f>SUM(I28:L28)</f>
        <v>-17.562000000000001</v>
      </c>
      <c r="N28" s="419"/>
      <c r="O28" s="438">
        <v>-2.222</v>
      </c>
      <c r="P28" s="438">
        <v>-2.0539999999999998</v>
      </c>
      <c r="Q28" s="438">
        <v>-2.0790000000000002</v>
      </c>
      <c r="R28" s="438">
        <v>-1.595</v>
      </c>
      <c r="S28" s="418">
        <f>SUM(O28:R28)</f>
        <v>-7.95</v>
      </c>
      <c r="T28" s="419"/>
      <c r="U28" s="438">
        <v>-2.2850000000000001</v>
      </c>
      <c r="V28" s="438">
        <v>-3.173</v>
      </c>
      <c r="W28" s="438">
        <f>-3.294</f>
        <v>-3.294</v>
      </c>
      <c r="X28" s="438">
        <v>-3.3170000000000002</v>
      </c>
      <c r="Y28" s="418">
        <f>SUM(U28:X28)</f>
        <v>-12.069000000000001</v>
      </c>
      <c r="Z28" s="419"/>
      <c r="AA28" s="438">
        <f>-4.083+0.713</f>
        <v>-3.37</v>
      </c>
      <c r="AB28" s="438">
        <f>-5.052+0.813</f>
        <v>-4.2389999999999999</v>
      </c>
      <c r="AC28" s="438">
        <f>-6.159+0.613</f>
        <v>-5.5459999999999994</v>
      </c>
      <c r="AD28" s="438">
        <v>-6.1929999999999996</v>
      </c>
      <c r="AE28" s="418">
        <f>SUM(AA28:AD28)</f>
        <v>-19.347999999999999</v>
      </c>
      <c r="AF28" s="419"/>
      <c r="AG28" s="438">
        <v>-5.7220000000000004</v>
      </c>
      <c r="AH28" s="438">
        <v>-5.8470000000000004</v>
      </c>
      <c r="AI28" s="438">
        <v>-5.923</v>
      </c>
      <c r="AJ28" s="438">
        <v>-6.3730000000000002</v>
      </c>
      <c r="AK28" s="418">
        <f>SUM(AG28:AJ28)</f>
        <v>-23.865000000000002</v>
      </c>
      <c r="AL28" s="419"/>
      <c r="AM28" s="438">
        <v>-5.9980000000000002</v>
      </c>
      <c r="AN28" s="438">
        <f>-6.401-1.575</f>
        <v>-7.976</v>
      </c>
      <c r="AO28" s="438">
        <v>-6.4119999999999999</v>
      </c>
      <c r="AP28" s="438">
        <v>-6.8520000000000003</v>
      </c>
      <c r="AQ28" s="418">
        <f>SUM(AM28:AP28)</f>
        <v>-27.238</v>
      </c>
      <c r="AR28" s="419"/>
      <c r="AS28" s="438">
        <v>-6.0309999999999997</v>
      </c>
      <c r="AT28" s="438">
        <f>-6.271</f>
        <v>-6.2709999999999999</v>
      </c>
      <c r="AU28" s="438">
        <v>-7.3</v>
      </c>
      <c r="AV28" s="438">
        <v>-7.5659999999999998</v>
      </c>
      <c r="AW28" s="418">
        <f>SUM(AS28:AV28)</f>
        <v>-27.167999999999999</v>
      </c>
      <c r="AX28" s="419"/>
      <c r="AY28" s="438">
        <v>-6.6349999999999998</v>
      </c>
      <c r="AZ28" s="438">
        <v>-6.5460000000000003</v>
      </c>
      <c r="BA28" s="438">
        <v>-6.2809999999999997</v>
      </c>
      <c r="BB28" s="438">
        <v>-6.07</v>
      </c>
      <c r="BC28" s="418">
        <f>SUM(AY28:BB28)</f>
        <v>-25.532</v>
      </c>
      <c r="BD28" s="419"/>
      <c r="BE28" s="438">
        <v>-6.032</v>
      </c>
      <c r="BF28" s="438">
        <v>-6.1559999999999997</v>
      </c>
      <c r="BG28" s="438">
        <v>-6.2809999999999997</v>
      </c>
      <c r="BH28" s="438">
        <v>-5.7560000000000002</v>
      </c>
      <c r="BI28" s="418">
        <f>SUM(BE28:BH28)</f>
        <v>-24.224999999999998</v>
      </c>
      <c r="BJ28" s="419"/>
      <c r="BK28" s="438">
        <v>-5.3819999999999997</v>
      </c>
      <c r="BL28" s="438">
        <v>-5.7130000000000001</v>
      </c>
      <c r="BM28" s="438">
        <v>-5.234</v>
      </c>
      <c r="BN28" s="438">
        <v>-4.4320000000000004</v>
      </c>
      <c r="BO28" s="418">
        <f>SUM(BK28:BN28)</f>
        <v>-20.761000000000003</v>
      </c>
      <c r="BP28" s="419"/>
      <c r="BQ28" s="1772">
        <f>Debt!BQ54</f>
        <v>-1.4110137999999992</v>
      </c>
      <c r="BR28" s="1772">
        <f>Debt!BR54</f>
        <v>-2.1524644392686056</v>
      </c>
      <c r="BS28" s="1772">
        <f>Debt!BS54</f>
        <v>-2.0916513509953223</v>
      </c>
      <c r="BT28" s="1772">
        <f>Debt!BT54</f>
        <v>-2.0071607848386783</v>
      </c>
      <c r="BU28" s="418">
        <f>SUM(BQ28:BT28)</f>
        <v>-7.6622903751026055</v>
      </c>
      <c r="BV28" s="419"/>
      <c r="BW28" s="1772">
        <f>Debt!BW54</f>
        <v>-0.99032079760969793</v>
      </c>
      <c r="BX28" s="1772">
        <f>Debt!BX54</f>
        <v>-1.8223264304278359</v>
      </c>
      <c r="BY28" s="1772">
        <f>Debt!BY54</f>
        <v>-1.7748357581685124</v>
      </c>
      <c r="BZ28" s="1772">
        <f>Debt!BZ54</f>
        <v>-1.7079251441249781</v>
      </c>
      <c r="CA28" s="418">
        <f>SUM(BW28:BZ28)</f>
        <v>-6.2954081303310243</v>
      </c>
      <c r="CB28" s="419"/>
      <c r="CC28" s="1772">
        <f>Debt!CC54</f>
        <v>-1.4595416991043955</v>
      </c>
      <c r="CD28" s="1772">
        <f>Debt!CD54</f>
        <v>72.39357841875281</v>
      </c>
      <c r="CE28" s="1772">
        <f>Debt!CE54</f>
        <v>74.878718529873169</v>
      </c>
      <c r="CF28" s="1772">
        <f>Debt!CF54</f>
        <v>77.444590090381013</v>
      </c>
      <c r="CG28" s="418">
        <f>SUM(CC28:CF28)</f>
        <v>223.2573453399026</v>
      </c>
      <c r="CH28" s="419"/>
      <c r="CI28" s="1772">
        <f>Debt!CI54</f>
        <v>81.53376523307665</v>
      </c>
      <c r="CJ28" s="1772">
        <f>Debt!CJ54</f>
        <v>-0.71559079843671114</v>
      </c>
      <c r="CK28" s="1772">
        <f>Debt!CK54</f>
        <v>-0.51410327216883012</v>
      </c>
      <c r="CL28" s="1772">
        <f>Debt!CL54</f>
        <v>-0.3295523073647324</v>
      </c>
      <c r="CM28" s="418">
        <f>SUM(CI28:CL28)</f>
        <v>79.974518855106382</v>
      </c>
      <c r="CN28"/>
      <c r="CO28"/>
      <c r="CP28"/>
      <c r="CQ28"/>
      <c r="CR28"/>
      <c r="CS28"/>
      <c r="CT28"/>
      <c r="CU28"/>
    </row>
    <row r="29" spans="1:103" s="24" customFormat="1">
      <c r="A29" s="1269" t="s">
        <v>201</v>
      </c>
      <c r="B29" s="1973"/>
      <c r="C29" s="536">
        <f>+C22+C28</f>
        <v>68.080999999999989</v>
      </c>
      <c r="D29" s="536">
        <f>+D22+D28</f>
        <v>72.677000000000007</v>
      </c>
      <c r="E29" s="536">
        <f>+E22+E28</f>
        <v>76.852999999999994</v>
      </c>
      <c r="F29" s="536">
        <f>+F22+F28</f>
        <v>126.44299999999994</v>
      </c>
      <c r="G29" s="537">
        <f>+G22+G28</f>
        <v>344.05399999999986</v>
      </c>
      <c r="H29" s="1974"/>
      <c r="I29" s="536">
        <f>+I22+I28</f>
        <v>86.680000000000049</v>
      </c>
      <c r="J29" s="536">
        <f>+J22+J28</f>
        <v>92.935000000000016</v>
      </c>
      <c r="K29" s="536">
        <f>+K22+K28</f>
        <v>97.038999999999959</v>
      </c>
      <c r="L29" s="536">
        <f>+L22+L28</f>
        <v>122.05499999999992</v>
      </c>
      <c r="M29" s="537">
        <f>+M22+M28</f>
        <v>398.70900000000006</v>
      </c>
      <c r="N29" s="1974"/>
      <c r="O29" s="536">
        <f>+O22+O28</f>
        <v>88.185000000000016</v>
      </c>
      <c r="P29" s="536">
        <f>+P22+P28</f>
        <v>93.22399999999999</v>
      </c>
      <c r="Q29" s="536">
        <f>+Q22+Q28</f>
        <v>96.756000000000029</v>
      </c>
      <c r="R29" s="1975">
        <f>+R22+R28</f>
        <v>129.84599999999998</v>
      </c>
      <c r="S29" s="537">
        <f>+S22+S28</f>
        <v>408.01100000000014</v>
      </c>
      <c r="T29" s="1974"/>
      <c r="U29" s="536">
        <f>+U22+U28</f>
        <v>94.713999999999999</v>
      </c>
      <c r="V29" s="536">
        <f>+V22+V28</f>
        <v>107.003</v>
      </c>
      <c r="W29" s="536">
        <f>+W22+W28</f>
        <v>107.929</v>
      </c>
      <c r="X29" s="1975">
        <f>+X22+X28</f>
        <v>149.62299999999999</v>
      </c>
      <c r="Y29" s="537">
        <f>+Y22+Y28</f>
        <v>459.26900000000006</v>
      </c>
      <c r="Z29" s="1974"/>
      <c r="AA29" s="536">
        <f>+AA22+AA28</f>
        <v>115.02600000000001</v>
      </c>
      <c r="AB29" s="536">
        <f>+AB22+AB28</f>
        <v>118.83200000000005</v>
      </c>
      <c r="AC29" s="536">
        <f>+AC22+AC28</f>
        <v>127.08700000000002</v>
      </c>
      <c r="AD29" s="536">
        <f>+AD22+AD28</f>
        <v>163.03999999999996</v>
      </c>
      <c r="AE29" s="537">
        <f>+AE22+AE28</f>
        <v>523.98500000000013</v>
      </c>
      <c r="AF29" s="1974"/>
      <c r="AG29" s="536">
        <f>+AG22+AG28</f>
        <v>107.49100000000003</v>
      </c>
      <c r="AH29" s="536">
        <f>+AH22+AH28</f>
        <v>124.379</v>
      </c>
      <c r="AI29" s="536">
        <f>+AI22+AI28</f>
        <v>124.19900000000001</v>
      </c>
      <c r="AJ29" s="1975">
        <f>+AJ22+AJ28</f>
        <v>161.63999999999993</v>
      </c>
      <c r="AK29" s="537">
        <f>+AK22+AK28</f>
        <v>517.70900000000006</v>
      </c>
      <c r="AL29" s="1974"/>
      <c r="AM29" s="536">
        <f>+AM22+AM28</f>
        <v>106.87300000000003</v>
      </c>
      <c r="AN29" s="536">
        <f>+AN22+AN28</f>
        <v>110.00900000000001</v>
      </c>
      <c r="AO29" s="536">
        <f>+AO22+AO28</f>
        <v>118.02300000000002</v>
      </c>
      <c r="AP29" s="1975">
        <f>+AP22+AP28</f>
        <v>174.66299999999993</v>
      </c>
      <c r="AQ29" s="537">
        <f>+AQ22+AQ28</f>
        <v>509.56800000000004</v>
      </c>
      <c r="AR29" s="1974"/>
      <c r="AS29" s="536">
        <f>+AS22+AS28</f>
        <v>93.694999999999965</v>
      </c>
      <c r="AT29" s="536">
        <f>+AT22+AT28</f>
        <v>120.81799999999997</v>
      </c>
      <c r="AU29" s="536">
        <f>+AU22+AU28</f>
        <v>134.32900000000004</v>
      </c>
      <c r="AV29" s="1975">
        <f>+AV22+AV28</f>
        <v>185.68499999999997</v>
      </c>
      <c r="AW29" s="537">
        <f>+AW22+AW28</f>
        <v>534.52699999999993</v>
      </c>
      <c r="AX29" s="1974"/>
      <c r="AY29" s="536">
        <f>+AY22+AY28</f>
        <v>117.09300000000003</v>
      </c>
      <c r="AZ29" s="536">
        <f>+AZ22+AZ28</f>
        <v>128.28800000000001</v>
      </c>
      <c r="BA29" s="536">
        <f>+BA22+BA28</f>
        <v>133.86699999999993</v>
      </c>
      <c r="BB29" s="536">
        <f>+BB22+BB28</f>
        <v>188.04300000000001</v>
      </c>
      <c r="BC29" s="537">
        <f>+BC22+BC28</f>
        <v>567.29099999999983</v>
      </c>
      <c r="BD29" s="1974"/>
      <c r="BE29" s="536">
        <f>+BE22+BE28</f>
        <v>119.96699999999997</v>
      </c>
      <c r="BF29" s="536">
        <f>+BF22+BF28</f>
        <v>149.84599999999992</v>
      </c>
      <c r="BG29" s="536">
        <f>+BG22+BG28</f>
        <v>148.89000000000004</v>
      </c>
      <c r="BH29" s="1975">
        <f>+BH22+BH28</f>
        <v>208.76499999999996</v>
      </c>
      <c r="BI29" s="537">
        <f>+BI22+BI28</f>
        <v>627.46799999999973</v>
      </c>
      <c r="BJ29" s="1974"/>
      <c r="BK29" s="536">
        <f>+BK22+BK28</f>
        <v>129.56400000000002</v>
      </c>
      <c r="BL29" s="536">
        <f>+BL22+BL28</f>
        <v>161.446</v>
      </c>
      <c r="BM29" s="536">
        <f>+BM22+BM28</f>
        <v>161.86699999999993</v>
      </c>
      <c r="BN29" s="1975">
        <f>+BN22+BN28</f>
        <v>231.30399999999989</v>
      </c>
      <c r="BO29" s="537">
        <f>+BO22+BO28</f>
        <v>684.18100000000015</v>
      </c>
      <c r="BP29" s="1974"/>
      <c r="BQ29" s="536">
        <f>+BQ22+BQ28</f>
        <v>146.74645216153573</v>
      </c>
      <c r="BR29" s="536">
        <f>+BR22+BR28</f>
        <v>181.5682754564738</v>
      </c>
      <c r="BS29" s="536">
        <f>+BS22+BS28</f>
        <v>177.42635960942383</v>
      </c>
      <c r="BT29" s="1975">
        <f>+BT22+BT28</f>
        <v>251.27792432947533</v>
      </c>
      <c r="BU29" s="537">
        <f>+BU22+BU28</f>
        <v>757.01901155690882</v>
      </c>
      <c r="BV29" s="1974"/>
      <c r="BW29" s="536">
        <f>+BW22+BW28</f>
        <v>158.24478053072579</v>
      </c>
      <c r="BX29" s="536">
        <f>+BX22+BX28</f>
        <v>194.15790998344752</v>
      </c>
      <c r="BY29" s="536">
        <f>+BY22+BY28</f>
        <v>189.26080214769007</v>
      </c>
      <c r="BZ29" s="1975">
        <f>+BZ22+BZ28</f>
        <v>265.87357676413359</v>
      </c>
      <c r="CA29" s="537">
        <f>+CA22+CA28</f>
        <v>807.53706942599706</v>
      </c>
      <c r="CB29" s="1974"/>
      <c r="CC29" s="536">
        <f>+CC22+CC28</f>
        <v>168.33457999516042</v>
      </c>
      <c r="CD29" s="536">
        <f>+CD22+CD28</f>
        <v>279.78495889296914</v>
      </c>
      <c r="CE29" s="536">
        <f>+CE22+CE28</f>
        <v>276.86050552931567</v>
      </c>
      <c r="CF29" s="1975">
        <f>+CF22+CF28</f>
        <v>358.25621767019993</v>
      </c>
      <c r="CG29" s="537">
        <f>+CG22+CG28</f>
        <v>1083.2362620876454</v>
      </c>
      <c r="CH29" s="1974"/>
      <c r="CI29" s="536">
        <f>+CI22+CI28</f>
        <v>262.57837263058968</v>
      </c>
      <c r="CJ29" s="536">
        <f>+CJ22+CJ28</f>
        <v>218.75014200196327</v>
      </c>
      <c r="CK29" s="536">
        <f>+CK22+CK28</f>
        <v>213.03848056168766</v>
      </c>
      <c r="CL29" s="1975">
        <f>+CL22+CL28</f>
        <v>294.41507559130014</v>
      </c>
      <c r="CM29" s="537">
        <f>+CM22+CM28</f>
        <v>988.7820707855409</v>
      </c>
      <c r="CN29"/>
      <c r="CO29"/>
      <c r="CP29"/>
      <c r="CQ29"/>
      <c r="CR29"/>
      <c r="CS29"/>
      <c r="CT29"/>
      <c r="CU29"/>
    </row>
    <row r="30" spans="1:103" s="24" customFormat="1">
      <c r="A30" s="398" t="s">
        <v>202</v>
      </c>
      <c r="B30" s="397"/>
      <c r="C30" s="410">
        <f>10.019+C73</f>
        <v>10.506</v>
      </c>
      <c r="D30" s="410">
        <f>10.635+D73</f>
        <v>11.12</v>
      </c>
      <c r="E30" s="410">
        <f>9.227+E73</f>
        <v>14.263</v>
      </c>
      <c r="F30" s="410">
        <f>25.239+F73</f>
        <v>26.206</v>
      </c>
      <c r="G30" s="394">
        <f>SUM(C30:F30)</f>
        <v>62.094999999999999</v>
      </c>
      <c r="H30" s="415"/>
      <c r="I30" s="410">
        <f>15.647+I73</f>
        <v>16.315999999999999</v>
      </c>
      <c r="J30" s="410">
        <f>-0.979+16.3+J73</f>
        <v>15.998000000000001</v>
      </c>
      <c r="K30" s="410">
        <f>21.987-5.083+K73</f>
        <v>18.052999999999997</v>
      </c>
      <c r="L30" s="410">
        <f>13.058+L73</f>
        <v>16.466000000000001</v>
      </c>
      <c r="M30" s="394">
        <f>SUM(I30:L30)</f>
        <v>66.832999999999998</v>
      </c>
      <c r="N30" s="415"/>
      <c r="O30" s="410">
        <f>9.922+O73+4.6</f>
        <v>15.898</v>
      </c>
      <c r="P30" s="410">
        <f>14.734+P73</f>
        <v>17.585999999999999</v>
      </c>
      <c r="Q30" s="410">
        <f>18.097+Q73</f>
        <v>18.86</v>
      </c>
      <c r="R30" s="410">
        <f>20.586+R73</f>
        <v>21.788</v>
      </c>
      <c r="S30" s="394">
        <f>SUM(O30:R30)</f>
        <v>74.131999999999991</v>
      </c>
      <c r="T30" s="415"/>
      <c r="U30" s="410">
        <f>14.554+U73</f>
        <v>17.637</v>
      </c>
      <c r="V30" s="410">
        <f>17.489+V73</f>
        <v>19.510999999999999</v>
      </c>
      <c r="W30" s="410">
        <f>5.802+W73</f>
        <v>16.500999999999998</v>
      </c>
      <c r="X30" s="410">
        <f>18.255+X73</f>
        <v>20.659999999999997</v>
      </c>
      <c r="Y30" s="394">
        <f>SUM(U30:X30)</f>
        <v>74.308999999999997</v>
      </c>
      <c r="Z30" s="415"/>
      <c r="AA30" s="410">
        <f>18.036+AA73</f>
        <v>18.699000000000002</v>
      </c>
      <c r="AB30" s="410">
        <f>16.253+AB73</f>
        <v>17.016999999999999</v>
      </c>
      <c r="AC30" s="410">
        <f>20.461+AC73</f>
        <v>22.280999999999999</v>
      </c>
      <c r="AD30" s="410">
        <f>21.534</f>
        <v>21.533999999999999</v>
      </c>
      <c r="AE30" s="394">
        <f>SUM(AA30:AD30)</f>
        <v>79.531000000000006</v>
      </c>
      <c r="AF30" s="415"/>
      <c r="AG30" s="410">
        <f>15.829+0.839+0.256</f>
        <v>16.923999999999999</v>
      </c>
      <c r="AH30" s="410">
        <f>16.552+0.814+1.402+0.182+1.125</f>
        <v>20.074999999999999</v>
      </c>
      <c r="AI30" s="410">
        <f>16.713+2.318+0.639</f>
        <v>19.670000000000002</v>
      </c>
      <c r="AJ30" s="410">
        <f>-22.912+0.63+0.567+1.663+36.25+6.035</f>
        <v>22.233000000000001</v>
      </c>
      <c r="AK30" s="394">
        <f>SUM(AG30:AJ30)</f>
        <v>78.902000000000001</v>
      </c>
      <c r="AL30" s="415"/>
      <c r="AM30" s="410">
        <f>-17.652+0.706+0.362+30.04</f>
        <v>13.455999999999996</v>
      </c>
      <c r="AN30" s="410">
        <f>15.402+0.686+1.035-0.659</f>
        <v>16.464000000000002</v>
      </c>
      <c r="AO30" s="410">
        <f>14.609+0.719+0.896-0.999</f>
        <v>15.225</v>
      </c>
      <c r="AP30" s="410">
        <f>27.743+0.738+0.893-0.915</f>
        <v>28.459</v>
      </c>
      <c r="AQ30" s="394">
        <f>SUM(AM30:AP30)</f>
        <v>73.603999999999999</v>
      </c>
      <c r="AR30" s="415"/>
      <c r="AS30" s="410">
        <f>12.428+0.743+2.76-0.857</f>
        <v>15.074000000000002</v>
      </c>
      <c r="AT30" s="410">
        <f>15.595+0.759+1.444-0.85</f>
        <v>16.947999999999997</v>
      </c>
      <c r="AU30" s="410">
        <f>17.916+0.804-0.15-1.033</f>
        <v>17.536999999999999</v>
      </c>
      <c r="AV30" s="410">
        <f>13.181+0.718+0.925+3.323+0.357</f>
        <v>18.503999999999998</v>
      </c>
      <c r="AW30" s="394">
        <f>SUM(AS30:AV30)</f>
        <v>68.062999999999988</v>
      </c>
      <c r="AX30" s="415"/>
      <c r="AY30" s="410">
        <f>17.286+0.704+0.363-2.406</f>
        <v>15.947000000000001</v>
      </c>
      <c r="AZ30" s="410">
        <v>18.675000000000001</v>
      </c>
      <c r="BA30" s="410">
        <v>16.623000000000001</v>
      </c>
      <c r="BB30" s="410">
        <v>26.824000000000002</v>
      </c>
      <c r="BC30" s="394">
        <f>SUM(AY30:BB30)</f>
        <v>78.069000000000003</v>
      </c>
      <c r="BD30" s="415"/>
      <c r="BE30" s="410">
        <f>12.578+0.75+2.657+1.142-0.737</f>
        <v>16.39</v>
      </c>
      <c r="BF30" s="410">
        <v>20.844999999999999</v>
      </c>
      <c r="BG30" s="410">
        <v>21.408999999999999</v>
      </c>
      <c r="BH30" s="410">
        <v>29.756</v>
      </c>
      <c r="BI30" s="394">
        <f>SUM(BE30:BH30)</f>
        <v>88.4</v>
      </c>
      <c r="BJ30" s="415"/>
      <c r="BK30" s="410">
        <f>7.93+0.473+3.059+0.962-0.475</f>
        <v>11.949</v>
      </c>
      <c r="BL30" s="410">
        <v>19.219000000000001</v>
      </c>
      <c r="BM30" s="410">
        <v>19.672000000000001</v>
      </c>
      <c r="BN30" s="1659">
        <f>29.666</f>
        <v>29.666</v>
      </c>
      <c r="BO30" s="394">
        <f>SUM(BK30:BN30)</f>
        <v>80.506</v>
      </c>
      <c r="BP30" s="415"/>
      <c r="BQ30" s="89">
        <f>+BQ29*BQ54</f>
        <v>21.57172846774575</v>
      </c>
      <c r="BR30" s="89">
        <f>+BR29*BR54</f>
        <v>25.419558563906335</v>
      </c>
      <c r="BS30" s="89">
        <f>+BS29*BS54</f>
        <v>24.839690345319337</v>
      </c>
      <c r="BT30" s="89">
        <f>+BT29*BT54</f>
        <v>35.17890940612655</v>
      </c>
      <c r="BU30" s="394">
        <f>SUM(BQ30:BT30)</f>
        <v>107.00988678309797</v>
      </c>
      <c r="BV30" s="415"/>
      <c r="BW30" s="89">
        <f>+BW29*BW54</f>
        <v>22.154269274301612</v>
      </c>
      <c r="BX30" s="89">
        <f>+BX29*BX54</f>
        <v>27.182107397682657</v>
      </c>
      <c r="BY30" s="89">
        <f>+BY29*BY54</f>
        <v>26.496512300676613</v>
      </c>
      <c r="BZ30" s="89">
        <f>+BZ29*BZ54</f>
        <v>37.222300746978704</v>
      </c>
      <c r="CA30" s="394">
        <f>SUM(BW30:BZ30)</f>
        <v>113.05518971963959</v>
      </c>
      <c r="CB30" s="415"/>
      <c r="CC30" s="89">
        <f>+CC29*CC54</f>
        <v>23.566841199322461</v>
      </c>
      <c r="CD30" s="89">
        <f>+CD29*CD54</f>
        <v>39.169894245015684</v>
      </c>
      <c r="CE30" s="89">
        <f>+CE29*CE54</f>
        <v>38.760470774104199</v>
      </c>
      <c r="CF30" s="89">
        <f>+CF29*CF54</f>
        <v>50.155870473827996</v>
      </c>
      <c r="CG30" s="394">
        <f>SUM(CC30:CF30)</f>
        <v>151.65307669227033</v>
      </c>
      <c r="CH30" s="415"/>
      <c r="CI30" s="89">
        <f>+CI29*CI54</f>
        <v>36.760972168282557</v>
      </c>
      <c r="CJ30" s="89">
        <f>+CJ29*CJ54</f>
        <v>30.625019880274859</v>
      </c>
      <c r="CK30" s="89">
        <f>+CK29*CK54</f>
        <v>29.825387278636274</v>
      </c>
      <c r="CL30" s="89">
        <f>+CL29*CL54</f>
        <v>41.218110582782025</v>
      </c>
      <c r="CM30" s="394">
        <f>SUM(CI30:CL30)</f>
        <v>138.4294899099757</v>
      </c>
      <c r="CN30"/>
      <c r="CO30"/>
      <c r="CP30"/>
      <c r="CQ30"/>
      <c r="CR30"/>
      <c r="CS30"/>
      <c r="CT30"/>
      <c r="CU30"/>
    </row>
    <row r="31" spans="1:103" s="24" customFormat="1">
      <c r="A31" s="1976" t="s">
        <v>204</v>
      </c>
      <c r="B31" s="895"/>
      <c r="C31" s="1977">
        <f>+C29-C30</f>
        <v>57.574999999999989</v>
      </c>
      <c r="D31" s="1977">
        <f>+D29-D30</f>
        <v>61.557000000000009</v>
      </c>
      <c r="E31" s="1977">
        <f>+E29-E30</f>
        <v>62.589999999999996</v>
      </c>
      <c r="F31" s="1977">
        <f>+F29-F30</f>
        <v>100.23699999999994</v>
      </c>
      <c r="G31" s="1978">
        <f>+G29-G30</f>
        <v>281.95899999999983</v>
      </c>
      <c r="H31" s="897"/>
      <c r="I31" s="1979">
        <f>+I29-I30</f>
        <v>70.364000000000047</v>
      </c>
      <c r="J31" s="1979">
        <f>+J29-J30</f>
        <v>76.937000000000012</v>
      </c>
      <c r="K31" s="1979">
        <f>+K29-K30</f>
        <v>78.985999999999962</v>
      </c>
      <c r="L31" s="1979">
        <f>+L29-L30</f>
        <v>105.58899999999991</v>
      </c>
      <c r="M31" s="1980">
        <f>SUM(I31:L31)</f>
        <v>331.87599999999992</v>
      </c>
      <c r="N31" s="897"/>
      <c r="O31" s="1979">
        <f>+O29-O30</f>
        <v>72.28700000000002</v>
      </c>
      <c r="P31" s="1979">
        <f>+P29-P30</f>
        <v>75.637999999999991</v>
      </c>
      <c r="Q31" s="1979">
        <f>+Q29-Q30</f>
        <v>77.896000000000029</v>
      </c>
      <c r="R31" s="1979">
        <f>+R29-R30</f>
        <v>108.05799999999998</v>
      </c>
      <c r="S31" s="1980">
        <f>+S29-S30</f>
        <v>333.87900000000013</v>
      </c>
      <c r="T31" s="897"/>
      <c r="U31" s="1979">
        <f>+U29-U30</f>
        <v>77.076999999999998</v>
      </c>
      <c r="V31" s="1979">
        <f>+V29-V30</f>
        <v>87.492000000000004</v>
      </c>
      <c r="W31" s="1979">
        <f>+W29-W30</f>
        <v>91.427999999999997</v>
      </c>
      <c r="X31" s="1979">
        <f>+X29-X30</f>
        <v>128.96299999999999</v>
      </c>
      <c r="Y31" s="1980">
        <f>+Y29-Y30</f>
        <v>384.96000000000004</v>
      </c>
      <c r="Z31" s="897"/>
      <c r="AA31" s="1979">
        <f>+AA29-AA30</f>
        <v>96.327000000000012</v>
      </c>
      <c r="AB31" s="1979">
        <f>+AB29-AB30</f>
        <v>101.81500000000005</v>
      </c>
      <c r="AC31" s="1979">
        <f>+AC29-AC30</f>
        <v>104.80600000000001</v>
      </c>
      <c r="AD31" s="1979">
        <f>+AD29-AD30</f>
        <v>141.50599999999997</v>
      </c>
      <c r="AE31" s="1980">
        <f>+AE29-AE30</f>
        <v>444.45400000000012</v>
      </c>
      <c r="AF31" s="897"/>
      <c r="AG31" s="1979">
        <f>+AG29-AG30</f>
        <v>90.567000000000036</v>
      </c>
      <c r="AH31" s="1979">
        <f>+AH29-AH30</f>
        <v>104.304</v>
      </c>
      <c r="AI31" s="1979">
        <f>+AI29-AI30</f>
        <v>104.52900000000001</v>
      </c>
      <c r="AJ31" s="1979">
        <f>+AJ29-AJ30</f>
        <v>139.40699999999993</v>
      </c>
      <c r="AK31" s="1980">
        <f>+AK29-AK30</f>
        <v>438.80700000000007</v>
      </c>
      <c r="AL31" s="897"/>
      <c r="AM31" s="1979">
        <f>+AM29-AM30</f>
        <v>93.41700000000003</v>
      </c>
      <c r="AN31" s="1979">
        <f>+AN29-AN30</f>
        <v>93.545000000000016</v>
      </c>
      <c r="AO31" s="1979">
        <f>+AO29-AO30</f>
        <v>102.79800000000003</v>
      </c>
      <c r="AP31" s="1979">
        <f>+AP29-AP30</f>
        <v>146.20399999999992</v>
      </c>
      <c r="AQ31" s="1980">
        <f>+AQ29-AQ30</f>
        <v>435.96400000000006</v>
      </c>
      <c r="AR31" s="897"/>
      <c r="AS31" s="1979">
        <f>+AS29-AS30</f>
        <v>78.620999999999967</v>
      </c>
      <c r="AT31" s="1979">
        <f>+AT29-AT30</f>
        <v>103.86999999999998</v>
      </c>
      <c r="AU31" s="1979">
        <f>+AU29-AU30</f>
        <v>116.79200000000003</v>
      </c>
      <c r="AV31" s="1979">
        <f>+AV29-AV30</f>
        <v>167.18099999999998</v>
      </c>
      <c r="AW31" s="1980">
        <f>+AW29-AW30</f>
        <v>466.46399999999994</v>
      </c>
      <c r="AX31" s="897"/>
      <c r="AY31" s="1979">
        <f>+AY29-AY30</f>
        <v>101.14600000000003</v>
      </c>
      <c r="AZ31" s="1979">
        <f>+AZ29-AZ30</f>
        <v>109.61300000000001</v>
      </c>
      <c r="BA31" s="1979">
        <f>+BA29-BA30</f>
        <v>117.24399999999993</v>
      </c>
      <c r="BB31" s="1979">
        <f>+BB29-BB30</f>
        <v>161.21899999999999</v>
      </c>
      <c r="BC31" s="1980">
        <f>+BC29-BC30</f>
        <v>489.22199999999981</v>
      </c>
      <c r="BD31" s="897"/>
      <c r="BE31" s="1979">
        <f>+BE29-BE30</f>
        <v>103.57699999999997</v>
      </c>
      <c r="BF31" s="1979">
        <f>+BF29-BF30</f>
        <v>129.00099999999992</v>
      </c>
      <c r="BG31" s="1979">
        <f>+BG29-BG30</f>
        <v>127.48100000000005</v>
      </c>
      <c r="BH31" s="1979">
        <f>+BH29-BH30</f>
        <v>179.00899999999996</v>
      </c>
      <c r="BI31" s="1980">
        <f>+BI29-BI30</f>
        <v>539.06799999999976</v>
      </c>
      <c r="BJ31" s="897"/>
      <c r="BK31" s="1979">
        <f>+BK29-BK30</f>
        <v>117.61500000000002</v>
      </c>
      <c r="BL31" s="1979">
        <f>+BL29-BL30</f>
        <v>142.227</v>
      </c>
      <c r="BM31" s="1979">
        <f>+BM29-BM30</f>
        <v>142.19499999999994</v>
      </c>
      <c r="BN31" s="1979">
        <f>+BN29-BN30</f>
        <v>201.63799999999989</v>
      </c>
      <c r="BO31" s="1980">
        <f>+BO29-BO30</f>
        <v>603.67500000000018</v>
      </c>
      <c r="BP31" s="897"/>
      <c r="BQ31" s="1979">
        <f>+BQ29-BQ30</f>
        <v>125.17472369378999</v>
      </c>
      <c r="BR31" s="1979">
        <f>+BR29-BR30</f>
        <v>156.14871689256745</v>
      </c>
      <c r="BS31" s="1979">
        <f>+BS29-BS30</f>
        <v>152.5866692641045</v>
      </c>
      <c r="BT31" s="1979">
        <f>+BT29-BT30</f>
        <v>216.09901492334876</v>
      </c>
      <c r="BU31" s="1980">
        <f>+BU29-BU30</f>
        <v>650.00912477381087</v>
      </c>
      <c r="BV31" s="897"/>
      <c r="BW31" s="1979">
        <f>+BW29-BW30</f>
        <v>136.09051125642418</v>
      </c>
      <c r="BX31" s="1979">
        <f>+BX29-BX30</f>
        <v>166.97580258576488</v>
      </c>
      <c r="BY31" s="1979">
        <f>+BY29-BY30</f>
        <v>162.76428984701346</v>
      </c>
      <c r="BZ31" s="1979">
        <f>+BZ29-BZ30</f>
        <v>228.65127601715488</v>
      </c>
      <c r="CA31" s="1980">
        <f>+CA29-CA30</f>
        <v>694.48187970635752</v>
      </c>
      <c r="CB31" s="897"/>
      <c r="CC31" s="1979">
        <f>+CC29-CC30</f>
        <v>144.76773879583797</v>
      </c>
      <c r="CD31" s="1979">
        <f>+CD29-CD30</f>
        <v>240.61506464795346</v>
      </c>
      <c r="CE31" s="1979">
        <f>+CE29-CE30</f>
        <v>238.10003475521148</v>
      </c>
      <c r="CF31" s="1979">
        <f>+CF29-CF30</f>
        <v>308.10034719637196</v>
      </c>
      <c r="CG31" s="1980">
        <f>+CG29-CG30</f>
        <v>931.58318539537504</v>
      </c>
      <c r="CH31" s="897"/>
      <c r="CI31" s="1979">
        <f>+CI29-CI30</f>
        <v>225.81740046230712</v>
      </c>
      <c r="CJ31" s="1979">
        <f>+CJ29-CJ30</f>
        <v>188.12512212168841</v>
      </c>
      <c r="CK31" s="1979">
        <f>+CK29-CK30</f>
        <v>183.21309328305139</v>
      </c>
      <c r="CL31" s="1979">
        <f>+CL29-CL30</f>
        <v>253.19696500851811</v>
      </c>
      <c r="CM31" s="1980">
        <f>+CM29-CM30</f>
        <v>850.3525808755652</v>
      </c>
      <c r="CN31"/>
      <c r="CO31"/>
      <c r="CP31"/>
      <c r="CQ31"/>
      <c r="CR31"/>
      <c r="CS31"/>
      <c r="CT31"/>
      <c r="CU31"/>
      <c r="CY31" s="1696"/>
    </row>
    <row r="32" spans="1:103" s="24" customFormat="1" hidden="1" outlineLevel="1">
      <c r="A32" s="1271" t="s">
        <v>205</v>
      </c>
      <c r="B32" s="440">
        <f>SUM(B18:B20)</f>
        <v>0</v>
      </c>
      <c r="C32" s="1225">
        <f>-C71-C72+C73</f>
        <v>-1.6379999999999999</v>
      </c>
      <c r="D32" s="1225">
        <f>-D71-D72+D73</f>
        <v>-1.6479999999999999</v>
      </c>
      <c r="E32" s="1225">
        <f>-E71-E72+E73</f>
        <v>-9.3070000000000004</v>
      </c>
      <c r="F32" s="1225">
        <f>-F71-F72+F73</f>
        <v>-1.294</v>
      </c>
      <c r="G32" s="441">
        <f>-G71-G72+G73</f>
        <v>-13.887000000000002</v>
      </c>
      <c r="H32" s="442"/>
      <c r="I32" s="1225">
        <f>-I71-I72+I73</f>
        <v>-1.603</v>
      </c>
      <c r="J32" s="1225">
        <f>-J71-J72+J73</f>
        <v>5.9250000000000007</v>
      </c>
      <c r="K32" s="1225">
        <f>-K71-K72+K73</f>
        <v>-7.4830000000000014</v>
      </c>
      <c r="L32" s="1225">
        <f>-L71-L72+L73</f>
        <v>-5.4360000000000008</v>
      </c>
      <c r="M32" s="441">
        <f>-M71-M72+M73</f>
        <v>-8.5969999999999978</v>
      </c>
      <c r="N32" s="442"/>
      <c r="O32" s="1225">
        <f>-O71-O72+O73</f>
        <v>1.0149999999999999</v>
      </c>
      <c r="P32" s="1225">
        <f>-P71-P72+P73</f>
        <v>-5.7309999999999999</v>
      </c>
      <c r="Q32" s="1225">
        <f>-Q71-Q72+Q73</f>
        <v>-1.96</v>
      </c>
      <c r="R32" s="1225">
        <f>-R71-R72+R73</f>
        <v>-3.9350000000000005</v>
      </c>
      <c r="S32" s="441">
        <f>-S71-S72+S73</f>
        <v>-10.610999999999997</v>
      </c>
      <c r="T32" s="442"/>
      <c r="U32" s="1225">
        <f>-U71-U72+U73</f>
        <v>-1.5589999999999997</v>
      </c>
      <c r="V32" s="1225">
        <f>-V71-V72+V73</f>
        <v>-2.5700000000000007</v>
      </c>
      <c r="W32" s="1225">
        <f>-W71-W72+W73</f>
        <v>3.2910000000000004</v>
      </c>
      <c r="X32" s="1225">
        <f>-X71-X72+X73</f>
        <v>-2.359</v>
      </c>
      <c r="Y32" s="441">
        <f>-Y71-Y72+Y73</f>
        <v>-3.1970000000000027</v>
      </c>
      <c r="Z32" s="442"/>
      <c r="AA32" s="1225">
        <f>-AA71-AA72+AA73</f>
        <v>-1.8380000000000001</v>
      </c>
      <c r="AB32" s="1225">
        <f>-AB71-AB72+AB73</f>
        <v>-1.74</v>
      </c>
      <c r="AC32" s="1225">
        <f>-AC71-AC72+AC73</f>
        <v>-3.5489999999999995</v>
      </c>
      <c r="AD32" s="1225">
        <f>-AD71-AD72+AD73</f>
        <v>-4.2780000000000005</v>
      </c>
      <c r="AE32" s="441">
        <f>-AE71-AE72+AE73</f>
        <v>-11.405000000000001</v>
      </c>
      <c r="AF32" s="442"/>
      <c r="AG32" s="1225">
        <f>-AG71-AG72+AG73</f>
        <v>-1.901</v>
      </c>
      <c r="AH32" s="1225">
        <f>-AH71-AH72+AH73</f>
        <v>-6.58</v>
      </c>
      <c r="AI32" s="1225">
        <f>-AI71-AI72+AI73</f>
        <v>-5.4200000000000008</v>
      </c>
      <c r="AJ32" s="1225">
        <f>-AJ71-AJ72+AJ73</f>
        <v>36.536999999999992</v>
      </c>
      <c r="AK32" s="441">
        <f>-AK71-AK72+AK73</f>
        <v>22.635999999999999</v>
      </c>
      <c r="AL32" s="442"/>
      <c r="AM32" s="1225">
        <f>-AM71-AM72+AM73</f>
        <v>27.641999999999996</v>
      </c>
      <c r="AN32" s="1225">
        <f>-AN71-AN72+AN73</f>
        <v>-4.2309999999999999</v>
      </c>
      <c r="AO32" s="1225">
        <f>-AO71-AO72+AO73</f>
        <v>-4.75</v>
      </c>
      <c r="AP32" s="1225">
        <f>-AP71-AP72+AP73</f>
        <v>-4.6219999999999999</v>
      </c>
      <c r="AQ32" s="441">
        <f>-AQ71-AQ72+AQ73</f>
        <v>14.038999999999998</v>
      </c>
      <c r="AR32" s="442"/>
      <c r="AS32" s="1225">
        <f>-AS71-AS72+AS73</f>
        <v>-8.3189999999999991</v>
      </c>
      <c r="AT32" s="1225">
        <f>-AT71-AT72+AT73</f>
        <v>-7.3409999999999993</v>
      </c>
      <c r="AU32" s="1225">
        <f>-AU71-AU72+AU73</f>
        <v>-3.2949999999999999</v>
      </c>
      <c r="AV32" s="1225">
        <f>-AV71-AV72+AV73</f>
        <v>-15.888999999999999</v>
      </c>
      <c r="AW32" s="441">
        <f>-AW71-AW72+AW73</f>
        <v>-34.844000000000001</v>
      </c>
      <c r="AX32" s="442"/>
      <c r="AY32" s="1225">
        <f>-AY71-AY72+AY73</f>
        <v>-5.0850000000000009</v>
      </c>
      <c r="AZ32" s="1225">
        <f>-AZ71-AZ72+AZ73</f>
        <v>-3.956</v>
      </c>
      <c r="BA32" s="1225">
        <f>-BA71-BA72+BA73</f>
        <v>-0.96299999999999963</v>
      </c>
      <c r="BB32" s="1225">
        <f>-BB71-BB72+BB73</f>
        <v>-10.165000000000001</v>
      </c>
      <c r="BC32" s="441">
        <f>-BC71-BC72+BC73</f>
        <v>-20.169000000000004</v>
      </c>
      <c r="BD32" s="442"/>
      <c r="BE32" s="1225">
        <f>-BE71-BE72+BE73</f>
        <v>-9.5250000000000004</v>
      </c>
      <c r="BF32" s="1225">
        <f>-BF71-BF72+BF73</f>
        <v>-0.78399999999999981</v>
      </c>
      <c r="BG32" s="1225">
        <f>-BG71-BG72+BG73</f>
        <v>-2.625</v>
      </c>
      <c r="BH32" s="1225">
        <f>-BH71-BH72+BH73</f>
        <v>-4.6310000000000002</v>
      </c>
      <c r="BI32" s="441">
        <f>-BI71-BI72+BI73</f>
        <v>-17.564999999999998</v>
      </c>
      <c r="BJ32" s="442"/>
      <c r="BK32" s="1225">
        <f>-BK71-BK72+BK73</f>
        <v>-12.058000000000002</v>
      </c>
      <c r="BL32" s="1225">
        <f>-BL71-BL72+BL73</f>
        <v>-10.405000000000001</v>
      </c>
      <c r="BM32" s="1225">
        <f>-BM71-BM72+BM73</f>
        <v>-6.0910000000000002</v>
      </c>
      <c r="BN32" s="1225">
        <f>-BN71-BN72+BN73</f>
        <v>-554.80999999999995</v>
      </c>
      <c r="BO32" s="441">
        <f>-BO71-BO72+BO73</f>
        <v>-583.36400000000003</v>
      </c>
      <c r="BP32" s="442"/>
      <c r="BQ32" s="1225">
        <f>-BQ71-BQ72+BQ73</f>
        <v>-4.5</v>
      </c>
      <c r="BR32" s="1225">
        <f>-BR71-BR72+BR73</f>
        <v>-4.5</v>
      </c>
      <c r="BS32" s="1225">
        <f>-BS71-BS72+BS73</f>
        <v>-4.5</v>
      </c>
      <c r="BT32" s="1225">
        <f>-BT71-BT72+BT73</f>
        <v>-4.5</v>
      </c>
      <c r="BU32" s="441">
        <f>-BU71-BU72+BU73</f>
        <v>-18</v>
      </c>
      <c r="BV32" s="442"/>
      <c r="BW32" s="1225">
        <f>-BW71-BW72+BW73</f>
        <v>-4.5</v>
      </c>
      <c r="BX32" s="1225">
        <f>-BX71-BX72+BX73</f>
        <v>-4.5</v>
      </c>
      <c r="BY32" s="1225">
        <f>-BY71-BY72+BY73</f>
        <v>-4.5</v>
      </c>
      <c r="BZ32" s="1225">
        <f>-BZ71-BZ72+BZ73</f>
        <v>-4.5</v>
      </c>
      <c r="CA32" s="441">
        <f>-CA71-CA72+CA73</f>
        <v>-18</v>
      </c>
      <c r="CB32" s="442"/>
      <c r="CC32" s="1225">
        <f>-CC71-CC72+CC73</f>
        <v>-4.5</v>
      </c>
      <c r="CD32" s="1225">
        <f>-CD71-CD72+CD73</f>
        <v>-4.5</v>
      </c>
      <c r="CE32" s="1225">
        <f>-CE71-CE72+CE73</f>
        <v>-4.5</v>
      </c>
      <c r="CF32" s="1225">
        <f>-CF71-CF72+CF73</f>
        <v>-4.5</v>
      </c>
      <c r="CG32" s="441">
        <f>-CG71-CG72+CG73</f>
        <v>-18</v>
      </c>
      <c r="CH32" s="442"/>
      <c r="CI32" s="1225">
        <f>-CI71-CI72+CI73</f>
        <v>-4.5</v>
      </c>
      <c r="CJ32" s="1225">
        <f>-CJ71-CJ72+CJ73</f>
        <v>-4.5</v>
      </c>
      <c r="CK32" s="1225">
        <f>-CK71-CK72+CK73</f>
        <v>-4.5</v>
      </c>
      <c r="CL32" s="1225">
        <f>-CL71-CL72+CL73</f>
        <v>-4.5</v>
      </c>
      <c r="CM32" s="441">
        <f>-CM71-CM72+CM73</f>
        <v>-18</v>
      </c>
      <c r="CN32"/>
      <c r="CO32"/>
      <c r="CP32"/>
      <c r="CQ32"/>
      <c r="CR32"/>
      <c r="CS32"/>
      <c r="CT32"/>
      <c r="CU32"/>
    </row>
    <row r="33" spans="1:120" s="443" customFormat="1" ht="13.5" hidden="1" customHeight="1" outlineLevel="1">
      <c r="A33" s="1994" t="s">
        <v>206</v>
      </c>
      <c r="B33" s="1995"/>
      <c r="C33" s="1996">
        <f>SUM(C31:C32)</f>
        <v>55.936999999999991</v>
      </c>
      <c r="D33" s="1996">
        <f>SUM(D31:D32)</f>
        <v>59.909000000000006</v>
      </c>
      <c r="E33" s="1996">
        <f>SUM(E31:E32)</f>
        <v>53.282999999999994</v>
      </c>
      <c r="F33" s="1996">
        <f>SUM(F31:F32)</f>
        <v>98.942999999999941</v>
      </c>
      <c r="G33" s="1997">
        <f>SUM(G31:G32)</f>
        <v>268.07199999999983</v>
      </c>
      <c r="H33" s="1998"/>
      <c r="I33" s="1996">
        <f>SUM(I31:I32)</f>
        <v>68.761000000000053</v>
      </c>
      <c r="J33" s="1996">
        <f>SUM(J31:J32)</f>
        <v>82.862000000000009</v>
      </c>
      <c r="K33" s="1996">
        <f>SUM(K31:K32)</f>
        <v>71.502999999999957</v>
      </c>
      <c r="L33" s="1996">
        <f>SUM(L31:L32)</f>
        <v>100.15299999999991</v>
      </c>
      <c r="M33" s="1997">
        <f>SUM(M31:M32)</f>
        <v>323.27899999999994</v>
      </c>
      <c r="N33" s="1998"/>
      <c r="O33" s="1996">
        <f>SUM(O31:O32)</f>
        <v>73.302000000000021</v>
      </c>
      <c r="P33" s="1996">
        <f>SUM(P31:P32)</f>
        <v>69.906999999999996</v>
      </c>
      <c r="Q33" s="1996">
        <f>SUM(Q31:Q32)</f>
        <v>75.936000000000035</v>
      </c>
      <c r="R33" s="1996">
        <f>SUM(R31:R32)</f>
        <v>104.12299999999998</v>
      </c>
      <c r="S33" s="1997">
        <f>SUM(S31:S32)</f>
        <v>323.26800000000014</v>
      </c>
      <c r="T33" s="1998"/>
      <c r="U33" s="1996">
        <f>SUM(U31:U32)</f>
        <v>75.518000000000001</v>
      </c>
      <c r="V33" s="1996">
        <f>SUM(V31:V32)</f>
        <v>84.921999999999997</v>
      </c>
      <c r="W33" s="1996">
        <f>SUM(W31:W32)</f>
        <v>94.718999999999994</v>
      </c>
      <c r="X33" s="1996">
        <f>SUM(X31:X32)</f>
        <v>126.604</v>
      </c>
      <c r="Y33" s="1997">
        <f>SUM(Y31:Y32)</f>
        <v>381.76300000000003</v>
      </c>
      <c r="Z33" s="1998"/>
      <c r="AA33" s="1996">
        <f>SUM(AA31:AA32)</f>
        <v>94.489000000000019</v>
      </c>
      <c r="AB33" s="1996">
        <f>SUM(AB31:AB32)</f>
        <v>100.07500000000006</v>
      </c>
      <c r="AC33" s="1996">
        <f>SUM(AC31:AC32)</f>
        <v>101.25700000000001</v>
      </c>
      <c r="AD33" s="1996">
        <f>SUM(AD31:AD32)</f>
        <v>137.22799999999998</v>
      </c>
      <c r="AE33" s="1997">
        <f>SUM(AE31:AE32)</f>
        <v>433.04900000000009</v>
      </c>
      <c r="AF33" s="1998"/>
      <c r="AG33" s="1996">
        <f>SUM(AG31:AG32)</f>
        <v>88.666000000000039</v>
      </c>
      <c r="AH33" s="1996">
        <f>SUM(AH31:AH32)</f>
        <v>97.724000000000004</v>
      </c>
      <c r="AI33" s="1996">
        <f>SUM(AI31:AI32)</f>
        <v>99.109000000000009</v>
      </c>
      <c r="AJ33" s="1996">
        <f>SUM(AJ31:AJ32)</f>
        <v>175.9439999999999</v>
      </c>
      <c r="AK33" s="1997">
        <f>SUM(AK31:AK32)</f>
        <v>461.4430000000001</v>
      </c>
      <c r="AL33" s="1998"/>
      <c r="AM33" s="1996">
        <f>SUM(AM31:AM32)</f>
        <v>121.05900000000003</v>
      </c>
      <c r="AN33" s="1996">
        <f>SUM(AN31:AN32)</f>
        <v>89.314000000000021</v>
      </c>
      <c r="AO33" s="1996">
        <f>SUM(AO31:AO32)</f>
        <v>98.04800000000003</v>
      </c>
      <c r="AP33" s="1996">
        <f>SUM(AP31:AP32)</f>
        <v>141.58199999999994</v>
      </c>
      <c r="AQ33" s="1997">
        <f>SUM(AQ31:AQ32)</f>
        <v>450.00300000000004</v>
      </c>
      <c r="AR33" s="1998"/>
      <c r="AS33" s="1996">
        <f>SUM(AS31:AS32)</f>
        <v>70.301999999999964</v>
      </c>
      <c r="AT33" s="1996">
        <f>SUM(AT31:AT32)</f>
        <v>96.528999999999982</v>
      </c>
      <c r="AU33" s="1996">
        <f>SUM(AU31:AU32)</f>
        <v>113.49700000000003</v>
      </c>
      <c r="AV33" s="1996">
        <f>SUM(AV31:AV32)</f>
        <v>151.29199999999997</v>
      </c>
      <c r="AW33" s="1997">
        <f>SUM(AW31:AW32)</f>
        <v>431.61999999999995</v>
      </c>
      <c r="AX33" s="1998"/>
      <c r="AY33" s="1996">
        <f>SUM(AY31:AY32)</f>
        <v>96.061000000000035</v>
      </c>
      <c r="AZ33" s="1996">
        <f>SUM(AZ31:AZ32)</f>
        <v>105.65700000000001</v>
      </c>
      <c r="BA33" s="1996">
        <f>SUM(BA31:BA32)</f>
        <v>116.28099999999993</v>
      </c>
      <c r="BB33" s="1996">
        <f>SUM(BB31:BB32)</f>
        <v>151.054</v>
      </c>
      <c r="BC33" s="1997">
        <f>SUM(BC31:BC32)</f>
        <v>469.05299999999983</v>
      </c>
      <c r="BD33" s="1998"/>
      <c r="BE33" s="1996">
        <f>SUM(BE31:BE32)</f>
        <v>94.051999999999964</v>
      </c>
      <c r="BF33" s="1996">
        <f>SUM(BF31:BF32)</f>
        <v>128.21699999999993</v>
      </c>
      <c r="BG33" s="1996">
        <f>SUM(BG31:BG32)</f>
        <v>124.85600000000005</v>
      </c>
      <c r="BH33" s="1996">
        <f>SUM(BH31:BH32)</f>
        <v>174.37799999999996</v>
      </c>
      <c r="BI33" s="1997">
        <f>SUM(BI31:BI32)</f>
        <v>521.5029999999997</v>
      </c>
      <c r="BJ33" s="1998"/>
      <c r="BK33" s="1996">
        <f>SUM(BK31:BK32)</f>
        <v>105.55700000000002</v>
      </c>
      <c r="BL33" s="1996">
        <f>SUM(BL31:BL32)</f>
        <v>131.822</v>
      </c>
      <c r="BM33" s="1996">
        <f>SUM(BM31:BM32)</f>
        <v>136.10399999999993</v>
      </c>
      <c r="BN33" s="1996">
        <f>SUM(BN31:BN32)</f>
        <v>-353.17200000000003</v>
      </c>
      <c r="BO33" s="1997">
        <f>SUM(BO31:BO32)</f>
        <v>20.311000000000149</v>
      </c>
      <c r="BP33" s="1998"/>
      <c r="BQ33" s="1996">
        <f>SUM(BQ31:BQ32)</f>
        <v>120.67472369378999</v>
      </c>
      <c r="BR33" s="1996">
        <f>SUM(BR31:BR32)</f>
        <v>151.64871689256745</v>
      </c>
      <c r="BS33" s="1996">
        <f>SUM(BS31:BS32)</f>
        <v>148.0866692641045</v>
      </c>
      <c r="BT33" s="1996">
        <f>SUM(BT31:BT32)</f>
        <v>211.59901492334876</v>
      </c>
      <c r="BU33" s="1997">
        <f>SUM(BU31:BU32)</f>
        <v>632.00912477381087</v>
      </c>
      <c r="BV33" s="1998"/>
      <c r="BW33" s="1996">
        <f>SUM(BW31:BW32)</f>
        <v>131.59051125642418</v>
      </c>
      <c r="BX33" s="1996">
        <f>SUM(BX31:BX32)</f>
        <v>162.47580258576488</v>
      </c>
      <c r="BY33" s="1996">
        <f>SUM(BY31:BY32)</f>
        <v>158.26428984701346</v>
      </c>
      <c r="BZ33" s="1996">
        <f>SUM(BZ31:BZ32)</f>
        <v>224.15127601715488</v>
      </c>
      <c r="CA33" s="1997">
        <f>SUM(CA31:CA32)</f>
        <v>676.48187970635752</v>
      </c>
      <c r="CB33" s="1998"/>
      <c r="CC33" s="1996">
        <f>SUM(CC31:CC32)</f>
        <v>140.26773879583797</v>
      </c>
      <c r="CD33" s="1996">
        <f>SUM(CD31:CD32)</f>
        <v>236.11506464795346</v>
      </c>
      <c r="CE33" s="1996">
        <f>SUM(CE31:CE32)</f>
        <v>233.60003475521148</v>
      </c>
      <c r="CF33" s="1996">
        <f>SUM(CF31:CF32)</f>
        <v>303.60034719637196</v>
      </c>
      <c r="CG33" s="1997">
        <f>SUM(CG31:CG32)</f>
        <v>913.58318539537504</v>
      </c>
      <c r="CH33" s="1998"/>
      <c r="CI33" s="1996">
        <f>SUM(CI31:CI32)</f>
        <v>221.31740046230712</v>
      </c>
      <c r="CJ33" s="1996">
        <f>SUM(CJ31:CJ32)</f>
        <v>183.62512212168841</v>
      </c>
      <c r="CK33" s="1996">
        <f>SUM(CK31:CK32)</f>
        <v>178.71309328305139</v>
      </c>
      <c r="CL33" s="1996">
        <f>SUM(CL31:CL32)</f>
        <v>248.69696500851811</v>
      </c>
      <c r="CM33" s="1997">
        <f>SUM(CM31:CM32)</f>
        <v>832.3525808755652</v>
      </c>
      <c r="CN33"/>
      <c r="CO33"/>
      <c r="CP33"/>
      <c r="CQ33"/>
      <c r="CR33"/>
      <c r="CS33"/>
      <c r="CT33"/>
      <c r="CU33"/>
    </row>
    <row r="34" spans="1:120" ht="15" customHeight="1" collapsed="1">
      <c r="A34" s="1989" t="s">
        <v>207</v>
      </c>
      <c r="B34" s="1990"/>
      <c r="C34" s="1991">
        <f>C75/C40</f>
        <v>0.54203569836624732</v>
      </c>
      <c r="D34" s="1991">
        <f>D75/D40</f>
        <v>0.58659551551943612</v>
      </c>
      <c r="E34" s="1991">
        <f>E75/E40</f>
        <v>0.52386149126946668</v>
      </c>
      <c r="F34" s="1991">
        <f>F75/F40</f>
        <v>0.96268656716417844</v>
      </c>
      <c r="G34" s="1992">
        <f>+G33/G40</f>
        <v>2.615209014194428</v>
      </c>
      <c r="H34" s="1993"/>
      <c r="I34" s="1991">
        <f>I75/I40</f>
        <v>0.67423982428443996</v>
      </c>
      <c r="J34" s="1991">
        <f>J75/J40</f>
        <v>0.82013163755134366</v>
      </c>
      <c r="K34" s="1991">
        <f>K75/K40</f>
        <v>0.71100570769444893</v>
      </c>
      <c r="L34" s="1991">
        <f>L75/L40</f>
        <v>1.0134789164246456</v>
      </c>
      <c r="M34" s="1992">
        <f>M75/M40</f>
        <v>3.214947043906319</v>
      </c>
      <c r="N34" s="1993"/>
      <c r="O34" s="1991">
        <f>O75/O40</f>
        <v>0.74853717565125055</v>
      </c>
      <c r="P34" s="1991">
        <f>P75/P40</f>
        <v>0.72072044208008568</v>
      </c>
      <c r="Q34" s="1991">
        <f>Q75/Q40</f>
        <v>0.78679556121973238</v>
      </c>
      <c r="R34" s="1991">
        <f>R75/R40</f>
        <v>1.0833619460831743</v>
      </c>
      <c r="S34" s="1992">
        <f>S75/S40</f>
        <v>3.3374078586029627</v>
      </c>
      <c r="T34" s="1993"/>
      <c r="U34" s="1991">
        <f>U75/U40</f>
        <v>0.79306470075506974</v>
      </c>
      <c r="V34" s="1991">
        <f>V75/V40</f>
        <v>0.90076157746239849</v>
      </c>
      <c r="W34" s="1991">
        <f>W75/W40</f>
        <v>1.0153613618335011</v>
      </c>
      <c r="X34" s="1991">
        <f>X75/X40</f>
        <v>1.3563164209804592</v>
      </c>
      <c r="Y34" s="1992">
        <f>Y75/Y40</f>
        <v>4.0588472947255392</v>
      </c>
      <c r="Z34" s="1993"/>
      <c r="AA34" s="1991">
        <f>AA75/AA40</f>
        <v>1.0126027455981481</v>
      </c>
      <c r="AB34" s="1991">
        <f>AB75/AB40</f>
        <v>1.0729487193232627</v>
      </c>
      <c r="AC34" s="1991">
        <f>AC75/AC40</f>
        <v>1.0999022376710841</v>
      </c>
      <c r="AD34" s="1991">
        <v>1.51</v>
      </c>
      <c r="AE34" s="1992">
        <f>AE75/AE40</f>
        <v>4.6904847007852704</v>
      </c>
      <c r="AF34" s="1993"/>
      <c r="AG34" s="1991">
        <f>AG75/AG40</f>
        <v>0.9822419656803556</v>
      </c>
      <c r="AH34" s="1991">
        <f>AH75/AH40</f>
        <v>1.0933419854331456</v>
      </c>
      <c r="AI34" s="1991">
        <f>AI75/AI40</f>
        <v>1.1204960938824888</v>
      </c>
      <c r="AJ34" s="1991">
        <f>AJ75/AJ40</f>
        <v>2.0027546641472487</v>
      </c>
      <c r="AK34" s="1992">
        <f>AK75/AK40</f>
        <v>5.1283410573578276</v>
      </c>
      <c r="AL34" s="1993"/>
      <c r="AM34" s="1991">
        <f>AM75/AM40</f>
        <v>1.3880525139024253</v>
      </c>
      <c r="AN34" s="1991">
        <f>AN75/AN40</f>
        <v>1.0316253927185364</v>
      </c>
      <c r="AO34" s="1991">
        <f>AO75/AO40</f>
        <v>1.1352878514195732</v>
      </c>
      <c r="AP34" s="1991">
        <f>AP75/AP40</f>
        <v>1.6459769580431769</v>
      </c>
      <c r="AQ34" s="1992">
        <f>AQ75/AQ40</f>
        <v>5.1997619680390104</v>
      </c>
      <c r="AR34" s="1993"/>
      <c r="AS34" s="1991">
        <f>AS75/AS40</f>
        <v>0.8186740884794983</v>
      </c>
      <c r="AT34" s="1991">
        <f>AT75/AT40</f>
        <v>1.1284925997802142</v>
      </c>
      <c r="AU34" s="1991">
        <f>AU75/AU40</f>
        <v>1.3447352519519915</v>
      </c>
      <c r="AV34" s="1991">
        <f>AV75/AV40</f>
        <v>1.8007736713682077</v>
      </c>
      <c r="AW34" s="1992">
        <f>AW75/AW40</f>
        <v>5.0688776408967584</v>
      </c>
      <c r="AX34" s="1993"/>
      <c r="AY34" s="1991">
        <f>AY75/AY40</f>
        <v>1.14696962460598</v>
      </c>
      <c r="AZ34" s="1991">
        <f>AZ75/AZ40</f>
        <v>1.2679042864685837</v>
      </c>
      <c r="BA34" s="1991">
        <f>BA75/BA40</f>
        <v>1.4046313297255499</v>
      </c>
      <c r="BB34" s="1991">
        <f>BB75/BB40</f>
        <v>1.8335801510038596</v>
      </c>
      <c r="BC34" s="1992">
        <f>BC75/BC40</f>
        <v>5.6469887133182812</v>
      </c>
      <c r="BD34" s="1993"/>
      <c r="BE34" s="1991">
        <f>BE75/BE40</f>
        <v>1.1473394002976549</v>
      </c>
      <c r="BF34" s="1991">
        <f>BF75/BF40</f>
        <v>1.5740838499785148</v>
      </c>
      <c r="BG34" s="1991">
        <f>BG75/BG40</f>
        <v>1.5340836486951399</v>
      </c>
      <c r="BH34" s="1991">
        <f>BH75/BH40</f>
        <v>2.1540380957086738</v>
      </c>
      <c r="BI34" s="1992">
        <f>BI75/BI40</f>
        <v>6.4033078450813585</v>
      </c>
      <c r="BJ34" s="1993"/>
      <c r="BK34" s="1991">
        <f>BK75/BK40</f>
        <v>1.3068999244759749</v>
      </c>
      <c r="BL34" s="1991">
        <f>BL75/BL40</f>
        <v>1.6323492991232846</v>
      </c>
      <c r="BM34" s="1991">
        <f>BM75/BM40</f>
        <v>1.6902919735224347</v>
      </c>
      <c r="BN34" s="1991">
        <f>BN75/BN40</f>
        <v>-4.444987036524279</v>
      </c>
      <c r="BO34" s="1992">
        <f>BO75/BO40</f>
        <v>0.2527029548989132</v>
      </c>
      <c r="BP34" s="1993"/>
      <c r="BQ34" s="1991">
        <f>BQ75/BQ40</f>
        <v>1.5340852296159111</v>
      </c>
      <c r="BR34" s="1991">
        <f>BR75/BR40</f>
        <v>1.9470268528952506</v>
      </c>
      <c r="BS34" s="1991">
        <f>BS75/BS40</f>
        <v>1.9199961068076201</v>
      </c>
      <c r="BT34" s="1991">
        <f>BT75/BT40</f>
        <v>2.7701318760768752</v>
      </c>
      <c r="BU34" s="1992">
        <f>BU75/BU40</f>
        <v>8.1532682066522639</v>
      </c>
      <c r="BV34" s="1993"/>
      <c r="BW34" s="1991">
        <f>BW75/BW40</f>
        <v>1.7392624853614302</v>
      </c>
      <c r="BX34" s="1991">
        <f>BX75/BX40</f>
        <v>2.1678759850704914</v>
      </c>
      <c r="BY34" s="1991">
        <f>BY75/BY40</f>
        <v>2.1315003857189465</v>
      </c>
      <c r="BZ34" s="1991">
        <f>BZ75/BZ40</f>
        <v>3.0468572841318151</v>
      </c>
      <c r="CA34" s="1992">
        <f>CA75/CA40</f>
        <v>9.0673922176482389</v>
      </c>
      <c r="CB34" s="1993"/>
      <c r="CC34" s="1991">
        <f>CC75/CC40</f>
        <v>1.9241056659018156</v>
      </c>
      <c r="CD34" s="1991">
        <f>CD75/CD40</f>
        <v>3.268187784635038</v>
      </c>
      <c r="CE34" s="1991">
        <f>CE75/CE40</f>
        <v>3.2622745256107719</v>
      </c>
      <c r="CF34" s="1991">
        <f>CF75/CF40</f>
        <v>4.2772677881277996</v>
      </c>
      <c r="CG34" s="1992">
        <f>CG75/CG40</f>
        <v>12.700422174500893</v>
      </c>
      <c r="CH34" s="1993"/>
      <c r="CI34" s="1991">
        <f>CI75/CI40</f>
        <v>3.1452036304081683</v>
      </c>
      <c r="CJ34" s="1991">
        <f>CJ75/CJ40</f>
        <v>2.6320066172221308</v>
      </c>
      <c r="CK34" s="1991">
        <f>CK75/CK40</f>
        <v>2.5833649230731006</v>
      </c>
      <c r="CL34" s="1991">
        <f>CL75/CL40</f>
        <v>3.6251620061911898</v>
      </c>
      <c r="CM34" s="1992">
        <f>CM75/CM40</f>
        <v>11.979991214675881</v>
      </c>
      <c r="CW34" s="24"/>
      <c r="CX34" s="24"/>
      <c r="CY34" s="1695"/>
      <c r="CZ34" s="24"/>
      <c r="DA34" s="24"/>
      <c r="DB34" s="24"/>
      <c r="DC34" s="24"/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</row>
    <row r="35" spans="1:120" ht="15" customHeight="1">
      <c r="A35" s="1981" t="s">
        <v>208</v>
      </c>
      <c r="B35" s="1982"/>
      <c r="C35" s="1983">
        <f>C31/C40</f>
        <v>0.55790809899416649</v>
      </c>
      <c r="D35" s="1983">
        <f>D31/D40</f>
        <v>0.60273181239596607</v>
      </c>
      <c r="E35" s="1983">
        <f>E31/E40</f>
        <v>0.61536495202139363</v>
      </c>
      <c r="F35" s="1983">
        <f>F31/F40</f>
        <v>0.97527681021230161</v>
      </c>
      <c r="G35" s="1984">
        <f>G31/G40</f>
        <v>2.7506853324228073</v>
      </c>
      <c r="H35" s="1985"/>
      <c r="I35" s="1983">
        <f>I31/I40</f>
        <v>0.68995813027661512</v>
      </c>
      <c r="J35" s="1983">
        <f>J31/J40</f>
        <v>0.76148859306181038</v>
      </c>
      <c r="K35" s="1983">
        <f>K31/K40</f>
        <v>0.78541455362647372</v>
      </c>
      <c r="L35" s="1983">
        <f>L31/L40</f>
        <v>1.0684874672387439</v>
      </c>
      <c r="M35" s="1984">
        <f>M31/M40</f>
        <v>3.3004425438814571</v>
      </c>
      <c r="N35" s="1985"/>
      <c r="O35" s="1983">
        <f>O31/O40</f>
        <v>0.73817231202834777</v>
      </c>
      <c r="P35" s="1983">
        <f>P31/P40</f>
        <v>0.77980535279805352</v>
      </c>
      <c r="Q35" s="1983">
        <f>Q31/Q40</f>
        <v>0.80710370623646577</v>
      </c>
      <c r="R35" s="1983">
        <f>R31/R40</f>
        <v>1.1243041899470401</v>
      </c>
      <c r="S35" s="1984">
        <f>S31/S40</f>
        <v>3.446955462410441</v>
      </c>
      <c r="T35" s="1985"/>
      <c r="U35" s="1983">
        <f>U31/U40</f>
        <v>0.80943679573212357</v>
      </c>
      <c r="V35" s="1983">
        <f>V31/V40</f>
        <v>0.92802138356774644</v>
      </c>
      <c r="W35" s="1983">
        <f>W31/W40</f>
        <v>0.98008275625495778</v>
      </c>
      <c r="X35" s="1983">
        <f>X31/X40</f>
        <v>1.3815885327391155</v>
      </c>
      <c r="Y35" s="1984">
        <f>Y31/Y40</f>
        <v>4.0928373220493954</v>
      </c>
      <c r="Z35" s="1985"/>
      <c r="AA35" s="1983">
        <f>AA31/AA40</f>
        <v>1.0322998939054582</v>
      </c>
      <c r="AB35" s="1983">
        <f>AB31/AB40</f>
        <v>1.0916040355523158</v>
      </c>
      <c r="AC35" s="1983">
        <f>AC31/AC40</f>
        <v>1.1384531827069304</v>
      </c>
      <c r="AD35" s="1983">
        <f>AD31/AD40</f>
        <v>1.5624627343594724</v>
      </c>
      <c r="AE35" s="1984">
        <f>AE31/AE40</f>
        <v>4.8140157053885737</v>
      </c>
      <c r="AF35" s="1985"/>
      <c r="AG35" s="1983">
        <f>AG31/AG40</f>
        <v>1.0033012440594227</v>
      </c>
      <c r="AH35" s="1983">
        <f>AH31/AH40</f>
        <v>1.1669594209060092</v>
      </c>
      <c r="AI35" s="1983">
        <f>AI31/AI40</f>
        <v>1.1817729590394683</v>
      </c>
      <c r="AJ35" s="1983">
        <f>AJ31/AJ40</f>
        <v>1.586857292461098</v>
      </c>
      <c r="AK35" s="1984">
        <f>AK31/AK40</f>
        <v>4.8767712466242132</v>
      </c>
      <c r="AL35" s="1985"/>
      <c r="AM35" s="1983">
        <f>AM31/AM40</f>
        <v>1.0711116207074474</v>
      </c>
      <c r="AN35" s="1983">
        <f>AN31/AN40</f>
        <v>1.0804957493993719</v>
      </c>
      <c r="AO35" s="1983">
        <f>AO31/AO40</f>
        <v>1.190287619841601</v>
      </c>
      <c r="AP35" s="1983">
        <f>AP31/AP40</f>
        <v>1.6997105223386066</v>
      </c>
      <c r="AQ35" s="1984">
        <f>AQ31/AQ40</f>
        <v>5.0375420311290355</v>
      </c>
      <c r="AR35" s="1985"/>
      <c r="AS35" s="1983">
        <f>AS31/AS40</f>
        <v>0.91554970712563855</v>
      </c>
      <c r="AT35" s="1983">
        <f>AT31/AT40</f>
        <v>1.2143141060113631</v>
      </c>
      <c r="AU35" s="1983">
        <f>AU31/AU40</f>
        <v>1.3837750737550507</v>
      </c>
      <c r="AV35" s="1983">
        <f>AV31/AV40</f>
        <v>1.9898946616675592</v>
      </c>
      <c r="AW35" s="1984">
        <f>AW31/AW40</f>
        <v>5.4780801164989246</v>
      </c>
      <c r="AX35" s="1985"/>
      <c r="AY35" s="1983">
        <f>AY31/AY40</f>
        <v>1.2076845926067441</v>
      </c>
      <c r="AZ35" s="1983">
        <f>AZ31/AZ40</f>
        <v>1.3153770460327368</v>
      </c>
      <c r="BA35" s="1983">
        <f>BA31/BA40</f>
        <v>1.4162640123695391</v>
      </c>
      <c r="BB35" s="1983">
        <f>BB31/BB40</f>
        <v>1.9569687553106259</v>
      </c>
      <c r="BC35" s="1984">
        <f>BC31/BC40</f>
        <v>5.8898058690744897</v>
      </c>
      <c r="BD35" s="1985"/>
      <c r="BE35" s="1983">
        <f>BE31/BE40</f>
        <v>1.2635347793202718</v>
      </c>
      <c r="BF35" s="1983">
        <f>BF31/BF40</f>
        <v>1.5837087962678771</v>
      </c>
      <c r="BG35" s="1983">
        <f>BG31/BG40</f>
        <v>1.5663365606723356</v>
      </c>
      <c r="BH35" s="1983">
        <f>BH31/BH40</f>
        <v>2.2112434221903792</v>
      </c>
      <c r="BI35" s="1984">
        <f>BI31/BI40</f>
        <v>6.6189808178137373</v>
      </c>
      <c r="BJ35" s="1985"/>
      <c r="BK35" s="1983">
        <f>BK31/BK40</f>
        <v>1.456189874828214</v>
      </c>
      <c r="BL35" s="1983">
        <f>BL31/BL40</f>
        <v>1.7611942146713557</v>
      </c>
      <c r="BM35" s="1983">
        <f>BM31/BM40</f>
        <v>1.7659368363532486</v>
      </c>
      <c r="BN35" s="1983">
        <f>BN31/BN40</f>
        <v>2.5377954539733669</v>
      </c>
      <c r="BO35" s="1984">
        <f>BO31/BO40</f>
        <v>7.5107309486780736</v>
      </c>
      <c r="BP35" s="1985"/>
      <c r="BQ35" s="1983">
        <f>BQ31/BQ40</f>
        <v>1.5912917706541887</v>
      </c>
      <c r="BR35" s="1983">
        <f>BR31/BR40</f>
        <v>2.004802619268768</v>
      </c>
      <c r="BS35" s="1983">
        <f>BS31/BS40</f>
        <v>1.9783402003277826</v>
      </c>
      <c r="BT35" s="1983">
        <f>BT31/BT40</f>
        <v>2.8290432724596117</v>
      </c>
      <c r="BU35" s="1984">
        <f>BU31/BU40</f>
        <v>8.3854781890196293</v>
      </c>
      <c r="BV35" s="1985"/>
      <c r="BW35" s="1983">
        <f>BW31/BW40</f>
        <v>1.798740035143686</v>
      </c>
      <c r="BX35" s="1983">
        <f>BX31/BX40</f>
        <v>2.2279184146357656</v>
      </c>
      <c r="BY35" s="1983">
        <f>BY31/BY40</f>
        <v>2.1921062984299389</v>
      </c>
      <c r="BZ35" s="1983">
        <f>BZ31/BZ40</f>
        <v>3.1080251615680505</v>
      </c>
      <c r="CA35" s="1984">
        <f>CA31/CA40</f>
        <v>9.3086596703529807</v>
      </c>
      <c r="CB35" s="1985"/>
      <c r="CC35" s="1983">
        <f>CC31/CC40</f>
        <v>1.9858338691999435</v>
      </c>
      <c r="CD35" s="1983">
        <f>CD31/CD40</f>
        <v>3.3304745559293032</v>
      </c>
      <c r="CE35" s="1983">
        <f>CE31/CE40</f>
        <v>3.3251179895710057</v>
      </c>
      <c r="CF35" s="1983">
        <f>CF31/CF40</f>
        <v>4.3406659535921017</v>
      </c>
      <c r="CG35" s="1984">
        <f>CG31/CG40</f>
        <v>12.950654011946632</v>
      </c>
      <c r="CH35" s="1985"/>
      <c r="CI35" s="1983">
        <f>CI31/CI40</f>
        <v>3.209154392107302</v>
      </c>
      <c r="CJ35" s="1983">
        <f>CJ31/CJ40</f>
        <v>2.6965077575925127</v>
      </c>
      <c r="CK35" s="1983">
        <f>CK31/CK40</f>
        <v>2.6484141141551256</v>
      </c>
      <c r="CL35" s="1983">
        <f>CL31/CL40</f>
        <v>3.6907568116095093</v>
      </c>
      <c r="CM35" s="1984">
        <f>CM31/CM40</f>
        <v>12.239063928353696</v>
      </c>
      <c r="CW35" s="24"/>
      <c r="CX35" s="24"/>
      <c r="CY35" s="24"/>
      <c r="CZ35" s="24"/>
      <c r="DA35" s="24"/>
      <c r="DB35" s="24"/>
      <c r="DC35" s="24"/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</row>
    <row r="36" spans="1:120" s="24" customFormat="1" ht="12.75" hidden="1" customHeight="1" outlineLevel="1">
      <c r="A36" s="1467" t="s">
        <v>209</v>
      </c>
      <c r="B36" s="416"/>
      <c r="C36" s="438">
        <v>100.819</v>
      </c>
      <c r="D36" s="438">
        <v>99.808000000000007</v>
      </c>
      <c r="E36" s="438">
        <v>100.2</v>
      </c>
      <c r="F36" s="438">
        <v>100.97499999999999</v>
      </c>
      <c r="G36" s="418">
        <f>F36</f>
        <v>100.97499999999999</v>
      </c>
      <c r="H36" s="419"/>
      <c r="I36" s="438">
        <v>100.08</v>
      </c>
      <c r="J36" s="438">
        <v>98.933999999999997</v>
      </c>
      <c r="K36" s="438">
        <v>98.278999999999996</v>
      </c>
      <c r="L36" s="422">
        <v>97.891000000000005</v>
      </c>
      <c r="M36" s="418">
        <f>L36</f>
        <v>97.891000000000005</v>
      </c>
      <c r="N36" s="419"/>
      <c r="O36" s="438">
        <v>96.356999999999999</v>
      </c>
      <c r="P36" s="438">
        <v>95.477999999999994</v>
      </c>
      <c r="Q36" s="438">
        <v>94.665999999999997</v>
      </c>
      <c r="R36" s="438">
        <v>94.117999999999995</v>
      </c>
      <c r="S36" s="418">
        <f>R36</f>
        <v>94.117999999999995</v>
      </c>
      <c r="T36" s="419"/>
      <c r="U36" s="438">
        <v>92.846000000000004</v>
      </c>
      <c r="V36" s="438">
        <v>92.022000000000006</v>
      </c>
      <c r="W36" s="438">
        <v>91.21</v>
      </c>
      <c r="X36" s="438">
        <v>91.847999999999999</v>
      </c>
      <c r="Y36" s="418">
        <f>X36</f>
        <v>91.847999999999999</v>
      </c>
      <c r="Z36" s="419"/>
      <c r="AA36" s="438">
        <v>91.531999999999996</v>
      </c>
      <c r="AB36" s="438">
        <v>91.369</v>
      </c>
      <c r="AC36" s="438">
        <v>89.584000000000003</v>
      </c>
      <c r="AD36" s="439">
        <f>AD37</f>
        <v>89.323999999999998</v>
      </c>
      <c r="AE36" s="418">
        <f>AD36</f>
        <v>89.323999999999998</v>
      </c>
      <c r="AF36" s="419"/>
      <c r="AG36" s="439">
        <f>AG37</f>
        <v>88.992000000000004</v>
      </c>
      <c r="AH36" s="439">
        <f>AH37</f>
        <v>88.316999999999993</v>
      </c>
      <c r="AI36" s="439">
        <f>AI37</f>
        <v>87.411000000000001</v>
      </c>
      <c r="AJ36" s="439">
        <f>AK36</f>
        <v>86.39</v>
      </c>
      <c r="AK36" s="423">
        <v>86.39</v>
      </c>
      <c r="AL36" s="419"/>
      <c r="AM36" s="439">
        <f>AM37</f>
        <v>86.049000000000007</v>
      </c>
      <c r="AN36" s="439">
        <f>AN37</f>
        <v>85.481999999999999</v>
      </c>
      <c r="AO36" s="439">
        <f>AO37</f>
        <v>85.185000000000002</v>
      </c>
      <c r="AP36" s="110">
        <f>AP37</f>
        <v>85.006</v>
      </c>
      <c r="AQ36" s="418">
        <f>AP36</f>
        <v>85.006</v>
      </c>
      <c r="AR36" s="419"/>
      <c r="AS36" s="439">
        <f>AS37</f>
        <v>84.977000000000004</v>
      </c>
      <c r="AT36" s="439">
        <f>AT37</f>
        <v>84.730999999999995</v>
      </c>
      <c r="AU36" s="439">
        <f>AU37</f>
        <v>83.662999999999997</v>
      </c>
      <c r="AV36" s="110">
        <f>AV37</f>
        <v>83.216999999999999</v>
      </c>
      <c r="AW36" s="418">
        <f>AV36</f>
        <v>83.216999999999999</v>
      </c>
      <c r="AX36" s="419"/>
      <c r="AY36" s="439">
        <f>AY37</f>
        <v>83.025000000000006</v>
      </c>
      <c r="AZ36" s="439">
        <f>AZ37</f>
        <v>82.563999999999993</v>
      </c>
      <c r="BA36" s="439">
        <f>BA37</f>
        <v>82.036000000000001</v>
      </c>
      <c r="BB36" s="439">
        <f>BB37</f>
        <v>81.650000000000006</v>
      </c>
      <c r="BC36" s="418">
        <f>BB36</f>
        <v>81.650000000000006</v>
      </c>
      <c r="BD36" s="419"/>
      <c r="BE36" s="1698">
        <v>80.918999999999997</v>
      </c>
      <c r="BF36" s="1698">
        <v>80.537000000000006</v>
      </c>
      <c r="BG36" s="1698">
        <v>80.561000000000007</v>
      </c>
      <c r="BH36" s="1698">
        <v>80.022999999999996</v>
      </c>
      <c r="BI36" s="418">
        <f>BH36</f>
        <v>80.022999999999996</v>
      </c>
      <c r="BJ36" s="419"/>
      <c r="BK36" s="1698">
        <v>80.001000000000005</v>
      </c>
      <c r="BL36" s="1698">
        <v>79.811000000000007</v>
      </c>
      <c r="BM36" s="1698">
        <v>79.522000000000006</v>
      </c>
      <c r="BN36" s="2113">
        <v>79.337000000000003</v>
      </c>
      <c r="BO36" s="418">
        <f>BN36</f>
        <v>79.337000000000003</v>
      </c>
      <c r="BP36" s="419"/>
      <c r="BQ36" s="439">
        <f>BQ37</f>
        <v>78.662333333333322</v>
      </c>
      <c r="BR36" s="439">
        <f>BR37</f>
        <v>77.887326857903432</v>
      </c>
      <c r="BS36" s="439">
        <f>BS37</f>
        <v>77.128629969114044</v>
      </c>
      <c r="BT36" s="110">
        <f>BT37</f>
        <v>76.385899440650519</v>
      </c>
      <c r="BU36" s="418">
        <f>BT36</f>
        <v>76.385899440650519</v>
      </c>
      <c r="BV36" s="419"/>
      <c r="BW36" s="439">
        <f>BW37</f>
        <v>75.658799269207947</v>
      </c>
      <c r="BX36" s="439">
        <f>BX37</f>
        <v>74.947000522486888</v>
      </c>
      <c r="BY36" s="439">
        <f>BY37</f>
        <v>74.250181190387892</v>
      </c>
      <c r="BZ36" s="110">
        <f>BZ37</f>
        <v>73.568026039337624</v>
      </c>
      <c r="CA36" s="418">
        <f>BZ36</f>
        <v>73.568026039337624</v>
      </c>
      <c r="CB36" s="419"/>
      <c r="CC36" s="439">
        <f>CC37</f>
        <v>72.900226469680604</v>
      </c>
      <c r="CD36" s="439">
        <f>CD37</f>
        <v>72.246480376071986</v>
      </c>
      <c r="CE36" s="439">
        <f>CE37</f>
        <v>71.606492010808395</v>
      </c>
      <c r="CF36" s="110">
        <f>CF37</f>
        <v>70.979971850034829</v>
      </c>
      <c r="CG36" s="418">
        <f>CF36</f>
        <v>70.979971850034829</v>
      </c>
      <c r="CH36" s="419"/>
      <c r="CI36" s="439">
        <f>CI37</f>
        <v>70.366636462767175</v>
      </c>
      <c r="CJ36" s="439">
        <f>CJ37</f>
        <v>69.766208382671095</v>
      </c>
      <c r="CK36" s="439">
        <f>CK37</f>
        <v>69.178415982539221</v>
      </c>
      <c r="CL36" s="110">
        <f>CL37</f>
        <v>68.602993351409935</v>
      </c>
      <c r="CM36" s="418">
        <f>CL36</f>
        <v>68.602993351409935</v>
      </c>
      <c r="CN36"/>
      <c r="CO36"/>
      <c r="CP36"/>
      <c r="CQ36"/>
      <c r="CR36"/>
      <c r="CS36"/>
      <c r="CT36"/>
      <c r="CU36"/>
    </row>
    <row r="37" spans="1:120" s="24" customFormat="1" hidden="1" outlineLevel="1">
      <c r="A37" s="1468" t="s">
        <v>46</v>
      </c>
      <c r="B37" s="444"/>
      <c r="C37" s="422">
        <v>101.416</v>
      </c>
      <c r="D37" s="422">
        <v>100.327</v>
      </c>
      <c r="E37" s="422">
        <v>99.820999999999998</v>
      </c>
      <c r="F37" s="422">
        <v>100.68899999999999</v>
      </c>
      <c r="G37" s="423">
        <v>100.5</v>
      </c>
      <c r="H37" s="436"/>
      <c r="I37" s="422">
        <v>100.401</v>
      </c>
      <c r="J37" s="422">
        <v>99.585999999999999</v>
      </c>
      <c r="K37" s="422">
        <v>98.891000000000005</v>
      </c>
      <c r="L37" s="422">
        <v>98.028999999999996</v>
      </c>
      <c r="M37" s="423">
        <v>99.198999999999998</v>
      </c>
      <c r="N37" s="436"/>
      <c r="O37" s="422">
        <v>97.304000000000002</v>
      </c>
      <c r="P37" s="422">
        <v>96.147000000000006</v>
      </c>
      <c r="Q37" s="422">
        <v>95.234999999999999</v>
      </c>
      <c r="R37" s="422">
        <v>94.516000000000005</v>
      </c>
      <c r="S37" s="423">
        <v>95.796999999999997</v>
      </c>
      <c r="T37" s="436"/>
      <c r="U37" s="422">
        <v>93.629000000000005</v>
      </c>
      <c r="V37" s="422">
        <v>92.611999999999995</v>
      </c>
      <c r="W37" s="422">
        <v>91.713999999999999</v>
      </c>
      <c r="X37" s="422">
        <v>91.582999999999998</v>
      </c>
      <c r="Y37" s="423">
        <v>92.385000000000005</v>
      </c>
      <c r="Z37" s="436"/>
      <c r="AA37" s="422">
        <v>91.649000000000001</v>
      </c>
      <c r="AB37" s="422">
        <v>91.662000000000006</v>
      </c>
      <c r="AC37" s="422">
        <v>90.688000000000002</v>
      </c>
      <c r="AD37" s="422">
        <v>89.323999999999998</v>
      </c>
      <c r="AE37" s="423">
        <v>90.832999999999998</v>
      </c>
      <c r="AF37" s="436"/>
      <c r="AG37" s="422">
        <v>88.992000000000004</v>
      </c>
      <c r="AH37" s="422">
        <v>88.316999999999993</v>
      </c>
      <c r="AI37" s="422">
        <v>87.411000000000001</v>
      </c>
      <c r="AJ37" s="422">
        <v>86.712000000000003</v>
      </c>
      <c r="AK37" s="423">
        <v>87.840999999999994</v>
      </c>
      <c r="AL37" s="436"/>
      <c r="AM37" s="422">
        <v>86.049000000000007</v>
      </c>
      <c r="AN37" s="422">
        <v>85.481999999999999</v>
      </c>
      <c r="AO37" s="422">
        <v>85.185000000000002</v>
      </c>
      <c r="AP37" s="422">
        <v>85.006</v>
      </c>
      <c r="AQ37" s="419">
        <f>AVERAGE(AM37:AP37)</f>
        <v>85.430499999999995</v>
      </c>
      <c r="AR37" s="436"/>
      <c r="AS37" s="422">
        <v>84.977000000000004</v>
      </c>
      <c r="AT37" s="422">
        <v>84.730999999999995</v>
      </c>
      <c r="AU37" s="422">
        <v>83.662999999999997</v>
      </c>
      <c r="AV37" s="1494">
        <v>83.216999999999999</v>
      </c>
      <c r="AW37" s="422">
        <v>84.358000000000004</v>
      </c>
      <c r="AX37" s="436"/>
      <c r="AY37" s="422">
        <v>83.025000000000006</v>
      </c>
      <c r="AZ37" s="422">
        <v>82.563999999999993</v>
      </c>
      <c r="BA37" s="422">
        <v>82.036000000000001</v>
      </c>
      <c r="BB37" s="422">
        <v>81.650000000000006</v>
      </c>
      <c r="BC37" s="419">
        <f>AVERAGE(AY37:BB37)</f>
        <v>82.318749999999994</v>
      </c>
      <c r="BD37" s="436"/>
      <c r="BE37" s="422">
        <v>81.275000000000006</v>
      </c>
      <c r="BF37" s="422">
        <v>80.804000000000002</v>
      </c>
      <c r="BG37" s="422">
        <v>80.677000000000007</v>
      </c>
      <c r="BH37" s="422">
        <v>80.366</v>
      </c>
      <c r="BI37" s="419">
        <f>AVERAGE(BE37:BH37)</f>
        <v>80.780500000000004</v>
      </c>
      <c r="BJ37" s="436"/>
      <c r="BK37" s="422">
        <v>80.072999999999993</v>
      </c>
      <c r="BL37" s="422">
        <v>79.978999999999999</v>
      </c>
      <c r="BM37" s="422">
        <v>79.712000000000003</v>
      </c>
      <c r="BN37" s="422">
        <v>79.453999999999994</v>
      </c>
      <c r="BO37" s="419">
        <f>AVERAGE(BK37:BN37)</f>
        <v>79.804500000000004</v>
      </c>
      <c r="BP37" s="436"/>
      <c r="BQ37" s="422">
        <f>-CFS!BQ78+BN37</f>
        <v>78.662333333333322</v>
      </c>
      <c r="BR37" s="422">
        <f>-CFS!BR78+BQ37</f>
        <v>77.887326857903432</v>
      </c>
      <c r="BS37" s="422">
        <f>-CFS!BS78+BR37</f>
        <v>77.128629969114044</v>
      </c>
      <c r="BT37" s="422">
        <f>-CFS!BT78+BS37</f>
        <v>76.385899440650519</v>
      </c>
      <c r="BU37" s="419">
        <f>AVERAGE(BQ37:BT37)</f>
        <v>77.516047400250329</v>
      </c>
      <c r="BV37" s="436"/>
      <c r="BW37" s="422">
        <f>-CFS!BW78+BT37</f>
        <v>75.658799269207947</v>
      </c>
      <c r="BX37" s="422">
        <f>-CFS!BX78+BW37</f>
        <v>74.947000522486888</v>
      </c>
      <c r="BY37" s="422">
        <f>-CFS!BY78+BX37</f>
        <v>74.250181190387892</v>
      </c>
      <c r="BZ37" s="422">
        <f>-CFS!BZ78+BY37</f>
        <v>73.568026039337624</v>
      </c>
      <c r="CA37" s="419">
        <f>AVERAGE(BW37:BZ37)</f>
        <v>74.606001755355081</v>
      </c>
      <c r="CB37" s="436"/>
      <c r="CC37" s="422">
        <f>-CFS!CC78+BZ37</f>
        <v>72.900226469680604</v>
      </c>
      <c r="CD37" s="422">
        <f>-CFS!CD78+CC37</f>
        <v>72.246480376071986</v>
      </c>
      <c r="CE37" s="422">
        <f>-CFS!CE78+CD37</f>
        <v>71.606492010808395</v>
      </c>
      <c r="CF37" s="422">
        <f>-CFS!CF78+CE37</f>
        <v>70.979971850034829</v>
      </c>
      <c r="CG37" s="419">
        <f>AVERAGE(CC37:CF37)</f>
        <v>71.933292676648946</v>
      </c>
      <c r="CH37" s="436"/>
      <c r="CI37" s="422">
        <f>-CFS!CI78+CF37</f>
        <v>70.366636462767175</v>
      </c>
      <c r="CJ37" s="422">
        <f>-CFS!CJ78+CI37</f>
        <v>69.766208382671095</v>
      </c>
      <c r="CK37" s="422">
        <f>-CFS!CK78+CJ37</f>
        <v>69.178415982539221</v>
      </c>
      <c r="CL37" s="422">
        <f>-CFS!CL78+CK37</f>
        <v>68.602993351409935</v>
      </c>
      <c r="CM37" s="419">
        <f>AVERAGE(CI37:CL37)</f>
        <v>69.47856354484685</v>
      </c>
      <c r="CN37"/>
      <c r="CO37"/>
      <c r="CP37"/>
      <c r="CQ37"/>
      <c r="CR37"/>
      <c r="CS37"/>
      <c r="CT37"/>
      <c r="CU37"/>
    </row>
    <row r="38" spans="1:120" s="208" customFormat="1" ht="12.75" hidden="1" customHeight="1" outlineLevel="1">
      <c r="A38" s="1469" t="s">
        <v>78</v>
      </c>
      <c r="B38" s="199"/>
      <c r="C38" s="200">
        <v>1.7819999999999965</v>
      </c>
      <c r="D38" s="201">
        <v>1.8029999999999973</v>
      </c>
      <c r="E38" s="201">
        <v>1.891</v>
      </c>
      <c r="F38" s="202">
        <f>F40-F37</f>
        <v>2.0890000000000128</v>
      </c>
      <c r="G38" s="203">
        <v>2.0049999999999999</v>
      </c>
      <c r="H38" s="204">
        <v>0</v>
      </c>
      <c r="I38" s="200">
        <v>1.5820000000000001</v>
      </c>
      <c r="J38" s="201">
        <v>1.4489999999999981</v>
      </c>
      <c r="K38" s="201">
        <v>1.675</v>
      </c>
      <c r="L38" s="202">
        <f>L40-L37</f>
        <v>0.79200000000000159</v>
      </c>
      <c r="M38" s="203">
        <v>1.3560000000000001</v>
      </c>
      <c r="N38" s="204">
        <v>0</v>
      </c>
      <c r="O38" s="200">
        <v>0.623</v>
      </c>
      <c r="P38" s="201">
        <v>0.84899999999999998</v>
      </c>
      <c r="Q38" s="201">
        <v>1.278</v>
      </c>
      <c r="R38" s="202">
        <f>R40-R37</f>
        <v>1.5949999999999989</v>
      </c>
      <c r="S38" s="203">
        <v>1.0649999999999999</v>
      </c>
      <c r="T38" s="204"/>
      <c r="U38" s="200">
        <v>1.5940000000000001</v>
      </c>
      <c r="V38" s="201">
        <v>1.6659999999999999</v>
      </c>
      <c r="W38" s="201">
        <v>1.5720000000000027</v>
      </c>
      <c r="X38" s="202">
        <f>X40-X37</f>
        <v>1.7609999999999957</v>
      </c>
      <c r="Y38" s="203">
        <v>1.671999999999997</v>
      </c>
      <c r="Z38" s="204"/>
      <c r="AA38" s="200">
        <v>1.6640000000000015</v>
      </c>
      <c r="AB38" s="201">
        <v>1.609</v>
      </c>
      <c r="AC38" s="201">
        <v>1.3719999999999999</v>
      </c>
      <c r="AD38" s="202">
        <f>AD40-AD37</f>
        <v>1.2420000000000044</v>
      </c>
      <c r="AE38" s="203">
        <v>1.4920000000000044</v>
      </c>
      <c r="AF38" s="204"/>
      <c r="AG38" s="200">
        <v>1.277000000000001</v>
      </c>
      <c r="AH38" s="201">
        <v>1.0640000000000001</v>
      </c>
      <c r="AI38" s="201">
        <v>1.04</v>
      </c>
      <c r="AJ38" s="202">
        <f>AJ40-AJ37</f>
        <v>1.1389999999999958</v>
      </c>
      <c r="AK38" s="203">
        <v>1.1379999999999999</v>
      </c>
      <c r="AL38" s="204"/>
      <c r="AM38" s="206"/>
      <c r="AN38" s="207"/>
      <c r="AO38" s="1251"/>
      <c r="AP38" s="202"/>
      <c r="AQ38" s="205"/>
      <c r="AR38" s="204"/>
      <c r="AS38" s="206"/>
      <c r="AT38" s="207"/>
      <c r="AU38" s="207"/>
      <c r="AV38" s="202"/>
      <c r="AW38" s="205"/>
      <c r="AX38" s="204"/>
      <c r="AY38" s="206"/>
      <c r="AZ38" s="207"/>
      <c r="BA38" s="207"/>
      <c r="BB38" s="207"/>
      <c r="BC38" s="205"/>
      <c r="BD38" s="199"/>
      <c r="BE38" s="206"/>
      <c r="BF38" s="207"/>
      <c r="BG38" s="207"/>
      <c r="BH38" s="202"/>
      <c r="BI38" s="205"/>
      <c r="BJ38" s="204"/>
      <c r="BK38" s="206"/>
      <c r="BL38" s="207"/>
      <c r="BM38" s="207"/>
      <c r="BN38" s="202"/>
      <c r="BO38" s="205"/>
      <c r="BP38" s="204"/>
      <c r="BQ38" s="206"/>
      <c r="BR38" s="207"/>
      <c r="BS38" s="207"/>
      <c r="BT38" s="202"/>
      <c r="BU38" s="205"/>
      <c r="BV38" s="204"/>
      <c r="BW38" s="206"/>
      <c r="BX38" s="207"/>
      <c r="BY38" s="207"/>
      <c r="BZ38" s="202"/>
      <c r="CA38" s="205"/>
      <c r="CB38" s="204"/>
      <c r="CC38" s="206"/>
      <c r="CD38" s="207"/>
      <c r="CE38" s="207"/>
      <c r="CF38" s="202"/>
      <c r="CG38" s="205"/>
      <c r="CH38" s="204"/>
      <c r="CI38" s="206"/>
      <c r="CJ38" s="207"/>
      <c r="CK38" s="207"/>
      <c r="CL38" s="202"/>
      <c r="CM38" s="205"/>
      <c r="CN38"/>
      <c r="CO38"/>
      <c r="CP38"/>
      <c r="CQ38"/>
      <c r="CR38"/>
      <c r="CS38"/>
      <c r="CT38"/>
      <c r="CU38"/>
      <c r="CV38" s="199"/>
      <c r="CW38" s="24"/>
      <c r="CX38" s="24"/>
      <c r="CY38" s="24"/>
      <c r="CZ38" s="24"/>
      <c r="DA38" s="24"/>
      <c r="DB38" s="24"/>
      <c r="DC38" s="24"/>
      <c r="DD38" s="24"/>
      <c r="DE38" s="24"/>
      <c r="DF38" s="24"/>
      <c r="DG38" s="24"/>
      <c r="DH38" s="24"/>
      <c r="DI38" s="24"/>
      <c r="DJ38" s="24"/>
      <c r="DK38" s="24"/>
      <c r="DL38" s="24"/>
      <c r="DM38" s="24"/>
      <c r="DN38" s="24"/>
      <c r="DO38" s="24"/>
      <c r="DP38" s="24"/>
    </row>
    <row r="39" spans="1:120" s="122" customFormat="1" ht="12.75" hidden="1" customHeight="1" outlineLevel="1">
      <c r="A39" s="1470" t="s">
        <v>47</v>
      </c>
      <c r="B39" s="117"/>
      <c r="C39" s="118"/>
      <c r="D39" s="119"/>
      <c r="E39" s="119"/>
      <c r="F39" s="120"/>
      <c r="G39" s="121">
        <f>CFS!G60</f>
        <v>63.31222412749004</v>
      </c>
      <c r="H39" s="117"/>
      <c r="I39" s="118">
        <f>CFS!I60</f>
        <v>62.755075131147564</v>
      </c>
      <c r="J39" s="119">
        <f>CFS!J60</f>
        <v>60.710148859375018</v>
      </c>
      <c r="K39" s="119">
        <f>CFS!K60</f>
        <v>64.98968076562501</v>
      </c>
      <c r="L39" s="120">
        <f>CFS!L60</f>
        <v>41.893743234375023</v>
      </c>
      <c r="M39" s="121">
        <f>CFS!M60</f>
        <v>57.525882395256851</v>
      </c>
      <c r="N39" s="117"/>
      <c r="O39" s="118">
        <f>CFS!O60</f>
        <v>36.255075639344277</v>
      </c>
      <c r="P39" s="119">
        <f>CFS!P60</f>
        <v>44.069357682539703</v>
      </c>
      <c r="Q39" s="119">
        <f>CFS!Q60</f>
        <v>51.824993890624995</v>
      </c>
      <c r="R39" s="120">
        <f>CFS!R60</f>
        <v>59.133899656250016</v>
      </c>
      <c r="S39" s="121">
        <f>CFS!S60</f>
        <v>47.97340609126983</v>
      </c>
      <c r="T39" s="117"/>
      <c r="U39" s="118">
        <f>CFS!U60</f>
        <v>61.522024421875045</v>
      </c>
      <c r="V39" s="119">
        <f>CFS!V60</f>
        <v>69.046818301587322</v>
      </c>
      <c r="W39" s="119">
        <f>CFS!W60</f>
        <v>65.24140046875003</v>
      </c>
      <c r="X39" s="120">
        <f>CFS!X60</f>
        <v>76.18968012500001</v>
      </c>
      <c r="Y39" s="121">
        <f>CFS!Y60</f>
        <v>67.995875584313708</v>
      </c>
      <c r="Z39" s="117"/>
      <c r="AA39" s="118">
        <f>CFS!AA60</f>
        <v>80.509993725806467</v>
      </c>
      <c r="AB39" s="119">
        <f>CFS!AB60</f>
        <v>93.822532968253995</v>
      </c>
      <c r="AC39" s="119">
        <f>CFS!AC60</f>
        <v>83.046243421875005</v>
      </c>
      <c r="AD39" s="120">
        <f>CFS!AD60</f>
        <v>76.649993349206426</v>
      </c>
      <c r="AE39" s="121">
        <f>CFS!AE60</f>
        <v>83.517255349206266</v>
      </c>
      <c r="AF39" s="117"/>
      <c r="AG39" s="118">
        <f>CFS!AG60</f>
        <v>86.565154322580696</v>
      </c>
      <c r="AH39" s="119">
        <f>CFS!AH60</f>
        <v>83.304120492063532</v>
      </c>
      <c r="AI39" s="119">
        <f>CFS!AI60</f>
        <v>79.233485190476244</v>
      </c>
      <c r="AJ39" s="120">
        <f>CFS!AJ60</f>
        <v>83.944671354838718</v>
      </c>
      <c r="AK39" s="121">
        <f>CFS!AK60</f>
        <v>83.245913399999935</v>
      </c>
      <c r="AL39" s="117"/>
      <c r="AM39" s="118">
        <f>CFS!AM60</f>
        <v>92.21865898333337</v>
      </c>
      <c r="AN39" s="119">
        <f>CFS!AN60</f>
        <v>95.756399625000043</v>
      </c>
      <c r="AO39" s="119">
        <f>CFS!AO60</f>
        <v>102.54562024999998</v>
      </c>
      <c r="AP39" s="120">
        <f>CFS!AP60</f>
        <v>100.80437020312505</v>
      </c>
      <c r="AQ39" s="1332" t="str">
        <f>CFS!AQ60</f>
        <v xml:space="preserve">$97.9 </v>
      </c>
      <c r="AR39" s="117"/>
      <c r="AS39" s="118">
        <f>CFS!AS60</f>
        <v>108.4</v>
      </c>
      <c r="AT39" s="119">
        <f>CFS!AT60</f>
        <v>105.18</v>
      </c>
      <c r="AU39" s="119">
        <f>CFS!AU60</f>
        <v>103.09077728125001</v>
      </c>
      <c r="AV39" s="120">
        <f>CFS!AV60</f>
        <v>109.54968865625003</v>
      </c>
      <c r="AW39" s="121">
        <f>CFS!AW60</f>
        <v>106.5370217738095</v>
      </c>
      <c r="AX39" s="117"/>
      <c r="AY39" s="118">
        <f>CFS!AY60</f>
        <v>119.28721819672135</v>
      </c>
      <c r="AZ39" s="119">
        <f>CFS!AZ60</f>
        <v>129.76333841269843</v>
      </c>
      <c r="BA39" s="119">
        <f>CFS!BA60</f>
        <v>126.48547406250003</v>
      </c>
      <c r="BB39" s="119">
        <f>CFS!BB60</f>
        <v>128.49516109375003</v>
      </c>
      <c r="BC39" s="121">
        <f>CFS!BC60</f>
        <v>126.00779794141746</v>
      </c>
      <c r="BD39" s="117"/>
      <c r="BE39" s="118">
        <f>CFS!BE60</f>
        <v>124.74508688524588</v>
      </c>
      <c r="BF39" s="119">
        <f>CFS!BF60</f>
        <v>135.2742240625</v>
      </c>
      <c r="BG39" s="119">
        <f>CFS!BG60</f>
        <v>154.74359874999999</v>
      </c>
      <c r="BH39" s="120">
        <f>CFS!BH60</f>
        <v>142.71635365079368</v>
      </c>
      <c r="BI39" s="121">
        <f>CFS!BI60</f>
        <v>139.36981583713489</v>
      </c>
      <c r="BJ39" s="117"/>
      <c r="BK39" s="118">
        <f>CFS!BK60</f>
        <v>149.34871451612904</v>
      </c>
      <c r="BL39" s="119">
        <f>CFS!BL60</f>
        <v>173.76270380952386</v>
      </c>
      <c r="BM39" s="119">
        <f>CFS!BM60</f>
        <v>181.3247671428571</v>
      </c>
      <c r="BN39" s="120">
        <f>CFS!BN60</f>
        <v>193.09429063492067</v>
      </c>
      <c r="BO39" s="121">
        <f>CFS!BO60</f>
        <v>174.38261902585765</v>
      </c>
      <c r="BP39" s="117"/>
      <c r="BQ39" s="118">
        <f>CFS!BQ60</f>
        <v>210</v>
      </c>
      <c r="BR39" s="119">
        <f>CFS!BR60</f>
        <v>214.51433668058274</v>
      </c>
      <c r="BS39" s="119">
        <f>CFS!BS60</f>
        <v>219.12571734052574</v>
      </c>
      <c r="BT39" s="120">
        <f>CFS!BT60</f>
        <v>223.83622811885593</v>
      </c>
      <c r="BU39" s="121">
        <f>CFS!BU60</f>
        <v>216.8690705349911</v>
      </c>
      <c r="BV39" s="117"/>
      <c r="BW39" s="118">
        <f>CFS!BW60</f>
        <v>228.64799999999991</v>
      </c>
      <c r="BX39" s="119">
        <f>CFS!BX60</f>
        <v>233.5632097778184</v>
      </c>
      <c r="BY39" s="119">
        <f>CFS!BY60</f>
        <v>238.58408104036434</v>
      </c>
      <c r="BZ39" s="120">
        <f>CFS!BZ60</f>
        <v>243.71288517581024</v>
      </c>
      <c r="CA39" s="121">
        <f>CFS!CA60</f>
        <v>236.12704399849824</v>
      </c>
      <c r="CB39" s="117"/>
      <c r="CC39" s="118">
        <f>CFS!CC60</f>
        <v>248.95194239999981</v>
      </c>
      <c r="CD39" s="119">
        <f>CFS!CD60</f>
        <v>254.30362280608858</v>
      </c>
      <c r="CE39" s="119">
        <f>CFS!CE60</f>
        <v>259.77034743674858</v>
      </c>
      <c r="CF39" s="120">
        <f>CFS!CF60</f>
        <v>265.35458937942207</v>
      </c>
      <c r="CG39" s="121">
        <f>CFS!CG60</f>
        <v>257.09512550556474</v>
      </c>
      <c r="CH39" s="117"/>
      <c r="CI39" s="118">
        <f>CFS!CI60</f>
        <v>271.05887488511968</v>
      </c>
      <c r="CJ39" s="119">
        <f>CFS!CJ60</f>
        <v>276.88578451126915</v>
      </c>
      <c r="CK39" s="119">
        <f>CFS!CK60</f>
        <v>282.8379542891318</v>
      </c>
      <c r="CL39" s="120">
        <f>CFS!CL60</f>
        <v>288.9180769163147</v>
      </c>
      <c r="CM39" s="121">
        <f>CFS!CM60</f>
        <v>279.92517265045882</v>
      </c>
      <c r="CN39"/>
      <c r="CO39"/>
      <c r="CP39"/>
      <c r="CQ39"/>
      <c r="CR39"/>
      <c r="CS39"/>
      <c r="CT39"/>
      <c r="CU39"/>
      <c r="CV39" s="123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24"/>
      <c r="DH39" s="24"/>
      <c r="DI39" s="24"/>
      <c r="DJ39" s="24"/>
      <c r="DK39" s="24"/>
      <c r="DL39" s="24"/>
      <c r="DM39" s="24"/>
      <c r="DN39" s="24"/>
      <c r="DO39" s="24"/>
      <c r="DP39" s="24"/>
    </row>
    <row r="40" spans="1:120" s="24" customFormat="1" collapsed="1">
      <c r="A40" s="1471" t="s">
        <v>210</v>
      </c>
      <c r="B40" s="416"/>
      <c r="C40" s="422">
        <v>103.19799999999999</v>
      </c>
      <c r="D40" s="422">
        <v>102.13</v>
      </c>
      <c r="E40" s="422">
        <v>101.712</v>
      </c>
      <c r="F40" s="422">
        <v>102.77800000000001</v>
      </c>
      <c r="G40" s="423">
        <v>102.505</v>
      </c>
      <c r="H40" s="419"/>
      <c r="I40" s="438">
        <v>101.983</v>
      </c>
      <c r="J40" s="438">
        <v>101.035</v>
      </c>
      <c r="K40" s="438">
        <v>100.566</v>
      </c>
      <c r="L40" s="438">
        <v>98.820999999999998</v>
      </c>
      <c r="M40" s="423">
        <v>100.55500000000001</v>
      </c>
      <c r="N40" s="419"/>
      <c r="O40" s="422">
        <v>97.927000000000007</v>
      </c>
      <c r="P40" s="422">
        <v>96.995999999999995</v>
      </c>
      <c r="Q40" s="422">
        <v>96.513000000000005</v>
      </c>
      <c r="R40" s="422">
        <v>96.111000000000004</v>
      </c>
      <c r="S40" s="423">
        <v>96.861999999999995</v>
      </c>
      <c r="T40" s="419"/>
      <c r="U40" s="422">
        <v>95.222999999999999</v>
      </c>
      <c r="V40" s="422">
        <v>94.278000000000006</v>
      </c>
      <c r="W40" s="422">
        <v>93.286000000000001</v>
      </c>
      <c r="X40" s="422">
        <v>93.343999999999994</v>
      </c>
      <c r="Y40" s="423">
        <v>94.057000000000002</v>
      </c>
      <c r="Z40" s="419"/>
      <c r="AA40" s="422">
        <v>93.313000000000002</v>
      </c>
      <c r="AB40" s="422">
        <v>93.271000000000001</v>
      </c>
      <c r="AC40" s="422">
        <v>92.06</v>
      </c>
      <c r="AD40" s="422">
        <v>90.566000000000003</v>
      </c>
      <c r="AE40" s="423">
        <v>92.325000000000003</v>
      </c>
      <c r="AF40" s="419"/>
      <c r="AG40" s="422">
        <v>90.269000000000005</v>
      </c>
      <c r="AH40" s="422">
        <v>89.381</v>
      </c>
      <c r="AI40" s="422">
        <v>88.450999999999993</v>
      </c>
      <c r="AJ40" s="422">
        <v>87.850999999999999</v>
      </c>
      <c r="AK40" s="423">
        <v>89.978999999999999</v>
      </c>
      <c r="AL40" s="419"/>
      <c r="AM40" s="422">
        <v>87.215000000000003</v>
      </c>
      <c r="AN40" s="422">
        <v>86.575999999999993</v>
      </c>
      <c r="AO40" s="422">
        <v>86.364000000000004</v>
      </c>
      <c r="AP40" s="422">
        <v>86.016999999999996</v>
      </c>
      <c r="AQ40" s="419">
        <f>AVERAGE(AM40:AP40)</f>
        <v>86.542999999999992</v>
      </c>
      <c r="AR40" s="419"/>
      <c r="AS40" s="422">
        <v>85.873000000000005</v>
      </c>
      <c r="AT40" s="422">
        <v>85.537999999999997</v>
      </c>
      <c r="AU40" s="422">
        <v>84.400999999999996</v>
      </c>
      <c r="AV40" s="1494">
        <v>84.015000000000001</v>
      </c>
      <c r="AW40" s="422">
        <v>85.150999999999996</v>
      </c>
      <c r="AX40" s="419"/>
      <c r="AY40" s="422">
        <v>83.751999999999995</v>
      </c>
      <c r="AZ40" s="422">
        <v>83.331999999999994</v>
      </c>
      <c r="BA40" s="422">
        <v>82.784000000000006</v>
      </c>
      <c r="BB40" s="422">
        <v>82.382000000000005</v>
      </c>
      <c r="BC40" s="419">
        <f>AVERAGE(AY40:BB40)</f>
        <v>83.0625</v>
      </c>
      <c r="BD40" s="419"/>
      <c r="BE40" s="422">
        <v>81.974000000000004</v>
      </c>
      <c r="BF40" s="422">
        <v>81.454999999999998</v>
      </c>
      <c r="BG40" s="422">
        <v>81.388000000000005</v>
      </c>
      <c r="BH40" s="422">
        <v>80.953999999999994</v>
      </c>
      <c r="BI40" s="419">
        <f>AVERAGE(BE40:BH40)</f>
        <v>81.442750000000004</v>
      </c>
      <c r="BJ40" s="419"/>
      <c r="BK40" s="422">
        <v>80.769000000000005</v>
      </c>
      <c r="BL40" s="422">
        <v>80.756</v>
      </c>
      <c r="BM40" s="422">
        <v>80.521000000000001</v>
      </c>
      <c r="BN40" s="422">
        <v>79.453999999999994</v>
      </c>
      <c r="BO40" s="419">
        <f>AVERAGE(BK40:BN40)</f>
        <v>80.375</v>
      </c>
      <c r="BP40" s="419"/>
      <c r="BQ40" s="422">
        <f>BQ37*BQ41</f>
        <v>78.662333333333322</v>
      </c>
      <c r="BR40" s="422">
        <f>BR37*BR41</f>
        <v>77.887326857903432</v>
      </c>
      <c r="BS40" s="422">
        <f>BS37*BS41</f>
        <v>77.128629969114044</v>
      </c>
      <c r="BT40" s="422">
        <f>BT37*BT41</f>
        <v>76.385899440650519</v>
      </c>
      <c r="BU40" s="423">
        <f>AVERAGE(BQ40:BT40)</f>
        <v>77.516047400250329</v>
      </c>
      <c r="BV40" s="419"/>
      <c r="BW40" s="422">
        <f>BW37*BW41</f>
        <v>75.658799269207947</v>
      </c>
      <c r="BX40" s="422">
        <f>BX37*BX41</f>
        <v>74.947000522486888</v>
      </c>
      <c r="BY40" s="422">
        <f>BY37*BY41</f>
        <v>74.250181190387892</v>
      </c>
      <c r="BZ40" s="422">
        <f>BZ37*BZ41</f>
        <v>73.568026039337624</v>
      </c>
      <c r="CA40" s="423">
        <f>AVERAGE(BW40:BZ40)</f>
        <v>74.606001755355081</v>
      </c>
      <c r="CB40" s="419"/>
      <c r="CC40" s="422">
        <f>CC37*CC41</f>
        <v>72.900226469680604</v>
      </c>
      <c r="CD40" s="422">
        <f>CD37*CD41</f>
        <v>72.246480376071986</v>
      </c>
      <c r="CE40" s="422">
        <f>CE37*CE41</f>
        <v>71.606492010808395</v>
      </c>
      <c r="CF40" s="422">
        <f>CF37*CF41</f>
        <v>70.979971850034829</v>
      </c>
      <c r="CG40" s="423">
        <f>AVERAGE(CC40:CF40)</f>
        <v>71.933292676648946</v>
      </c>
      <c r="CH40" s="419"/>
      <c r="CI40" s="422">
        <f>CI37*CI41</f>
        <v>70.366636462767175</v>
      </c>
      <c r="CJ40" s="422">
        <f>CJ37*CJ41</f>
        <v>69.766208382671095</v>
      </c>
      <c r="CK40" s="422">
        <f>CK37*CK41</f>
        <v>69.178415982539221</v>
      </c>
      <c r="CL40" s="422">
        <f>CL37*CL41</f>
        <v>68.602993351409935</v>
      </c>
      <c r="CM40" s="423">
        <f>AVERAGE(CI40:CL40)</f>
        <v>69.47856354484685</v>
      </c>
      <c r="CN40"/>
      <c r="CO40"/>
      <c r="CP40"/>
      <c r="CQ40"/>
      <c r="CR40"/>
      <c r="CS40"/>
      <c r="CT40"/>
      <c r="CU40"/>
    </row>
    <row r="41" spans="1:120" s="24" customFormat="1" ht="12.75" hidden="1" customHeight="1" outlineLevel="1">
      <c r="A41" s="1472" t="s">
        <v>211</v>
      </c>
      <c r="B41" s="446"/>
      <c r="C41" s="447"/>
      <c r="D41" s="447"/>
      <c r="E41" s="447"/>
      <c r="F41" s="447"/>
      <c r="G41" s="442"/>
      <c r="H41" s="448"/>
      <c r="I41" s="449">
        <f>I40/I37</f>
        <v>1.0157568151711638</v>
      </c>
      <c r="J41" s="449">
        <f>J40/J37</f>
        <v>1.0145502379852589</v>
      </c>
      <c r="K41" s="449">
        <f>K40/K37</f>
        <v>1.01693784065284</v>
      </c>
      <c r="L41" s="449">
        <f>L40/L37</f>
        <v>1.0080792418570015</v>
      </c>
      <c r="M41" s="442"/>
      <c r="N41" s="448"/>
      <c r="O41" s="449">
        <f>O40/O37</f>
        <v>1.0064026144865577</v>
      </c>
      <c r="P41" s="449">
        <f>P40/P37</f>
        <v>1.0088302287122841</v>
      </c>
      <c r="Q41" s="449">
        <f>Q40/Q37</f>
        <v>1.0134194361316744</v>
      </c>
      <c r="R41" s="449">
        <f>R40/R37</f>
        <v>1.0168754496593169</v>
      </c>
      <c r="S41" s="442"/>
      <c r="T41" s="448"/>
      <c r="U41" s="449">
        <f>U40/U37</f>
        <v>1.0170246398017708</v>
      </c>
      <c r="V41" s="449">
        <f>V40/V37</f>
        <v>1.0179890294994169</v>
      </c>
      <c r="W41" s="449">
        <f>W40/W37</f>
        <v>1.0171402403122751</v>
      </c>
      <c r="X41" s="449">
        <f>X40/X37</f>
        <v>1.0192284594302436</v>
      </c>
      <c r="Y41" s="450"/>
      <c r="Z41" s="450"/>
      <c r="AA41" s="449">
        <f>AA40/AA37</f>
        <v>1.0181562264727384</v>
      </c>
      <c r="AB41" s="449">
        <f>AB40/AB37</f>
        <v>1.0175536209116101</v>
      </c>
      <c r="AC41" s="449">
        <f>AC40/AC37</f>
        <v>1.0151287932251234</v>
      </c>
      <c r="AD41" s="449">
        <f>AD40/AD37</f>
        <v>1.0139044377770812</v>
      </c>
      <c r="AE41" s="1142"/>
      <c r="AF41" s="448"/>
      <c r="AG41" s="449">
        <f>AG40/AG37</f>
        <v>1.0143496044588278</v>
      </c>
      <c r="AH41" s="449">
        <f>AH40/AH37</f>
        <v>1.0120475106717848</v>
      </c>
      <c r="AI41" s="449">
        <f>AI40/AI37</f>
        <v>1.0118978160643397</v>
      </c>
      <c r="AJ41" s="449">
        <f>AJ40/AJ37</f>
        <v>1.0131354368484178</v>
      </c>
      <c r="AK41" s="1934">
        <f>AK40/AK37</f>
        <v>1.0243394314727747</v>
      </c>
      <c r="AL41" s="442"/>
      <c r="AM41" s="464">
        <f>AM40/AM37</f>
        <v>1.0135504189473439</v>
      </c>
      <c r="AN41" s="464">
        <f>AN40/AN37</f>
        <v>1.0127980159565755</v>
      </c>
      <c r="AO41" s="464">
        <f>AO40/AO37</f>
        <v>1.0138404648705759</v>
      </c>
      <c r="AP41" s="1933">
        <f>AP40/AP37</f>
        <v>1.0118932781215444</v>
      </c>
      <c r="AQ41" s="464">
        <f>AQ40/AQ37</f>
        <v>1.0130222812695699</v>
      </c>
      <c r="AR41" s="442"/>
      <c r="AS41" s="464">
        <f>AS40/AS37</f>
        <v>1.01054402956094</v>
      </c>
      <c r="AT41" s="464">
        <f>AT40/AT37</f>
        <v>1.0095242591259397</v>
      </c>
      <c r="AU41" s="464">
        <f>AU40/AU37</f>
        <v>1.0088211037137085</v>
      </c>
      <c r="AV41" s="1933">
        <f>AV40/AV37</f>
        <v>1.0095893867839505</v>
      </c>
      <c r="AW41" s="464">
        <f>+AV41</f>
        <v>1.0095893867839505</v>
      </c>
      <c r="AX41" s="442"/>
      <c r="AY41" s="464">
        <f>AY40/AY37</f>
        <v>1.0087563986750978</v>
      </c>
      <c r="AZ41" s="464">
        <f>AZ40/AZ37</f>
        <v>1.0093018749091613</v>
      </c>
      <c r="BA41" s="464">
        <f>BA40/BA37</f>
        <v>1.0091179482178556</v>
      </c>
      <c r="BB41" s="464">
        <f>BB40/BB37</f>
        <v>1.0089650949173301</v>
      </c>
      <c r="BC41" s="1934">
        <f>BC40/BC37</f>
        <v>1.0090350011388658</v>
      </c>
      <c r="BD41" s="448"/>
      <c r="BE41" s="451">
        <f>BE40/BE37</f>
        <v>1.0086004306367271</v>
      </c>
      <c r="BF41" s="451">
        <f>BF40/BF37</f>
        <v>1.0080565318548587</v>
      </c>
      <c r="BG41" s="451">
        <f>BG40/BG37</f>
        <v>1.0088129206589238</v>
      </c>
      <c r="BH41" s="1141">
        <f>BH40/BH37</f>
        <v>1.0073165268894806</v>
      </c>
      <c r="BI41" s="464">
        <f>BI40/BI37</f>
        <v>1.0081981418782999</v>
      </c>
      <c r="BJ41" s="448"/>
      <c r="BK41" s="451">
        <f>BK40/BK37</f>
        <v>1.0086920684875054</v>
      </c>
      <c r="BL41" s="451">
        <f>BL40/BL37</f>
        <v>1.0097150502006778</v>
      </c>
      <c r="BM41" s="451">
        <f>BM40/BM37</f>
        <v>1.0101490365315133</v>
      </c>
      <c r="BN41" s="1933">
        <f>BN40/BN37</f>
        <v>1</v>
      </c>
      <c r="BO41" s="1934">
        <f>BO40/BO37</f>
        <v>1.007148719683727</v>
      </c>
      <c r="BP41" s="448"/>
      <c r="BQ41" s="464">
        <f>BN41</f>
        <v>1</v>
      </c>
      <c r="BR41" s="464">
        <f>BQ41</f>
        <v>1</v>
      </c>
      <c r="BS41" s="464">
        <f>BR41</f>
        <v>1</v>
      </c>
      <c r="BT41" s="1933">
        <f>BS41</f>
        <v>1</v>
      </c>
      <c r="BU41" s="1934">
        <f>BU40/BU37</f>
        <v>1</v>
      </c>
      <c r="BV41" s="448"/>
      <c r="BW41" s="464">
        <f>BT41</f>
        <v>1</v>
      </c>
      <c r="BX41" s="464">
        <f>BW41</f>
        <v>1</v>
      </c>
      <c r="BY41" s="464">
        <f>BX41</f>
        <v>1</v>
      </c>
      <c r="BZ41" s="1933">
        <f>BY41</f>
        <v>1</v>
      </c>
      <c r="CA41" s="1934">
        <f>CA40/CA37</f>
        <v>1</v>
      </c>
      <c r="CB41" s="448"/>
      <c r="CC41" s="464">
        <f>BZ41</f>
        <v>1</v>
      </c>
      <c r="CD41" s="464">
        <f>CC41</f>
        <v>1</v>
      </c>
      <c r="CE41" s="464">
        <f>CD41</f>
        <v>1</v>
      </c>
      <c r="CF41" s="1933">
        <f>CE41</f>
        <v>1</v>
      </c>
      <c r="CG41" s="1934">
        <f>CG40/CG37</f>
        <v>1</v>
      </c>
      <c r="CH41" s="448"/>
      <c r="CI41" s="464">
        <f>CF41</f>
        <v>1</v>
      </c>
      <c r="CJ41" s="464">
        <f>CI41</f>
        <v>1</v>
      </c>
      <c r="CK41" s="464">
        <f>CJ41</f>
        <v>1</v>
      </c>
      <c r="CL41" s="1933">
        <f>CK41</f>
        <v>1</v>
      </c>
      <c r="CM41" s="1934">
        <f>CM40/CM37</f>
        <v>1</v>
      </c>
      <c r="CN41"/>
      <c r="CO41"/>
      <c r="CP41"/>
      <c r="CQ41"/>
      <c r="CR41"/>
      <c r="CS41"/>
      <c r="CT41"/>
      <c r="CU41"/>
    </row>
    <row r="42" spans="1:120" s="24" customFormat="1" ht="6.75" customHeight="1" collapsed="1">
      <c r="A42" s="1472"/>
      <c r="B42" s="454"/>
      <c r="C42" s="455"/>
      <c r="D42" s="455"/>
      <c r="E42" s="455"/>
      <c r="F42" s="455"/>
      <c r="G42" s="456"/>
      <c r="H42" s="457"/>
      <c r="I42" s="455"/>
      <c r="J42" s="455"/>
      <c r="K42" s="455"/>
      <c r="L42" s="455"/>
      <c r="M42" s="456"/>
      <c r="N42" s="457"/>
      <c r="O42" s="458"/>
      <c r="P42" s="455"/>
      <c r="Q42" s="455"/>
      <c r="R42" s="459"/>
      <c r="S42" s="460"/>
      <c r="T42" s="457"/>
      <c r="U42" s="455"/>
      <c r="V42" s="455"/>
      <c r="W42" s="455"/>
      <c r="X42" s="461"/>
      <c r="Y42" s="459"/>
      <c r="Z42" s="457"/>
      <c r="AA42" s="455"/>
      <c r="AB42" s="455"/>
      <c r="AC42" s="451"/>
      <c r="AD42" s="451"/>
      <c r="AE42" s="459"/>
      <c r="AF42" s="457"/>
      <c r="AG42" s="451"/>
      <c r="AH42" s="451"/>
      <c r="AI42" s="451"/>
      <c r="AJ42" s="451"/>
      <c r="AK42" s="462"/>
      <c r="AL42" s="457"/>
      <c r="AM42" s="451"/>
      <c r="AN42" s="451"/>
      <c r="AO42" s="451"/>
      <c r="AP42" s="451"/>
      <c r="AQ42" s="1626"/>
      <c r="AR42" s="457"/>
      <c r="AS42" s="451"/>
      <c r="AT42" s="451"/>
      <c r="AU42" s="451"/>
      <c r="AV42" s="451"/>
      <c r="AW42" s="1626"/>
      <c r="AX42" s="457"/>
      <c r="AY42" s="1529"/>
      <c r="AZ42" s="451"/>
      <c r="BA42" s="1529"/>
      <c r="BB42" s="1529"/>
      <c r="BC42" s="1626"/>
      <c r="BD42" s="463"/>
      <c r="BE42" s="464"/>
      <c r="BF42" s="451"/>
      <c r="BG42" s="451"/>
      <c r="BH42" s="451"/>
      <c r="BI42" s="1626"/>
      <c r="BJ42" s="457"/>
      <c r="BK42" s="464"/>
      <c r="BL42" s="451"/>
      <c r="BM42" s="451"/>
      <c r="BN42" s="451"/>
      <c r="BO42" s="1626"/>
      <c r="BP42" s="457"/>
      <c r="BQ42" s="464"/>
      <c r="BR42" s="451"/>
      <c r="BS42" s="451"/>
      <c r="BT42" s="451"/>
      <c r="BU42" s="1626"/>
      <c r="BV42" s="457"/>
      <c r="BW42" s="464"/>
      <c r="BX42" s="451"/>
      <c r="BY42" s="451"/>
      <c r="BZ42" s="451"/>
      <c r="CA42" s="1626"/>
      <c r="CB42" s="457"/>
      <c r="CC42" s="464"/>
      <c r="CD42" s="451"/>
      <c r="CE42" s="451"/>
      <c r="CF42" s="451"/>
      <c r="CG42" s="1626"/>
      <c r="CH42" s="457"/>
      <c r="CI42" s="464"/>
      <c r="CJ42" s="451"/>
      <c r="CK42" s="451"/>
      <c r="CL42" s="451"/>
      <c r="CM42" s="1626"/>
      <c r="CN42"/>
      <c r="CO42"/>
      <c r="CP42"/>
      <c r="CQ42"/>
      <c r="CR42"/>
      <c r="CS42"/>
      <c r="CT42"/>
      <c r="CU42"/>
    </row>
    <row r="43" spans="1:120" ht="15" customHeight="1">
      <c r="A43" s="1462" t="s">
        <v>222</v>
      </c>
      <c r="B43" s="2"/>
      <c r="C43" s="2"/>
      <c r="D43" s="2"/>
      <c r="E43" s="2"/>
      <c r="F43" s="2"/>
      <c r="G43" s="3"/>
      <c r="H43" s="2"/>
      <c r="I43" s="102"/>
      <c r="J43" s="2"/>
      <c r="K43" s="2"/>
      <c r="L43" s="2"/>
      <c r="M43" s="3"/>
      <c r="N43" s="2"/>
      <c r="O43" s="102"/>
      <c r="P43" s="2"/>
      <c r="Q43" s="2"/>
      <c r="R43" s="2"/>
      <c r="S43" s="3"/>
      <c r="T43" s="2"/>
      <c r="U43" s="2"/>
      <c r="V43" s="2"/>
      <c r="W43" s="2"/>
      <c r="X43" s="2"/>
      <c r="Y43" s="3"/>
      <c r="Z43" s="2"/>
      <c r="AA43" s="2"/>
      <c r="AB43" s="2"/>
      <c r="AC43" s="2"/>
      <c r="AD43" s="116"/>
      <c r="AE43" s="116"/>
      <c r="AF43" s="2"/>
      <c r="AG43" s="2"/>
      <c r="AH43" s="2"/>
      <c r="AI43" s="2"/>
      <c r="AJ43" s="2"/>
      <c r="AK43" s="3"/>
      <c r="AL43" s="2"/>
      <c r="AM43" s="2"/>
      <c r="AN43" s="2"/>
      <c r="AO43" s="2"/>
      <c r="AP43" s="2"/>
      <c r="AQ43" s="3"/>
      <c r="AR43" s="2"/>
      <c r="AS43" s="2"/>
      <c r="AT43" s="2"/>
      <c r="AU43" s="2"/>
      <c r="AV43" s="2"/>
      <c r="AW43" s="3"/>
      <c r="AX43" s="2"/>
      <c r="AY43" s="2"/>
      <c r="AZ43" s="2"/>
      <c r="BA43" s="2"/>
      <c r="BB43" s="2"/>
      <c r="BC43" s="3"/>
      <c r="BD43" s="2"/>
      <c r="BE43" s="2"/>
      <c r="BF43" s="2"/>
      <c r="BG43" s="2"/>
      <c r="BH43" s="2"/>
      <c r="BI43" s="3"/>
      <c r="BJ43" s="2"/>
      <c r="BK43" s="102"/>
      <c r="BL43" s="2"/>
      <c r="BM43" s="2"/>
      <c r="BN43" s="2"/>
      <c r="BO43" s="3"/>
      <c r="BP43" s="2"/>
      <c r="BQ43" s="102"/>
      <c r="BR43" s="2"/>
      <c r="BS43" s="2"/>
      <c r="BT43" s="2"/>
      <c r="BU43" s="3"/>
      <c r="BV43" s="2"/>
      <c r="BW43" s="102"/>
      <c r="BX43" s="2"/>
      <c r="BY43" s="2"/>
      <c r="BZ43" s="2"/>
      <c r="CA43" s="3"/>
      <c r="CB43" s="2"/>
      <c r="CC43" s="102"/>
      <c r="CD43" s="2"/>
      <c r="CE43" s="2"/>
      <c r="CF43" s="2"/>
      <c r="CG43" s="3"/>
      <c r="CH43" s="2"/>
      <c r="CI43" s="102"/>
      <c r="CJ43" s="2"/>
      <c r="CK43" s="2"/>
      <c r="CL43" s="2"/>
      <c r="CM43" s="3"/>
    </row>
    <row r="44" spans="1:120" s="24" customFormat="1">
      <c r="A44" s="431" t="s">
        <v>118</v>
      </c>
      <c r="B44" s="465"/>
      <c r="C44" s="466">
        <f t="shared" ref="C44:G46" si="5">1-C12/C9</f>
        <v>0.56698319411567311</v>
      </c>
      <c r="D44" s="466">
        <f t="shared" si="5"/>
        <v>0.5683322462637892</v>
      </c>
      <c r="E44" s="466">
        <f t="shared" si="5"/>
        <v>0.57145004225296203</v>
      </c>
      <c r="F44" s="466">
        <f t="shared" si="5"/>
        <v>0.58354519305359465</v>
      </c>
      <c r="G44" s="467">
        <f t="shared" si="5"/>
        <v>0.57328885413102626</v>
      </c>
      <c r="H44" s="465"/>
      <c r="I44" s="1194">
        <f t="shared" ref="I44:M46" si="6">1-I12/I9</f>
        <v>0.58211872106839291</v>
      </c>
      <c r="J44" s="466">
        <f t="shared" si="6"/>
        <v>0.58208715509994113</v>
      </c>
      <c r="K44" s="466">
        <f t="shared" si="6"/>
        <v>0.59276228935311015</v>
      </c>
      <c r="L44" s="466">
        <f t="shared" si="6"/>
        <v>0.59060409101883438</v>
      </c>
      <c r="M44" s="467">
        <f t="shared" si="6"/>
        <v>0.58697473976652004</v>
      </c>
      <c r="N44" s="465"/>
      <c r="O44" s="469">
        <f t="shared" ref="O44:S46" si="7">1-O12/O9</f>
        <v>0.61731501387170784</v>
      </c>
      <c r="P44" s="470">
        <f t="shared" si="7"/>
        <v>0.60270314218230225</v>
      </c>
      <c r="Q44" s="470">
        <f t="shared" si="7"/>
        <v>0.59048622457301936</v>
      </c>
      <c r="R44" s="470">
        <f t="shared" si="7"/>
        <v>0.60328368093123907</v>
      </c>
      <c r="S44" s="467">
        <f t="shared" si="7"/>
        <v>0.60306799225995866</v>
      </c>
      <c r="T44" s="465"/>
      <c r="U44" s="469">
        <f t="shared" ref="U44:Y46" si="8">1-U12/U9</f>
        <v>0.60312211041610009</v>
      </c>
      <c r="V44" s="470">
        <f t="shared" si="8"/>
        <v>0.60329621153034729</v>
      </c>
      <c r="W44" s="470">
        <f t="shared" si="8"/>
        <v>0.59359212842673259</v>
      </c>
      <c r="X44" s="470">
        <f t="shared" si="8"/>
        <v>0.60864017800644366</v>
      </c>
      <c r="Y44" s="467">
        <f t="shared" si="8"/>
        <v>0.60246164743079933</v>
      </c>
      <c r="Z44" s="471"/>
      <c r="AA44" s="470">
        <f>1-AA12/AA9</f>
        <v>0.60283487253363521</v>
      </c>
      <c r="AB44" s="470">
        <f>1-AB12/AB9</f>
        <v>0.60658539364247477</v>
      </c>
      <c r="AC44" s="470">
        <f>1-AC12/AC9</f>
        <v>0.60329040291815361</v>
      </c>
      <c r="AD44" s="470">
        <f>1-AD12/AD9</f>
        <v>0.60829465689846951</v>
      </c>
      <c r="AE44" s="472">
        <f>1-AE12/AE9</f>
        <v>0.60539146837915636</v>
      </c>
      <c r="AF44" s="465"/>
      <c r="AG44" s="470">
        <f>1-AG12/AG9</f>
        <v>0.60212435011344767</v>
      </c>
      <c r="AH44" s="470">
        <f>1-AH12/AH9</f>
        <v>0.60715448595129184</v>
      </c>
      <c r="AI44" s="470">
        <f>1-AI12/AI9</f>
        <v>0.59395224379489364</v>
      </c>
      <c r="AJ44" s="473">
        <f>1-AJ12/AJ9</f>
        <v>0.60065814943863716</v>
      </c>
      <c r="AK44" s="472">
        <f>1-AK12/AK9</f>
        <v>0.60094671359554275</v>
      </c>
      <c r="AL44" s="471"/>
      <c r="AM44" s="473">
        <f>1-AM12/AM9</f>
        <v>0.59434676928367947</v>
      </c>
      <c r="AN44" s="473">
        <f>1-AN12/AN9</f>
        <v>0.5825255201001962</v>
      </c>
      <c r="AO44" s="473">
        <f>1-AO12/AO9</f>
        <v>0.58110457297673168</v>
      </c>
      <c r="AP44" s="473">
        <f>1-AP12/AP9</f>
        <v>0.59502730578231766</v>
      </c>
      <c r="AQ44" s="472">
        <f>1-AQ12/AQ9</f>
        <v>0.58856811562541678</v>
      </c>
      <c r="AR44" s="471"/>
      <c r="AS44" s="473">
        <f>1-AS12/AS9</f>
        <v>0.56395932247484359</v>
      </c>
      <c r="AT44" s="473">
        <f>1-AT12/AT9</f>
        <v>0.58104487122276627</v>
      </c>
      <c r="AU44" s="473">
        <f>1-AU12/AU9</f>
        <v>0.58995062504435647</v>
      </c>
      <c r="AV44" s="473">
        <f>1-AV12/AV9</f>
        <v>0.60073475259903741</v>
      </c>
      <c r="AW44" s="472">
        <f>1-AW12/AW9</f>
        <v>0.58533416040664665</v>
      </c>
      <c r="AX44" s="465"/>
      <c r="AY44" s="481">
        <f>1-AY12/AY9</f>
        <v>0.58895665545911857</v>
      </c>
      <c r="AZ44" s="473">
        <f>1-AZ12/AZ9</f>
        <v>0.57814811820350087</v>
      </c>
      <c r="BA44" s="473">
        <f>1-BA12/BA9</f>
        <v>0.58686957876694534</v>
      </c>
      <c r="BB44" s="473">
        <f>1-BB12/BB9</f>
        <v>0.59442389321695843</v>
      </c>
      <c r="BC44" s="472">
        <f>1-BC12/BC9</f>
        <v>0.58739715188323927</v>
      </c>
      <c r="BD44" s="465"/>
      <c r="BE44" s="481">
        <f>1-BE12/BE9</f>
        <v>0.57674341288511632</v>
      </c>
      <c r="BF44" s="473">
        <f>1-BF12/BF9</f>
        <v>0.58927426569256003</v>
      </c>
      <c r="BG44" s="473">
        <f>1-BG12/BG9</f>
        <v>0.58555131636391256</v>
      </c>
      <c r="BH44" s="473">
        <f>1-BH12/BH9</f>
        <v>0.59989789865248477</v>
      </c>
      <c r="BI44" s="472">
        <f>1-BI12/BI9</f>
        <v>0.58870372788329728</v>
      </c>
      <c r="BJ44" s="465"/>
      <c r="BK44" s="481">
        <f>1-BK12/BK9</f>
        <v>0.57608806973928095</v>
      </c>
      <c r="BL44" s="473">
        <f>1-BL12/BL9</f>
        <v>0.58866636811464401</v>
      </c>
      <c r="BM44" s="473">
        <f>1-BM12/BM9</f>
        <v>0.58292313785397032</v>
      </c>
      <c r="BN44" s="473">
        <f>1-BN12/BN9</f>
        <v>0.60648503146484289</v>
      </c>
      <c r="BO44" s="472">
        <f>1-BO12/BO9</f>
        <v>0.58985058105442945</v>
      </c>
      <c r="BP44" s="465"/>
      <c r="BQ44" s="481">
        <f>1-BQ12/BQ9</f>
        <v>0.57589833201146823</v>
      </c>
      <c r="BR44" s="473">
        <f>1-BR12/BR9</f>
        <v>0.58871842025705257</v>
      </c>
      <c r="BS44" s="473">
        <f>1-BS12/BS9</f>
        <v>0.58289427885960943</v>
      </c>
      <c r="BT44" s="473">
        <f>1-BT12/BT9</f>
        <v>0.60647570535570672</v>
      </c>
      <c r="BU44" s="472">
        <f>1-BU12/BU9</f>
        <v>0.58974926703861597</v>
      </c>
      <c r="BV44" s="465"/>
      <c r="BW44" s="481">
        <f>1-BW12/BW9</f>
        <v>0.57827686852772342</v>
      </c>
      <c r="BX44" s="473">
        <f>1-BX12/BX9</f>
        <v>0.59104991924497785</v>
      </c>
      <c r="BY44" s="473">
        <f>1-BY12/BY9</f>
        <v>0.58523404401263357</v>
      </c>
      <c r="BZ44" s="473">
        <f>1-BZ12/BZ9</f>
        <v>0.60886618038909079</v>
      </c>
      <c r="CA44" s="472">
        <f>1-CA12/CA9</f>
        <v>0.59205099927610716</v>
      </c>
      <c r="CB44" s="465"/>
      <c r="CC44" s="481">
        <f>1-CC12/CC9</f>
        <v>0.58055297786784466</v>
      </c>
      <c r="CD44" s="473">
        <f>1-CD12/CD9</f>
        <v>0.59326235404864336</v>
      </c>
      <c r="CE44" s="473">
        <f>1-CE12/CE9</f>
        <v>0.5875555450929526</v>
      </c>
      <c r="CF44" s="473">
        <f>1-CF12/CF9</f>
        <v>0.61121596398015932</v>
      </c>
      <c r="CG44" s="472">
        <f>1-CG12/CG9</f>
        <v>0.59428750259693097</v>
      </c>
      <c r="CH44" s="465"/>
      <c r="CI44" s="481">
        <f>1-CI12/CI9</f>
        <v>0.58282736271867508</v>
      </c>
      <c r="CJ44" s="473">
        <f>1-CJ12/CJ9</f>
        <v>0.5954642874243592</v>
      </c>
      <c r="CK44" s="473">
        <f>1-CK12/CK9</f>
        <v>0.58987624788670656</v>
      </c>
      <c r="CL44" s="473">
        <f>1-CL12/CL9</f>
        <v>0.61355815131268554</v>
      </c>
      <c r="CM44" s="472">
        <f>1-CM12/CM9</f>
        <v>0.59651932777710681</v>
      </c>
      <c r="CN44"/>
      <c r="CO44"/>
      <c r="CP44"/>
      <c r="CQ44"/>
      <c r="CR44"/>
      <c r="CS44"/>
      <c r="CT44"/>
      <c r="CU44"/>
    </row>
    <row r="45" spans="1:120" s="24" customFormat="1" ht="12.75" hidden="1" customHeight="1" outlineLevel="1">
      <c r="A45" s="1463" t="s">
        <v>223</v>
      </c>
      <c r="B45" s="347"/>
      <c r="C45" s="475">
        <f t="shared" si="5"/>
        <v>0.59463858582269902</v>
      </c>
      <c r="D45" s="475">
        <f t="shared" si="5"/>
        <v>0.59943705754308096</v>
      </c>
      <c r="E45" s="475">
        <f t="shared" si="5"/>
        <v>0.59203618228878518</v>
      </c>
      <c r="F45" s="475">
        <f t="shared" si="5"/>
        <v>0.60183485121140989</v>
      </c>
      <c r="G45" s="476">
        <f t="shared" si="5"/>
        <v>0.59733429447807629</v>
      </c>
      <c r="H45" s="347"/>
      <c r="I45" s="1195">
        <f t="shared" si="6"/>
        <v>0.60682528238404232</v>
      </c>
      <c r="J45" s="477">
        <f t="shared" si="6"/>
        <v>0.60798409033125411</v>
      </c>
      <c r="K45" s="477">
        <f t="shared" si="6"/>
        <v>0.61083405049024719</v>
      </c>
      <c r="L45" s="477">
        <f t="shared" si="6"/>
        <v>0.60533253661563524</v>
      </c>
      <c r="M45" s="476">
        <f t="shared" si="6"/>
        <v>0.60769498002431821</v>
      </c>
      <c r="N45" s="347"/>
      <c r="O45" s="478">
        <f t="shared" si="7"/>
        <v>0.63331398825225982</v>
      </c>
      <c r="P45" s="475">
        <f t="shared" si="7"/>
        <v>0.61144836127973623</v>
      </c>
      <c r="Q45" s="475">
        <f t="shared" si="7"/>
        <v>0.59913228426552401</v>
      </c>
      <c r="R45" s="475">
        <f t="shared" si="7"/>
        <v>0.61237908416993903</v>
      </c>
      <c r="S45" s="476">
        <f t="shared" si="7"/>
        <v>0.61341301814296501</v>
      </c>
      <c r="T45" s="347"/>
      <c r="U45" s="478">
        <f t="shared" si="8"/>
        <v>0.61506390243516884</v>
      </c>
      <c r="V45" s="475">
        <f t="shared" si="8"/>
        <v>0.61190886811291634</v>
      </c>
      <c r="W45" s="475">
        <f t="shared" si="8"/>
        <v>0.59939420500894203</v>
      </c>
      <c r="X45" s="475">
        <f t="shared" si="8"/>
        <v>0.6167538412165775</v>
      </c>
      <c r="Y45" s="476">
        <f t="shared" si="8"/>
        <v>0.61103334656235453</v>
      </c>
      <c r="Z45" s="479"/>
      <c r="AA45" s="475">
        <f t="shared" ref="AA45:AD46" si="9">1-AA13/AA10</f>
        <v>0.61791215022285528</v>
      </c>
      <c r="AB45" s="475">
        <f t="shared" si="9"/>
        <v>0.61638462755021362</v>
      </c>
      <c r="AC45" s="475">
        <f t="shared" si="9"/>
        <v>0.61341598516250295</v>
      </c>
      <c r="AD45" s="475">
        <f t="shared" si="9"/>
        <v>0.62060518958725619</v>
      </c>
      <c r="AE45" s="476">
        <f>AVERAGE(AA45:AD45)</f>
        <v>0.61707948813070701</v>
      </c>
      <c r="AF45" s="347"/>
      <c r="AG45" s="475">
        <f>1-AG13/AG10</f>
        <v>0.61707043806957595</v>
      </c>
      <c r="AH45" s="475">
        <f>1-AH13/AH10</f>
        <v>0.62269837982507847</v>
      </c>
      <c r="AI45" s="475">
        <f>1-AI13/AI10</f>
        <v>0.60472358866621834</v>
      </c>
      <c r="AJ45" s="475">
        <f>1-AJ13/AJ10</f>
        <v>0.59719161057288739</v>
      </c>
      <c r="AK45" s="476">
        <f>AVERAGE(AG45:AJ45)</f>
        <v>0.61042100428344004</v>
      </c>
      <c r="AL45" s="479"/>
      <c r="AM45" s="475">
        <f t="shared" ref="AM45:AP46" si="10">1-AM13/AM10</f>
        <v>0.6127116855172039</v>
      </c>
      <c r="AN45" s="475">
        <f t="shared" si="10"/>
        <v>0.59469350711475011</v>
      </c>
      <c r="AO45" s="475">
        <f t="shared" si="10"/>
        <v>0.58978472117925629</v>
      </c>
      <c r="AP45" s="475">
        <f t="shared" si="10"/>
        <v>0.59841002408676214</v>
      </c>
      <c r="AQ45" s="476">
        <f>AVERAGE(AM45:AP45)</f>
        <v>0.59889998447449311</v>
      </c>
      <c r="AR45" s="479"/>
      <c r="AS45" s="475">
        <f t="shared" ref="AS45:AV46" si="11">1-AS13/AS10</f>
        <v>0.56995382643655967</v>
      </c>
      <c r="AT45" s="475">
        <f t="shared" si="11"/>
        <v>0.59129379172956908</v>
      </c>
      <c r="AU45" s="475">
        <f t="shared" si="11"/>
        <v>0.59576646082768414</v>
      </c>
      <c r="AV45" s="475">
        <f t="shared" si="11"/>
        <v>0.60568150738454318</v>
      </c>
      <c r="AW45" s="476">
        <f>AVERAGE(AS45:AV45)</f>
        <v>0.59067389659458902</v>
      </c>
      <c r="AX45" s="347"/>
      <c r="AY45" s="478">
        <f t="shared" ref="AY45:BB46" si="12">1-AY13/AY10</f>
        <v>0.59734608235134856</v>
      </c>
      <c r="AZ45" s="475">
        <f t="shared" si="12"/>
        <v>0.58377706031876064</v>
      </c>
      <c r="BA45" s="475">
        <f t="shared" si="12"/>
        <v>0.59038147050006984</v>
      </c>
      <c r="BB45" s="475">
        <f t="shared" si="12"/>
        <v>0.60137524411276444</v>
      </c>
      <c r="BC45" s="476">
        <f>AVERAGE(AY45:BB45)</f>
        <v>0.59321996432073587</v>
      </c>
      <c r="BD45" s="347"/>
      <c r="BE45" s="478">
        <f t="shared" ref="BE45:BH46" si="13">1-BE13/BE10</f>
        <v>0.58013623208177822</v>
      </c>
      <c r="BF45" s="475">
        <f t="shared" si="13"/>
        <v>0.59738884085329746</v>
      </c>
      <c r="BG45" s="475">
        <f t="shared" si="13"/>
        <v>0.58385581281041565</v>
      </c>
      <c r="BH45" s="475">
        <f t="shared" si="13"/>
        <v>0.60231743063741749</v>
      </c>
      <c r="BI45" s="476">
        <f>AVERAGE(BE45:BH45)</f>
        <v>0.59092457909572715</v>
      </c>
      <c r="BJ45" s="347"/>
      <c r="BK45" s="478">
        <f t="shared" ref="BK45:BN46" si="14">1-BK13/BK10</f>
        <v>0.58939980758319555</v>
      </c>
      <c r="BL45" s="475">
        <f t="shared" si="14"/>
        <v>0.60298306503092491</v>
      </c>
      <c r="BM45" s="475">
        <f t="shared" si="14"/>
        <v>0.58561842630808147</v>
      </c>
      <c r="BN45" s="475">
        <f t="shared" si="14"/>
        <v>0.61136626603984001</v>
      </c>
      <c r="BO45" s="476">
        <f>AVERAGE(BK45:BN45)</f>
        <v>0.5973418912405104</v>
      </c>
      <c r="BP45" s="347"/>
      <c r="BQ45" s="907">
        <f>BK45</f>
        <v>0.58939980758319555</v>
      </c>
      <c r="BR45" s="480">
        <f t="shared" ref="BR45:BT47" si="15">BL45</f>
        <v>0.60298306503092491</v>
      </c>
      <c r="BS45" s="480">
        <f t="shared" si="15"/>
        <v>0.58561842630808147</v>
      </c>
      <c r="BT45" s="480">
        <f t="shared" si="15"/>
        <v>0.61136626603984001</v>
      </c>
      <c r="BU45" s="476">
        <f>AVERAGE(BQ45:BT45)</f>
        <v>0.5973418912405104</v>
      </c>
      <c r="BV45" s="347"/>
      <c r="BW45" s="907">
        <f>BQ45+0.003</f>
        <v>0.59239980758319555</v>
      </c>
      <c r="BX45" s="480">
        <f t="shared" ref="BX45:BZ45" si="16">BR45+0.003</f>
        <v>0.60598306503092492</v>
      </c>
      <c r="BY45" s="480">
        <f t="shared" si="16"/>
        <v>0.58861842630808148</v>
      </c>
      <c r="BZ45" s="480">
        <f t="shared" si="16"/>
        <v>0.61436626603984001</v>
      </c>
      <c r="CA45" s="476">
        <f>AVERAGE(BW45:BZ45)</f>
        <v>0.60034189124051052</v>
      </c>
      <c r="CB45" s="347"/>
      <c r="CC45" s="907">
        <f>BW45+0.003</f>
        <v>0.59539980758319555</v>
      </c>
      <c r="CD45" s="480">
        <f t="shared" ref="CD45" si="17">BX45+0.003</f>
        <v>0.60898306503092492</v>
      </c>
      <c r="CE45" s="480">
        <f t="shared" ref="CE45" si="18">BY45+0.003</f>
        <v>0.59161842630808148</v>
      </c>
      <c r="CF45" s="480">
        <f t="shared" ref="CF45" si="19">BZ45+0.003</f>
        <v>0.61736626603984002</v>
      </c>
      <c r="CG45" s="476">
        <f>AVERAGE(CC45:CF45)</f>
        <v>0.60334189124051041</v>
      </c>
      <c r="CH45" s="347"/>
      <c r="CI45" s="907">
        <f>CC45+0.003</f>
        <v>0.59839980758319555</v>
      </c>
      <c r="CJ45" s="480">
        <f t="shared" ref="CJ45" si="20">CD45+0.003</f>
        <v>0.61198306503092492</v>
      </c>
      <c r="CK45" s="480">
        <f t="shared" ref="CK45" si="21">CE45+0.003</f>
        <v>0.59461842630808148</v>
      </c>
      <c r="CL45" s="480">
        <f t="shared" ref="CL45" si="22">CF45+0.003</f>
        <v>0.62036626603984002</v>
      </c>
      <c r="CM45" s="476">
        <f>AVERAGE(CI45:CL45)</f>
        <v>0.60634189124051052</v>
      </c>
      <c r="CN45"/>
      <c r="CO45"/>
      <c r="CP45"/>
      <c r="CQ45"/>
      <c r="CR45"/>
      <c r="CS45"/>
      <c r="CT45"/>
      <c r="CU45"/>
    </row>
    <row r="46" spans="1:120" s="24" customFormat="1" ht="12.75" hidden="1" customHeight="1" outlineLevel="1">
      <c r="A46" s="1463" t="s">
        <v>186</v>
      </c>
      <c r="B46" s="347"/>
      <c r="C46" s="475">
        <f t="shared" si="5"/>
        <v>0.49152332213630312</v>
      </c>
      <c r="D46" s="475">
        <f t="shared" si="5"/>
        <v>0.48273734160380466</v>
      </c>
      <c r="E46" s="475">
        <f t="shared" si="5"/>
        <v>0.48780384202869309</v>
      </c>
      <c r="F46" s="475">
        <f t="shared" si="5"/>
        <v>0.52822699476902679</v>
      </c>
      <c r="G46" s="476">
        <f t="shared" si="5"/>
        <v>0.49881179693661526</v>
      </c>
      <c r="H46" s="347"/>
      <c r="I46" s="478">
        <f t="shared" si="6"/>
        <v>0.51630504368037977</v>
      </c>
      <c r="J46" s="475">
        <f t="shared" si="6"/>
        <v>0.51531913365180859</v>
      </c>
      <c r="K46" s="475">
        <f t="shared" si="6"/>
        <v>0.5465453574355621</v>
      </c>
      <c r="L46" s="475">
        <f t="shared" si="6"/>
        <v>0.55119210887224357</v>
      </c>
      <c r="M46" s="476">
        <f t="shared" si="6"/>
        <v>0.53271543385458076</v>
      </c>
      <c r="N46" s="347"/>
      <c r="O46" s="478">
        <f t="shared" si="7"/>
        <v>0.58285670997310701</v>
      </c>
      <c r="P46" s="475">
        <f t="shared" si="7"/>
        <v>0.58242160342493321</v>
      </c>
      <c r="Q46" s="475">
        <f t="shared" si="7"/>
        <v>0.57671752435134904</v>
      </c>
      <c r="R46" s="475">
        <f t="shared" si="7"/>
        <v>0.57340748929114294</v>
      </c>
      <c r="S46" s="476">
        <f t="shared" si="7"/>
        <v>0.57870666768146628</v>
      </c>
      <c r="T46" s="347"/>
      <c r="U46" s="478">
        <f t="shared" si="8"/>
        <v>0.57676743009646081</v>
      </c>
      <c r="V46" s="475">
        <f t="shared" si="8"/>
        <v>0.58278128513361582</v>
      </c>
      <c r="W46" s="475">
        <f t="shared" si="8"/>
        <v>0.5796924744293166</v>
      </c>
      <c r="X46" s="475">
        <f t="shared" si="8"/>
        <v>0.58618486661680358</v>
      </c>
      <c r="Y46" s="476">
        <f t="shared" si="8"/>
        <v>0.58148608057993378</v>
      </c>
      <c r="Z46" s="479"/>
      <c r="AA46" s="475">
        <f t="shared" si="9"/>
        <v>0.56603120699783527</v>
      </c>
      <c r="AB46" s="475">
        <f t="shared" si="9"/>
        <v>0.5830221255428707</v>
      </c>
      <c r="AC46" s="475">
        <f t="shared" si="9"/>
        <v>0.57885963990209177</v>
      </c>
      <c r="AD46" s="475">
        <f t="shared" si="9"/>
        <v>0.57479410211393267</v>
      </c>
      <c r="AE46" s="476">
        <f>AVERAGE(AA46:AD46)</f>
        <v>0.5756767686391826</v>
      </c>
      <c r="AF46" s="347"/>
      <c r="AG46" s="475">
        <v>0.57999999999999996</v>
      </c>
      <c r="AH46" s="475">
        <f>1-AH14/AH11</f>
        <v>0.57170263788968811</v>
      </c>
      <c r="AI46" s="475">
        <f>1-AI14/AI11</f>
        <v>0.5698883769738875</v>
      </c>
      <c r="AJ46" s="475">
        <f>1-AJ14/AJ11</f>
        <v>0.60905644039778539</v>
      </c>
      <c r="AK46" s="476">
        <f>AVERAGE(AG46:AJ46)</f>
        <v>0.58266186381534024</v>
      </c>
      <c r="AL46" s="479"/>
      <c r="AM46" s="475">
        <f t="shared" si="10"/>
        <v>0.55486590935706759</v>
      </c>
      <c r="AN46" s="475">
        <f t="shared" si="10"/>
        <v>0.55707177322074786</v>
      </c>
      <c r="AO46" s="475">
        <f t="shared" si="10"/>
        <v>0.56228960893235613</v>
      </c>
      <c r="AP46" s="475">
        <f t="shared" si="10"/>
        <v>0.58680443897022672</v>
      </c>
      <c r="AQ46" s="476">
        <f>AVERAGE(AM46:AP46)</f>
        <v>0.56525793262009949</v>
      </c>
      <c r="AR46" s="479"/>
      <c r="AS46" s="475">
        <f t="shared" si="11"/>
        <v>0.55224310802742371</v>
      </c>
      <c r="AT46" s="475">
        <f t="shared" si="11"/>
        <v>0.56053470872576872</v>
      </c>
      <c r="AU46" s="475">
        <f t="shared" si="11"/>
        <v>0.57806172839506176</v>
      </c>
      <c r="AV46" s="475">
        <f t="shared" si="11"/>
        <v>0.58911714439741703</v>
      </c>
      <c r="AW46" s="476">
        <f>AVERAGE(AS46:AV46)</f>
        <v>0.56998917238641789</v>
      </c>
      <c r="AX46" s="347"/>
      <c r="AY46" s="478">
        <f t="shared" si="12"/>
        <v>0.5728269356507607</v>
      </c>
      <c r="AZ46" s="475">
        <f t="shared" si="12"/>
        <v>0.56666093027829678</v>
      </c>
      <c r="BA46" s="475">
        <f t="shared" si="12"/>
        <v>0.57963885239390134</v>
      </c>
      <c r="BB46" s="475">
        <f t="shared" si="12"/>
        <v>0.57783121336731558</v>
      </c>
      <c r="BC46" s="476">
        <f>AVERAGE(AY46:BB46)</f>
        <v>0.57423948292256854</v>
      </c>
      <c r="BD46" s="347"/>
      <c r="BE46" s="478">
        <f t="shared" si="13"/>
        <v>0.57050343809927773</v>
      </c>
      <c r="BF46" s="475">
        <f t="shared" si="13"/>
        <v>0.57277255431863539</v>
      </c>
      <c r="BG46" s="475">
        <f t="shared" si="13"/>
        <v>0.58890534551374807</v>
      </c>
      <c r="BH46" s="475">
        <f t="shared" si="13"/>
        <v>0.59413665718479969</v>
      </c>
      <c r="BI46" s="476">
        <f>AVERAGE(BE46:BH46)</f>
        <v>0.58157949877911519</v>
      </c>
      <c r="BJ46" s="347"/>
      <c r="BK46" s="478">
        <f t="shared" si="14"/>
        <v>0.55123133705296734</v>
      </c>
      <c r="BL46" s="475">
        <f t="shared" si="14"/>
        <v>0.559877462084439</v>
      </c>
      <c r="BM46" s="475">
        <f t="shared" si="14"/>
        <v>0.57759664060115556</v>
      </c>
      <c r="BN46" s="475">
        <f t="shared" si="14"/>
        <v>0.59520735995375951</v>
      </c>
      <c r="BO46" s="476">
        <f>AVERAGE(BK46:BN46)</f>
        <v>0.5709781999230803</v>
      </c>
      <c r="BP46" s="347"/>
      <c r="BQ46" s="907">
        <f>BK46</f>
        <v>0.55123133705296734</v>
      </c>
      <c r="BR46" s="480">
        <f t="shared" si="15"/>
        <v>0.559877462084439</v>
      </c>
      <c r="BS46" s="480">
        <f t="shared" si="15"/>
        <v>0.57759664060115556</v>
      </c>
      <c r="BT46" s="480">
        <f t="shared" si="15"/>
        <v>0.59520735995375951</v>
      </c>
      <c r="BU46" s="476">
        <f>AVERAGE(BQ46:BT46)</f>
        <v>0.5709781999230803</v>
      </c>
      <c r="BV46" s="347"/>
      <c r="BW46" s="907">
        <f>BQ46+0.001</f>
        <v>0.55223133705296734</v>
      </c>
      <c r="BX46" s="480">
        <f t="shared" ref="BX46:BZ46" si="23">BR46+0.001</f>
        <v>0.560877462084439</v>
      </c>
      <c r="BY46" s="480">
        <f t="shared" si="23"/>
        <v>0.57859664060115557</v>
      </c>
      <c r="BZ46" s="480">
        <f t="shared" si="23"/>
        <v>0.59620735995375951</v>
      </c>
      <c r="CA46" s="476">
        <f>AVERAGE(BW46:BZ46)</f>
        <v>0.57197819992308041</v>
      </c>
      <c r="CB46" s="347"/>
      <c r="CC46" s="907">
        <f>BW46+0.001</f>
        <v>0.55323133705296734</v>
      </c>
      <c r="CD46" s="480">
        <f t="shared" ref="CD46" si="24">BX46+0.001</f>
        <v>0.56187746208443901</v>
      </c>
      <c r="CE46" s="480">
        <f t="shared" ref="CE46" si="25">BY46+0.001</f>
        <v>0.57959664060115557</v>
      </c>
      <c r="CF46" s="480">
        <f t="shared" ref="CF46" si="26">BZ46+0.001</f>
        <v>0.59720735995375951</v>
      </c>
      <c r="CG46" s="476">
        <f>AVERAGE(CC46:CF46)</f>
        <v>0.5729781999230803</v>
      </c>
      <c r="CH46" s="347"/>
      <c r="CI46" s="907">
        <f>CC46+0.001</f>
        <v>0.55423133705296734</v>
      </c>
      <c r="CJ46" s="480">
        <f t="shared" ref="CJ46" si="27">CD46+0.001</f>
        <v>0.56287746208443901</v>
      </c>
      <c r="CK46" s="480">
        <f t="shared" ref="CK46" si="28">CE46+0.001</f>
        <v>0.58059664060115557</v>
      </c>
      <c r="CL46" s="480">
        <f t="shared" ref="CL46" si="29">CF46+0.001</f>
        <v>0.59820735995375951</v>
      </c>
      <c r="CM46" s="476">
        <f>AVERAGE(CI46:CL46)</f>
        <v>0.57397819992308041</v>
      </c>
      <c r="CN46"/>
      <c r="CO46"/>
      <c r="CP46"/>
      <c r="CQ46"/>
      <c r="CR46"/>
      <c r="CS46"/>
      <c r="CT46"/>
      <c r="CU46"/>
    </row>
    <row r="47" spans="1:120" s="24" customFormat="1" collapsed="1">
      <c r="A47" s="415" t="s">
        <v>225</v>
      </c>
      <c r="B47" s="347"/>
      <c r="C47" s="475">
        <f>+C16/C9</f>
        <v>5.6600065905428737E-2</v>
      </c>
      <c r="D47" s="475">
        <f>+D16/D9</f>
        <v>5.4206959135637917E-2</v>
      </c>
      <c r="E47" s="475">
        <f>+E16/E9</f>
        <v>5.5952563251833336E-2</v>
      </c>
      <c r="F47" s="475">
        <f>+F16/F9</f>
        <v>4.7683883177003381E-2</v>
      </c>
      <c r="G47" s="476">
        <f>+G16/G9</f>
        <v>5.3227050306575222E-2</v>
      </c>
      <c r="H47" s="347"/>
      <c r="I47" s="478">
        <f>+I16/I9</f>
        <v>5.3188458002462378E-2</v>
      </c>
      <c r="J47" s="475">
        <f>+J16/J9</f>
        <v>5.5781271566056438E-2</v>
      </c>
      <c r="K47" s="475">
        <f>+K16/K9</f>
        <v>5.1632108928062963E-2</v>
      </c>
      <c r="L47" s="475">
        <f>+L16/L9</f>
        <v>4.6919783616322971E-2</v>
      </c>
      <c r="M47" s="476">
        <f>+M16/M9</f>
        <v>5.1797826710785949E-2</v>
      </c>
      <c r="N47" s="347"/>
      <c r="O47" s="478">
        <f>+O16/O9</f>
        <v>5.5042455832722818E-2</v>
      </c>
      <c r="P47" s="475">
        <f>+P16/P9</f>
        <v>5.4354985847639578E-2</v>
      </c>
      <c r="Q47" s="475">
        <f>+Q16/Q9</f>
        <v>5.1636124429422156E-2</v>
      </c>
      <c r="R47" s="475">
        <f>+R16/R9</f>
        <v>4.6146886542551203E-2</v>
      </c>
      <c r="S47" s="476">
        <f>+S16/S9</f>
        <v>5.1480616534329747E-2</v>
      </c>
      <c r="T47" s="347"/>
      <c r="U47" s="478">
        <f>+U16/U9</f>
        <v>5.4598857764481916E-2</v>
      </c>
      <c r="V47" s="475">
        <f>+V16/V9</f>
        <v>5.3207349349835696E-2</v>
      </c>
      <c r="W47" s="475">
        <f>+W16/W9</f>
        <v>5.1177195178511763E-2</v>
      </c>
      <c r="X47" s="475">
        <f>+X16/X9</f>
        <v>4.7287097427922697E-2</v>
      </c>
      <c r="Y47" s="476">
        <f>+Y16/Y9</f>
        <v>5.1281177530819268E-2</v>
      </c>
      <c r="Z47" s="479"/>
      <c r="AA47" s="475">
        <f>+AA16/AA9</f>
        <v>5.2043601190824199E-2</v>
      </c>
      <c r="AB47" s="475">
        <f>+AB16/AB9</f>
        <v>5.1413341911904324E-2</v>
      </c>
      <c r="AC47" s="475">
        <f>+AC16/AC9</f>
        <v>5.1419695776333561E-2</v>
      </c>
      <c r="AD47" s="475">
        <f>+AD16/AD9</f>
        <v>4.5466226842085081E-2</v>
      </c>
      <c r="AE47" s="476">
        <f>+AE16/AE9</f>
        <v>4.9885370660074854E-2</v>
      </c>
      <c r="AF47" s="347"/>
      <c r="AG47" s="475">
        <f>+AG16/AG9</f>
        <v>5.5527543773694399E-2</v>
      </c>
      <c r="AH47" s="475">
        <f>+AH16/AH9</f>
        <v>5.3034011495907772E-2</v>
      </c>
      <c r="AI47" s="475">
        <f>+AI16/AI9</f>
        <v>5.279674276367257E-2</v>
      </c>
      <c r="AJ47" s="475">
        <f>+AJ16/AJ9</f>
        <v>4.7833703230950271E-2</v>
      </c>
      <c r="AK47" s="476">
        <f>+AK16/AK9</f>
        <v>5.207304458948353E-2</v>
      </c>
      <c r="AL47" s="479"/>
      <c r="AM47" s="475">
        <f>+AM16/AM9</f>
        <v>5.881888190213274E-2</v>
      </c>
      <c r="AN47" s="475">
        <f>+AN16/AN9</f>
        <v>5.464238608780466E-2</v>
      </c>
      <c r="AO47" s="475">
        <f>+AO16/AO9</f>
        <v>5.1603154923171454E-2</v>
      </c>
      <c r="AP47" s="475">
        <f>+AP16/AP9</f>
        <v>4.7705536141254369E-2</v>
      </c>
      <c r="AQ47" s="476">
        <f>+AQ16/AQ9</f>
        <v>5.2796476033731436E-2</v>
      </c>
      <c r="AR47" s="479"/>
      <c r="AS47" s="475">
        <f>+AS16/AS9</f>
        <v>5.7480929506536466E-2</v>
      </c>
      <c r="AT47" s="475">
        <f>+AT16/AT9</f>
        <v>5.5991996695731225E-2</v>
      </c>
      <c r="AU47" s="475">
        <f>+AU16/AU9</f>
        <v>5.5314144353309745E-2</v>
      </c>
      <c r="AV47" s="475">
        <f>+AV16/AV9</f>
        <v>4.9195882645109358E-2</v>
      </c>
      <c r="AW47" s="476">
        <f>+AW16/AW9</f>
        <v>5.4151519294802705E-2</v>
      </c>
      <c r="AX47" s="347"/>
      <c r="AY47" s="478">
        <f>+AY16/AY9</f>
        <v>6.2881729958905661E-2</v>
      </c>
      <c r="AZ47" s="475">
        <f>+AZ16/AZ9</f>
        <v>6.1759712172049966E-2</v>
      </c>
      <c r="BA47" s="475">
        <f>+BA16/BA9</f>
        <v>6.133509662829769E-2</v>
      </c>
      <c r="BB47" s="475">
        <f>+BB16/BB9</f>
        <v>4.8304665791582137E-2</v>
      </c>
      <c r="BC47" s="476">
        <f>+BC16/BC9</f>
        <v>5.8043941925210986E-2</v>
      </c>
      <c r="BD47" s="347"/>
      <c r="BE47" s="478">
        <f>+BE16/BE9</f>
        <v>6.1942657066024753E-2</v>
      </c>
      <c r="BF47" s="475">
        <f>+BF16/BF9</f>
        <v>6.0716415685105128E-2</v>
      </c>
      <c r="BG47" s="475">
        <f>+BG16/BG9</f>
        <v>5.7737790178995115E-2</v>
      </c>
      <c r="BH47" s="475">
        <f>+BH16/BH9</f>
        <v>5.2089181233072566E-2</v>
      </c>
      <c r="BI47" s="476">
        <f>+BI16/BI9</f>
        <v>5.7758453241476174E-2</v>
      </c>
      <c r="BJ47" s="347"/>
      <c r="BK47" s="478">
        <f>+BK16/BK9</f>
        <v>6.1754848193361432E-2</v>
      </c>
      <c r="BL47" s="475">
        <f>+BL16/BL9</f>
        <v>5.9000447828034028E-2</v>
      </c>
      <c r="BM47" s="475">
        <f>+BM16/BM9</f>
        <v>5.972941243033749E-2</v>
      </c>
      <c r="BN47" s="475">
        <f>+BN16/BN9</f>
        <v>5.1103270161143646E-2</v>
      </c>
      <c r="BO47" s="476">
        <f>+BO16/BO9</f>
        <v>5.7422486377679743E-2</v>
      </c>
      <c r="BP47" s="347"/>
      <c r="BQ47" s="907">
        <f>BK47</f>
        <v>6.1754848193361432E-2</v>
      </c>
      <c r="BR47" s="480">
        <f t="shared" si="15"/>
        <v>5.9000447828034028E-2</v>
      </c>
      <c r="BS47" s="480">
        <f t="shared" si="15"/>
        <v>5.972941243033749E-2</v>
      </c>
      <c r="BT47" s="480">
        <f t="shared" si="15"/>
        <v>5.1103270161143646E-2</v>
      </c>
      <c r="BU47" s="476">
        <f>+BU16/BU9</f>
        <v>5.7448444605823087E-2</v>
      </c>
      <c r="BV47" s="347"/>
      <c r="BW47" s="907">
        <f t="shared" ref="BW47" si="30">BQ47</f>
        <v>6.1754848193361432E-2</v>
      </c>
      <c r="BX47" s="480">
        <f t="shared" ref="BX47" si="31">BR47</f>
        <v>5.9000447828034028E-2</v>
      </c>
      <c r="BY47" s="480">
        <f t="shared" ref="BY47" si="32">BS47</f>
        <v>5.972941243033749E-2</v>
      </c>
      <c r="BZ47" s="480">
        <f t="shared" ref="BZ47" si="33">BT47</f>
        <v>5.1103270161143646E-2</v>
      </c>
      <c r="CA47" s="476">
        <f t="shared" ref="CA47" si="34">+CA16/CA9</f>
        <v>5.7469809533417619E-2</v>
      </c>
      <c r="CB47" s="347"/>
      <c r="CC47" s="907">
        <f t="shared" ref="CC47:CC48" si="35">BW47</f>
        <v>6.1754848193361432E-2</v>
      </c>
      <c r="CD47" s="480">
        <f t="shared" ref="CD47:CD48" si="36">BX47</f>
        <v>5.9000447828034028E-2</v>
      </c>
      <c r="CE47" s="480">
        <f t="shared" ref="CE47:CE48" si="37">BY47</f>
        <v>5.972941243033749E-2</v>
      </c>
      <c r="CF47" s="480">
        <f t="shared" ref="CF47:CF48" si="38">BZ47</f>
        <v>5.1103270161143646E-2</v>
      </c>
      <c r="CG47" s="476">
        <f t="shared" ref="CG47" si="39">+CG16/CG9</f>
        <v>5.7489905281491623E-2</v>
      </c>
      <c r="CH47" s="347"/>
      <c r="CI47" s="907">
        <f t="shared" ref="CI47:CI48" si="40">CC47</f>
        <v>6.1754848193361432E-2</v>
      </c>
      <c r="CJ47" s="480">
        <f t="shared" ref="CJ47:CJ48" si="41">CD47</f>
        <v>5.9000447828034028E-2</v>
      </c>
      <c r="CK47" s="480">
        <f t="shared" ref="CK47:CK48" si="42">CE47</f>
        <v>5.972941243033749E-2</v>
      </c>
      <c r="CL47" s="480">
        <f t="shared" ref="CL47:CL48" si="43">CF47</f>
        <v>5.1103270161143646E-2</v>
      </c>
      <c r="CM47" s="476">
        <f t="shared" ref="CM47" si="44">+CM16/CM9</f>
        <v>5.7509625618158436E-2</v>
      </c>
      <c r="CN47"/>
      <c r="CO47"/>
      <c r="CP47"/>
      <c r="CQ47"/>
      <c r="CR47"/>
      <c r="CS47"/>
      <c r="CT47"/>
      <c r="CU47"/>
    </row>
    <row r="48" spans="1:120" s="24" customFormat="1">
      <c r="A48" s="415" t="s">
        <v>226</v>
      </c>
      <c r="B48" s="347"/>
      <c r="C48" s="475">
        <f>+C17/C9</f>
        <v>0.28389821541401006</v>
      </c>
      <c r="D48" s="475">
        <f>+D17/D9</f>
        <v>0.2898874174063466</v>
      </c>
      <c r="E48" s="475">
        <f>+E17/E9</f>
        <v>0.27849806316959602</v>
      </c>
      <c r="F48" s="475">
        <f>+F17/F9</f>
        <v>0.2333988553854322</v>
      </c>
      <c r="G48" s="476">
        <f>+G17/G9</f>
        <v>0.26905776322292285</v>
      </c>
      <c r="H48" s="347"/>
      <c r="I48" s="478">
        <f>+I17/I9</f>
        <v>0.28450959413760285</v>
      </c>
      <c r="J48" s="475">
        <f>+J17/J9</f>
        <v>0.28090141410592617</v>
      </c>
      <c r="K48" s="475">
        <f>+K17/K9</f>
        <v>0.27817814708394817</v>
      </c>
      <c r="L48" s="475">
        <f>+L17/L9</f>
        <v>0.24254477913422631</v>
      </c>
      <c r="M48" s="476">
        <f>+M17/M9</f>
        <v>0.27089867210454543</v>
      </c>
      <c r="N48" s="347"/>
      <c r="O48" s="478">
        <f>+O17/O9</f>
        <v>0.2908224541513037</v>
      </c>
      <c r="P48" s="475">
        <f>+P17/P9</f>
        <v>0.28575641403715718</v>
      </c>
      <c r="Q48" s="475">
        <f>+Q17/Q9</f>
        <v>0.27455924784002694</v>
      </c>
      <c r="R48" s="475">
        <f>+R17/R9</f>
        <v>0.25063892101630414</v>
      </c>
      <c r="S48" s="476">
        <f>+S17/S9</f>
        <v>0.27403950090078066</v>
      </c>
      <c r="T48" s="347"/>
      <c r="U48" s="478">
        <f>+U17/U9</f>
        <v>0.28472395974979603</v>
      </c>
      <c r="V48" s="475">
        <f>+V17/V9</f>
        <v>0.26834844203500785</v>
      </c>
      <c r="W48" s="475">
        <f>+W17/W9</f>
        <v>0.26507712486098572</v>
      </c>
      <c r="X48" s="475">
        <f>+X17/X9</f>
        <v>0.24508559115592521</v>
      </c>
      <c r="Y48" s="476">
        <f>+Y17/Y9</f>
        <v>0.26436878830160687</v>
      </c>
      <c r="Z48" s="479"/>
      <c r="AA48" s="475">
        <f>+AA17/AA9</f>
        <v>0.27390827473146817</v>
      </c>
      <c r="AB48" s="475">
        <f>+AB17/AB9</f>
        <v>0.28023108525625123</v>
      </c>
      <c r="AC48" s="475">
        <f>+AC17/AC9</f>
        <v>0.26007075378299532</v>
      </c>
      <c r="AD48" s="475">
        <f>+AD17/AD9</f>
        <v>0.23826665643818803</v>
      </c>
      <c r="AE48" s="476">
        <f>+AE17/AE9</f>
        <v>0.26200042783429417</v>
      </c>
      <c r="AF48" s="347"/>
      <c r="AG48" s="475">
        <f>+AG17/AG9</f>
        <v>0.27733566729613895</v>
      </c>
      <c r="AH48" s="475">
        <f>+AH17/AH9</f>
        <v>0.26566843498388576</v>
      </c>
      <c r="AI48" s="475">
        <f>+AI17/AI9</f>
        <v>0.25196465400753859</v>
      </c>
      <c r="AJ48" s="475">
        <f>+AJ17/AJ9</f>
        <v>0.23081611297018206</v>
      </c>
      <c r="AK48" s="476">
        <f>+AK17/AK9</f>
        <v>0.25512125191401142</v>
      </c>
      <c r="AL48" s="479"/>
      <c r="AM48" s="475">
        <f>+AM17/AM9</f>
        <v>0.27324335754685852</v>
      </c>
      <c r="AN48" s="475">
        <f>+AN17/AN9</f>
        <v>0.26634228522660519</v>
      </c>
      <c r="AO48" s="475">
        <f>+AO17/AO9</f>
        <v>0.25740350785122795</v>
      </c>
      <c r="AP48" s="475">
        <f>+AP17/AP9</f>
        <v>0.22631081903198882</v>
      </c>
      <c r="AQ48" s="476">
        <f>+AQ17/AQ9</f>
        <v>0.25386799200511706</v>
      </c>
      <c r="AR48" s="479"/>
      <c r="AS48" s="475">
        <f>+AS17/AS9</f>
        <v>0.27483112973510365</v>
      </c>
      <c r="AT48" s="475">
        <f>+AT17/AT9</f>
        <v>0.26127384542580862</v>
      </c>
      <c r="AU48" s="475">
        <f>+AU17/AU9</f>
        <v>0.2474526781097604</v>
      </c>
      <c r="AV48" s="475">
        <f>+AV17/AV9</f>
        <v>0.22055594567283815</v>
      </c>
      <c r="AW48" s="476">
        <f>+AW17/AW9</f>
        <v>0.24883077034439496</v>
      </c>
      <c r="AX48" s="347"/>
      <c r="AY48" s="478">
        <f>+AY17/AY9</f>
        <v>0.25733703443063044</v>
      </c>
      <c r="AZ48" s="475">
        <f>+AZ17/AZ9</f>
        <v>0.2438533371063589</v>
      </c>
      <c r="BA48" s="475">
        <f>+BA17/BA9</f>
        <v>0.2455621301775148</v>
      </c>
      <c r="BB48" s="475">
        <f>+BB17/BB9</f>
        <v>0.21521283305773853</v>
      </c>
      <c r="BC48" s="476">
        <f>+BC17/BC9</f>
        <v>0.23908551596900016</v>
      </c>
      <c r="BD48" s="347"/>
      <c r="BE48" s="478">
        <f>+BE17/BE9</f>
        <v>0.2496770093804051</v>
      </c>
      <c r="BF48" s="475">
        <f>+BF17/BF9</f>
        <v>0.23781310571045178</v>
      </c>
      <c r="BG48" s="475">
        <f>+BG17/BG9</f>
        <v>0.23327638896797828</v>
      </c>
      <c r="BH48" s="475">
        <f>+BH17/BH9</f>
        <v>0.20664231289769031</v>
      </c>
      <c r="BI48" s="476">
        <f>+BI17/BI9</f>
        <v>0.23026884922786189</v>
      </c>
      <c r="BJ48" s="347"/>
      <c r="BK48" s="478">
        <f>+BK17/BK9</f>
        <v>0.24334044890344581</v>
      </c>
      <c r="BL48" s="475">
        <f>+BL17/BL9</f>
        <v>0.23023197492163008</v>
      </c>
      <c r="BM48" s="475">
        <f>+BM17/BM9</f>
        <v>0.22774512716059861</v>
      </c>
      <c r="BN48" s="475">
        <f>+BN17/BN9</f>
        <v>0.21238077916409007</v>
      </c>
      <c r="BO48" s="476">
        <f>+BO17/BO9</f>
        <v>0.22713654540903333</v>
      </c>
      <c r="BP48" s="347"/>
      <c r="BQ48" s="907">
        <f>BK48-0.003</f>
        <v>0.2403404489034458</v>
      </c>
      <c r="BR48" s="480">
        <f t="shared" ref="BR48:BT48" si="45">BL48-0.003</f>
        <v>0.22723197492163008</v>
      </c>
      <c r="BS48" s="480">
        <f t="shared" si="45"/>
        <v>0.22474512716059861</v>
      </c>
      <c r="BT48" s="480">
        <f t="shared" si="45"/>
        <v>0.20938077916409006</v>
      </c>
      <c r="BU48" s="476">
        <f>+BU17/BU9</f>
        <v>0.22422204494887144</v>
      </c>
      <c r="BV48" s="347"/>
      <c r="BW48" s="907">
        <f t="shared" ref="BW48" si="46">BQ48</f>
        <v>0.2403404489034458</v>
      </c>
      <c r="BX48" s="480">
        <f t="shared" ref="BX48" si="47">BR48</f>
        <v>0.22723197492163008</v>
      </c>
      <c r="BY48" s="480">
        <f t="shared" ref="BY48" si="48">BS48</f>
        <v>0.22474512716059861</v>
      </c>
      <c r="BZ48" s="480">
        <f t="shared" ref="BZ48" si="49">BT48</f>
        <v>0.20938077916409006</v>
      </c>
      <c r="CA48" s="476">
        <f>+CA17/CA9</f>
        <v>0.22428364669361345</v>
      </c>
      <c r="CB48" s="347"/>
      <c r="CC48" s="907">
        <f t="shared" si="35"/>
        <v>0.2403404489034458</v>
      </c>
      <c r="CD48" s="480">
        <f t="shared" si="36"/>
        <v>0.22723197492163008</v>
      </c>
      <c r="CE48" s="480">
        <f t="shared" si="37"/>
        <v>0.22474512716059861</v>
      </c>
      <c r="CF48" s="480">
        <f t="shared" si="38"/>
        <v>0.20938077916409006</v>
      </c>
      <c r="CG48" s="476">
        <f>+CG17/CG9</f>
        <v>0.22434107669884032</v>
      </c>
      <c r="CH48" s="347"/>
      <c r="CI48" s="907">
        <f t="shared" si="40"/>
        <v>0.2403404489034458</v>
      </c>
      <c r="CJ48" s="480">
        <f t="shared" si="41"/>
        <v>0.22723197492163008</v>
      </c>
      <c r="CK48" s="480">
        <f t="shared" si="42"/>
        <v>0.22474512716059861</v>
      </c>
      <c r="CL48" s="480">
        <f t="shared" si="43"/>
        <v>0.20938077916409006</v>
      </c>
      <c r="CM48" s="476">
        <f>+CM17/CM9</f>
        <v>0.22439766897651905</v>
      </c>
      <c r="CN48"/>
      <c r="CO48"/>
      <c r="CP48"/>
      <c r="CQ48"/>
      <c r="CR48"/>
      <c r="CS48"/>
      <c r="CT48"/>
      <c r="CU48"/>
    </row>
    <row r="49" spans="1:101" s="24" customFormat="1">
      <c r="A49" s="431" t="s">
        <v>227</v>
      </c>
      <c r="B49" s="465"/>
      <c r="C49" s="473">
        <f>+C22/C9</f>
        <v>0.22648491279623431</v>
      </c>
      <c r="D49" s="473">
        <f>+D22/D9</f>
        <v>0.22423786972180476</v>
      </c>
      <c r="E49" s="473">
        <f>+E22/E9</f>
        <v>0.23699941583153261</v>
      </c>
      <c r="F49" s="473">
        <f>+F22/F9</f>
        <v>0.30246245449115905</v>
      </c>
      <c r="G49" s="472">
        <f>+G22/G9</f>
        <v>0.2510040406015282</v>
      </c>
      <c r="H49" s="465"/>
      <c r="I49" s="481">
        <f>+I22/I9</f>
        <v>0.24442066892832767</v>
      </c>
      <c r="J49" s="473">
        <f>+J22/J9</f>
        <v>0.24540446942795843</v>
      </c>
      <c r="K49" s="473">
        <f>+K22/K9</f>
        <v>0.26295203334109907</v>
      </c>
      <c r="L49" s="473">
        <f>+L22/L9</f>
        <v>0.30113952826828505</v>
      </c>
      <c r="M49" s="472">
        <f>+M22/M9</f>
        <v>0.26427824095118863</v>
      </c>
      <c r="N49" s="465"/>
      <c r="O49" s="481">
        <f>+O22/O9</f>
        <v>0.2714501038876812</v>
      </c>
      <c r="P49" s="473">
        <f>+P22/P9</f>
        <v>0.26259174229750548</v>
      </c>
      <c r="Q49" s="473">
        <f>+Q22/Q9</f>
        <v>0.26429085230357019</v>
      </c>
      <c r="R49" s="473">
        <f>+R22/R9</f>
        <v>0.3064978733723836</v>
      </c>
      <c r="S49" s="472">
        <f>+S22/S9</f>
        <v>0.27754787482484827</v>
      </c>
      <c r="T49" s="465"/>
      <c r="U49" s="481">
        <f>+U22/U9</f>
        <v>0.26379929290182214</v>
      </c>
      <c r="V49" s="473">
        <f>+V22/V9</f>
        <v>0.28174042014550382</v>
      </c>
      <c r="W49" s="473">
        <f>+W22/W9</f>
        <v>0.2773378083872351</v>
      </c>
      <c r="X49" s="473">
        <f>+X22/X9</f>
        <v>0.31626748942259575</v>
      </c>
      <c r="Y49" s="472">
        <f>+Y22/Y9</f>
        <v>0.28681168159837311</v>
      </c>
      <c r="Z49" s="472"/>
      <c r="AA49" s="473">
        <f>+AA22/AA9</f>
        <v>0.2768829966113428</v>
      </c>
      <c r="AB49" s="473">
        <f>+AB22/AB9</f>
        <v>0.27494096647431909</v>
      </c>
      <c r="AC49" s="473">
        <f>+AC22/AC9</f>
        <v>0.29179995335882469</v>
      </c>
      <c r="AD49" s="473">
        <f>+AD22/AD9</f>
        <v>0.32456177361819644</v>
      </c>
      <c r="AE49" s="472">
        <f>+AE22/AE9</f>
        <v>0.29350566988478732</v>
      </c>
      <c r="AF49" s="465"/>
      <c r="AG49" s="473">
        <f>+AG22/AG9</f>
        <v>0.26926113904361437</v>
      </c>
      <c r="AH49" s="473">
        <f>+AH22/AH9</f>
        <v>0.28845203947149833</v>
      </c>
      <c r="AI49" s="473">
        <f>+AI22/AI9</f>
        <v>0.28919084702368258</v>
      </c>
      <c r="AJ49" s="473">
        <f>+AJ22/AJ9</f>
        <v>0.32200833323750483</v>
      </c>
      <c r="AK49" s="472">
        <f>+AK22/AK9</f>
        <v>0.29375241709204775</v>
      </c>
      <c r="AL49" s="471"/>
      <c r="AM49" s="473">
        <f>+AM22/AM9</f>
        <v>0.26228452983468814</v>
      </c>
      <c r="AN49" s="473">
        <f>+AN22/AN9</f>
        <v>0.26154084878578637</v>
      </c>
      <c r="AO49" s="473">
        <f>+AO22/AO9</f>
        <v>0.27209791020233237</v>
      </c>
      <c r="AP49" s="473">
        <f>+AP22/AP9</f>
        <v>0.32101095060907447</v>
      </c>
      <c r="AQ49" s="472">
        <f>+AQ22/AQ9</f>
        <v>0.28190364758656838</v>
      </c>
      <c r="AR49" s="471"/>
      <c r="AS49" s="473">
        <f>+AS22/AS9</f>
        <v>0.2316472632332035</v>
      </c>
      <c r="AT49" s="473">
        <f>+AT22/AT9</f>
        <v>0.26377902910122636</v>
      </c>
      <c r="AU49" s="473">
        <f>+AU22/AU9</f>
        <v>0.28718380258128628</v>
      </c>
      <c r="AV49" s="473">
        <f>+AV22/AV9</f>
        <v>0.33098292428108994</v>
      </c>
      <c r="AW49" s="472">
        <f>+AW22/AW9</f>
        <v>0.28235187076744894</v>
      </c>
      <c r="AX49" s="465"/>
      <c r="AY49" s="481">
        <f>+AY22/AY9</f>
        <v>0.26873789106958246</v>
      </c>
      <c r="AZ49" s="473">
        <f>+AZ22/AZ9</f>
        <v>0.27253506892509199</v>
      </c>
      <c r="BA49" s="473">
        <f>+BA22/BA9</f>
        <v>0.27997235196113285</v>
      </c>
      <c r="BB49" s="473">
        <f>+BB22/BB9</f>
        <v>0.3309063943676378</v>
      </c>
      <c r="BC49" s="472">
        <f>+BC22/BC9</f>
        <v>0.29026769398902819</v>
      </c>
      <c r="BD49" s="465"/>
      <c r="BE49" s="481">
        <f>+BE22/BE9</f>
        <v>0.26512374643868641</v>
      </c>
      <c r="BF49" s="473">
        <f>+BF22/BF9</f>
        <v>0.29074474429700303</v>
      </c>
      <c r="BG49" s="473">
        <f>+BG22/BG9</f>
        <v>0.29453713721693914</v>
      </c>
      <c r="BH49" s="473">
        <f>+BH22/BH9</f>
        <v>0.34116640452172192</v>
      </c>
      <c r="BI49" s="472">
        <f>+BI22/BI9</f>
        <v>0.30067642541395928</v>
      </c>
      <c r="BJ49" s="465"/>
      <c r="BK49" s="481">
        <f>+BK22/BK9</f>
        <v>0.27099277264247379</v>
      </c>
      <c r="BL49" s="473">
        <f>+BL22/BL9</f>
        <v>0.29943394536497986</v>
      </c>
      <c r="BM49" s="473">
        <f>+BM22/BM9</f>
        <v>0.29544859826303427</v>
      </c>
      <c r="BN49" s="473">
        <f>+BN22/BN9</f>
        <v>0.34300098213960917</v>
      </c>
      <c r="BO49" s="472">
        <f>+BO22/BO9</f>
        <v>0.30529154926771646</v>
      </c>
      <c r="BP49" s="465"/>
      <c r="BQ49" s="481">
        <f>+BQ22/BQ9</f>
        <v>0.27380303491466096</v>
      </c>
      <c r="BR49" s="473">
        <f>+BR22/BR9</f>
        <v>0.30248599750738842</v>
      </c>
      <c r="BS49" s="473">
        <f>+BS22/BS9</f>
        <v>0.29841973926867332</v>
      </c>
      <c r="BT49" s="473">
        <f>+BT22/BT9</f>
        <v>0.34599165603047299</v>
      </c>
      <c r="BU49" s="472">
        <f>+BU22/BU9</f>
        <v>0.30807877748392143</v>
      </c>
      <c r="BV49" s="465"/>
      <c r="BW49" s="481">
        <f>+BW22/BW9</f>
        <v>0.27618157143091615</v>
      </c>
      <c r="BX49" s="473">
        <f>+BX22/BX9</f>
        <v>0.30481749649531364</v>
      </c>
      <c r="BY49" s="473">
        <f>+BY22/BY9</f>
        <v>0.30075950442169752</v>
      </c>
      <c r="BZ49" s="473">
        <f>+BZ22/BZ9</f>
        <v>0.34838213106385713</v>
      </c>
      <c r="CA49" s="472">
        <f>+CA22/CA9</f>
        <v>0.31029754304907609</v>
      </c>
      <c r="CB49" s="465"/>
      <c r="CC49" s="481">
        <f>+CC22/CC9</f>
        <v>0.27845768077103739</v>
      </c>
      <c r="CD49" s="473">
        <f>+CD22/CD9</f>
        <v>0.30702993129897921</v>
      </c>
      <c r="CE49" s="473">
        <f>+CE22/CE9</f>
        <v>0.30308100550201655</v>
      </c>
      <c r="CF49" s="473">
        <f>+CF22/CF9</f>
        <v>0.35073191465492565</v>
      </c>
      <c r="CG49" s="472">
        <f>+CG22/CG9</f>
        <v>0.31245652061659901</v>
      </c>
      <c r="CH49" s="465"/>
      <c r="CI49" s="481">
        <f>+CI22/CI9</f>
        <v>0.28073206562186781</v>
      </c>
      <c r="CJ49" s="473">
        <f>+CJ22/CJ9</f>
        <v>0.3092318646746951</v>
      </c>
      <c r="CK49" s="473">
        <f>+CK22/CK9</f>
        <v>0.30540170829577046</v>
      </c>
      <c r="CL49" s="473">
        <f>+CL22/CL9</f>
        <v>0.35307410198745187</v>
      </c>
      <c r="CM49" s="472">
        <f>+CM22/CM9</f>
        <v>0.31461203318242931</v>
      </c>
      <c r="CN49"/>
      <c r="CO49"/>
      <c r="CP49"/>
      <c r="CQ49"/>
      <c r="CR49"/>
      <c r="CS49"/>
      <c r="CT49"/>
      <c r="CU49"/>
    </row>
    <row r="50" spans="1:101" s="24" customFormat="1">
      <c r="A50" s="1948" t="s">
        <v>555</v>
      </c>
      <c r="B50" s="2017"/>
      <c r="C50" s="1959"/>
      <c r="D50" s="1959"/>
      <c r="E50" s="1959"/>
      <c r="F50" s="1959"/>
      <c r="G50" s="1956"/>
      <c r="H50" s="2017"/>
      <c r="I50" s="2018"/>
      <c r="J50" s="1959"/>
      <c r="K50" s="1959"/>
      <c r="L50" s="1959"/>
      <c r="M50" s="1956"/>
      <c r="N50" s="2017"/>
      <c r="O50" s="2018"/>
      <c r="P50" s="1959"/>
      <c r="Q50" s="1959"/>
      <c r="R50" s="1959"/>
      <c r="S50" s="1956"/>
      <c r="T50" s="2017"/>
      <c r="U50" s="2018"/>
      <c r="V50" s="1959"/>
      <c r="W50" s="1959"/>
      <c r="X50" s="1959"/>
      <c r="Y50" s="1956"/>
      <c r="Z50" s="1956"/>
      <c r="AA50" s="1959"/>
      <c r="AB50" s="1959"/>
      <c r="AC50" s="1959"/>
      <c r="AD50" s="1959"/>
      <c r="AE50" s="1956"/>
      <c r="AF50" s="2017"/>
      <c r="AG50" s="1959"/>
      <c r="AH50" s="1959"/>
      <c r="AI50" s="1959"/>
      <c r="AJ50" s="1959"/>
      <c r="AK50" s="1956"/>
      <c r="AL50" s="2019"/>
      <c r="AM50" s="1959"/>
      <c r="AN50" s="1959"/>
      <c r="AO50" s="1959"/>
      <c r="AP50" s="1959"/>
      <c r="AQ50" s="1956"/>
      <c r="AR50" s="2019"/>
      <c r="AS50" s="1959">
        <f>AS105</f>
        <v>-15.405799411770204</v>
      </c>
      <c r="AT50" s="1959">
        <f>AT105</f>
        <v>0.59802640529328865</v>
      </c>
      <c r="AU50" s="1959">
        <f>AU105</f>
        <v>0.62514676818387127</v>
      </c>
      <c r="AV50" s="1959">
        <f>AV105</f>
        <v>0.38425532993241868</v>
      </c>
      <c r="AW50" s="1956">
        <f>AW105</f>
        <v>0.3506473180459061</v>
      </c>
      <c r="AX50" s="2017"/>
      <c r="AY50" s="2018">
        <f>AY105</f>
        <v>0.22404506655018933</v>
      </c>
      <c r="AZ50" s="1959">
        <f>AZ105</f>
        <v>-4.0690559910541421E-2</v>
      </c>
      <c r="BA50" s="1959">
        <f>BA105</f>
        <v>-0.10649483585055702</v>
      </c>
      <c r="BB50" s="1959">
        <f>BB105</f>
        <v>-3.6406466422902281E-2</v>
      </c>
      <c r="BC50" s="1956">
        <f>BC105</f>
        <v>-6.4684838119548158E-2</v>
      </c>
      <c r="BD50" s="2017"/>
      <c r="BE50" s="2018">
        <f>BE105</f>
        <v>0.1187726752992712</v>
      </c>
      <c r="BF50" s="1959">
        <f>BF105</f>
        <v>0.33605166303755035</v>
      </c>
      <c r="BG50" s="1959">
        <f>BG105</f>
        <v>0.24712900829809889</v>
      </c>
      <c r="BH50" s="1959">
        <f>BH105</f>
        <v>0.20858997962246373</v>
      </c>
      <c r="BI50" s="1956">
        <f>BI105</f>
        <v>0.23599369278240995</v>
      </c>
      <c r="BJ50" s="2017"/>
      <c r="BK50" s="2018">
        <f>BK105</f>
        <v>0.23476549215711096</v>
      </c>
      <c r="BL50" s="1959">
        <f>BL105</f>
        <v>0.42550946938896311</v>
      </c>
      <c r="BM50" s="1959">
        <f>BM105</f>
        <v>0.39140108051074923</v>
      </c>
      <c r="BN50" s="1959">
        <f>BN105</f>
        <v>0.62488580038708541</v>
      </c>
      <c r="BO50" s="1956">
        <f>BO105</f>
        <v>0.41690547904106623</v>
      </c>
      <c r="BP50" s="2017"/>
      <c r="BQ50" s="2018">
        <f>BQ105</f>
        <v>0.34896357522856286</v>
      </c>
      <c r="BR50" s="1959">
        <f>BR105</f>
        <v>0.38544939928832833</v>
      </c>
      <c r="BS50" s="1959">
        <f>BS105</f>
        <v>0.33163020367659651</v>
      </c>
      <c r="BT50" s="1959">
        <f>BT105</f>
        <v>0.39915383977453511</v>
      </c>
      <c r="BU50" s="1956">
        <f>BU105</f>
        <v>0.37883051569549886</v>
      </c>
      <c r="BV50" s="2017"/>
      <c r="BW50" s="2018">
        <f>BW105</f>
        <v>0.29737633547344217</v>
      </c>
      <c r="BX50" s="1959">
        <f>BX105</f>
        <v>0.32772179828789755</v>
      </c>
      <c r="BY50" s="1959">
        <f>BY105</f>
        <v>0.32491422676559506</v>
      </c>
      <c r="BZ50" s="1959">
        <f>BZ105</f>
        <v>0.37684994703929509</v>
      </c>
      <c r="CA50" s="1956">
        <f>CA105</f>
        <v>0.33198165592970258</v>
      </c>
      <c r="CB50" s="2017"/>
      <c r="CC50" s="2018">
        <f>CC105</f>
        <v>0.30078795540907222</v>
      </c>
      <c r="CD50" s="1959">
        <f>CD105</f>
        <v>0.33118848492879727</v>
      </c>
      <c r="CE50" s="1959">
        <f>CE105</f>
        <v>0.33014380098760798</v>
      </c>
      <c r="CF50" s="1959">
        <f>CF105</f>
        <v>0.38279287682310659</v>
      </c>
      <c r="CG50" s="1956">
        <f>CG105</f>
        <v>0.33611948825890742</v>
      </c>
      <c r="CH50" s="2017"/>
      <c r="CI50" s="2018">
        <f>CI105</f>
        <v>0.30302223288282093</v>
      </c>
      <c r="CJ50" s="1959">
        <f>CJ105</f>
        <v>0.33314299473424597</v>
      </c>
      <c r="CK50" s="1959">
        <f>CK105</f>
        <v>0.33241986186005495</v>
      </c>
      <c r="CL50" s="1959">
        <f>CL105</f>
        <v>0.38477536686404562</v>
      </c>
      <c r="CM50" s="1956">
        <f>CM105</f>
        <v>0.33813942909638012</v>
      </c>
      <c r="CN50"/>
      <c r="CO50"/>
      <c r="CP50"/>
      <c r="CQ50"/>
      <c r="CR50"/>
      <c r="CS50"/>
      <c r="CT50"/>
      <c r="CU50"/>
    </row>
    <row r="51" spans="1:101" s="24" customFormat="1" ht="12.75" customHeight="1">
      <c r="A51" s="431" t="s">
        <v>199</v>
      </c>
      <c r="B51" s="465"/>
      <c r="C51" s="473">
        <f>C27/C9</f>
        <v>0.25945576627153644</v>
      </c>
      <c r="D51" s="473">
        <f>D27/D9</f>
        <v>0.25526756089952646</v>
      </c>
      <c r="E51" s="473">
        <f>E27/E9</f>
        <v>0.26738468344307759</v>
      </c>
      <c r="F51" s="473">
        <f>F27/F9</f>
        <v>0.33029063873703379</v>
      </c>
      <c r="G51" s="472">
        <f>G27/G9</f>
        <v>0.3067876946304533</v>
      </c>
      <c r="H51" s="465"/>
      <c r="I51" s="481">
        <f>I27/I9</f>
        <v>0.30141022263560568</v>
      </c>
      <c r="J51" s="473">
        <f>J27/J9</f>
        <v>0.3284590386087306</v>
      </c>
      <c r="K51" s="473">
        <f>K27/K9</f>
        <v>0.31821852916051868</v>
      </c>
      <c r="L51" s="473">
        <f>L27/L9</f>
        <v>0.34992147366559007</v>
      </c>
      <c r="M51" s="472">
        <f>M27/M9</f>
        <v>0.3252594716352491</v>
      </c>
      <c r="N51" s="465"/>
      <c r="O51" s="481">
        <f>O27/O9</f>
        <v>0.33678224421411673</v>
      </c>
      <c r="P51" s="473">
        <f>P27/P9</f>
        <v>0.32227143317798346</v>
      </c>
      <c r="Q51" s="473">
        <f>Q27/Q9</f>
        <v>0.3202215192412084</v>
      </c>
      <c r="R51" s="473">
        <f>R27/R9</f>
        <v>0.35592797448046853</v>
      </c>
      <c r="S51" s="472">
        <f>S27/S9</f>
        <v>0.3346153332888504</v>
      </c>
      <c r="T51" s="465"/>
      <c r="U51" s="481">
        <f>U27/U9</f>
        <v>0.32095458254011422</v>
      </c>
      <c r="V51" s="473">
        <f>V27/V9</f>
        <v>0.33693470227973044</v>
      </c>
      <c r="W51" s="473">
        <f>W27/W9</f>
        <v>0.33088884345124397</v>
      </c>
      <c r="X51" s="473">
        <f>X27/X9</f>
        <v>0.36452030489393644</v>
      </c>
      <c r="Y51" s="472">
        <f>Y27/Y9</f>
        <v>0.34000113181989949</v>
      </c>
      <c r="Z51" s="472"/>
      <c r="AA51" s="473">
        <f>AA27/AA9</f>
        <v>0.33108046482367998</v>
      </c>
      <c r="AB51" s="473">
        <f>AB27/AB9</f>
        <v>0.32863075730463093</v>
      </c>
      <c r="AC51" s="473">
        <f>AC27/AC9</f>
        <v>0.34346165523371192</v>
      </c>
      <c r="AD51" s="473">
        <f>AD27/AD9</f>
        <v>0.36441509723447507</v>
      </c>
      <c r="AE51" s="472">
        <f>AE27/AE9</f>
        <v>0.34291746255369543</v>
      </c>
      <c r="AF51" s="465"/>
      <c r="AG51" s="473">
        <f>AG27/AG9</f>
        <v>0.32119498261419699</v>
      </c>
      <c r="AH51" s="473">
        <f>AH27/AH9</f>
        <v>0.3397251171187135</v>
      </c>
      <c r="AI51" s="473">
        <f>AI27/AI9</f>
        <v>0.35125968992248063</v>
      </c>
      <c r="AJ51" s="473">
        <f>AJ27/AJ9</f>
        <v>0.37011802225518708</v>
      </c>
      <c r="AK51" s="472">
        <f>AK27/AK9</f>
        <v>0.34691569562620928</v>
      </c>
      <c r="AL51" s="471"/>
      <c r="AM51" s="473">
        <f>AM27/AM9</f>
        <v>0.32198876232171003</v>
      </c>
      <c r="AN51" s="473">
        <f>AN27/AN9</f>
        <v>0.32205313500991989</v>
      </c>
      <c r="AO51" s="473">
        <f>AO27/AO9</f>
        <v>0.33605573376891745</v>
      </c>
      <c r="AP51" s="473">
        <f>AP27/AP9</f>
        <v>0.37258598491815331</v>
      </c>
      <c r="AQ51" s="472">
        <f>AQ27/AQ9</f>
        <v>0.34040692819834711</v>
      </c>
      <c r="AR51" s="471"/>
      <c r="AS51" s="473">
        <f>AS27/AS9</f>
        <v>0.2977807613331227</v>
      </c>
      <c r="AT51" s="473">
        <f>AT27/AT9</f>
        <v>0.33247751665106545</v>
      </c>
      <c r="AU51" s="473">
        <f>AU27/AU9</f>
        <v>0.36329017671570374</v>
      </c>
      <c r="AV51" s="473">
        <f>AV27/AV9</f>
        <v>0.3791546063336016</v>
      </c>
      <c r="AW51" s="472">
        <f>AW27/AW9</f>
        <v>0.34630712435858252</v>
      </c>
      <c r="AX51" s="465"/>
      <c r="AY51" s="481">
        <f>AY27/AY9</f>
        <v>0.33607874822981559</v>
      </c>
      <c r="AZ51" s="473">
        <f>AZ27/AZ9</f>
        <v>0.33467679993531957</v>
      </c>
      <c r="BA51" s="473">
        <f>BA27/BA9</f>
        <v>0.33264302466348888</v>
      </c>
      <c r="BB51" s="473">
        <f>BB27/BB9</f>
        <v>0.37817708528664701</v>
      </c>
      <c r="BC51" s="472">
        <f>BC27/BC9</f>
        <v>0.34698875599070078</v>
      </c>
      <c r="BD51" s="465"/>
      <c r="BE51" s="481">
        <f>BE27/BE9</f>
        <v>0.32377522377884288</v>
      </c>
      <c r="BF51" s="473">
        <f>BF27/BF9</f>
        <v>0.34563398315193072</v>
      </c>
      <c r="BG51" s="473">
        <f>BG27/BG9</f>
        <v>0.34936782263728344</v>
      </c>
      <c r="BH51" s="473">
        <f>BH27/BH9</f>
        <v>0.38723225830050551</v>
      </c>
      <c r="BI51" s="472">
        <f>BI27/BI9</f>
        <v>0.35381663385504347</v>
      </c>
      <c r="BJ51" s="465"/>
      <c r="BK51" s="481">
        <f>BK27/BK9</f>
        <v>0.33233474372902738</v>
      </c>
      <c r="BL51" s="473">
        <f>BL27/BL9</f>
        <v>0.36665866547245857</v>
      </c>
      <c r="BM51" s="473">
        <f>BM27/BM9</f>
        <v>0.35551668717644053</v>
      </c>
      <c r="BN51" s="473">
        <f>BN27/BN9</f>
        <v>0.39655640027645395</v>
      </c>
      <c r="BO51" s="472">
        <f>BO27/BO9</f>
        <v>0.36542613545319824</v>
      </c>
      <c r="BP51" s="465"/>
      <c r="BQ51" s="481">
        <f>BQ27/BQ9</f>
        <v>0.33131383600607317</v>
      </c>
      <c r="BR51" s="473">
        <f>BR27/BR9</f>
        <v>0.35526295334506597</v>
      </c>
      <c r="BS51" s="473">
        <f>BS27/BS9</f>
        <v>0.35216563269401957</v>
      </c>
      <c r="BT51" s="473">
        <f>BT27/BT9</f>
        <v>0.39217845775068383</v>
      </c>
      <c r="BU51" s="472">
        <f>BU27/BU9</f>
        <v>0.36017890518184476</v>
      </c>
      <c r="BV51" s="465"/>
      <c r="BW51" s="481">
        <f>BW27/BW9</f>
        <v>0.33223675433135669</v>
      </c>
      <c r="BX51" s="473">
        <f>BX27/BX9</f>
        <v>0.35675893389097862</v>
      </c>
      <c r="BY51" s="473">
        <f>BY27/BY9</f>
        <v>0.35398059791986008</v>
      </c>
      <c r="BZ51" s="473">
        <f>BZ27/BZ9</f>
        <v>0.39456386159929568</v>
      </c>
      <c r="CA51" s="472">
        <f>CA27/CA9</f>
        <v>0.36176648969346215</v>
      </c>
      <c r="CB51" s="465"/>
      <c r="CC51" s="481">
        <f>CC27/CC9</f>
        <v>0.33382832334080315</v>
      </c>
      <c r="CD51" s="473">
        <f>CD27/CD9</f>
        <v>0.35849664885098054</v>
      </c>
      <c r="CE51" s="473">
        <f>CE27/CE9</f>
        <v>0.35577051188907055</v>
      </c>
      <c r="CF51" s="473">
        <f>CF27/CF9</f>
        <v>0.39657992674199471</v>
      </c>
      <c r="CG51" s="472">
        <f>CG27/CG9</f>
        <v>0.36344974479589337</v>
      </c>
      <c r="CH51" s="465"/>
      <c r="CI51" s="481">
        <f>CI27/CI9</f>
        <v>0.33456259604927663</v>
      </c>
      <c r="CJ51" s="473">
        <f>CJ27/CJ9</f>
        <v>0.35923232440892772</v>
      </c>
      <c r="CK51" s="473">
        <f>CK27/CK9</f>
        <v>0.35634769432124425</v>
      </c>
      <c r="CL51" s="473">
        <f>CL27/CL9</f>
        <v>0.39735754891853881</v>
      </c>
      <c r="CM51" s="472">
        <f>CM27/CM9</f>
        <v>0.3640442864801775</v>
      </c>
      <c r="CN51"/>
      <c r="CO51"/>
      <c r="CP51"/>
      <c r="CQ51"/>
      <c r="CR51"/>
      <c r="CS51"/>
      <c r="CT51"/>
      <c r="CU51"/>
    </row>
    <row r="52" spans="1:101" s="24" customFormat="1" hidden="1" outlineLevel="1">
      <c r="A52" s="415" t="s">
        <v>228</v>
      </c>
      <c r="B52" s="347"/>
      <c r="C52" s="475"/>
      <c r="D52" s="475"/>
      <c r="E52" s="475"/>
      <c r="F52" s="475"/>
      <c r="G52" s="476"/>
      <c r="H52" s="347"/>
      <c r="I52" s="478">
        <f>(I15-C15)/(I9-C9)</f>
        <v>0.70357342131437917</v>
      </c>
      <c r="J52" s="475">
        <f>(J15-D15)/(J9-D9)</f>
        <v>0.68786391887471421</v>
      </c>
      <c r="K52" s="475">
        <f>(K15-E15)/(K9-E9)</f>
        <v>0.81595984794487975</v>
      </c>
      <c r="L52" s="475">
        <f>(L15-F15)/(L9-F9)</f>
        <v>0.42539631533847611</v>
      </c>
      <c r="M52" s="476">
        <f>(M15-G15)/(M9-G9)</f>
        <v>0.78447431325678962</v>
      </c>
      <c r="N52" s="347"/>
      <c r="O52" s="478">
        <f>(O15-I15)/(O9-I9)</f>
        <v>0.28113285061367105</v>
      </c>
      <c r="P52" s="475">
        <f>(P15-J15)/(P9-J9)</f>
        <v>0.37225089766606906</v>
      </c>
      <c r="Q52" s="475">
        <f>(Q15-K15)/(Q9-K9)</f>
        <v>0.66169919818579259</v>
      </c>
      <c r="R52" s="475">
        <f>(R15-L15)/(R9-L9)</f>
        <v>1.1076352572026182</v>
      </c>
      <c r="S52" s="476">
        <f>(S15-M15)/(S9-M9)</f>
        <v>0.2713807180990267</v>
      </c>
      <c r="T52" s="347"/>
      <c r="U52" s="478">
        <f>(U15-O15)/(U9-O9)</f>
        <v>0.46669360424844153</v>
      </c>
      <c r="V52" s="475">
        <f>(V15-P15)/(V9-P9)</f>
        <v>0.61092210645687128</v>
      </c>
      <c r="W52" s="475">
        <f>(W15-Q15)/(W9-Q9)</f>
        <v>0.63649122807017477</v>
      </c>
      <c r="X52" s="475">
        <f>(X15-R15)/(X9-R9)</f>
        <v>0.6506120957427376</v>
      </c>
      <c r="Y52" s="476">
        <f>(Y15-S15)/(Y9-S9)</f>
        <v>0.59618029874681155</v>
      </c>
      <c r="Z52" s="476"/>
      <c r="AA52" s="475">
        <f>(AA15-U15)/(AA9-U9)</f>
        <v>0.60107173263442548</v>
      </c>
      <c r="AB52" s="475">
        <f>(AB15-V15)/(AB9-V9)</f>
        <v>0.62932192604115156</v>
      </c>
      <c r="AC52" s="475">
        <f>(AC15-W15)/(AC9-W9)</f>
        <v>0.6759944668760286</v>
      </c>
      <c r="AD52" s="475">
        <f>(AD15-X15)/(AD9-X9)</f>
        <v>0.60387928756408182</v>
      </c>
      <c r="AE52" s="476">
        <f>(AE15-Y15)/(AE9-Y9)</f>
        <v>0.62856029218576326</v>
      </c>
      <c r="AF52" s="347"/>
      <c r="AG52" s="475">
        <f>(AG15-AA15)/(AG9-AA9)</f>
        <v>0.64464660601819546</v>
      </c>
      <c r="AH52" s="475">
        <f>(AH15-AB15)/(AH9-AB9)</f>
        <v>0.67352787910369571</v>
      </c>
      <c r="AI52" s="475">
        <f>(AI15-AC15)/(AI9-AC9)</f>
        <v>1.5202968136185111</v>
      </c>
      <c r="AJ52" s="406">
        <f>(AJ15-AD15)/(AJ9-AD9)</f>
        <v>-10.907514450867104</v>
      </c>
      <c r="AK52" s="476">
        <f>(AK15-AE15)/(AK9-AE9)</f>
        <v>1.6917672013787814</v>
      </c>
      <c r="AL52" s="479"/>
      <c r="AM52" s="475">
        <f>(AM15-AG15)/(AM9-AG9)</f>
        <v>0.26336032388664304</v>
      </c>
      <c r="AN52" s="475">
        <f>(AN15-AH15)/(AN9-AH9)</f>
        <v>32.351428571431661</v>
      </c>
      <c r="AO52" s="475">
        <f>(AO15-AI15)/(AO9-AI9)</f>
        <v>-0.20380176510522396</v>
      </c>
      <c r="AP52" s="475">
        <f>(AP15-AJ15)/(AP9-AJ9)</f>
        <v>0.52776887505150916</v>
      </c>
      <c r="AQ52" s="476">
        <f>(AQ15-AK15)/(AQ9-AK9)</f>
        <v>0.21182957227990704</v>
      </c>
      <c r="AR52" s="479"/>
      <c r="AS52" s="406">
        <f>(AS15-AM15)/(AS9-AM9)</f>
        <v>-76.358823529430452</v>
      </c>
      <c r="AT52" s="475">
        <f>(AT15-AN15)/(AT9-AN9)</f>
        <v>0.55927784657498503</v>
      </c>
      <c r="AU52" s="475">
        <f>(AU15-AO15)/(AU9-AO9)</f>
        <v>0.70280071412631129</v>
      </c>
      <c r="AV52" s="475">
        <f>(AV15-AP15)/(AV9-AP9)</f>
        <v>0.77592009553794483</v>
      </c>
      <c r="AW52" s="476">
        <f>(AW15-AQ15)/(AW9-AQ9)</f>
        <v>0.51299250522754491</v>
      </c>
      <c r="AX52" s="347"/>
      <c r="AY52" s="478">
        <f>(AY15-AS15)/(AY9-AS9)</f>
        <v>0.94892293283382434</v>
      </c>
      <c r="AZ52" s="475">
        <f>(AZ15-AT15)/(AZ9-AT9)</f>
        <v>0.47028363861195038</v>
      </c>
      <c r="BA52" s="475">
        <f>(BA15-AU15)/(BA9-AU9)</f>
        <v>0.38189666801563754</v>
      </c>
      <c r="BB52" s="475">
        <f>(BB15-AV15)/(BB9-AV9)</f>
        <v>-0.75036496350364101</v>
      </c>
      <c r="BC52" s="476">
        <f>(BC15-AW15)/(BC9-AW9)</f>
        <v>0.66484864497621965</v>
      </c>
      <c r="BD52" s="347"/>
      <c r="BE52" s="478">
        <f>(BE15-AY15)/(BE9-AY9)</f>
        <v>0.19788438215873588</v>
      </c>
      <c r="BF52" s="475">
        <f>(BF15-AZ15)/(BF9-AZ9)</f>
        <v>0.72089909134385355</v>
      </c>
      <c r="BG52" s="475">
        <f>(BG15-BA15)/(BG9-BA9)</f>
        <v>0.56041444461374623</v>
      </c>
      <c r="BH52" s="475">
        <f>(BH15-BB15)/(BH9-BB9)</f>
        <v>0.67603196054721681</v>
      </c>
      <c r="BI52" s="476">
        <f>(BI15-BC15)/(BI9-BC9)</f>
        <v>0.61003589386926327</v>
      </c>
      <c r="BJ52" s="347"/>
      <c r="BK52" s="478">
        <f>(BK15-BE15)/(BK9-BE9)</f>
        <v>0.56238172776482176</v>
      </c>
      <c r="BL52" s="475">
        <f>(BL15-BF15)/(BL9-BF9)</f>
        <v>0.5736284001844183</v>
      </c>
      <c r="BM52" s="475">
        <f>(BM15-BG15)/(BM9-BG9)</f>
        <v>0.54719512824482519</v>
      </c>
      <c r="BN52" s="475">
        <f>(BN15-BH15)/(BN9-BH9)</f>
        <v>0.67730132676788324</v>
      </c>
      <c r="BO52" s="476">
        <f>(BO15-BI15)/(BO9-BI9)</f>
        <v>0.60739825632699196</v>
      </c>
      <c r="BP52" s="347"/>
      <c r="BQ52" s="478">
        <f>(BQ15-BK15)/(BQ9-BK9)</f>
        <v>0.57370820520476706</v>
      </c>
      <c r="BR52" s="475">
        <f>(BR15-BL15)/(BR9-BL9)</f>
        <v>0.58931000131025935</v>
      </c>
      <c r="BS52" s="475">
        <f>(BS15-BM15)/(BS9-BM9)</f>
        <v>0.58244060908660911</v>
      </c>
      <c r="BT52" s="475">
        <f>(BT15-BN15)/(BT9-BN9)</f>
        <v>0.60633257149960218</v>
      </c>
      <c r="BU52" s="476">
        <f>(BU15-BO15)/(BU9-BO9)</f>
        <v>0.58839714711837754</v>
      </c>
      <c r="BV52" s="347"/>
      <c r="BW52" s="478">
        <f>(BW15-BQ15)/(BW9-BQ9)</f>
        <v>0.61458309428296853</v>
      </c>
      <c r="BX52" s="475">
        <f>(BX15-BR15)/(BX9-BR9)</f>
        <v>0.63085714752409117</v>
      </c>
      <c r="BY52" s="475">
        <f>(BY15-BS15)/(BY9-BS9)</f>
        <v>0.62710531139170667</v>
      </c>
      <c r="BZ52" s="475">
        <f>(BZ15-BT15)/(BZ9-BT9)</f>
        <v>0.65745798082970364</v>
      </c>
      <c r="CA52" s="476">
        <f>(CA15-BU15)/(CA9-BU9)</f>
        <v>0.63266983095084861</v>
      </c>
      <c r="CB52" s="347"/>
      <c r="CC52" s="478">
        <f>(CC15-BW15)/(CC9-BW9)</f>
        <v>0.62007228239782608</v>
      </c>
      <c r="CD52" s="475">
        <f>(CD15-BX15)/(CD9-BX9)</f>
        <v>0.63698593316841279</v>
      </c>
      <c r="CE52" s="475">
        <f>(CE15-BY15)/(CE9-BY9)</f>
        <v>0.63474011736622404</v>
      </c>
      <c r="CF52" s="475">
        <f>(CF15-BZ15)/(CF9-BZ9)</f>
        <v>0.66661913497846781</v>
      </c>
      <c r="CG52" s="476">
        <f>(CG15-CA15)/(CG9-CA9)</f>
        <v>0.63955980480604202</v>
      </c>
      <c r="CH52" s="347"/>
      <c r="CI52" s="478">
        <f>(CI15-CC15)/(CI9-CC9)</f>
        <v>0.62229872420975219</v>
      </c>
      <c r="CJ52" s="475">
        <f>(CJ15-CD15)/(CJ9-CD9)</f>
        <v>0.6389078598056448</v>
      </c>
      <c r="CK52" s="475">
        <f>(CK15-CE15)/(CK9-CE9)</f>
        <v>0.63699503711072714</v>
      </c>
      <c r="CL52" s="475">
        <f>(CL15-CF15)/(CL9-CF9)</f>
        <v>0.66846940453401205</v>
      </c>
      <c r="CM52" s="476">
        <f>(CM15-CG15)/(CM9-CG9)</f>
        <v>0.64157163880673085</v>
      </c>
      <c r="CN52"/>
      <c r="CO52"/>
      <c r="CP52"/>
      <c r="CQ52"/>
      <c r="CR52"/>
      <c r="CS52"/>
      <c r="CT52"/>
      <c r="CU52"/>
    </row>
    <row r="53" spans="1:101" s="24" customFormat="1" hidden="1" outlineLevel="1">
      <c r="A53" s="415" t="s">
        <v>229</v>
      </c>
      <c r="B53" s="347"/>
      <c r="C53" s="475"/>
      <c r="D53" s="475"/>
      <c r="E53" s="475"/>
      <c r="F53" s="475"/>
      <c r="G53" s="476"/>
      <c r="H53" s="347"/>
      <c r="I53" s="478">
        <f>+(I22-C22)/(I9-C9)</f>
        <v>0.38834574610028938</v>
      </c>
      <c r="J53" s="475">
        <f>+(J22-D22)/(J9-D9)</f>
        <v>0.40817795224075903</v>
      </c>
      <c r="K53" s="475">
        <f>+(K22-E22)/(K9-E9)</f>
        <v>0.53474697077690625</v>
      </c>
      <c r="L53" s="475">
        <f>+(L22-F22)/(L9-F9)</f>
        <v>0.3321015424164534</v>
      </c>
      <c r="M53" s="476">
        <f>+(M22-G22)/(M9-G9)</f>
        <v>0.45583682746189197</v>
      </c>
      <c r="N53" s="347"/>
      <c r="O53" s="478">
        <f>+(O22-I22)/(O9-I9)</f>
        <v>1.3274790735891702E-2</v>
      </c>
      <c r="P53" s="475">
        <f>+(P22-J22)/(P9-J9)</f>
        <v>7.0466786355476527E-2</v>
      </c>
      <c r="Q53" s="475">
        <f>+(Q22-K22)/(Q9-K9)</f>
        <v>0.22240220296427921</v>
      </c>
      <c r="R53" s="475">
        <f>+(R22-L22)/(R9-L9)</f>
        <v>0.51963487686602539</v>
      </c>
      <c r="S53" s="476">
        <f>+(S22-M22)/(S9-M9)</f>
        <v>4.0563173872074938E-3</v>
      </c>
      <c r="T53" s="347"/>
      <c r="U53" s="478">
        <f>+(U22-O22)/(U9-O9)</f>
        <v>0.19025629184945714</v>
      </c>
      <c r="V53" s="475">
        <f>+(V22-P22)/(V9-P9)</f>
        <v>0.52796087603657249</v>
      </c>
      <c r="W53" s="475">
        <f>+(W22-Q22)/(W9-Q9)</f>
        <v>0.45754385964912214</v>
      </c>
      <c r="X53" s="482">
        <f>+(X22-R22)/(X9-R9)</f>
        <v>0.39281929471953297</v>
      </c>
      <c r="Y53" s="476">
        <f>+(Y22-S22)/(Y9-S9)</f>
        <v>0.38277885685451774</v>
      </c>
      <c r="Z53" s="479"/>
      <c r="AA53" s="475">
        <f>+(AA22-U22)/(AA9-U9)</f>
        <v>0.35719413051099297</v>
      </c>
      <c r="AB53" s="475">
        <f>+(AB22-V22)/(AB9-V9)</f>
        <v>0.22793961677154845</v>
      </c>
      <c r="AC53" s="475">
        <f>+(AC22-W22)/(AC9-W9)</f>
        <v>0.4002168386421418</v>
      </c>
      <c r="AD53" s="475">
        <f>+(AD22-X22)/(AD9-X9)</f>
        <v>0.43055335341683804</v>
      </c>
      <c r="AE53" s="476">
        <f>+(AE22-Y22)/(AE9-Y9)</f>
        <v>0.34644127172024874</v>
      </c>
      <c r="AF53" s="347"/>
      <c r="AG53" s="475">
        <f>+(AG22-AA22)/(AG9-AA9)</f>
        <v>0.72540237928621498</v>
      </c>
      <c r="AH53" s="475">
        <f>+(AH22-AB22)/(AH9-AB9)</f>
        <v>1.8642522146951837</v>
      </c>
      <c r="AI53" s="475">
        <f>+(AI22-AC22)/(AI9-AC9)</f>
        <v>0.54801396769969424</v>
      </c>
      <c r="AJ53" s="475">
        <f>+(AJ22-AD22)/(AJ9-AD9)</f>
        <v>-3.5260115606937656</v>
      </c>
      <c r="AK53" s="476">
        <f>+(AK22-AE22)/(AK9-AE9)</f>
        <v>0.23319634097839581</v>
      </c>
      <c r="AL53" s="479"/>
      <c r="AM53" s="475">
        <f>+(AM22-AG22)/(AM9-AG9)</f>
        <v>-3.4615384615383063E-2</v>
      </c>
      <c r="AN53" s="475">
        <f>+(AN22-AH22)/(AN9-AH9)</f>
        <v>34.974285714289081</v>
      </c>
      <c r="AO53" s="475">
        <f>+(AO22-AI22)/(AO9-AI9)</f>
        <v>-0.77216564833672452</v>
      </c>
      <c r="AP53" s="475">
        <f>+(AP22-AJ22)/(AP9-AJ9)</f>
        <v>0.30909756879263778</v>
      </c>
      <c r="AQ53" s="476">
        <f>+(AQ22-AK22)/(AQ9-AK9)</f>
        <v>-7.8709741320964186E-2</v>
      </c>
      <c r="AR53" s="479"/>
      <c r="AS53" s="406">
        <f>+(AS22-AM22)/(AS9-AM9)</f>
        <v>-77.32352941178371</v>
      </c>
      <c r="AT53" s="475">
        <f>+(AT22-AN22)/(AT9-AN9)</f>
        <v>0.29668252623346031</v>
      </c>
      <c r="AU53" s="475">
        <f>+(AU22-AO22)/(AU9-AO9)</f>
        <v>0.4796362419102882</v>
      </c>
      <c r="AV53" s="475">
        <f>+(AV22-AP22)/(AV9-AP9)</f>
        <v>0.63706437954619644</v>
      </c>
      <c r="AW53" s="476">
        <f>+(AW22-AQ22)/(AW9-AQ9)</f>
        <v>0.29237835678875829</v>
      </c>
      <c r="AX53" s="347"/>
      <c r="AY53" s="478">
        <f>+(AY22-AS22)/(AY9-AS9)</f>
        <v>0.80284987958255472</v>
      </c>
      <c r="AZ53" s="475">
        <f>+(AZ22-AT22)/(AZ9-AT9)</f>
        <v>0.59857794265399333</v>
      </c>
      <c r="BA53" s="475">
        <f>+(BA22-AU22)/(BA9-AU9)</f>
        <v>-0.19978416295698334</v>
      </c>
      <c r="BB53" s="475">
        <f>+(BB22-AV22)/(BB9-AV9)</f>
        <v>0.31459854014599281</v>
      </c>
      <c r="BC53" s="476">
        <f>+(BC22-AW22)/(BC9-AW9)</f>
        <v>0.58745376311617781</v>
      </c>
      <c r="BD53" s="347"/>
      <c r="BE53" s="478">
        <f>+(BE22-AY22)/(BE9-AY9)</f>
        <v>0.15301172348739606</v>
      </c>
      <c r="BF53" s="475">
        <f>+(BF22-AZ22)/(BF9-AZ9)</f>
        <v>0.50616929698708635</v>
      </c>
      <c r="BG53" s="475">
        <f>+(BG22-BA22)/(BG9-BA9)</f>
        <v>0.57226116105439861</v>
      </c>
      <c r="BH53" s="475">
        <f>+(BH22-BB22)/(BH9-BB9)</f>
        <v>0.48386561396021405</v>
      </c>
      <c r="BI53" s="476">
        <f>+(BI22-BC22)/(BI9-BC9)</f>
        <v>0.47061739053968665</v>
      </c>
      <c r="BJ53" s="347"/>
      <c r="BK53" s="478">
        <f>+(BK22-BE22)/(BK9-BE9)</f>
        <v>0.39374202350042048</v>
      </c>
      <c r="BL53" s="475">
        <f>+(BL22-BF22)/(BL9-BF9)</f>
        <v>0.51438450899031996</v>
      </c>
      <c r="BM53" s="475">
        <f>+(BM22-BG22)/(BM9-BG9)</f>
        <v>0.30783919079320643</v>
      </c>
      <c r="BN53" s="475">
        <f>+(BN22-BH22)/(BN9-BH9)</f>
        <v>0.36272397756804708</v>
      </c>
      <c r="BO53" s="476">
        <f>+(BO22-BI22)/(BO9-BI9)</f>
        <v>0.37590625110303405</v>
      </c>
      <c r="BP53" s="347"/>
      <c r="BQ53" s="478">
        <f>+(BQ22-BK22)/(BQ9-BK9)</f>
        <v>0.30624165851961166</v>
      </c>
      <c r="BR53" s="475">
        <f>+(BR22-BL22)/(BR9-BL9)</f>
        <v>0.33717306584506795</v>
      </c>
      <c r="BS53" s="475">
        <f>+(BS22-BM22)/(BS9-BM9)</f>
        <v>0.34512673289154677</v>
      </c>
      <c r="BT53" s="475">
        <f>+(BT22-BN22)/(BT9-BN9)</f>
        <v>0.39189147128020241</v>
      </c>
      <c r="BU53" s="476">
        <f>+(BU22-BO22)/(BU9-BO9)</f>
        <v>0.34527665936746599</v>
      </c>
      <c r="BV53" s="347"/>
      <c r="BW53" s="478">
        <f>+(BW22-BQ22)/(BW9-BQ9)</f>
        <v>0.31248779718616121</v>
      </c>
      <c r="BX53" s="475">
        <f>+(BX22-BR22)/(BX9-BR9)</f>
        <v>0.34462472477442702</v>
      </c>
      <c r="BY53" s="475">
        <f>+(BY22-BS22)/(BY9-BS9)</f>
        <v>0.34263077180077051</v>
      </c>
      <c r="BZ53" s="475">
        <f>+(BZ22-BT22)/(BZ9-BT9)</f>
        <v>0.39697393150446969</v>
      </c>
      <c r="CA53" s="476">
        <f>+(CA22-BU22)/(CA9-BU9)</f>
        <v>0.34945225598604218</v>
      </c>
      <c r="CB53" s="347"/>
      <c r="CC53" s="478">
        <f>+(CC22-BW22)/(CC9-BW9)</f>
        <v>0.31797698530101903</v>
      </c>
      <c r="CD53" s="475">
        <f>+(CD22-BX22)/(CD9-BX9)</f>
        <v>0.35075351041874875</v>
      </c>
      <c r="CE53" s="475">
        <f>+(CE22-BY22)/(CE9-BY9)</f>
        <v>0.35026557777528872</v>
      </c>
      <c r="CF53" s="475">
        <f>+(CF22-BZ22)/(CF9-BZ9)</f>
        <v>0.40613508565323375</v>
      </c>
      <c r="CG53" s="476">
        <f>+(CG22-CA22)/(CG9-CA9)</f>
        <v>0.35615951179462579</v>
      </c>
      <c r="CH53" s="347"/>
      <c r="CI53" s="478">
        <f>+(CI22-CC22)/(CI9-CC9)</f>
        <v>0.32020342711294442</v>
      </c>
      <c r="CJ53" s="475">
        <f>+(CJ22-CD22)/(CJ9-CD9)</f>
        <v>0.3526754370559807</v>
      </c>
      <c r="CK53" s="475">
        <f>+(CK22-CE22)/(CK9-CE9)</f>
        <v>0.35252049751978992</v>
      </c>
      <c r="CL53" s="475">
        <f>+(CL22-CF22)/(CL9-CF9)</f>
        <v>0.40798535520877921</v>
      </c>
      <c r="CM53" s="476">
        <f>+(CM22-CG22)/(CM9-CG9)</f>
        <v>0.3581238742561102</v>
      </c>
      <c r="CN53"/>
      <c r="CO53"/>
      <c r="CP53"/>
      <c r="CQ53"/>
      <c r="CR53"/>
      <c r="CS53"/>
      <c r="CT53"/>
      <c r="CU53"/>
    </row>
    <row r="54" spans="1:101" s="24" customFormat="1" collapsed="1">
      <c r="A54" s="1464" t="s">
        <v>203</v>
      </c>
      <c r="B54" s="483"/>
      <c r="C54" s="484">
        <f>IF(C30/C29&gt;0, C30/C29,0)</f>
        <v>0.15431618219473864</v>
      </c>
      <c r="D54" s="484">
        <f>IF(D30/D29&gt;0, D30/D29,0)</f>
        <v>0.15300576523521883</v>
      </c>
      <c r="E54" s="484">
        <f>IF(E30/E29&gt;0, E30/E29,0)</f>
        <v>0.18558807073243727</v>
      </c>
      <c r="F54" s="484">
        <f>IF(F30/F29&gt;0, F30/F29,0)</f>
        <v>0.20725544316411357</v>
      </c>
      <c r="G54" s="485">
        <f>IF(G30/G29&gt;0, G30/G29,0)</f>
        <v>0.18048038970626712</v>
      </c>
      <c r="H54" s="486"/>
      <c r="I54" s="488">
        <f>IF(I30/I29&gt;0, I30/I29,0)</f>
        <v>0.18823257960313786</v>
      </c>
      <c r="J54" s="484">
        <f>IF(J30/J29&gt;0, J30/J29,0)</f>
        <v>0.17214181955129929</v>
      </c>
      <c r="K54" s="484">
        <f>IF(K30/K29&gt;0, K30/K29,0)</f>
        <v>0.18603860303589284</v>
      </c>
      <c r="L54" s="484">
        <f>IF(L30/L29&gt;0, L30/L29,0)</f>
        <v>0.13490639465814602</v>
      </c>
      <c r="M54" s="487">
        <f>IF(M30/M29&gt;0, M30/M29,0)</f>
        <v>0.16762350486194189</v>
      </c>
      <c r="N54" s="486"/>
      <c r="O54" s="488">
        <f>IF(O30/O29&gt;0, O30/O29,0)</f>
        <v>0.18028009298633552</v>
      </c>
      <c r="P54" s="484">
        <f>IF(P30/P29&gt;0, P30/P29,0)</f>
        <v>0.18864240967991075</v>
      </c>
      <c r="Q54" s="484">
        <f>IF(Q30/Q29&gt;0, Q30/Q29,0)</f>
        <v>0.19492331224936948</v>
      </c>
      <c r="R54" s="484">
        <f>IF(R30/R29&gt;0, R30/R29,0)</f>
        <v>0.16779877701276902</v>
      </c>
      <c r="S54" s="485">
        <f>+S30/S29</f>
        <v>0.18169117989465963</v>
      </c>
      <c r="T54" s="483"/>
      <c r="U54" s="489">
        <f>IF(U30/U29&gt;0, U30/U29,0)</f>
        <v>0.18621323141246279</v>
      </c>
      <c r="V54" s="490">
        <f>IF(V30/V29&gt;0, V30/V29,0)</f>
        <v>0.18234068203695222</v>
      </c>
      <c r="W54" s="490">
        <f>IF(W30/W29&gt;0, W30/W29,0)</f>
        <v>0.15288754644256869</v>
      </c>
      <c r="X54" s="490">
        <f>IF(X30/X29&gt;0, X30/X29,0)</f>
        <v>0.13808037534336298</v>
      </c>
      <c r="Y54" s="487">
        <f>+Y30/Y29</f>
        <v>0.16179842314634776</v>
      </c>
      <c r="Z54" s="491"/>
      <c r="AA54" s="490">
        <f>IF(AA30/AA29&gt;0, AA30/AA29,0)</f>
        <v>0.16256324657034063</v>
      </c>
      <c r="AB54" s="490">
        <f>IF(AB30/AB29&gt;0, AB30/AB29,0)</f>
        <v>0.14320216776625819</v>
      </c>
      <c r="AC54" s="490">
        <f>IF(AC30/AC29&gt;0, AC30/AC29,0)</f>
        <v>0.17532084320190103</v>
      </c>
      <c r="AD54" s="490">
        <f>IF(AD30/AD29&gt;0, AD30/AD29,0)</f>
        <v>0.13207801766437685</v>
      </c>
      <c r="AE54" s="492">
        <f>+AE30/AE29</f>
        <v>0.15178106243499334</v>
      </c>
      <c r="AF54" s="486"/>
      <c r="AG54" s="490">
        <f>IF(AG30/AG29&gt;0, AG30/AG29,0)</f>
        <v>0.15744573964331893</v>
      </c>
      <c r="AH54" s="490">
        <f>IF(AH30/AH29&gt;0, AH30/AH29,0)</f>
        <v>0.16140184436279434</v>
      </c>
      <c r="AI54" s="490">
        <f>IF(AI30/AI29&gt;0, AI30/AI29,0)</f>
        <v>0.15837486614223947</v>
      </c>
      <c r="AJ54" s="628">
        <f>IF(AJ30/AJ29&gt;0, AJ30/AJ29,0)</f>
        <v>0.13754639940608768</v>
      </c>
      <c r="AK54" s="492">
        <f>+AK30/AK29</f>
        <v>0.15240608140866779</v>
      </c>
      <c r="AL54" s="1050"/>
      <c r="AM54" s="628">
        <f>IF(AM30/AM29&gt;0, AM30/AM29,0)</f>
        <v>0.12590644971133955</v>
      </c>
      <c r="AN54" s="628">
        <f>IF(AN30/AN29&gt;0, AN30/AN29,0)</f>
        <v>0.14966048232417348</v>
      </c>
      <c r="AO54" s="628">
        <f>IF(AO30/AO29&gt;0, AO30/AO29,0)</f>
        <v>0.12900027960651733</v>
      </c>
      <c r="AP54" s="628">
        <f>IF(AP30/AP29&gt;0, AP30/AP29,0)</f>
        <v>0.16293662653223642</v>
      </c>
      <c r="AQ54" s="492">
        <f>+AQ30/AQ29</f>
        <v>0.14444392112534538</v>
      </c>
      <c r="AR54" s="1050"/>
      <c r="AS54" s="628">
        <f>IF(AS30/AS29&gt;0, AS30/AS29,0)</f>
        <v>0.16088371844815633</v>
      </c>
      <c r="AT54" s="628">
        <f>IF(AT30/AT29&gt;0, AT30/AT29,0)</f>
        <v>0.14027711102650267</v>
      </c>
      <c r="AU54" s="628">
        <f>IF(AU30/AU29&gt;0, AU30/AU29,0)</f>
        <v>0.13055259847091838</v>
      </c>
      <c r="AV54" s="628">
        <f>IF(AV30/AV29&gt;0, AV30/AV29,0)</f>
        <v>9.9652637531303018E-2</v>
      </c>
      <c r="AW54" s="492">
        <f>+AW30/AW29</f>
        <v>0.12733313752158451</v>
      </c>
      <c r="AX54" s="486"/>
      <c r="AY54" s="1424">
        <f>IF(AY30/AY29&gt;0, AY30/AY29,0)</f>
        <v>0.13619089100116999</v>
      </c>
      <c r="AZ54" s="628">
        <f>IF(AZ30/AZ29&gt;0, AZ30/AZ29,0)</f>
        <v>0.14557090296832126</v>
      </c>
      <c r="BA54" s="628">
        <f>IF(BA30/BA29&gt;0, BA30/BA29,0)</f>
        <v>0.12417548761083769</v>
      </c>
      <c r="BB54" s="628">
        <f>IF(BB30/BB29&gt;0, BB30/BB29,0)</f>
        <v>0.14264822407640806</v>
      </c>
      <c r="BC54" s="492">
        <f>+BC30/BC29</f>
        <v>0.1376172017535974</v>
      </c>
      <c r="BD54" s="495"/>
      <c r="BE54" s="1424">
        <f>IF(BE30/BE29&gt;0, BE30/BE29,0)</f>
        <v>0.1366209040819559</v>
      </c>
      <c r="BF54" s="628">
        <f>IF(BF30/BF29&gt;0, BF30/BF29,0)</f>
        <v>0.13910948573869178</v>
      </c>
      <c r="BG54" s="628">
        <f>IF(BG30/BG29&gt;0, BG30/BG29,0)</f>
        <v>0.14379071797971651</v>
      </c>
      <c r="BH54" s="628">
        <f>IF(BH30/BH29&gt;0, BH30/BH29,0)</f>
        <v>0.14253347064881569</v>
      </c>
      <c r="BI54" s="492">
        <f>+BI30/BI29</f>
        <v>0.14088367853021994</v>
      </c>
      <c r="BJ54" s="486"/>
      <c r="BK54" s="1424">
        <f>IF(BK30/BK29&gt;0, BK30/BK29,0)</f>
        <v>9.2224692044086301E-2</v>
      </c>
      <c r="BL54" s="628">
        <f>IF(BL30/BL29&gt;0, BL30/BL29,0)</f>
        <v>0.11904289979311969</v>
      </c>
      <c r="BM54" s="628">
        <f>IF(BM30/BM29&gt;0, BM30/BM29,0)</f>
        <v>0.12153187493435974</v>
      </c>
      <c r="BN54" s="628">
        <f>IF(BN30/BN29&gt;0, BN30/BN29,0)</f>
        <v>0.1282554560232422</v>
      </c>
      <c r="BO54" s="492">
        <f>+BO30/BO29</f>
        <v>0.11766769319814491</v>
      </c>
      <c r="BP54" s="486"/>
      <c r="BQ54" s="1750">
        <v>0.14699999999999999</v>
      </c>
      <c r="BR54" s="494">
        <v>0.14000000000000001</v>
      </c>
      <c r="BS54" s="494">
        <f>BR54</f>
        <v>0.14000000000000001</v>
      </c>
      <c r="BT54" s="494">
        <f>BS54</f>
        <v>0.14000000000000001</v>
      </c>
      <c r="BU54" s="492">
        <f>+BU30/BU29</f>
        <v>0.14135693443552774</v>
      </c>
      <c r="BV54" s="486"/>
      <c r="BW54" s="1750">
        <v>0.14000000000000001</v>
      </c>
      <c r="BX54" s="494">
        <f>BW54</f>
        <v>0.14000000000000001</v>
      </c>
      <c r="BY54" s="494">
        <f>BX54</f>
        <v>0.14000000000000001</v>
      </c>
      <c r="BZ54" s="494">
        <f>BY54</f>
        <v>0.14000000000000001</v>
      </c>
      <c r="CA54" s="492">
        <f>+CA30/CA29</f>
        <v>0.13999999999999999</v>
      </c>
      <c r="CB54" s="486"/>
      <c r="CC54" s="1750">
        <v>0.14000000000000001</v>
      </c>
      <c r="CD54" s="494">
        <f>CC54</f>
        <v>0.14000000000000001</v>
      </c>
      <c r="CE54" s="494">
        <f>CD54</f>
        <v>0.14000000000000001</v>
      </c>
      <c r="CF54" s="494">
        <f>CE54</f>
        <v>0.14000000000000001</v>
      </c>
      <c r="CG54" s="492">
        <f>+CG30/CG29</f>
        <v>0.13999999999999999</v>
      </c>
      <c r="CH54" s="486"/>
      <c r="CI54" s="1750">
        <v>0.14000000000000001</v>
      </c>
      <c r="CJ54" s="494">
        <f>CI54</f>
        <v>0.14000000000000001</v>
      </c>
      <c r="CK54" s="494">
        <f>CJ54</f>
        <v>0.14000000000000001</v>
      </c>
      <c r="CL54" s="494">
        <f>CK54</f>
        <v>0.14000000000000001</v>
      </c>
      <c r="CM54" s="492">
        <f>+CM30/CM29</f>
        <v>0.13999999999999999</v>
      </c>
      <c r="CN54"/>
      <c r="CO54"/>
      <c r="CP54"/>
      <c r="CQ54"/>
      <c r="CR54"/>
      <c r="CS54"/>
      <c r="CT54"/>
      <c r="CU54"/>
    </row>
    <row r="55" spans="1:101" s="24" customFormat="1">
      <c r="A55" s="415" t="s">
        <v>230</v>
      </c>
      <c r="B55" s="347"/>
      <c r="C55" s="475">
        <f>+C31/C9</f>
        <v>0.17405986510549401</v>
      </c>
      <c r="D55" s="475">
        <f>+D31/D9</f>
        <v>0.17456540850182914</v>
      </c>
      <c r="E55" s="475">
        <f>+E31/E9</f>
        <v>0.17749079792875413</v>
      </c>
      <c r="F55" s="475">
        <f>+F31/F9</f>
        <v>0.22937371139328555</v>
      </c>
      <c r="G55" s="476">
        <f>+G31/G9</f>
        <v>0.19141195670473729</v>
      </c>
      <c r="H55" s="347"/>
      <c r="I55" s="478">
        <f>+I31/I9</f>
        <v>0.18915155457825053</v>
      </c>
      <c r="J55" s="475">
        <f>+J31/J9</f>
        <v>0.19307376689210387</v>
      </c>
      <c r="K55" s="475">
        <f>+K31/K9</f>
        <v>0.20446273717998492</v>
      </c>
      <c r="L55" s="475">
        <f>+L31/L9</f>
        <v>0.25240539190258415</v>
      </c>
      <c r="M55" s="476">
        <f>+M31/M9</f>
        <v>0.21069833232177271</v>
      </c>
      <c r="N55" s="347"/>
      <c r="O55" s="478">
        <f>+O31/O9</f>
        <v>0.21704418529238681</v>
      </c>
      <c r="P55" s="475">
        <f>+P31/P9</f>
        <v>0.20846275324732591</v>
      </c>
      <c r="Q55" s="475">
        <f>+Q31/Q9</f>
        <v>0.20829868195516676</v>
      </c>
      <c r="R55" s="475">
        <f>+R31/R9</f>
        <v>0.25197272693355216</v>
      </c>
      <c r="S55" s="476">
        <f>+S31/S9</f>
        <v>0.22277907519850546</v>
      </c>
      <c r="T55" s="347"/>
      <c r="U55" s="478">
        <f>+U31/U9</f>
        <v>0.20961925482730487</v>
      </c>
      <c r="V55" s="475">
        <f>+V31/V9</f>
        <v>0.22373323445551138</v>
      </c>
      <c r="W55" s="475">
        <f>+W31/W9</f>
        <v>0.22797839606221854</v>
      </c>
      <c r="X55" s="482">
        <f>+X31/X9</f>
        <v>0.26668500221267305</v>
      </c>
      <c r="Y55" s="476">
        <f>+Y31/Y9</f>
        <v>0.23425020886945189</v>
      </c>
      <c r="Z55" s="476"/>
      <c r="AA55" s="475">
        <f>+AA31/AA9</f>
        <v>0.22527203971908524</v>
      </c>
      <c r="AB55" s="475">
        <f>+AB31/AB9</f>
        <v>0.22745500159731213</v>
      </c>
      <c r="AC55" s="475">
        <f>+AC31/AC9</f>
        <v>0.23057901059106692</v>
      </c>
      <c r="AD55" s="475">
        <f>+AD31/AD9</f>
        <v>0.27138583099996161</v>
      </c>
      <c r="AE55" s="476">
        <f>+AE31/AE9</f>
        <v>0.24009174668752545</v>
      </c>
      <c r="AF55" s="347"/>
      <c r="AG55" s="475">
        <f>+AG31/AG9</f>
        <v>0.21540082481484485</v>
      </c>
      <c r="AH55" s="475">
        <f>+AH31/AH9</f>
        <v>0.23103452094846777</v>
      </c>
      <c r="AI55" s="475">
        <f>+AI31/AI9</f>
        <v>0.23231144655429914</v>
      </c>
      <c r="AJ55" s="475">
        <f>+AJ31/AJ9</f>
        <v>0.26718299007601098</v>
      </c>
      <c r="AK55" s="476">
        <f>+AK31/AK9</f>
        <v>0.23801108784193889</v>
      </c>
      <c r="AL55" s="479"/>
      <c r="AM55" s="475">
        <f>+AM31/AM9</f>
        <v>0.21707820364457711</v>
      </c>
      <c r="AN55" s="475">
        <f>+AN31/AN9</f>
        <v>0.20736397592631595</v>
      </c>
      <c r="AO55" s="475">
        <f>+AO31/AO9</f>
        <v>0.22478499596559942</v>
      </c>
      <c r="AP55" s="475">
        <f>+AP31/AP9</f>
        <v>0.25856312163098982</v>
      </c>
      <c r="AQ55" s="476">
        <f>+AQ31/AQ9</f>
        <v>0.2289464756661265</v>
      </c>
      <c r="AR55" s="479"/>
      <c r="AS55" s="475">
        <f>+AS31/AS9</f>
        <v>0.18262378399472246</v>
      </c>
      <c r="AT55" s="475">
        <f>+AT31/AT9</f>
        <v>0.21558693319441011</v>
      </c>
      <c r="AU55" s="475">
        <f>+AU31/AU9</f>
        <v>0.23682134782476458</v>
      </c>
      <c r="AV55" s="475">
        <f>+AV31/AV9</f>
        <v>0.28633257403189061</v>
      </c>
      <c r="AW55" s="476">
        <f>+AW31/AW9</f>
        <v>0.23448131645406722</v>
      </c>
      <c r="AX55" s="347"/>
      <c r="AY55" s="478">
        <f>+AY31/AY9</f>
        <v>0.21968966386043567</v>
      </c>
      <c r="AZ55" s="475">
        <f>+AZ31/AZ9</f>
        <v>0.22155677729716622</v>
      </c>
      <c r="BA55" s="475">
        <f>+BA31/BA9</f>
        <v>0.234217244864936</v>
      </c>
      <c r="BB55" s="475">
        <f>+BB31/BB9</f>
        <v>0.27483165987623803</v>
      </c>
      <c r="BC55" s="476">
        <f>+BC31/BC9</f>
        <v>0.23954087778088962</v>
      </c>
      <c r="BD55" s="347"/>
      <c r="BE55" s="478">
        <f>+BE31/BE9</f>
        <v>0.21794397007023725</v>
      </c>
      <c r="BF55" s="475">
        <f>+BF31/BF9</f>
        <v>0.24042231996421637</v>
      </c>
      <c r="BG55" s="475">
        <f>+BG31/BG9</f>
        <v>0.24197748799422972</v>
      </c>
      <c r="BH55" s="475">
        <f>+BH31/BH9</f>
        <v>0.28468940992736802</v>
      </c>
      <c r="BI55" s="476">
        <f>+BI31/BI9</f>
        <v>0.24871379513828165</v>
      </c>
      <c r="BJ55" s="347"/>
      <c r="BK55" s="478">
        <f>+BK31/BK9</f>
        <v>0.23618940134827676</v>
      </c>
      <c r="BL55" s="475">
        <f>+BL31/BL9</f>
        <v>0.25477295118674431</v>
      </c>
      <c r="BM55" s="475">
        <f>+BM31/BM9</f>
        <v>0.25141269908625413</v>
      </c>
      <c r="BN55" s="475">
        <f>+BN31/BN9</f>
        <v>0.2933876541413552</v>
      </c>
      <c r="BO55" s="476">
        <f>+BO31/BO9</f>
        <v>0.26143551668674692</v>
      </c>
      <c r="BP55" s="347"/>
      <c r="BQ55" s="478">
        <f>+BQ31/BQ9</f>
        <v>0.23132968034740647</v>
      </c>
      <c r="BR55" s="475">
        <f>+BR31/BR9</f>
        <v>0.25709019251474091</v>
      </c>
      <c r="BS55" s="475">
        <f>+BS31/BS9</f>
        <v>0.25365072737859745</v>
      </c>
      <c r="BT55" s="475">
        <f>+BT31/BT9</f>
        <v>0.29519486315642485</v>
      </c>
      <c r="BU55" s="476">
        <f>+BU31/BU9</f>
        <v>0.26187905472221701</v>
      </c>
      <c r="BV55" s="347"/>
      <c r="BW55" s="478">
        <f>+BW31/BW9</f>
        <v>0.23603898224761413</v>
      </c>
      <c r="BX55" s="475">
        <f>+BX31/BX9</f>
        <v>0.25970550424279959</v>
      </c>
      <c r="BY55" s="475">
        <f>+BY31/BY9</f>
        <v>0.25625013054402473</v>
      </c>
      <c r="BZ55" s="475">
        <f>+BZ31/BZ9</f>
        <v>0.29769628409006277</v>
      </c>
      <c r="CA55" s="476">
        <f>+CA31/CA9</f>
        <v>0.2647916210127797</v>
      </c>
      <c r="CB55" s="347"/>
      <c r="CC55" s="478">
        <f>+CC31/CC9</f>
        <v>0.23741510243883779</v>
      </c>
      <c r="CD55" s="475">
        <f>+CD31/CD9</f>
        <v>0.35621551194382994</v>
      </c>
      <c r="CE55" s="475">
        <f>+CE31/CE9</f>
        <v>0.35727774774006615</v>
      </c>
      <c r="CF55" s="475">
        <f>+CF31/CF9</f>
        <v>0.38481534973944537</v>
      </c>
      <c r="CG55" s="476">
        <f>+CG31/CG9</f>
        <v>0.33847253125037846</v>
      </c>
      <c r="CH55" s="347"/>
      <c r="CI55" s="478">
        <f>+CI31/CI9</f>
        <v>0.35015782130396017</v>
      </c>
      <c r="CJ55" s="475">
        <f>+CJ31/CJ9</f>
        <v>0.26507228059495225</v>
      </c>
      <c r="CK55" s="475">
        <f>+CK31/CK9</f>
        <v>0.26201318038993165</v>
      </c>
      <c r="CL55" s="475">
        <f>+CL31/CL9</f>
        <v>0.30330422536849821</v>
      </c>
      <c r="CM55" s="476">
        <f>+CM31/CM9</f>
        <v>0.29437602474023689</v>
      </c>
      <c r="CN55"/>
      <c r="CO55"/>
      <c r="CP55"/>
      <c r="CQ55"/>
      <c r="CR55"/>
      <c r="CS55"/>
      <c r="CT55"/>
      <c r="CU55"/>
    </row>
    <row r="56" spans="1:101" s="24" customFormat="1">
      <c r="A56" s="1465" t="s">
        <v>231</v>
      </c>
      <c r="B56" s="347"/>
      <c r="C56" s="347"/>
      <c r="D56" s="347"/>
      <c r="E56" s="347"/>
      <c r="F56" s="347"/>
      <c r="G56" s="479"/>
      <c r="H56" s="347"/>
      <c r="I56" s="478"/>
      <c r="J56" s="475"/>
      <c r="K56" s="475"/>
      <c r="L56" s="475"/>
      <c r="M56" s="479"/>
      <c r="N56" s="347"/>
      <c r="O56" s="497"/>
      <c r="P56" s="347"/>
      <c r="Q56" s="347"/>
      <c r="R56" s="347"/>
      <c r="S56" s="479"/>
      <c r="T56" s="347"/>
      <c r="U56" s="497"/>
      <c r="V56" s="347"/>
      <c r="W56" s="347"/>
      <c r="X56" s="498"/>
      <c r="Y56" s="479"/>
      <c r="Z56" s="479"/>
      <c r="AA56" s="347"/>
      <c r="AB56" s="347"/>
      <c r="AC56" s="347"/>
      <c r="AD56" s="347"/>
      <c r="AE56" s="479"/>
      <c r="AF56" s="347"/>
      <c r="AG56" s="347"/>
      <c r="AH56" s="347"/>
      <c r="AI56" s="347"/>
      <c r="AJ56" s="347"/>
      <c r="AK56" s="479"/>
      <c r="AL56" s="479"/>
      <c r="AM56" s="347"/>
      <c r="AN56" s="347"/>
      <c r="AO56" s="347"/>
      <c r="AP56" s="347"/>
      <c r="AQ56" s="479"/>
      <c r="AR56" s="479"/>
      <c r="AS56" s="347"/>
      <c r="AT56" s="347"/>
      <c r="AU56" s="347"/>
      <c r="AV56" s="347"/>
      <c r="AW56" s="479"/>
      <c r="AX56" s="347"/>
      <c r="AY56" s="497"/>
      <c r="AZ56" s="347"/>
      <c r="BA56" s="347"/>
      <c r="BB56" s="347"/>
      <c r="BC56" s="479"/>
      <c r="BD56" s="347"/>
      <c r="BE56" s="497"/>
      <c r="BF56" s="347"/>
      <c r="BG56" s="347"/>
      <c r="BH56" s="347"/>
      <c r="BI56" s="479"/>
      <c r="BJ56" s="347"/>
      <c r="BK56" s="497"/>
      <c r="BL56" s="347"/>
      <c r="BM56" s="347"/>
      <c r="BN56" s="347"/>
      <c r="BO56" s="479"/>
      <c r="BP56" s="347"/>
      <c r="BQ56" s="497"/>
      <c r="BR56" s="347"/>
      <c r="BS56" s="347"/>
      <c r="BT56" s="347"/>
      <c r="BU56" s="479"/>
      <c r="BV56" s="347"/>
      <c r="BW56" s="497"/>
      <c r="BX56" s="347"/>
      <c r="BY56" s="347"/>
      <c r="BZ56" s="347"/>
      <c r="CA56" s="479"/>
      <c r="CB56" s="347"/>
      <c r="CC56" s="497"/>
      <c r="CD56" s="347"/>
      <c r="CE56" s="347"/>
      <c r="CF56" s="347"/>
      <c r="CG56" s="479"/>
      <c r="CH56" s="347"/>
      <c r="CI56" s="497"/>
      <c r="CJ56" s="347"/>
      <c r="CK56" s="347"/>
      <c r="CL56" s="347"/>
      <c r="CM56" s="479"/>
      <c r="CN56"/>
      <c r="CO56"/>
      <c r="CP56"/>
      <c r="CQ56"/>
      <c r="CR56"/>
      <c r="CS56"/>
      <c r="CT56"/>
      <c r="CU56"/>
    </row>
    <row r="57" spans="1:101">
      <c r="A57" s="1948" t="s">
        <v>232</v>
      </c>
      <c r="B57" s="1949"/>
      <c r="C57" s="1950"/>
      <c r="D57" s="1950"/>
      <c r="E57" s="1950"/>
      <c r="F57" s="1950"/>
      <c r="G57" s="1951"/>
      <c r="H57" s="1949"/>
      <c r="I57" s="1952">
        <f>+I9/C9-1</f>
        <v>0.12461870081656246</v>
      </c>
      <c r="J57" s="1950">
        <f>+J9/D9-1</f>
        <v>0.13003714942007205</v>
      </c>
      <c r="K57" s="1950">
        <f>+K9/E9-1</f>
        <v>9.548602249332161E-2</v>
      </c>
      <c r="L57" s="1950">
        <f>+L9/F9-1</f>
        <v>-4.2727395464104312E-2</v>
      </c>
      <c r="M57" s="1953">
        <f>+M9/G9-1</f>
        <v>6.9295773118051907E-2</v>
      </c>
      <c r="N57" s="1949"/>
      <c r="O57" s="1954">
        <f>+O9/I9-1</f>
        <v>-0.10469411125866279</v>
      </c>
      <c r="P57" s="1955">
        <f>+P9/J9-1</f>
        <v>-8.9458825300826939E-2</v>
      </c>
      <c r="Q57" s="1955">
        <f>+Q9/K9-1</f>
        <v>-3.1961378167792542E-2</v>
      </c>
      <c r="R57" s="1955">
        <f>+R9/L9-1</f>
        <v>2.5140379269047886E-2</v>
      </c>
      <c r="S57" s="1953">
        <f>+S9/M9-1</f>
        <v>-4.8519354666680226E-2</v>
      </c>
      <c r="T57" s="1956"/>
      <c r="U57" s="1955">
        <f>+U9/O9-1</f>
        <v>0.1040318028415983</v>
      </c>
      <c r="V57" s="1955">
        <f>+V9/P9-1</f>
        <v>7.7770458911301743E-2</v>
      </c>
      <c r="W57" s="1955">
        <f>+W9/Q9-1</f>
        <v>7.2400210716033309E-2</v>
      </c>
      <c r="X57" s="1957">
        <f>+X9/R9-1</f>
        <v>0.12762097526396299</v>
      </c>
      <c r="Y57" s="1953">
        <f>+Y9/S9-1</f>
        <v>9.6530993527724096E-2</v>
      </c>
      <c r="Z57" s="1956"/>
      <c r="AA57" s="1955">
        <f>+AA9/U9-1</f>
        <v>0.16291270057111773</v>
      </c>
      <c r="AB57" s="1955">
        <f>+AB9/V9-1</f>
        <v>0.14466507268798523</v>
      </c>
      <c r="AC57" s="1955">
        <f>+AC9/W9-1</f>
        <v>0.13339384297747348</v>
      </c>
      <c r="AD57" s="1955">
        <f>+AD9/X9-1</f>
        <v>7.8254180297697484E-2</v>
      </c>
      <c r="AE57" s="1953">
        <f>+AE9/Y9-1</f>
        <v>0.12645531654142594</v>
      </c>
      <c r="AF57" s="1949"/>
      <c r="AG57" s="1955">
        <f>+AG9/AA9-1</f>
        <v>-1.6709424395993433E-2</v>
      </c>
      <c r="AH57" s="1955">
        <f>+AH9/AB9-1</f>
        <v>8.574102991999899E-3</v>
      </c>
      <c r="AI57" s="1955">
        <f>+AI9/AC9-1</f>
        <v>-1.0080654032481595E-2</v>
      </c>
      <c r="AJ57" s="1955">
        <f>+AJ9/AD9-1</f>
        <v>6.6357255187754483E-4</v>
      </c>
      <c r="AK57" s="1953">
        <f>+AK9/AE9-1</f>
        <v>-4.0746894960197455E-3</v>
      </c>
      <c r="AL57" s="1958"/>
      <c r="AM57" s="1955">
        <f>+AM9/AG9-1</f>
        <v>2.3498185312207154E-2</v>
      </c>
      <c r="AN57" s="1955">
        <f>+AN9/AH9-1</f>
        <v>-7.7525389565069602E-4</v>
      </c>
      <c r="AO57" s="1955">
        <f>+AO9/AI9-1</f>
        <v>1.6368412630680673E-2</v>
      </c>
      <c r="AP57" s="1955">
        <f>+AP9/AJ9-1</f>
        <v>8.3719521777961825E-2</v>
      </c>
      <c r="AQ57" s="1953">
        <f>+AQ9/AK9-1</f>
        <v>3.2857264510823825E-2</v>
      </c>
      <c r="AR57" s="1958"/>
      <c r="AS57" s="1955">
        <f>+AS9/AM9-1</f>
        <v>3.9503831871678941E-4</v>
      </c>
      <c r="AT57" s="1955">
        <f>+AT9/AN9-1</f>
        <v>6.8022566307925914E-2</v>
      </c>
      <c r="AU57" s="1955">
        <f>+AU9/AO9-1</f>
        <v>7.8387639208689075E-2</v>
      </c>
      <c r="AV57" s="1955">
        <f>+AV9/AP9-1</f>
        <v>3.2579476804233121E-2</v>
      </c>
      <c r="AW57" s="1953">
        <f>+AW9/AQ9-1</f>
        <v>4.4703915202986222E-2</v>
      </c>
      <c r="AX57" s="1949"/>
      <c r="AY57" s="1954">
        <f>+AY9/AS9-1</f>
        <v>6.9443541118864305E-2</v>
      </c>
      <c r="AZ57" s="1955">
        <f>+AZ9/AT9-1</f>
        <v>2.685548597865095E-2</v>
      </c>
      <c r="BA57" s="1955">
        <f>+BA9/AU9-1</f>
        <v>1.5031480336195724E-2</v>
      </c>
      <c r="BB57" s="1955">
        <f>+BB9/AV9-1</f>
        <v>4.692825457721872E-3</v>
      </c>
      <c r="BC57" s="1953">
        <f>+BC9/AW9-1</f>
        <v>2.6635916161307449E-2</v>
      </c>
      <c r="BD57" s="1959"/>
      <c r="BE57" s="1954">
        <f>+BE9/AY9-1</f>
        <v>3.2236904979105363E-2</v>
      </c>
      <c r="BF57" s="1955">
        <f>+BF9/AZ9-1</f>
        <v>8.4529247685652953E-2</v>
      </c>
      <c r="BG57" s="1955">
        <f>+BG9/BA9-1</f>
        <v>5.2443375457970731E-2</v>
      </c>
      <c r="BH57" s="1955">
        <f>+BH9/BB9-1</f>
        <v>7.1899558480080561E-2</v>
      </c>
      <c r="BI57" s="1953">
        <f>+BI9/BC9-1</f>
        <v>6.1249101517285132E-2</v>
      </c>
      <c r="BJ57" s="1949"/>
      <c r="BK57" s="1954">
        <f>+BK9/BE9-1</f>
        <v>4.7813132567133598E-2</v>
      </c>
      <c r="BL57" s="1955">
        <f>+BL9/BF9-1</f>
        <v>4.0424183688683613E-2</v>
      </c>
      <c r="BM57" s="1955">
        <f>+BM9/BG9-1</f>
        <v>7.3560731165650983E-2</v>
      </c>
      <c r="BN57" s="1955">
        <f>+BN9/BH9-1</f>
        <v>9.3017190240892278E-2</v>
      </c>
      <c r="BO57" s="1953">
        <f>+BO9/BI9-1</f>
        <v>6.5356416352507107E-2</v>
      </c>
      <c r="BP57" s="1949"/>
      <c r="BQ57" s="1954">
        <f>+BQ9/BK9-1</f>
        <v>8.6633215589279278E-2</v>
      </c>
      <c r="BR57" s="1955">
        <f>+BR9/BL9-1</f>
        <v>8.7988183743196835E-2</v>
      </c>
      <c r="BS57" s="1955">
        <f>+BS9/BM9-1</f>
        <v>6.3612336722611129E-2</v>
      </c>
      <c r="BT57" s="1955">
        <f>+BT9/BN9-1</f>
        <v>6.5156556177673686E-2</v>
      </c>
      <c r="BU57" s="1953">
        <f>+BU9/BO9-1</f>
        <v>7.4929756079417542E-2</v>
      </c>
      <c r="BV57" s="1949"/>
      <c r="BW57" s="1954">
        <f>+BW9/BQ9-1</f>
        <v>6.5513185873130819E-2</v>
      </c>
      <c r="BX57" s="1955">
        <f>+BX9/BR9-1</f>
        <v>5.856973943469912E-2</v>
      </c>
      <c r="BY57" s="1955">
        <f>+BY9/BS9-1</f>
        <v>5.5879969713876321E-2</v>
      </c>
      <c r="BZ57" s="1955">
        <f>+BZ9/BT9-1</f>
        <v>4.9195029031815274E-2</v>
      </c>
      <c r="CA57" s="1953">
        <f>+CA9/BU9-1</f>
        <v>5.666662832458047E-2</v>
      </c>
      <c r="CB57" s="1949"/>
      <c r="CC57" s="1954">
        <f>+CC9/BW9-1</f>
        <v>5.7594873371175082E-2</v>
      </c>
      <c r="CD57" s="1955">
        <f>+CD9/BX9-1</f>
        <v>5.060049630441199E-2</v>
      </c>
      <c r="CE57" s="1955">
        <f>+CE9/BY9-1</f>
        <v>4.9200426505382255E-2</v>
      </c>
      <c r="CF57" s="1955">
        <f>+CF9/BZ9-1</f>
        <v>4.2412438651576512E-2</v>
      </c>
      <c r="CG57" s="1953">
        <f>+CG9/CA9-1</f>
        <v>4.9401139586263021E-2</v>
      </c>
      <c r="CH57" s="1949"/>
      <c r="CI57" s="1954">
        <f>+CI9/CC9-1</f>
        <v>5.7621140110522662E-2</v>
      </c>
      <c r="CJ57" s="1955">
        <f>+CJ9/CD9-1</f>
        <v>5.0684905844998962E-2</v>
      </c>
      <c r="CK57" s="1955">
        <f>+CK9/CE9-1</f>
        <v>4.9252173750060413E-2</v>
      </c>
      <c r="CL57" s="1955">
        <f>+CL9/CF9-1</f>
        <v>4.2654049855422205E-2</v>
      </c>
      <c r="CM57" s="1953">
        <f>+CM9/CG9-1</f>
        <v>4.9538528194664089E-2</v>
      </c>
    </row>
    <row r="58" spans="1:101" hidden="1" outlineLevel="1">
      <c r="A58" s="1466" t="s">
        <v>10</v>
      </c>
      <c r="B58" s="94"/>
      <c r="C58" s="106"/>
      <c r="D58" s="106"/>
      <c r="E58" s="106"/>
      <c r="F58" s="106"/>
      <c r="G58" s="108"/>
      <c r="H58" s="94"/>
      <c r="I58" s="107">
        <f t="shared" ref="I58:M60" si="50">I10/C10-1</f>
        <v>0.11733309097218503</v>
      </c>
      <c r="J58" s="106">
        <f t="shared" si="50"/>
        <v>0.11011401904570417</v>
      </c>
      <c r="K58" s="106">
        <f t="shared" si="50"/>
        <v>7.4469278714275111E-2</v>
      </c>
      <c r="L58" s="106">
        <f t="shared" si="50"/>
        <v>-7.2578017715174581E-2</v>
      </c>
      <c r="M58" s="108">
        <f t="shared" si="50"/>
        <v>4.8082369123715551E-2</v>
      </c>
      <c r="N58" s="94"/>
      <c r="O58" s="107">
        <f t="shared" ref="O58:S60" si="51">O10/I10-1</f>
        <v>-0.15904830569574635</v>
      </c>
      <c r="P58" s="106">
        <f t="shared" si="51"/>
        <v>-0.11702383315744924</v>
      </c>
      <c r="Q58" s="106">
        <f t="shared" si="51"/>
        <v>-6.5480327095568502E-2</v>
      </c>
      <c r="R58" s="106">
        <f t="shared" si="51"/>
        <v>2.263422449709962E-2</v>
      </c>
      <c r="S58" s="108">
        <f t="shared" si="51"/>
        <v>-7.7119992701024431E-2</v>
      </c>
      <c r="T58" s="96"/>
      <c r="U58" s="106">
        <f t="shared" ref="U58:Y60" si="52">U10/O10-1</f>
        <v>0.11252681931694286</v>
      </c>
      <c r="V58" s="106">
        <f t="shared" si="52"/>
        <v>8.6399154310688342E-2</v>
      </c>
      <c r="W58" s="106">
        <f t="shared" si="52"/>
        <v>9.0169998304640897E-2</v>
      </c>
      <c r="X58" s="106">
        <f t="shared" si="52"/>
        <v>0.14045659872157468</v>
      </c>
      <c r="Y58" s="108">
        <f t="shared" si="52"/>
        <v>0.10898421830114313</v>
      </c>
      <c r="Z58" s="96"/>
      <c r="AA58" s="106">
        <f t="shared" ref="AA58:AE60" si="53">AA10/U10-1</f>
        <v>0.19875751851471302</v>
      </c>
      <c r="AB58" s="106">
        <f t="shared" si="53"/>
        <v>0.14786239448125627</v>
      </c>
      <c r="AC58" s="106">
        <f t="shared" si="53"/>
        <v>0.13577017961786142</v>
      </c>
      <c r="AD58" s="106">
        <f t="shared" si="53"/>
        <v>7.340678891747765E-2</v>
      </c>
      <c r="AE58" s="108">
        <f t="shared" si="53"/>
        <v>0.13329796070209254</v>
      </c>
      <c r="AF58" s="94"/>
      <c r="AG58" s="106">
        <f t="shared" ref="AG58:AK60" si="54">AG10/AA10-1</f>
        <v>-5.5479732046311736E-2</v>
      </c>
      <c r="AH58" s="106">
        <f t="shared" si="54"/>
        <v>-7.2592123991777058E-3</v>
      </c>
      <c r="AI58" s="106">
        <f t="shared" si="54"/>
        <v>-3.2752654443158336E-2</v>
      </c>
      <c r="AJ58" s="106">
        <f t="shared" si="54"/>
        <v>-3.141866551971928E-2</v>
      </c>
      <c r="AK58" s="108">
        <f t="shared" si="54"/>
        <v>-3.1486170862906615E-2</v>
      </c>
      <c r="AL58" s="1260"/>
      <c r="AM58" s="106">
        <f t="shared" ref="AM58:AQ60" si="55">AM10/AG10-1</f>
        <v>2.5154708261927228E-2</v>
      </c>
      <c r="AN58" s="106">
        <f t="shared" si="55"/>
        <v>-2.7541380573832042E-2</v>
      </c>
      <c r="AO58" s="106">
        <f t="shared" si="55"/>
        <v>6.820602078996707E-3</v>
      </c>
      <c r="AP58" s="106">
        <f t="shared" si="55"/>
        <v>8.478509268334955E-2</v>
      </c>
      <c r="AQ58" s="108">
        <f t="shared" si="55"/>
        <v>2.4986977814256184E-2</v>
      </c>
      <c r="AR58" s="1260"/>
      <c r="AS58" s="106">
        <f t="shared" ref="AS58:AW60" si="56">AS10/AM10-1</f>
        <v>-3.0366274675364457E-2</v>
      </c>
      <c r="AT58" s="106">
        <f t="shared" si="56"/>
        <v>5.2599676944802276E-2</v>
      </c>
      <c r="AU58" s="106">
        <f t="shared" si="56"/>
        <v>5.8227856191063632E-2</v>
      </c>
      <c r="AV58" s="106">
        <f t="shared" si="56"/>
        <v>2.2137356945848508E-2</v>
      </c>
      <c r="AW58" s="108">
        <f t="shared" si="56"/>
        <v>2.6076892776625948E-2</v>
      </c>
      <c r="AX58" s="94"/>
      <c r="AY58" s="107">
        <f t="shared" ref="AY58:BC60" si="57">AY10/AS10-1</f>
        <v>6.3477238013307735E-2</v>
      </c>
      <c r="AZ58" s="106">
        <f t="shared" si="57"/>
        <v>3.3526839213733339E-2</v>
      </c>
      <c r="BA58" s="106">
        <f t="shared" si="57"/>
        <v>1.741729953346538E-2</v>
      </c>
      <c r="BB58" s="106">
        <f t="shared" si="57"/>
        <v>9.5481362819411775E-3</v>
      </c>
      <c r="BC58" s="108">
        <f t="shared" si="57"/>
        <v>2.8607834241336061E-2</v>
      </c>
      <c r="BD58" s="95"/>
      <c r="BE58" s="107">
        <f t="shared" ref="BE58:BI60" si="58">BE10/AY10-1</f>
        <v>1.6455742175763621E-2</v>
      </c>
      <c r="BF58" s="106">
        <f t="shared" si="58"/>
        <v>8.3277114529749729E-2</v>
      </c>
      <c r="BG58" s="106">
        <f t="shared" si="58"/>
        <v>3.8586306476361631E-2</v>
      </c>
      <c r="BH58" s="106">
        <f t="shared" si="58"/>
        <v>7.1124828864044254E-2</v>
      </c>
      <c r="BI58" s="108">
        <f t="shared" si="58"/>
        <v>5.4170492674278314E-2</v>
      </c>
      <c r="BJ58" s="94"/>
      <c r="BK58" s="107">
        <f t="shared" ref="BK58:BO60" si="59">BK10/BE10-1</f>
        <v>5.3398168630240495E-2</v>
      </c>
      <c r="BL58" s="106">
        <f t="shared" si="59"/>
        <v>3.6562344482841791E-2</v>
      </c>
      <c r="BM58" s="106">
        <f t="shared" si="59"/>
        <v>7.3202375305057688E-2</v>
      </c>
      <c r="BN58" s="106">
        <f t="shared" si="59"/>
        <v>8.3210257938927557E-2</v>
      </c>
      <c r="BO58" s="108">
        <f t="shared" si="59"/>
        <v>6.3037219851317827E-2</v>
      </c>
      <c r="BP58" s="94"/>
      <c r="BQ58" s="107">
        <f t="shared" ref="BQ58:BU60" si="60">BQ10/BK10-1</f>
        <v>7.83386694036039E-2</v>
      </c>
      <c r="BR58" s="106">
        <f t="shared" si="60"/>
        <v>8.9955334416435662E-2</v>
      </c>
      <c r="BS58" s="106">
        <f t="shared" si="60"/>
        <v>5.7849678643417057E-2</v>
      </c>
      <c r="BT58" s="106">
        <f t="shared" si="60"/>
        <v>6.4275721310281586E-2</v>
      </c>
      <c r="BU58" s="108">
        <f t="shared" si="60"/>
        <v>7.1826596198984793E-2</v>
      </c>
      <c r="BV58" s="94"/>
      <c r="BW58" s="107">
        <f t="shared" ref="BW58:CA60" si="61">BW10/BQ10-1</f>
        <v>6.904323385318456E-2</v>
      </c>
      <c r="BX58" s="106">
        <f t="shared" si="61"/>
        <v>5.8336321824084214E-2</v>
      </c>
      <c r="BY58" s="106">
        <f t="shared" si="61"/>
        <v>5.890356319302481E-2</v>
      </c>
      <c r="BZ58" s="106">
        <f t="shared" si="61"/>
        <v>4.8845664575149383E-2</v>
      </c>
      <c r="CA58" s="108">
        <f t="shared" si="61"/>
        <v>5.7810208696692067E-2</v>
      </c>
      <c r="CB58" s="94"/>
      <c r="CC58" s="107">
        <f t="shared" ref="CC58:CG60" si="62">CC10/BW10-1</f>
        <v>5.6793995516388529E-2</v>
      </c>
      <c r="CD58" s="106">
        <f t="shared" si="62"/>
        <v>4.6418684876829319E-2</v>
      </c>
      <c r="CE58" s="106">
        <f t="shared" si="62"/>
        <v>4.8792727558770954E-2</v>
      </c>
      <c r="CF58" s="106">
        <f t="shared" si="62"/>
        <v>3.9115746237790017E-2</v>
      </c>
      <c r="CG58" s="108">
        <f t="shared" si="62"/>
        <v>4.6968243830178169E-2</v>
      </c>
      <c r="CH58" s="94"/>
      <c r="CI58" s="107">
        <f t="shared" ref="CI58:CM60" si="63">CI10/CC10-1</f>
        <v>5.6828489292275242E-2</v>
      </c>
      <c r="CJ58" s="106">
        <f t="shared" si="63"/>
        <v>4.6490830229537705E-2</v>
      </c>
      <c r="CK58" s="106">
        <f t="shared" si="63"/>
        <v>4.8870421559643829E-2</v>
      </c>
      <c r="CL58" s="106">
        <f t="shared" si="63"/>
        <v>3.9428902494602625E-2</v>
      </c>
      <c r="CM58" s="108">
        <f t="shared" si="63"/>
        <v>4.7144749037026923E-2</v>
      </c>
    </row>
    <row r="59" spans="1:101" hidden="1" outlineLevel="1">
      <c r="A59" s="1466" t="s">
        <v>11</v>
      </c>
      <c r="B59" s="94"/>
      <c r="C59" s="106"/>
      <c r="D59" s="106"/>
      <c r="E59" s="106"/>
      <c r="F59" s="106"/>
      <c r="G59" s="108"/>
      <c r="H59" s="94"/>
      <c r="I59" s="107">
        <f t="shared" si="50"/>
        <v>0.14449804991320425</v>
      </c>
      <c r="J59" s="106">
        <f t="shared" si="50"/>
        <v>0.18486205832597458</v>
      </c>
      <c r="K59" s="106">
        <f t="shared" si="50"/>
        <v>0.15317142584077548</v>
      </c>
      <c r="L59" s="106">
        <f t="shared" si="50"/>
        <v>4.7557651219332087E-2</v>
      </c>
      <c r="M59" s="108">
        <f t="shared" si="50"/>
        <v>0.12915092773234838</v>
      </c>
      <c r="N59" s="94"/>
      <c r="O59" s="107">
        <f t="shared" si="51"/>
        <v>4.0095338461386687E-2</v>
      </c>
      <c r="P59" s="106">
        <f t="shared" si="51"/>
        <v>-1.8390144032182754E-2</v>
      </c>
      <c r="Q59" s="106">
        <f t="shared" si="51"/>
        <v>6.8300903373145649E-2</v>
      </c>
      <c r="R59" s="106">
        <f t="shared" si="51"/>
        <v>1.7969546717305551E-2</v>
      </c>
      <c r="S59" s="108">
        <f t="shared" si="51"/>
        <v>2.6385563760517261E-2</v>
      </c>
      <c r="T59" s="96"/>
      <c r="U59" s="106">
        <f t="shared" si="52"/>
        <v>8.5735388811030155E-2</v>
      </c>
      <c r="V59" s="106">
        <f t="shared" si="52"/>
        <v>5.7759156939514833E-2</v>
      </c>
      <c r="W59" s="106">
        <f t="shared" si="52"/>
        <v>1.8050168088957985E-2</v>
      </c>
      <c r="X59" s="106">
        <f t="shared" si="52"/>
        <v>0.10847036064667637</v>
      </c>
      <c r="Y59" s="108">
        <f t="shared" si="52"/>
        <v>6.7205107426990374E-2</v>
      </c>
      <c r="Z59" s="96"/>
      <c r="AA59" s="106">
        <f t="shared" si="53"/>
        <v>8.3805752760382823E-2</v>
      </c>
      <c r="AB59" s="106">
        <f t="shared" si="53"/>
        <v>0.13704920868286785</v>
      </c>
      <c r="AC59" s="106">
        <f t="shared" si="53"/>
        <v>0.12770100927995665</v>
      </c>
      <c r="AD59" s="106">
        <f t="shared" si="53"/>
        <v>9.1669783096484769E-2</v>
      </c>
      <c r="AE59" s="108">
        <f t="shared" si="53"/>
        <v>0.10971087208229169</v>
      </c>
      <c r="AF59" s="94"/>
      <c r="AG59" s="106">
        <f t="shared" si="54"/>
        <v>7.792897551240463E-2</v>
      </c>
      <c r="AH59" s="106">
        <f t="shared" si="54"/>
        <v>4.6646942050700746E-2</v>
      </c>
      <c r="AI59" s="106">
        <f t="shared" si="54"/>
        <v>4.4621807096841826E-2</v>
      </c>
      <c r="AJ59" s="106">
        <f t="shared" si="54"/>
        <v>8.7968712085528145E-2</v>
      </c>
      <c r="AK59" s="108">
        <f t="shared" si="54"/>
        <v>6.4428936504816292E-2</v>
      </c>
      <c r="AL59" s="1260"/>
      <c r="AM59" s="106">
        <f t="shared" si="55"/>
        <v>1.9955058192921316E-2</v>
      </c>
      <c r="AN59" s="106">
        <f t="shared" si="55"/>
        <v>6.0271782573940946E-2</v>
      </c>
      <c r="AO59" s="106">
        <f t="shared" si="55"/>
        <v>3.7698826269146002E-2</v>
      </c>
      <c r="AP59" s="106">
        <f t="shared" si="55"/>
        <v>8.1137991655952257E-2</v>
      </c>
      <c r="AQ59" s="108">
        <f t="shared" si="55"/>
        <v>5.0753461875859163E-2</v>
      </c>
      <c r="AR59" s="1260"/>
      <c r="AS59" s="106">
        <f t="shared" si="56"/>
        <v>6.6525647031268287E-2</v>
      </c>
      <c r="AT59" s="106">
        <f t="shared" si="56"/>
        <v>0.1002851189823446</v>
      </c>
      <c r="AU59" s="106">
        <f t="shared" si="56"/>
        <v>0.12208569410004566</v>
      </c>
      <c r="AV59" s="106">
        <f t="shared" si="56"/>
        <v>5.7962660712444158E-2</v>
      </c>
      <c r="AW59" s="108">
        <f t="shared" si="56"/>
        <v>8.6021141934884193E-2</v>
      </c>
      <c r="AX59" s="94"/>
      <c r="AY59" s="107">
        <f t="shared" si="57"/>
        <v>8.1104637197779272E-2</v>
      </c>
      <c r="AZ59" s="106">
        <f t="shared" si="57"/>
        <v>1.3504759057158644E-2</v>
      </c>
      <c r="BA59" s="106">
        <f t="shared" si="57"/>
        <v>1.0154320987654231E-2</v>
      </c>
      <c r="BB59" s="106">
        <f t="shared" si="57"/>
        <v>-6.7100237431612086E-3</v>
      </c>
      <c r="BC59" s="108">
        <f t="shared" si="57"/>
        <v>2.2503365156431254E-2</v>
      </c>
      <c r="BD59" s="95"/>
      <c r="BE59" s="107">
        <f t="shared" si="58"/>
        <v>6.2578159219455198E-2</v>
      </c>
      <c r="BF59" s="106">
        <f t="shared" si="58"/>
        <v>8.7084521585209851E-2</v>
      </c>
      <c r="BG59" s="106">
        <f t="shared" si="58"/>
        <v>8.0974059702404677E-2</v>
      </c>
      <c r="BH59" s="106">
        <f t="shared" si="58"/>
        <v>7.3748816369892944E-2</v>
      </c>
      <c r="BI59" s="108">
        <f t="shared" si="58"/>
        <v>7.6172314922474671E-2</v>
      </c>
      <c r="BJ59" s="94"/>
      <c r="BK59" s="107">
        <f t="shared" si="59"/>
        <v>3.754129602303613E-2</v>
      </c>
      <c r="BL59" s="106">
        <f t="shared" si="59"/>
        <v>4.8277577696991703E-2</v>
      </c>
      <c r="BM59" s="106">
        <f t="shared" si="59"/>
        <v>7.4269627351664314E-2</v>
      </c>
      <c r="BN59" s="106">
        <f t="shared" si="59"/>
        <v>0.11636885717512069</v>
      </c>
      <c r="BO59" s="108">
        <f t="shared" si="59"/>
        <v>7.0145815391011945E-2</v>
      </c>
      <c r="BP59" s="94"/>
      <c r="BQ59" s="107">
        <f t="shared" si="60"/>
        <v>0.10212145008646556</v>
      </c>
      <c r="BR59" s="106">
        <f t="shared" si="60"/>
        <v>8.4032514624104993E-2</v>
      </c>
      <c r="BS59" s="106">
        <f t="shared" si="60"/>
        <v>7.500064745459234E-2</v>
      </c>
      <c r="BT59" s="106">
        <f t="shared" si="60"/>
        <v>6.7191649172556378E-2</v>
      </c>
      <c r="BU59" s="108">
        <f t="shared" si="60"/>
        <v>8.1295558285002567E-2</v>
      </c>
      <c r="BV59" s="94"/>
      <c r="BW59" s="107">
        <f t="shared" si="61"/>
        <v>5.9063840743062146E-2</v>
      </c>
      <c r="BX59" s="106">
        <f t="shared" si="61"/>
        <v>5.9041674603868444E-2</v>
      </c>
      <c r="BY59" s="106">
        <f t="shared" si="61"/>
        <v>5.0000000000000266E-2</v>
      </c>
      <c r="BZ59" s="106">
        <f t="shared" si="61"/>
        <v>5.0000000000000044E-2</v>
      </c>
      <c r="CA59" s="108">
        <f t="shared" si="61"/>
        <v>5.4341238372077605E-2</v>
      </c>
      <c r="CB59" s="94"/>
      <c r="CC59" s="107">
        <f t="shared" si="62"/>
        <v>5.9071852723160623E-2</v>
      </c>
      <c r="CD59" s="106">
        <f t="shared" si="62"/>
        <v>5.9049856403134982E-2</v>
      </c>
      <c r="CE59" s="106">
        <f t="shared" si="62"/>
        <v>5.0000000000000044E-2</v>
      </c>
      <c r="CF59" s="106">
        <f t="shared" si="62"/>
        <v>4.9999999999999822E-2</v>
      </c>
      <c r="CG59" s="108">
        <f t="shared" si="62"/>
        <v>5.4364538260409434E-2</v>
      </c>
      <c r="CH59" s="94"/>
      <c r="CI59" s="107">
        <f t="shared" si="63"/>
        <v>5.9079803095346772E-2</v>
      </c>
      <c r="CJ59" s="106">
        <f t="shared" si="63"/>
        <v>5.9057975627231807E-2</v>
      </c>
      <c r="CK59" s="106">
        <f t="shared" si="63"/>
        <v>5.0000000000000044E-2</v>
      </c>
      <c r="CL59" s="106">
        <f t="shared" si="63"/>
        <v>5.0000000000000044E-2</v>
      </c>
      <c r="CM59" s="108">
        <f t="shared" si="63"/>
        <v>5.4387866234259841E-2</v>
      </c>
    </row>
    <row r="60" spans="1:101" s="24" customFormat="1" collapsed="1">
      <c r="A60" s="415" t="s">
        <v>142</v>
      </c>
      <c r="B60" s="348"/>
      <c r="C60" s="499"/>
      <c r="D60" s="499"/>
      <c r="E60" s="499"/>
      <c r="F60" s="499"/>
      <c r="G60" s="500"/>
      <c r="H60" s="348"/>
      <c r="I60" s="503">
        <f t="shared" si="50"/>
        <v>8.5309148793565548E-2</v>
      </c>
      <c r="J60" s="501">
        <f t="shared" si="50"/>
        <v>9.4028997694111771E-2</v>
      </c>
      <c r="K60" s="501">
        <f t="shared" si="50"/>
        <v>4.1006332590009409E-2</v>
      </c>
      <c r="L60" s="502">
        <f t="shared" si="50"/>
        <v>-5.8953140797397441E-2</v>
      </c>
      <c r="M60" s="502">
        <f t="shared" si="50"/>
        <v>3.5000302275337791E-2</v>
      </c>
      <c r="N60" s="348"/>
      <c r="O60" s="503">
        <f t="shared" si="51"/>
        <v>-0.18010176840290515</v>
      </c>
      <c r="P60" s="501">
        <f t="shared" si="51"/>
        <v>-0.13437657627362898</v>
      </c>
      <c r="Q60" s="501">
        <f t="shared" si="51"/>
        <v>-2.6550978896516586E-2</v>
      </c>
      <c r="R60" s="502">
        <f t="shared" si="51"/>
        <v>-6.6097172185467512E-3</v>
      </c>
      <c r="S60" s="504">
        <f t="shared" si="51"/>
        <v>-8.5593160417236636E-2</v>
      </c>
      <c r="T60" s="505"/>
      <c r="U60" s="501">
        <f t="shared" si="52"/>
        <v>0.1449777959106815</v>
      </c>
      <c r="V60" s="501">
        <f t="shared" si="52"/>
        <v>7.6161604950261586E-2</v>
      </c>
      <c r="W60" s="501">
        <f t="shared" si="52"/>
        <v>6.4266731094467344E-2</v>
      </c>
      <c r="X60" s="502">
        <f t="shared" si="52"/>
        <v>0.11239574210461334</v>
      </c>
      <c r="Y60" s="502">
        <f t="shared" si="52"/>
        <v>9.8206030775851438E-2</v>
      </c>
      <c r="Z60" s="505"/>
      <c r="AA60" s="501">
        <f t="shared" si="53"/>
        <v>0.16375435134172101</v>
      </c>
      <c r="AB60" s="501">
        <f t="shared" si="53"/>
        <v>0.1351743342809073</v>
      </c>
      <c r="AC60" s="501">
        <f t="shared" si="53"/>
        <v>0.10634720986593837</v>
      </c>
      <c r="AD60" s="502">
        <f t="shared" si="53"/>
        <v>7.9206142042662631E-2</v>
      </c>
      <c r="AE60" s="502">
        <f t="shared" si="53"/>
        <v>0.11815344487932844</v>
      </c>
      <c r="AF60" s="348"/>
      <c r="AG60" s="501">
        <f t="shared" si="54"/>
        <v>-1.4950332393171895E-2</v>
      </c>
      <c r="AH60" s="501">
        <f t="shared" si="54"/>
        <v>7.1151541995309042E-3</v>
      </c>
      <c r="AI60" s="501">
        <f t="shared" si="54"/>
        <v>1.3221087190408154E-2</v>
      </c>
      <c r="AJ60" s="502">
        <f t="shared" si="54"/>
        <v>2.0172049960096805E-2</v>
      </c>
      <c r="AK60" s="504">
        <f t="shared" si="54"/>
        <v>7.143121152427323E-3</v>
      </c>
      <c r="AL60" s="1261"/>
      <c r="AM60" s="501">
        <f t="shared" si="55"/>
        <v>4.3505290214597148E-2</v>
      </c>
      <c r="AN60" s="501">
        <f t="shared" si="55"/>
        <v>6.186991136471276E-2</v>
      </c>
      <c r="AO60" s="501">
        <f t="shared" si="55"/>
        <v>4.8527109719652683E-2</v>
      </c>
      <c r="AP60" s="502">
        <f t="shared" si="55"/>
        <v>9.9000302356944347E-2</v>
      </c>
      <c r="AQ60" s="502">
        <f t="shared" si="55"/>
        <v>6.489640633346494E-2</v>
      </c>
      <c r="AR60" s="1261"/>
      <c r="AS60" s="501">
        <f t="shared" si="56"/>
        <v>7.5334540121900995E-2</v>
      </c>
      <c r="AT60" s="501">
        <f t="shared" si="56"/>
        <v>7.1810501834555396E-2</v>
      </c>
      <c r="AU60" s="501">
        <f t="shared" si="56"/>
        <v>5.5614716445335333E-2</v>
      </c>
      <c r="AV60" s="502">
        <f t="shared" si="56"/>
        <v>1.8026909354516008E-2</v>
      </c>
      <c r="AW60" s="504">
        <f t="shared" si="56"/>
        <v>5.291554343830418E-2</v>
      </c>
      <c r="AX60" s="348"/>
      <c r="AY60" s="503">
        <f t="shared" si="57"/>
        <v>8.1344989052787309E-3</v>
      </c>
      <c r="AZ60" s="501">
        <f t="shared" si="57"/>
        <v>3.3955403189449562E-2</v>
      </c>
      <c r="BA60" s="501">
        <f t="shared" si="57"/>
        <v>2.2658266657436199E-2</v>
      </c>
      <c r="BB60" s="501">
        <f t="shared" si="57"/>
        <v>2.0573183652984106E-2</v>
      </c>
      <c r="BC60" s="504">
        <f t="shared" si="57"/>
        <v>2.1528330866406487E-2</v>
      </c>
      <c r="BD60" s="478"/>
      <c r="BE60" s="503">
        <f t="shared" si="58"/>
        <v>6.2907538336345326E-2</v>
      </c>
      <c r="BF60" s="501">
        <f t="shared" si="58"/>
        <v>5.5925292395559323E-2</v>
      </c>
      <c r="BG60" s="501">
        <f t="shared" si="58"/>
        <v>5.5801628595191444E-2</v>
      </c>
      <c r="BH60" s="502">
        <f t="shared" si="58"/>
        <v>5.7432276233108537E-2</v>
      </c>
      <c r="BI60" s="504">
        <f t="shared" si="58"/>
        <v>5.7888478553933309E-2</v>
      </c>
      <c r="BJ60" s="348"/>
      <c r="BK60" s="503">
        <f t="shared" si="59"/>
        <v>4.9435498704953007E-2</v>
      </c>
      <c r="BL60" s="501">
        <f t="shared" si="59"/>
        <v>4.1964070986800106E-2</v>
      </c>
      <c r="BM60" s="501">
        <f t="shared" si="59"/>
        <v>8.036859267944152E-2</v>
      </c>
      <c r="BN60" s="502">
        <f t="shared" si="59"/>
        <v>7.5022160037205188E-2</v>
      </c>
      <c r="BO60" s="504">
        <f t="shared" si="59"/>
        <v>6.2385790389398066E-2</v>
      </c>
      <c r="BP60" s="348"/>
      <c r="BQ60" s="503">
        <f t="shared" si="60"/>
        <v>8.7119579153439819E-2</v>
      </c>
      <c r="BR60" s="501">
        <f t="shared" si="60"/>
        <v>8.7850504469028312E-2</v>
      </c>
      <c r="BS60" s="501">
        <f t="shared" si="60"/>
        <v>6.3685931748405089E-2</v>
      </c>
      <c r="BT60" s="502">
        <f t="shared" si="60"/>
        <v>6.5181799858560874E-2</v>
      </c>
      <c r="BU60" s="504">
        <f t="shared" si="60"/>
        <v>7.5195282361487648E-2</v>
      </c>
      <c r="BV60" s="348"/>
      <c r="BW60" s="503">
        <f t="shared" si="61"/>
        <v>5.9537349859160704E-2</v>
      </c>
      <c r="BX60" s="501">
        <f t="shared" si="61"/>
        <v>5.2568852456773341E-2</v>
      </c>
      <c r="BY60" s="501">
        <f t="shared" si="61"/>
        <v>4.9956984164413631E-2</v>
      </c>
      <c r="BZ60" s="502">
        <f t="shared" si="61"/>
        <v>4.2821662619156209E-2</v>
      </c>
      <c r="CA60" s="504">
        <f t="shared" si="61"/>
        <v>5.0738147404779665E-2</v>
      </c>
      <c r="CB60" s="348"/>
      <c r="CC60" s="503">
        <f t="shared" si="62"/>
        <v>5.1886859298196475E-2</v>
      </c>
      <c r="CD60" s="501">
        <f t="shared" si="62"/>
        <v>4.4916709426363832E-2</v>
      </c>
      <c r="CE60" s="501">
        <f t="shared" si="62"/>
        <v>4.3327909997114222E-2</v>
      </c>
      <c r="CF60" s="502">
        <f t="shared" si="62"/>
        <v>3.6150020214055889E-2</v>
      </c>
      <c r="CG60" s="504">
        <f t="shared" si="62"/>
        <v>4.3647996106572551E-2</v>
      </c>
      <c r="CH60" s="348"/>
      <c r="CI60" s="503">
        <f t="shared" si="63"/>
        <v>5.1886357475142475E-2</v>
      </c>
      <c r="CJ60" s="501">
        <f t="shared" si="63"/>
        <v>4.4996870364217179E-2</v>
      </c>
      <c r="CK60" s="501">
        <f t="shared" si="63"/>
        <v>4.3348342526234429E-2</v>
      </c>
      <c r="CL60" s="502">
        <f t="shared" si="63"/>
        <v>3.6372693417078494E-2</v>
      </c>
      <c r="CM60" s="504">
        <f t="shared" si="63"/>
        <v>4.3765014857552353E-2</v>
      </c>
      <c r="CN60"/>
      <c r="CO60"/>
      <c r="CP60"/>
      <c r="CQ60"/>
      <c r="CR60"/>
      <c r="CS60"/>
      <c r="CT60"/>
      <c r="CU60"/>
    </row>
    <row r="61" spans="1:101" s="24" customFormat="1">
      <c r="A61" s="415" t="s">
        <v>143</v>
      </c>
      <c r="B61" s="348"/>
      <c r="C61" s="499"/>
      <c r="D61" s="499"/>
      <c r="E61" s="499"/>
      <c r="F61" s="499"/>
      <c r="G61" s="500"/>
      <c r="H61" s="348"/>
      <c r="I61" s="503">
        <f t="shared" ref="I61:M62" si="64">I16/C16-1</f>
        <v>5.6831535092404684E-2</v>
      </c>
      <c r="J61" s="501">
        <f t="shared" si="64"/>
        <v>0.16285639550091568</v>
      </c>
      <c r="K61" s="501">
        <f t="shared" si="64"/>
        <v>1.0896558714712956E-2</v>
      </c>
      <c r="L61" s="502">
        <f t="shared" si="64"/>
        <v>-5.8066992993569433E-2</v>
      </c>
      <c r="M61" s="502">
        <f t="shared" si="64"/>
        <v>4.0583628803918081E-2</v>
      </c>
      <c r="N61" s="348"/>
      <c r="O61" s="503">
        <f t="shared" ref="O61:S62" si="65">O16/I16-1</f>
        <v>-7.3486303446881673E-2</v>
      </c>
      <c r="P61" s="501">
        <f t="shared" si="65"/>
        <v>-0.11274068742127052</v>
      </c>
      <c r="Q61" s="501">
        <f t="shared" si="65"/>
        <v>-3.1886092449614045E-2</v>
      </c>
      <c r="R61" s="502">
        <f t="shared" si="65"/>
        <v>8.253515386182908E-3</v>
      </c>
      <c r="S61" s="504">
        <f t="shared" si="65"/>
        <v>-5.4346227386380508E-2</v>
      </c>
      <c r="T61" s="505"/>
      <c r="U61" s="501">
        <f t="shared" ref="U61:Y62" si="66">U16/O16-1</f>
        <v>9.5134191577569194E-2</v>
      </c>
      <c r="V61" s="501">
        <f t="shared" si="66"/>
        <v>5.5014704391035174E-2</v>
      </c>
      <c r="W61" s="501">
        <f t="shared" si="66"/>
        <v>6.2868979803210934E-2</v>
      </c>
      <c r="X61" s="502">
        <f t="shared" si="66"/>
        <v>0.15548256695300666</v>
      </c>
      <c r="Y61" s="502">
        <f t="shared" si="66"/>
        <v>9.2282966534463551E-2</v>
      </c>
      <c r="Z61" s="505"/>
      <c r="AA61" s="501">
        <f t="shared" ref="AA61:AE62" si="67">AA16/U16-1</f>
        <v>0.10848774656306048</v>
      </c>
      <c r="AB61" s="501">
        <f t="shared" si="67"/>
        <v>0.10607007257173073</v>
      </c>
      <c r="AC61" s="501">
        <f t="shared" si="67"/>
        <v>0.13876437341648806</v>
      </c>
      <c r="AD61" s="502">
        <f t="shared" si="67"/>
        <v>3.6734158394192473E-2</v>
      </c>
      <c r="AE61" s="502">
        <f t="shared" si="67"/>
        <v>9.5794669767662821E-2</v>
      </c>
      <c r="AF61" s="348"/>
      <c r="AG61" s="501">
        <f t="shared" ref="AG61:AK62" si="68">AG16/AA16-1</f>
        <v>4.9114765884784806E-2</v>
      </c>
      <c r="AH61" s="501">
        <f t="shared" si="68"/>
        <v>4.0366733292778401E-2</v>
      </c>
      <c r="AI61" s="501">
        <f t="shared" si="68"/>
        <v>1.6429916138969825E-2</v>
      </c>
      <c r="AJ61" s="502">
        <f t="shared" si="68"/>
        <v>5.2769224279748395E-2</v>
      </c>
      <c r="AK61" s="504">
        <f t="shared" si="68"/>
        <v>3.9600636728859495E-2</v>
      </c>
      <c r="AL61" s="1261"/>
      <c r="AM61" s="501">
        <f t="shared" ref="AM61:AQ62" si="69">AM16/AG16-1</f>
        <v>8.4164989077825769E-2</v>
      </c>
      <c r="AN61" s="501">
        <f t="shared" si="69"/>
        <v>2.9528463433988961E-2</v>
      </c>
      <c r="AO61" s="501">
        <f t="shared" si="69"/>
        <v>-6.6088567098838702E-3</v>
      </c>
      <c r="AP61" s="502">
        <f t="shared" si="69"/>
        <v>8.0815770494430783E-2</v>
      </c>
      <c r="AQ61" s="502">
        <f t="shared" si="69"/>
        <v>4.7206366401399968E-2</v>
      </c>
      <c r="AR61" s="1261"/>
      <c r="AS61" s="501">
        <f t="shared" ref="AS61:AW62" si="70">AS16/AM16-1</f>
        <v>-2.2360935524652459E-2</v>
      </c>
      <c r="AT61" s="501">
        <f t="shared" si="70"/>
        <v>9.4401622718052858E-2</v>
      </c>
      <c r="AU61" s="501">
        <f t="shared" si="70"/>
        <v>0.15593881096656648</v>
      </c>
      <c r="AV61" s="502">
        <f t="shared" si="70"/>
        <v>6.4837812789619864E-2</v>
      </c>
      <c r="AW61" s="504">
        <f t="shared" si="70"/>
        <v>7.1516670645340952E-2</v>
      </c>
      <c r="AX61" s="348"/>
      <c r="AY61" s="503">
        <f t="shared" ref="AY61:BC62" si="71">AY16/AS16-1</f>
        <v>0.16992645276004215</v>
      </c>
      <c r="AZ61" s="501">
        <f t="shared" si="71"/>
        <v>0.1326315009081811</v>
      </c>
      <c r="BA61" s="501">
        <f t="shared" si="71"/>
        <v>0.1255177975732249</v>
      </c>
      <c r="BB61" s="501">
        <f t="shared" si="71"/>
        <v>-1.3507867984960398E-2</v>
      </c>
      <c r="BC61" s="504">
        <f t="shared" si="71"/>
        <v>0.10043072238828143</v>
      </c>
      <c r="BD61" s="478"/>
      <c r="BE61" s="503">
        <f t="shared" ref="BE61:BI62" si="72">BE16/AY16-1</f>
        <v>1.6821526026734812E-2</v>
      </c>
      <c r="BF61" s="501">
        <f t="shared" si="72"/>
        <v>6.6208476517755077E-2</v>
      </c>
      <c r="BG61" s="501">
        <f t="shared" si="72"/>
        <v>-9.2824805393609822E-3</v>
      </c>
      <c r="BH61" s="502">
        <f t="shared" si="72"/>
        <v>0.15587944664031617</v>
      </c>
      <c r="BI61" s="504">
        <f t="shared" si="72"/>
        <v>5.6029355940781844E-2</v>
      </c>
      <c r="BJ61" s="348"/>
      <c r="BK61" s="503">
        <f t="shared" ref="BK61:BO62" si="73">BK16/BE16-1</f>
        <v>4.463618452340512E-2</v>
      </c>
      <c r="BL61" s="501">
        <f t="shared" si="73"/>
        <v>1.1019706550432717E-2</v>
      </c>
      <c r="BM61" s="501">
        <f t="shared" si="73"/>
        <v>0.11059241238740203</v>
      </c>
      <c r="BN61" s="502">
        <f t="shared" si="73"/>
        <v>7.2329252282233636E-2</v>
      </c>
      <c r="BO61" s="504">
        <f t="shared" si="73"/>
        <v>5.9159497391901628E-2</v>
      </c>
      <c r="BP61" s="348"/>
      <c r="BQ61" s="503">
        <f t="shared" ref="BQ61:BU62" si="74">BQ16/BK16-1</f>
        <v>8.6633215589279278E-2</v>
      </c>
      <c r="BR61" s="501">
        <f t="shared" si="74"/>
        <v>8.7988183743196613E-2</v>
      </c>
      <c r="BS61" s="501">
        <f t="shared" si="74"/>
        <v>6.3612336722611129E-2</v>
      </c>
      <c r="BT61" s="502">
        <f t="shared" si="74"/>
        <v>6.5156556177673464E-2</v>
      </c>
      <c r="BU61" s="504">
        <f t="shared" si="74"/>
        <v>7.5415685435782365E-2</v>
      </c>
      <c r="BV61" s="348"/>
      <c r="BW61" s="503">
        <f t="shared" ref="BW61:CA62" si="75">BW16/BQ16-1</f>
        <v>6.5513185873130819E-2</v>
      </c>
      <c r="BX61" s="501">
        <f t="shared" si="75"/>
        <v>5.8569739434699342E-2</v>
      </c>
      <c r="BY61" s="501">
        <f t="shared" si="75"/>
        <v>5.5879969713876321E-2</v>
      </c>
      <c r="BZ61" s="502">
        <f t="shared" si="75"/>
        <v>4.9195029031815274E-2</v>
      </c>
      <c r="CA61" s="504">
        <f t="shared" si="75"/>
        <v>5.7059599903891423E-2</v>
      </c>
      <c r="CB61" s="348"/>
      <c r="CC61" s="503">
        <f t="shared" ref="CC61:CG62" si="76">CC16/BW16-1</f>
        <v>5.7594873371175082E-2</v>
      </c>
      <c r="CD61" s="501">
        <f t="shared" si="76"/>
        <v>5.060049630441199E-2</v>
      </c>
      <c r="CE61" s="501">
        <f t="shared" si="76"/>
        <v>4.9200426505382255E-2</v>
      </c>
      <c r="CF61" s="502">
        <f t="shared" si="76"/>
        <v>4.2412438651576734E-2</v>
      </c>
      <c r="CG61" s="504">
        <f t="shared" si="76"/>
        <v>4.9768088791435572E-2</v>
      </c>
      <c r="CH61" s="348"/>
      <c r="CI61" s="503">
        <f t="shared" ref="CI61:CM62" si="77">CI16/CC16-1</f>
        <v>5.762114011052244E-2</v>
      </c>
      <c r="CJ61" s="501">
        <f t="shared" si="77"/>
        <v>5.0684905844999184E-2</v>
      </c>
      <c r="CK61" s="501">
        <f t="shared" si="77"/>
        <v>4.9252173750060635E-2</v>
      </c>
      <c r="CL61" s="502">
        <f t="shared" si="77"/>
        <v>4.2654049855422205E-2</v>
      </c>
      <c r="CM61" s="504">
        <f t="shared" si="77"/>
        <v>4.989854362727697E-2</v>
      </c>
      <c r="CN61"/>
      <c r="CO61"/>
      <c r="CP61"/>
      <c r="CQ61"/>
      <c r="CR61"/>
      <c r="CS61"/>
      <c r="CT61"/>
      <c r="CU61"/>
    </row>
    <row r="62" spans="1:101" s="24" customFormat="1">
      <c r="A62" s="415" t="s">
        <v>144</v>
      </c>
      <c r="B62" s="348"/>
      <c r="C62" s="499"/>
      <c r="D62" s="499"/>
      <c r="E62" s="499"/>
      <c r="F62" s="499"/>
      <c r="G62" s="500"/>
      <c r="H62" s="348"/>
      <c r="I62" s="503">
        <f t="shared" si="64"/>
        <v>0.12704058270416474</v>
      </c>
      <c r="J62" s="501">
        <f t="shared" si="64"/>
        <v>9.500797276542472E-2</v>
      </c>
      <c r="K62" s="501">
        <f t="shared" si="64"/>
        <v>9.4227616613548504E-2</v>
      </c>
      <c r="L62" s="502">
        <f t="shared" si="64"/>
        <v>-5.2158908192477815E-3</v>
      </c>
      <c r="M62" s="502">
        <f t="shared" si="64"/>
        <v>7.6611957056530455E-2</v>
      </c>
      <c r="N62" s="348"/>
      <c r="O62" s="503">
        <f t="shared" si="65"/>
        <v>-8.4828557120855574E-2</v>
      </c>
      <c r="P62" s="501">
        <f t="shared" si="65"/>
        <v>-7.3721356144190953E-2</v>
      </c>
      <c r="Q62" s="501">
        <f t="shared" si="65"/>
        <v>-4.4554870048295614E-2</v>
      </c>
      <c r="R62" s="502">
        <f t="shared" si="65"/>
        <v>5.9351099897500648E-2</v>
      </c>
      <c r="S62" s="504">
        <f t="shared" si="65"/>
        <v>-3.7487784128859114E-2</v>
      </c>
      <c r="T62" s="505"/>
      <c r="U62" s="501">
        <f t="shared" si="66"/>
        <v>8.0880455094518799E-2</v>
      </c>
      <c r="V62" s="501">
        <f t="shared" si="66"/>
        <v>1.2113847014457502E-2</v>
      </c>
      <c r="W62" s="501">
        <f t="shared" si="66"/>
        <v>3.5364012661309951E-2</v>
      </c>
      <c r="X62" s="502">
        <f t="shared" si="66"/>
        <v>0.10263662244385308</v>
      </c>
      <c r="Y62" s="502">
        <f t="shared" si="66"/>
        <v>5.7834980509029688E-2</v>
      </c>
      <c r="Z62" s="505"/>
      <c r="AA62" s="501">
        <f t="shared" si="67"/>
        <v>0.11873764244027774</v>
      </c>
      <c r="AB62" s="501">
        <f t="shared" si="67"/>
        <v>0.19535158520664386</v>
      </c>
      <c r="AC62" s="501">
        <f t="shared" si="67"/>
        <v>0.11198803454179451</v>
      </c>
      <c r="AD62" s="502">
        <f t="shared" si="67"/>
        <v>4.8254273612446941E-2</v>
      </c>
      <c r="AE62" s="502">
        <f t="shared" si="67"/>
        <v>0.11636391257112333</v>
      </c>
      <c r="AF62" s="348"/>
      <c r="AG62" s="501">
        <f t="shared" si="68"/>
        <v>-4.4055872408729213E-3</v>
      </c>
      <c r="AH62" s="501">
        <f t="shared" si="68"/>
        <v>-4.3838040800707967E-2</v>
      </c>
      <c r="AI62" s="501">
        <f t="shared" si="68"/>
        <v>-4.0935276750894589E-2</v>
      </c>
      <c r="AJ62" s="502">
        <f t="shared" si="68"/>
        <v>-3.0626946883778539E-2</v>
      </c>
      <c r="AK62" s="504">
        <f t="shared" si="68"/>
        <v>-3.0224056773970109E-2</v>
      </c>
      <c r="AL62" s="1261"/>
      <c r="AM62" s="501">
        <f t="shared" si="69"/>
        <v>8.3956503841933205E-3</v>
      </c>
      <c r="AN62" s="501">
        <f t="shared" si="69"/>
        <v>1.7592129398034118E-3</v>
      </c>
      <c r="AO62" s="501">
        <f t="shared" si="69"/>
        <v>3.8307518611297331E-2</v>
      </c>
      <c r="AP62" s="502">
        <f t="shared" si="69"/>
        <v>6.256642752756747E-2</v>
      </c>
      <c r="AQ62" s="502">
        <f t="shared" si="69"/>
        <v>2.7783447290539831E-2</v>
      </c>
      <c r="AR62" s="1261"/>
      <c r="AS62" s="501">
        <f t="shared" si="70"/>
        <v>6.2081692704125668E-3</v>
      </c>
      <c r="AT62" s="501">
        <f t="shared" si="70"/>
        <v>4.7698312956196753E-2</v>
      </c>
      <c r="AU62" s="501">
        <f t="shared" si="70"/>
        <v>3.6698806439281251E-2</v>
      </c>
      <c r="AV62" s="502">
        <f t="shared" si="70"/>
        <v>6.3219423757687743E-3</v>
      </c>
      <c r="AW62" s="504">
        <f t="shared" si="70"/>
        <v>2.3975011377270539E-2</v>
      </c>
      <c r="AX62" s="348"/>
      <c r="AY62" s="503">
        <f t="shared" si="71"/>
        <v>1.3692030731000671E-3</v>
      </c>
      <c r="AZ62" s="501">
        <f t="shared" si="71"/>
        <v>-4.1610397038496338E-2</v>
      </c>
      <c r="BA62" s="501">
        <f t="shared" si="71"/>
        <v>7.2766009751301652E-3</v>
      </c>
      <c r="BB62" s="501">
        <f t="shared" si="71"/>
        <v>-1.9646517984717726E-2</v>
      </c>
      <c r="BC62" s="504">
        <f t="shared" si="71"/>
        <v>-1.3571443001151651E-2</v>
      </c>
      <c r="BD62" s="478"/>
      <c r="BE62" s="503">
        <f t="shared" si="72"/>
        <v>1.5108162627976984E-3</v>
      </c>
      <c r="BF62" s="501">
        <f t="shared" si="72"/>
        <v>5.7665528331288796E-2</v>
      </c>
      <c r="BG62" s="501">
        <f t="shared" si="72"/>
        <v>-2.1151452535328463E-4</v>
      </c>
      <c r="BH62" s="502">
        <f t="shared" si="72"/>
        <v>2.9212806742391795E-2</v>
      </c>
      <c r="BI62" s="504">
        <f t="shared" si="72"/>
        <v>2.2113817142201952E-2</v>
      </c>
      <c r="BJ62" s="348"/>
      <c r="BK62" s="503">
        <f t="shared" si="73"/>
        <v>2.1220650946417452E-2</v>
      </c>
      <c r="BL62" s="501">
        <f t="shared" si="73"/>
        <v>7.2569964185231761E-3</v>
      </c>
      <c r="BM62" s="501">
        <f t="shared" si="73"/>
        <v>4.8105323970479175E-2</v>
      </c>
      <c r="BN62" s="502">
        <f t="shared" si="73"/>
        <v>0.12337032647344048</v>
      </c>
      <c r="BO62" s="504">
        <f t="shared" si="73"/>
        <v>5.0864573523813128E-2</v>
      </c>
      <c r="BP62" s="348"/>
      <c r="BQ62" s="503">
        <f t="shared" si="74"/>
        <v>7.3236759465943546E-2</v>
      </c>
      <c r="BR62" s="501">
        <f t="shared" si="74"/>
        <v>7.3811332103277394E-2</v>
      </c>
      <c r="BS62" s="501">
        <f t="shared" si="74"/>
        <v>4.9601775662756697E-2</v>
      </c>
      <c r="BT62" s="502">
        <f t="shared" si="74"/>
        <v>5.0110610489414453E-2</v>
      </c>
      <c r="BU62" s="504">
        <f t="shared" si="74"/>
        <v>6.113680495790863E-2</v>
      </c>
      <c r="BV62" s="348"/>
      <c r="BW62" s="503">
        <f t="shared" si="75"/>
        <v>6.5513185873130819E-2</v>
      </c>
      <c r="BX62" s="501">
        <f t="shared" si="75"/>
        <v>5.856973943469912E-2</v>
      </c>
      <c r="BY62" s="501">
        <f t="shared" si="75"/>
        <v>5.5879969713876543E-2</v>
      </c>
      <c r="BZ62" s="502">
        <f t="shared" si="75"/>
        <v>4.9195029031815274E-2</v>
      </c>
      <c r="CA62" s="504">
        <f t="shared" si="75"/>
        <v>5.6956932107735669E-2</v>
      </c>
      <c r="CB62" s="348"/>
      <c r="CC62" s="503">
        <f t="shared" si="76"/>
        <v>5.7594873371175082E-2</v>
      </c>
      <c r="CD62" s="501">
        <f t="shared" si="76"/>
        <v>5.0600496304412212E-2</v>
      </c>
      <c r="CE62" s="501">
        <f t="shared" si="76"/>
        <v>4.9200426505382255E-2</v>
      </c>
      <c r="CF62" s="502">
        <f t="shared" si="76"/>
        <v>4.2412438651576512E-2</v>
      </c>
      <c r="CG62" s="504">
        <f t="shared" si="76"/>
        <v>4.9669848936320316E-2</v>
      </c>
      <c r="CH62" s="348"/>
      <c r="CI62" s="503">
        <f t="shared" si="77"/>
        <v>5.7621140110522662E-2</v>
      </c>
      <c r="CJ62" s="501">
        <f t="shared" si="77"/>
        <v>5.0684905844998962E-2</v>
      </c>
      <c r="CK62" s="501">
        <f t="shared" si="77"/>
        <v>4.9252173750060413E-2</v>
      </c>
      <c r="CL62" s="502">
        <f t="shared" si="77"/>
        <v>4.2654049855421983E-2</v>
      </c>
      <c r="CM62" s="504">
        <f t="shared" si="77"/>
        <v>4.9803284772889089E-2</v>
      </c>
      <c r="CN62"/>
      <c r="CO62"/>
      <c r="CP62"/>
      <c r="CQ62"/>
      <c r="CR62"/>
      <c r="CS62"/>
      <c r="CT62"/>
      <c r="CU62"/>
      <c r="CW62" s="358"/>
    </row>
    <row r="63" spans="1:101" s="24" customFormat="1">
      <c r="A63" s="431" t="s">
        <v>472</v>
      </c>
      <c r="B63" s="506"/>
      <c r="C63" s="507"/>
      <c r="D63" s="507"/>
      <c r="E63" s="507"/>
      <c r="F63" s="507"/>
      <c r="G63" s="508"/>
      <c r="H63" s="506"/>
      <c r="I63" s="511">
        <f t="shared" ref="I63:M64" si="78">I21/C21-1</f>
        <v>0.11536993136758755</v>
      </c>
      <c r="J63" s="509">
        <f t="shared" si="78"/>
        <v>0.10569648420115718</v>
      </c>
      <c r="K63" s="509">
        <f t="shared" si="78"/>
        <v>8.0286586399864301E-2</v>
      </c>
      <c r="L63" s="509">
        <f t="shared" si="78"/>
        <v>-1.418174121171667E-2</v>
      </c>
      <c r="M63" s="510">
        <f t="shared" si="78"/>
        <v>7.0661687109392357E-2</v>
      </c>
      <c r="N63" s="506"/>
      <c r="O63" s="511">
        <f t="shared" ref="O63:S64" si="79">O21/I21-1</f>
        <v>-8.304211808347195E-2</v>
      </c>
      <c r="P63" s="509">
        <f t="shared" si="79"/>
        <v>-8.018604235146809E-2</v>
      </c>
      <c r="Q63" s="509">
        <f t="shared" si="79"/>
        <v>-4.2571560878744807E-2</v>
      </c>
      <c r="R63" s="509">
        <f t="shared" si="79"/>
        <v>5.1068608991510667E-2</v>
      </c>
      <c r="S63" s="510">
        <f t="shared" si="79"/>
        <v>-4.0193827502965962E-2</v>
      </c>
      <c r="T63" s="512"/>
      <c r="U63" s="509">
        <f t="shared" ref="U63:Y64" si="80">U21/O21-1</f>
        <v>8.3148857115573183E-2</v>
      </c>
      <c r="V63" s="509">
        <f t="shared" si="80"/>
        <v>1.8970057939305507E-2</v>
      </c>
      <c r="W63" s="509">
        <f t="shared" si="80"/>
        <v>3.9717998114522368E-2</v>
      </c>
      <c r="X63" s="509">
        <f t="shared" si="80"/>
        <v>0.11085357805084994</v>
      </c>
      <c r="Y63" s="510">
        <f t="shared" si="80"/>
        <v>6.3282888223393341E-2</v>
      </c>
      <c r="Z63" s="512"/>
      <c r="AA63" s="509">
        <f t="shared" ref="AA63:AE64" si="81">AA21/U21-1</f>
        <v>0.11708837932499239</v>
      </c>
      <c r="AB63" s="509">
        <f t="shared" si="81"/>
        <v>0.18057830865395319</v>
      </c>
      <c r="AC63" s="509">
        <f t="shared" si="81"/>
        <v>0.11632105968619411</v>
      </c>
      <c r="AD63" s="509">
        <f t="shared" si="81"/>
        <v>4.6391059871980778E-2</v>
      </c>
      <c r="AE63" s="510">
        <f t="shared" si="81"/>
        <v>0.1130221888072791</v>
      </c>
      <c r="AF63" s="506"/>
      <c r="AG63" s="509">
        <f t="shared" ref="AG63:AK64" si="82">AG21/AA21-1</f>
        <v>4.139821205642269E-3</v>
      </c>
      <c r="AH63" s="509">
        <f t="shared" si="82"/>
        <v>-3.0784153907297385E-2</v>
      </c>
      <c r="AI63" s="509">
        <f t="shared" si="82"/>
        <v>-3.1465642061547006E-2</v>
      </c>
      <c r="AJ63" s="509">
        <f t="shared" si="82"/>
        <v>-1.7263288811982913E-2</v>
      </c>
      <c r="AK63" s="510">
        <f t="shared" si="82"/>
        <v>-1.9055767825162162E-2</v>
      </c>
      <c r="AL63" s="1262"/>
      <c r="AM63" s="509">
        <f t="shared" ref="AM63:AQ64" si="83">AM21/AG21-1</f>
        <v>2.1035332785538374E-2</v>
      </c>
      <c r="AN63" s="509">
        <f t="shared" si="83"/>
        <v>6.3801838994184124E-3</v>
      </c>
      <c r="AO63" s="509">
        <f t="shared" si="83"/>
        <v>3.0526223674231412E-2</v>
      </c>
      <c r="AP63" s="509">
        <f t="shared" si="83"/>
        <v>6.5699153999587478E-2</v>
      </c>
      <c r="AQ63" s="510">
        <f t="shared" si="83"/>
        <v>3.1075860412885126E-2</v>
      </c>
      <c r="AR63" s="1262"/>
      <c r="AS63" s="509">
        <f t="shared" ref="AS63:AW64" si="84">AS21/AM21-1</f>
        <v>1.1476637345257945E-3</v>
      </c>
      <c r="AT63" s="509">
        <f t="shared" si="84"/>
        <v>5.5648786955891261E-2</v>
      </c>
      <c r="AU63" s="509">
        <f t="shared" si="84"/>
        <v>5.6611517613258444E-2</v>
      </c>
      <c r="AV63" s="509">
        <f t="shared" si="84"/>
        <v>1.6509403518736088E-2</v>
      </c>
      <c r="AW63" s="510">
        <f t="shared" si="84"/>
        <v>3.2159957257053895E-2</v>
      </c>
      <c r="AX63" s="506"/>
      <c r="AY63" s="511">
        <f t="shared" ref="AY63:BC64" si="85">AY21/AS21-1</f>
        <v>3.0525013455610095E-2</v>
      </c>
      <c r="AZ63" s="509">
        <f t="shared" si="85"/>
        <v>-1.0859681144060884E-2</v>
      </c>
      <c r="BA63" s="509">
        <f t="shared" si="85"/>
        <v>2.8878738765286682E-2</v>
      </c>
      <c r="BB63" s="509">
        <f t="shared" si="85"/>
        <v>-1.852698412698417E-2</v>
      </c>
      <c r="BC63" s="510">
        <f t="shared" si="85"/>
        <v>6.8039738791110249E-3</v>
      </c>
      <c r="BD63" s="513"/>
      <c r="BE63" s="511">
        <f t="shared" ref="BE63:BI64" si="86">BE21/AY21-1</f>
        <v>4.5173980872279529E-3</v>
      </c>
      <c r="BF63" s="509">
        <f t="shared" si="86"/>
        <v>5.9391927195285632E-2</v>
      </c>
      <c r="BG63" s="509">
        <f t="shared" si="86"/>
        <v>-2.0243969119810856E-3</v>
      </c>
      <c r="BH63" s="509">
        <f t="shared" si="86"/>
        <v>5.2431719087604023E-2</v>
      </c>
      <c r="BI63" s="510">
        <f t="shared" si="86"/>
        <v>2.8739183668761159E-2</v>
      </c>
      <c r="BJ63" s="506"/>
      <c r="BK63" s="511">
        <f t="shared" ref="BK63:BO64" si="87">BK21/BE21-1</f>
        <v>2.5875108038029282E-2</v>
      </c>
      <c r="BL63" s="509">
        <f t="shared" si="87"/>
        <v>8.0222750797545039E-3</v>
      </c>
      <c r="BM63" s="509">
        <f t="shared" si="87"/>
        <v>6.050288621465616E-2</v>
      </c>
      <c r="BN63" s="509">
        <f t="shared" si="87"/>
        <v>0.11309446974865844</v>
      </c>
      <c r="BO63" s="510">
        <f t="shared" si="87"/>
        <v>5.252796434915874E-2</v>
      </c>
      <c r="BP63" s="506"/>
      <c r="BQ63" s="511">
        <f t="shared" ref="BQ63:BU64" si="88">BQ21/BK21-1</f>
        <v>7.5948358504335678E-2</v>
      </c>
      <c r="BR63" s="509">
        <f t="shared" si="88"/>
        <v>7.6703264437816498E-2</v>
      </c>
      <c r="BS63" s="509">
        <f t="shared" si="88"/>
        <v>5.2512790255963004E-2</v>
      </c>
      <c r="BT63" s="509">
        <f t="shared" si="88"/>
        <v>5.302880242287733E-2</v>
      </c>
      <c r="BU63" s="510">
        <f t="shared" si="88"/>
        <v>6.4018206453341886E-2</v>
      </c>
      <c r="BV63" s="506"/>
      <c r="BW63" s="511">
        <f t="shared" ref="BW63:CA64" si="89">BW21/BQ21-1</f>
        <v>6.5513185873130819E-2</v>
      </c>
      <c r="BX63" s="509">
        <f t="shared" si="89"/>
        <v>5.856973943469912E-2</v>
      </c>
      <c r="BY63" s="509">
        <f t="shared" si="89"/>
        <v>5.5879969713876321E-2</v>
      </c>
      <c r="BZ63" s="509">
        <f t="shared" si="89"/>
        <v>4.9195029031815274E-2</v>
      </c>
      <c r="CA63" s="510">
        <f t="shared" si="89"/>
        <v>5.6977871841995986E-2</v>
      </c>
      <c r="CB63" s="506"/>
      <c r="CC63" s="511">
        <f t="shared" ref="CC63:CG64" si="90">CC21/BW21-1</f>
        <v>5.7594873371175082E-2</v>
      </c>
      <c r="CD63" s="509">
        <f t="shared" si="90"/>
        <v>5.060049630441199E-2</v>
      </c>
      <c r="CE63" s="509">
        <f t="shared" si="90"/>
        <v>4.9200426505382255E-2</v>
      </c>
      <c r="CF63" s="509">
        <f t="shared" si="90"/>
        <v>4.2412438651576734E-2</v>
      </c>
      <c r="CG63" s="510">
        <f t="shared" si="90"/>
        <v>4.9689887113802289E-2</v>
      </c>
      <c r="CH63" s="506"/>
      <c r="CI63" s="511">
        <f t="shared" ref="CI63:CM64" si="91">CI21/CC21-1</f>
        <v>5.7621140110522662E-2</v>
      </c>
      <c r="CJ63" s="509">
        <f t="shared" si="91"/>
        <v>5.0684905844998962E-2</v>
      </c>
      <c r="CK63" s="509">
        <f t="shared" si="91"/>
        <v>4.9252173750060635E-2</v>
      </c>
      <c r="CL63" s="509">
        <f t="shared" si="91"/>
        <v>4.2654049855421983E-2</v>
      </c>
      <c r="CM63" s="510">
        <f t="shared" si="91"/>
        <v>4.9822716357300179E-2</v>
      </c>
      <c r="CN63"/>
      <c r="CO63"/>
      <c r="CP63"/>
      <c r="CQ63"/>
      <c r="CR63"/>
      <c r="CS63"/>
      <c r="CT63"/>
      <c r="CU63"/>
      <c r="CW63" s="358"/>
    </row>
    <row r="64" spans="1:101" s="24" customFormat="1">
      <c r="A64" s="415" t="s">
        <v>227</v>
      </c>
      <c r="B64" s="348"/>
      <c r="C64" s="499"/>
      <c r="D64" s="499"/>
      <c r="E64" s="499"/>
      <c r="F64" s="499"/>
      <c r="G64" s="500"/>
      <c r="H64" s="348"/>
      <c r="I64" s="514">
        <f t="shared" si="78"/>
        <v>0.21367932083934082</v>
      </c>
      <c r="J64" s="499">
        <f t="shared" si="78"/>
        <v>0.23670532292944513</v>
      </c>
      <c r="K64" s="499">
        <f t="shared" si="78"/>
        <v>0.21544720311097776</v>
      </c>
      <c r="L64" s="499">
        <f t="shared" si="78"/>
        <v>-4.6914364828979371E-2</v>
      </c>
      <c r="M64" s="500">
        <f t="shared" si="78"/>
        <v>0.1258448481504626</v>
      </c>
      <c r="N64" s="348"/>
      <c r="O64" s="514">
        <f t="shared" si="79"/>
        <v>-5.686067484932944E-3</v>
      </c>
      <c r="P64" s="499">
        <f t="shared" si="79"/>
        <v>-2.5687698128643355E-2</v>
      </c>
      <c r="Q64" s="499">
        <f t="shared" si="79"/>
        <v>-2.7032614366859331E-2</v>
      </c>
      <c r="R64" s="501">
        <f t="shared" si="79"/>
        <v>4.3381278973773085E-2</v>
      </c>
      <c r="S64" s="500">
        <f t="shared" si="79"/>
        <v>-7.447071739322686E-4</v>
      </c>
      <c r="T64" s="406"/>
      <c r="U64" s="514">
        <f t="shared" si="80"/>
        <v>7.2914707931907685E-2</v>
      </c>
      <c r="V64" s="499">
        <f t="shared" si="80"/>
        <v>0.1563634837003296</v>
      </c>
      <c r="W64" s="499">
        <f t="shared" si="80"/>
        <v>0.12534021348712465</v>
      </c>
      <c r="X64" s="515">
        <f t="shared" si="80"/>
        <v>0.16356388037218239</v>
      </c>
      <c r="Y64" s="500">
        <f t="shared" si="80"/>
        <v>0.13313026942429684</v>
      </c>
      <c r="Z64" s="505"/>
      <c r="AA64" s="501">
        <f t="shared" si="81"/>
        <v>0.22058990298869086</v>
      </c>
      <c r="AB64" s="501">
        <f t="shared" si="81"/>
        <v>0.11704000871333187</v>
      </c>
      <c r="AC64" s="501">
        <f t="shared" si="81"/>
        <v>0.19249615637053497</v>
      </c>
      <c r="AD64" s="501">
        <f t="shared" si="81"/>
        <v>0.10653197332287156</v>
      </c>
      <c r="AE64" s="504">
        <f t="shared" si="81"/>
        <v>0.15274601241571872</v>
      </c>
      <c r="AF64" s="348"/>
      <c r="AG64" s="501">
        <f t="shared" si="82"/>
        <v>-4.3776816784350747E-2</v>
      </c>
      <c r="AH64" s="501">
        <f t="shared" si="82"/>
        <v>5.8137172851443042E-2</v>
      </c>
      <c r="AI64" s="501">
        <f t="shared" si="82"/>
        <v>-1.8931940014928372E-2</v>
      </c>
      <c r="AJ64" s="501">
        <f t="shared" si="82"/>
        <v>-7.208995881418212E-3</v>
      </c>
      <c r="AK64" s="504">
        <f t="shared" si="82"/>
        <v>-3.2374252990339247E-3</v>
      </c>
      <c r="AL64" s="1261"/>
      <c r="AM64" s="501">
        <f t="shared" si="83"/>
        <v>-3.0208544955083738E-3</v>
      </c>
      <c r="AN64" s="501">
        <f t="shared" si="83"/>
        <v>-9.399812633421889E-2</v>
      </c>
      <c r="AO64" s="501">
        <f t="shared" si="83"/>
        <v>-4.3705138254868325E-2</v>
      </c>
      <c r="AP64" s="501">
        <f t="shared" si="83"/>
        <v>8.0362829066798591E-2</v>
      </c>
      <c r="AQ64" s="504">
        <f t="shared" si="83"/>
        <v>-8.803967694165582E-3</v>
      </c>
      <c r="AR64" s="1261"/>
      <c r="AS64" s="501">
        <f t="shared" si="84"/>
        <v>-0.11646038397817038</v>
      </c>
      <c r="AT64" s="501">
        <f t="shared" si="84"/>
        <v>7.7162351146331742E-2</v>
      </c>
      <c r="AU64" s="501">
        <f t="shared" si="84"/>
        <v>0.13817655804235152</v>
      </c>
      <c r="AV64" s="501">
        <f t="shared" si="84"/>
        <v>6.4655813569126863E-2</v>
      </c>
      <c r="AW64" s="504">
        <f t="shared" si="84"/>
        <v>4.6364981017350537E-2</v>
      </c>
      <c r="AX64" s="348"/>
      <c r="AY64" s="503">
        <f t="shared" si="85"/>
        <v>0.24067946172512755</v>
      </c>
      <c r="AZ64" s="501">
        <f t="shared" si="85"/>
        <v>6.0941544901604638E-2</v>
      </c>
      <c r="BA64" s="501">
        <f t="shared" si="85"/>
        <v>-1.0456897951691468E-2</v>
      </c>
      <c r="BB64" s="501">
        <f t="shared" si="85"/>
        <v>4.4605202560401569E-3</v>
      </c>
      <c r="BC64" s="504">
        <f t="shared" si="85"/>
        <v>5.5417975947800624E-2</v>
      </c>
      <c r="BD64" s="475"/>
      <c r="BE64" s="503">
        <f t="shared" si="86"/>
        <v>1.8354778223198753E-2</v>
      </c>
      <c r="BF64" s="501">
        <f t="shared" si="86"/>
        <v>0.15699304329768404</v>
      </c>
      <c r="BG64" s="501">
        <f t="shared" si="86"/>
        <v>0.10719382367211883</v>
      </c>
      <c r="BH64" s="501">
        <f t="shared" si="86"/>
        <v>0.10513463807163848</v>
      </c>
      <c r="BI64" s="504">
        <f t="shared" si="86"/>
        <v>9.9304514163586655E-2</v>
      </c>
      <c r="BJ64" s="348"/>
      <c r="BK64" s="503">
        <f t="shared" si="87"/>
        <v>7.10085000674614E-2</v>
      </c>
      <c r="BL64" s="501">
        <f t="shared" si="87"/>
        <v>7.1518313867771299E-2</v>
      </c>
      <c r="BM64" s="501">
        <f t="shared" si="87"/>
        <v>7.6882922711072776E-2</v>
      </c>
      <c r="BN64" s="501">
        <f t="shared" si="87"/>
        <v>9.8894746901235342E-2</v>
      </c>
      <c r="BO64" s="504">
        <f t="shared" si="87"/>
        <v>8.1708718675818748E-2</v>
      </c>
      <c r="BP64" s="348"/>
      <c r="BQ64" s="503">
        <f t="shared" si="88"/>
        <v>9.7901871574820332E-2</v>
      </c>
      <c r="BR64" s="501">
        <f t="shared" si="88"/>
        <v>9.9077763660601059E-2</v>
      </c>
      <c r="BS64" s="501">
        <f t="shared" si="88"/>
        <v>7.4308418025141876E-2</v>
      </c>
      <c r="BT64" s="501">
        <f t="shared" si="88"/>
        <v>7.4443806267664447E-2</v>
      </c>
      <c r="BU64" s="504">
        <f t="shared" si="88"/>
        <v>8.4743570296579529E-2</v>
      </c>
      <c r="BV64" s="348"/>
      <c r="BW64" s="503">
        <f t="shared" si="89"/>
        <v>7.4769336090532823E-2</v>
      </c>
      <c r="BX64" s="501">
        <f t="shared" si="89"/>
        <v>6.6728974230617411E-2</v>
      </c>
      <c r="BY64" s="501">
        <f t="shared" si="89"/>
        <v>6.415861497027664E-2</v>
      </c>
      <c r="BZ64" s="501">
        <f t="shared" si="89"/>
        <v>5.6443974138833619E-2</v>
      </c>
      <c r="CA64" s="504">
        <f t="shared" si="89"/>
        <v>6.4276680363614558E-2</v>
      </c>
      <c r="CB64" s="348"/>
      <c r="CC64" s="503">
        <f t="shared" si="90"/>
        <v>6.631088420735276E-2</v>
      </c>
      <c r="CD64" s="501">
        <f t="shared" si="90"/>
        <v>5.822599395299588E-2</v>
      </c>
      <c r="CE64" s="501">
        <f t="shared" si="90"/>
        <v>5.7298989934946531E-2</v>
      </c>
      <c r="CF64" s="501">
        <f t="shared" si="90"/>
        <v>4.9443349324260533E-2</v>
      </c>
      <c r="CG64" s="504">
        <f t="shared" si="90"/>
        <v>5.6702626724823402E-2</v>
      </c>
      <c r="CH64" s="348"/>
      <c r="CI64" s="503">
        <f t="shared" si="91"/>
        <v>6.6259571244204452E-2</v>
      </c>
      <c r="CJ64" s="501">
        <f t="shared" si="91"/>
        <v>5.8220126114087778E-2</v>
      </c>
      <c r="CK64" s="501">
        <f t="shared" si="91"/>
        <v>5.7286337576793356E-2</v>
      </c>
      <c r="CL64" s="501">
        <f t="shared" si="91"/>
        <v>4.9616892430444759E-2</v>
      </c>
      <c r="CM64" s="504">
        <f t="shared" si="91"/>
        <v>5.6778874727942519E-2</v>
      </c>
      <c r="CN64"/>
      <c r="CO64"/>
      <c r="CP64"/>
      <c r="CQ64"/>
      <c r="CR64"/>
      <c r="CS64"/>
      <c r="CT64"/>
      <c r="CU64"/>
      <c r="CW64" s="358"/>
    </row>
    <row r="65" spans="1:99">
      <c r="A65" s="1960" t="s">
        <v>233</v>
      </c>
      <c r="B65" s="1961"/>
      <c r="C65" s="1962"/>
      <c r="D65" s="1962"/>
      <c r="E65" s="1962"/>
      <c r="F65" s="1962"/>
      <c r="G65" s="1963"/>
      <c r="H65" s="1961"/>
      <c r="I65" s="1964">
        <f>I35/C35-1</f>
        <v>0.2366877833831722</v>
      </c>
      <c r="J65" s="1962">
        <f>J35/D35-1</f>
        <v>0.26339538979161881</v>
      </c>
      <c r="K65" s="1962">
        <f>K35/E35-1</f>
        <v>0.27633943247253412</v>
      </c>
      <c r="L65" s="1962">
        <f>L35/F35-1</f>
        <v>9.5573539789336248E-2</v>
      </c>
      <c r="M65" s="1965">
        <f>M35/G35-1</f>
        <v>0.19986190531449233</v>
      </c>
      <c r="N65" s="1961"/>
      <c r="O65" s="1966">
        <f>O35/I35-1</f>
        <v>6.9879866090428955E-2</v>
      </c>
      <c r="P65" s="1967">
        <f>P35/J35-1</f>
        <v>2.4053885906018202E-2</v>
      </c>
      <c r="Q65" s="1967">
        <f>Q35/K35-1</f>
        <v>2.7614910507893331E-2</v>
      </c>
      <c r="R65" s="1967">
        <f>R35/L35-1</f>
        <v>5.2239005528573523E-2</v>
      </c>
      <c r="S65" s="1965">
        <f>S35/M35-1</f>
        <v>4.4391900959038777E-2</v>
      </c>
      <c r="T65" s="1968"/>
      <c r="U65" s="1964">
        <f>U35/O35-1</f>
        <v>9.6541799986991528E-2</v>
      </c>
      <c r="V65" s="1962">
        <f>V35/P35-1</f>
        <v>0.19006798329592445</v>
      </c>
      <c r="W65" s="1962">
        <f>W35/Q35-1</f>
        <v>0.21432072320060991</v>
      </c>
      <c r="X65" s="1969">
        <f>X35/R35-1</f>
        <v>0.22883872984961018</v>
      </c>
      <c r="Y65" s="1963">
        <f>Y35/S35-1</f>
        <v>0.18737748911536323</v>
      </c>
      <c r="Z65" s="1970"/>
      <c r="AA65" s="1967">
        <f>AA35/U35-1</f>
        <v>0.27533106889681025</v>
      </c>
      <c r="AB65" s="1967">
        <f>AB35/V35-1</f>
        <v>0.17627034773237815</v>
      </c>
      <c r="AC65" s="1967">
        <f>AC35/W35-1</f>
        <v>0.16158883057705209</v>
      </c>
      <c r="AD65" s="1967">
        <f>AD35/X35-1</f>
        <v>0.13091756144049516</v>
      </c>
      <c r="AE65" s="1965">
        <f>AE35/Y35-1</f>
        <v>0.17620499584822613</v>
      </c>
      <c r="AF65" s="1961"/>
      <c r="AG65" s="1967">
        <f>AG35/AA35-1</f>
        <v>-2.809130371633195E-2</v>
      </c>
      <c r="AH65" s="1967">
        <f>AH35/AB35-1</f>
        <v>6.9031794404796454E-2</v>
      </c>
      <c r="AI65" s="1967">
        <f>AI35/AC35-1</f>
        <v>3.8051434165729425E-2</v>
      </c>
      <c r="AJ65" s="1967">
        <f>AJ35/AD35-1</f>
        <v>1.5612889552611309E-2</v>
      </c>
      <c r="AK65" s="1965">
        <f>AK35/AE35-1</f>
        <v>1.3036006751160789E-2</v>
      </c>
      <c r="AL65" s="1971"/>
      <c r="AM65" s="1967">
        <f>AM35/AG35-1</f>
        <v>6.7587254625200544E-2</v>
      </c>
      <c r="AN65" s="1967">
        <f>AN35/AH35-1</f>
        <v>-7.4093126082746097E-2</v>
      </c>
      <c r="AO65" s="1967">
        <f>AO35/AI35-1</f>
        <v>7.2049886883969183E-3</v>
      </c>
      <c r="AP65" s="1967">
        <f>AP35/AJ35-1</f>
        <v>7.1117441003457627E-2</v>
      </c>
      <c r="AQ65" s="1965">
        <f>AQ35/AK35-1</f>
        <v>3.2966644604483175E-2</v>
      </c>
      <c r="AR65" s="1971"/>
      <c r="AS65" s="1967">
        <f>AS35/AM35-1</f>
        <v>-0.14523408258708215</v>
      </c>
      <c r="AT65" s="1967">
        <f>AT35/AN35-1</f>
        <v>0.12384903567309591</v>
      </c>
      <c r="AU65" s="1967">
        <f>AU35/AO35-1</f>
        <v>0.1625552099241343</v>
      </c>
      <c r="AV65" s="1967">
        <f>AV35/AP35-1</f>
        <v>0.1707256238725241</v>
      </c>
      <c r="AW65" s="1965">
        <f>AW35/AQ35-1</f>
        <v>8.7450999445289668E-2</v>
      </c>
      <c r="AX65" s="1961"/>
      <c r="AY65" s="1966">
        <f>AY35/AS35-1</f>
        <v>0.31908140345351743</v>
      </c>
      <c r="AZ65" s="1967">
        <f>AZ35/AT35-1</f>
        <v>8.3226357596498213E-2</v>
      </c>
      <c r="BA65" s="1967">
        <f>BA35/AU35-1</f>
        <v>2.3478482327568884E-2</v>
      </c>
      <c r="BB65" s="1967">
        <f>BB35/AV35-1</f>
        <v>-1.6546557459147571E-2</v>
      </c>
      <c r="BC65" s="1965">
        <f>BC35/AW35-1</f>
        <v>7.5158768002593801E-2</v>
      </c>
      <c r="BD65" s="1972"/>
      <c r="BE65" s="1966">
        <f>BE35/AY35-1</f>
        <v>4.6245672964144502E-2</v>
      </c>
      <c r="BF65" s="1967">
        <f>BF35/AZ35-1</f>
        <v>0.20399607173049472</v>
      </c>
      <c r="BG65" s="1967">
        <f>BG35/BA35-1</f>
        <v>0.10596368120073274</v>
      </c>
      <c r="BH65" s="1967">
        <f>BH35/BB35-1</f>
        <v>0.12993292110041521</v>
      </c>
      <c r="BI65" s="1965">
        <f>BI35/BC35-1</f>
        <v>0.12380288331198064</v>
      </c>
      <c r="BJ65" s="1961"/>
      <c r="BK65" s="1966">
        <f>BK35/BE35-1</f>
        <v>0.15247312433424476</v>
      </c>
      <c r="BL65" s="1967">
        <f>BL35/BF35-1</f>
        <v>0.11206947819052071</v>
      </c>
      <c r="BM65" s="1967">
        <f>BM35/BG35-1</f>
        <v>0.1274312818154717</v>
      </c>
      <c r="BN65" s="1967">
        <f>BN35/BH35-1</f>
        <v>0.14767801161371774</v>
      </c>
      <c r="BO65" s="1965">
        <f>BO35/BI35-1</f>
        <v>0.13472619960830823</v>
      </c>
      <c r="BP65" s="1961"/>
      <c r="BQ65" s="1966">
        <f>BQ35/BK35-1</f>
        <v>9.2777664617337496E-2</v>
      </c>
      <c r="BR65" s="1967">
        <f>BR35/BL35-1</f>
        <v>0.13832001182383524</v>
      </c>
      <c r="BS65" s="1967">
        <f>BS35/BM35-1</f>
        <v>0.1202780074587253</v>
      </c>
      <c r="BT65" s="1967">
        <f>BT35/BN35-1</f>
        <v>0.11476410284770777</v>
      </c>
      <c r="BU65" s="1965">
        <f>BU35/BO35-1</f>
        <v>0.11646632615637964</v>
      </c>
      <c r="BV65" s="1961"/>
      <c r="BW65" s="1966">
        <f>BW35/BQ35-1</f>
        <v>0.13036469383877614</v>
      </c>
      <c r="BX65" s="1967">
        <f>BX35/BR35-1</f>
        <v>0.11129065436296015</v>
      </c>
      <c r="BY65" s="1967">
        <f>BY35/BS35-1</f>
        <v>0.10805325497947127</v>
      </c>
      <c r="BZ65" s="1967">
        <f>BZ35/BT35-1</f>
        <v>9.8613510731452303E-2</v>
      </c>
      <c r="CA65" s="1965">
        <f>CA35/BU35-1</f>
        <v>0.11009288445138554</v>
      </c>
      <c r="CB65" s="1961"/>
      <c r="CC65" s="1966">
        <f>CC35/BW35-1</f>
        <v>0.10401382656794667</v>
      </c>
      <c r="CD65" s="1967">
        <f>CD35/BX35-1</f>
        <v>0.49488173985661432</v>
      </c>
      <c r="CE65" s="1967">
        <f>CE35/BY35-1</f>
        <v>0.51685983109147959</v>
      </c>
      <c r="CF65" s="1967">
        <f>CF35/BZ35-1</f>
        <v>0.39659936066996426</v>
      </c>
      <c r="CG65" s="1965">
        <f>CG35/CA35-1</f>
        <v>0.39124798527042381</v>
      </c>
      <c r="CH65" s="1961"/>
      <c r="CI65" s="1966">
        <f>CI35/CC35-1</f>
        <v>0.61602359687832897</v>
      </c>
      <c r="CJ65" s="1967">
        <f>CJ35/CD35-1</f>
        <v>-0.19035329280871638</v>
      </c>
      <c r="CK65" s="1967">
        <f>CK35/CE35-1</f>
        <v>-0.20351274076237691</v>
      </c>
      <c r="CL65" s="1967">
        <f>CL35/CF35-1</f>
        <v>-0.14972567549105287</v>
      </c>
      <c r="CM65" s="1965">
        <f>CM35/CG35-1</f>
        <v>-5.4946266260878729E-2</v>
      </c>
    </row>
    <row r="66" spans="1:99" s="24" customFormat="1" ht="16.5" customHeight="1">
      <c r="A66" s="401"/>
      <c r="B66" s="346"/>
      <c r="C66" s="346"/>
      <c r="D66" s="348"/>
      <c r="E66" s="346"/>
      <c r="F66" s="346"/>
      <c r="G66" s="346"/>
      <c r="H66" s="346"/>
      <c r="I66" s="93"/>
      <c r="J66" s="93"/>
      <c r="K66" s="93"/>
      <c r="L66" s="93"/>
      <c r="M66" s="346"/>
      <c r="N66" s="346"/>
      <c r="O66" s="93"/>
      <c r="P66" s="93"/>
      <c r="Q66" s="93"/>
      <c r="R66" s="93"/>
      <c r="S66" s="346"/>
      <c r="T66" s="346"/>
      <c r="U66" s="93"/>
      <c r="V66" s="93"/>
      <c r="W66" s="346"/>
      <c r="X66" s="347"/>
      <c r="Y66" s="346"/>
      <c r="Z66" s="346"/>
      <c r="AA66" s="390"/>
      <c r="AB66" s="346"/>
      <c r="AC66" s="346"/>
      <c r="AD66" s="346"/>
      <c r="AE66" s="346"/>
      <c r="AF66" s="346"/>
      <c r="AG66" s="347">
        <f>+AG57-AG63</f>
        <v>-2.0849245601635702E-2</v>
      </c>
      <c r="AH66" s="347">
        <f>+AH57-AH63</f>
        <v>3.9358256899297284E-2</v>
      </c>
      <c r="AI66" s="347">
        <f>+AI57-AI63</f>
        <v>2.138498802906541E-2</v>
      </c>
      <c r="AJ66" s="347">
        <f>+AJ57-AJ63</f>
        <v>1.7926861363860458E-2</v>
      </c>
      <c r="AK66" s="346"/>
      <c r="AL66" s="346"/>
      <c r="AM66" s="347"/>
      <c r="AN66" s="347"/>
      <c r="AO66" s="347"/>
      <c r="AP66" s="347"/>
      <c r="AQ66" s="346"/>
      <c r="AR66" s="346"/>
      <c r="AS66" s="347"/>
      <c r="AT66" s="347"/>
      <c r="AU66" s="413"/>
      <c r="AV66" s="346"/>
      <c r="AW66" s="413"/>
      <c r="AX66" s="346"/>
      <c r="AY66" s="347"/>
      <c r="AZ66" s="347"/>
      <c r="BA66" s="347"/>
      <c r="BB66" s="347"/>
      <c r="BC66" s="1497"/>
      <c r="BD66" s="346"/>
      <c r="BE66" s="346"/>
      <c r="BF66" s="346"/>
      <c r="BG66" s="346"/>
      <c r="BH66" s="346"/>
      <c r="BI66" s="346"/>
      <c r="BJ66" s="346"/>
      <c r="BK66" s="346"/>
      <c r="BL66" s="346"/>
      <c r="BM66" s="346"/>
      <c r="BN66" s="346"/>
      <c r="BO66" s="346"/>
      <c r="BP66" s="346"/>
      <c r="BQ66" s="346"/>
      <c r="BR66" s="346"/>
      <c r="BS66" s="346"/>
      <c r="BT66" s="346"/>
      <c r="BU66" s="346"/>
      <c r="BV66" s="346"/>
      <c r="BW66" s="346"/>
      <c r="BX66" s="346"/>
      <c r="BY66" s="346"/>
      <c r="BZ66" s="346"/>
      <c r="CA66" s="346"/>
      <c r="CB66" s="346"/>
      <c r="CC66" s="346"/>
      <c r="CD66" s="346"/>
      <c r="CE66" s="346"/>
      <c r="CF66" s="346"/>
      <c r="CG66" s="346"/>
      <c r="CH66" s="346"/>
      <c r="CI66" s="346"/>
      <c r="CJ66" s="346"/>
      <c r="CK66" s="346"/>
      <c r="CL66" s="346"/>
      <c r="CM66" s="346"/>
      <c r="CN66"/>
      <c r="CO66"/>
      <c r="CP66"/>
      <c r="CQ66"/>
      <c r="CR66"/>
      <c r="CS66"/>
      <c r="CT66"/>
      <c r="CU66"/>
    </row>
    <row r="67" spans="1:99">
      <c r="A67" s="1590" t="s">
        <v>212</v>
      </c>
      <c r="B67" s="1591"/>
      <c r="C67" s="1592"/>
      <c r="D67" s="1593"/>
      <c r="E67" s="1593"/>
      <c r="F67" s="1593"/>
      <c r="G67" s="1594"/>
      <c r="H67" s="1595"/>
      <c r="I67" s="1593"/>
      <c r="J67" s="1593"/>
      <c r="K67" s="1596"/>
      <c r="L67" s="1597"/>
      <c r="M67" s="1594"/>
      <c r="N67" s="1595"/>
      <c r="O67" s="1593"/>
      <c r="P67" s="1593"/>
      <c r="Q67" s="1593"/>
      <c r="R67" s="1593"/>
      <c r="S67" s="1594"/>
      <c r="T67" s="1595"/>
      <c r="U67" s="1598"/>
      <c r="V67" s="1599"/>
      <c r="W67" s="1592"/>
      <c r="X67" s="1600"/>
      <c r="Y67" s="1601"/>
      <c r="Z67" s="1595"/>
      <c r="AA67" s="1592"/>
      <c r="AB67" s="1592"/>
      <c r="AC67" s="1592"/>
      <c r="AD67" s="1602"/>
      <c r="AE67" s="1601"/>
      <c r="AF67" s="1595"/>
      <c r="AG67" s="1592"/>
      <c r="AH67" s="1592"/>
      <c r="AI67" s="1592"/>
      <c r="AJ67" s="1602"/>
      <c r="AK67" s="1601"/>
      <c r="AL67" s="1595"/>
      <c r="AM67" s="1592"/>
      <c r="AN67" s="1592"/>
      <c r="AO67" s="1592"/>
      <c r="AP67" s="1602"/>
      <c r="AQ67" s="1601"/>
      <c r="AR67" s="1595"/>
      <c r="AS67" s="1592"/>
      <c r="AT67" s="1592"/>
      <c r="AU67" s="1592"/>
      <c r="AV67" s="1602"/>
      <c r="AW67" s="1601"/>
      <c r="AX67" s="1595"/>
      <c r="AY67" s="1592"/>
      <c r="AZ67" s="1592"/>
      <c r="BA67" s="1592"/>
      <c r="BB67" s="1592"/>
      <c r="BC67" s="1601"/>
      <c r="BD67" s="1595"/>
      <c r="BE67" s="1592"/>
      <c r="BF67" s="1592"/>
      <c r="BG67" s="1592"/>
      <c r="BH67" s="1602"/>
      <c r="BI67" s="1601"/>
      <c r="BJ67" s="1595"/>
      <c r="BK67" s="1592"/>
      <c r="BL67" s="1592"/>
      <c r="BM67" s="1592"/>
      <c r="BN67" s="1602"/>
      <c r="BO67" s="1601"/>
      <c r="BP67" s="1595"/>
      <c r="BQ67" s="1592"/>
      <c r="BR67" s="1592"/>
      <c r="BS67" s="1592"/>
      <c r="BT67" s="1602"/>
      <c r="BU67" s="1601"/>
      <c r="BV67" s="1595"/>
      <c r="BW67" s="1592"/>
      <c r="BX67" s="1592"/>
      <c r="BY67" s="1592"/>
      <c r="BZ67" s="1602"/>
      <c r="CA67" s="1601"/>
      <c r="CB67" s="1595"/>
      <c r="CC67" s="1592"/>
      <c r="CD67" s="1592"/>
      <c r="CE67" s="1592"/>
      <c r="CF67" s="1602"/>
      <c r="CG67" s="1601"/>
      <c r="CH67" s="1595"/>
      <c r="CI67" s="1592"/>
      <c r="CJ67" s="1592"/>
      <c r="CK67" s="1592"/>
      <c r="CL67" s="1602"/>
      <c r="CM67" s="1601"/>
    </row>
    <row r="68" spans="1:99" s="24" customFormat="1">
      <c r="A68" s="87" t="s">
        <v>213</v>
      </c>
      <c r="B68" s="516"/>
      <c r="C68" s="404">
        <f>C31</f>
        <v>57.574999999999989</v>
      </c>
      <c r="D68" s="404">
        <f>D31</f>
        <v>61.557000000000009</v>
      </c>
      <c r="E68" s="404">
        <f>E31</f>
        <v>62.589999999999996</v>
      </c>
      <c r="F68" s="404">
        <f>F31</f>
        <v>100.23699999999994</v>
      </c>
      <c r="G68" s="517">
        <f>G31</f>
        <v>281.95899999999983</v>
      </c>
      <c r="H68" s="387"/>
      <c r="I68" s="404">
        <f>I31</f>
        <v>70.364000000000047</v>
      </c>
      <c r="J68" s="404">
        <f>J31</f>
        <v>76.937000000000012</v>
      </c>
      <c r="K68" s="404">
        <f>K31</f>
        <v>78.985999999999962</v>
      </c>
      <c r="L68" s="404">
        <f>L31</f>
        <v>105.58899999999991</v>
      </c>
      <c r="M68" s="518">
        <f>M31</f>
        <v>331.87599999999992</v>
      </c>
      <c r="N68" s="387"/>
      <c r="O68" s="404">
        <f>O31</f>
        <v>72.28700000000002</v>
      </c>
      <c r="P68" s="404">
        <f>P31</f>
        <v>75.637999999999991</v>
      </c>
      <c r="Q68" s="404">
        <f>Q31</f>
        <v>77.896000000000029</v>
      </c>
      <c r="R68" s="404">
        <f>R31</f>
        <v>108.05799999999998</v>
      </c>
      <c r="S68" s="518">
        <f>S31</f>
        <v>333.87900000000013</v>
      </c>
      <c r="T68" s="387"/>
      <c r="U68" s="519">
        <f>U31</f>
        <v>77.076999999999998</v>
      </c>
      <c r="V68" s="404">
        <f>V31</f>
        <v>87.492000000000004</v>
      </c>
      <c r="W68" s="404">
        <f>W31</f>
        <v>91.427999999999997</v>
      </c>
      <c r="X68" s="520">
        <f>X31</f>
        <v>128.96299999999999</v>
      </c>
      <c r="Y68" s="518">
        <f>Y31</f>
        <v>384.96000000000004</v>
      </c>
      <c r="Z68" s="387"/>
      <c r="AA68" s="404">
        <f>AA31</f>
        <v>96.327000000000012</v>
      </c>
      <c r="AB68" s="404">
        <f>AB31</f>
        <v>101.81500000000005</v>
      </c>
      <c r="AC68" s="428">
        <f>AC31</f>
        <v>104.80600000000001</v>
      </c>
      <c r="AD68" s="428">
        <f>AD31</f>
        <v>141.50599999999997</v>
      </c>
      <c r="AE68" s="430">
        <f>AE31</f>
        <v>444.45400000000012</v>
      </c>
      <c r="AF68" s="387"/>
      <c r="AG68" s="404">
        <f>AG31</f>
        <v>90.567000000000036</v>
      </c>
      <c r="AH68" s="404">
        <f>AH31</f>
        <v>104.304</v>
      </c>
      <c r="AI68" s="428">
        <f>AI31</f>
        <v>104.52900000000001</v>
      </c>
      <c r="AJ68" s="428">
        <f>AJ31</f>
        <v>139.40699999999993</v>
      </c>
      <c r="AK68" s="430">
        <f>AK31</f>
        <v>438.80700000000007</v>
      </c>
      <c r="AL68" s="387"/>
      <c r="AM68" s="428">
        <f>AM31</f>
        <v>93.41700000000003</v>
      </c>
      <c r="AN68" s="428">
        <f>AN31</f>
        <v>93.545000000000016</v>
      </c>
      <c r="AO68" s="428">
        <f>AO31</f>
        <v>102.79800000000003</v>
      </c>
      <c r="AP68" s="428">
        <f>AP31</f>
        <v>146.20399999999992</v>
      </c>
      <c r="AQ68" s="430">
        <f>AQ31</f>
        <v>435.96400000000006</v>
      </c>
      <c r="AR68" s="387"/>
      <c r="AS68" s="428">
        <f>AS31</f>
        <v>78.620999999999967</v>
      </c>
      <c r="AT68" s="428">
        <f>AT31</f>
        <v>103.86999999999998</v>
      </c>
      <c r="AU68" s="428">
        <f>AU31</f>
        <v>116.79200000000003</v>
      </c>
      <c r="AV68" s="428">
        <f>AV31</f>
        <v>167.18099999999998</v>
      </c>
      <c r="AW68" s="430">
        <f>AW31</f>
        <v>466.46399999999994</v>
      </c>
      <c r="AX68" s="387"/>
      <c r="AY68" s="428">
        <f>AY31</f>
        <v>101.14600000000003</v>
      </c>
      <c r="AZ68" s="428">
        <f>AZ31</f>
        <v>109.61300000000001</v>
      </c>
      <c r="BA68" s="428">
        <f>BA31</f>
        <v>117.24399999999993</v>
      </c>
      <c r="BB68" s="428">
        <f>BB31</f>
        <v>161.21899999999999</v>
      </c>
      <c r="BC68" s="430">
        <f>BC31</f>
        <v>489.22199999999981</v>
      </c>
      <c r="BD68" s="387"/>
      <c r="BE68" s="428">
        <f>BE31</f>
        <v>103.57699999999997</v>
      </c>
      <c r="BF68" s="428">
        <f>BF31</f>
        <v>129.00099999999992</v>
      </c>
      <c r="BG68" s="428">
        <f>BG31</f>
        <v>127.48100000000005</v>
      </c>
      <c r="BH68" s="428">
        <f>BH31</f>
        <v>179.00899999999996</v>
      </c>
      <c r="BI68" s="430">
        <f>BI31</f>
        <v>539.06799999999976</v>
      </c>
      <c r="BJ68" s="387"/>
      <c r="BK68" s="428">
        <f>BK31</f>
        <v>117.61500000000002</v>
      </c>
      <c r="BL68" s="428">
        <f>BL31</f>
        <v>142.227</v>
      </c>
      <c r="BM68" s="428">
        <f>BM31</f>
        <v>142.19499999999994</v>
      </c>
      <c r="BN68" s="428">
        <f>BN31</f>
        <v>201.63799999999989</v>
      </c>
      <c r="BO68" s="430">
        <f>BO31</f>
        <v>603.67500000000018</v>
      </c>
      <c r="BP68" s="387"/>
      <c r="BQ68" s="428">
        <f>BQ31</f>
        <v>125.17472369378999</v>
      </c>
      <c r="BR68" s="428">
        <f>BR31</f>
        <v>156.14871689256745</v>
      </c>
      <c r="BS68" s="428">
        <f>BS31</f>
        <v>152.5866692641045</v>
      </c>
      <c r="BT68" s="428">
        <f>BT31</f>
        <v>216.09901492334876</v>
      </c>
      <c r="BU68" s="430">
        <f>BU31</f>
        <v>650.00912477381087</v>
      </c>
      <c r="BV68" s="387"/>
      <c r="BW68" s="428">
        <f>BW31</f>
        <v>136.09051125642418</v>
      </c>
      <c r="BX68" s="428">
        <f>BX31</f>
        <v>166.97580258576488</v>
      </c>
      <c r="BY68" s="428">
        <f>BY31</f>
        <v>162.76428984701346</v>
      </c>
      <c r="BZ68" s="428">
        <f>BZ31</f>
        <v>228.65127601715488</v>
      </c>
      <c r="CA68" s="430">
        <f>CA31</f>
        <v>694.48187970635752</v>
      </c>
      <c r="CB68" s="387"/>
      <c r="CC68" s="428">
        <f>CC31</f>
        <v>144.76773879583797</v>
      </c>
      <c r="CD68" s="428">
        <f>CD31</f>
        <v>240.61506464795346</v>
      </c>
      <c r="CE68" s="428">
        <f>CE31</f>
        <v>238.10003475521148</v>
      </c>
      <c r="CF68" s="428">
        <f>CF31</f>
        <v>308.10034719637196</v>
      </c>
      <c r="CG68" s="430">
        <f>CG31</f>
        <v>931.58318539537504</v>
      </c>
      <c r="CH68" s="387"/>
      <c r="CI68" s="428">
        <f>CI31</f>
        <v>225.81740046230712</v>
      </c>
      <c r="CJ68" s="428">
        <f>CJ31</f>
        <v>188.12512212168841</v>
      </c>
      <c r="CK68" s="428">
        <f>CK31</f>
        <v>183.21309328305139</v>
      </c>
      <c r="CL68" s="428">
        <f>CL31</f>
        <v>253.19696500851811</v>
      </c>
      <c r="CM68" s="430">
        <f>CM31</f>
        <v>850.3525808755652</v>
      </c>
      <c r="CN68"/>
      <c r="CO68"/>
      <c r="CP68"/>
      <c r="CQ68"/>
      <c r="CR68"/>
      <c r="CS68"/>
      <c r="CT68"/>
      <c r="CU68"/>
    </row>
    <row r="69" spans="1:99" s="24" customFormat="1" ht="12.75" hidden="1" customHeight="1" outlineLevel="1">
      <c r="A69" s="87" t="s">
        <v>214</v>
      </c>
      <c r="B69" s="516"/>
      <c r="C69" s="410">
        <f>0.915+5.023+1</f>
        <v>6.9379999999999997</v>
      </c>
      <c r="D69" s="410">
        <f>0.775+5.14+0.943</f>
        <v>6.8579999999999997</v>
      </c>
      <c r="E69" s="410">
        <f>0.795+5.173+1.138</f>
        <v>7.1059999999999999</v>
      </c>
      <c r="F69" s="410">
        <f>28.855-SUM(C69:E69)</f>
        <v>7.9529999999999994</v>
      </c>
      <c r="G69" s="394">
        <f>SUM(C69:F69)</f>
        <v>28.855</v>
      </c>
      <c r="H69" s="387"/>
      <c r="I69" s="521">
        <f>CFS!I15</f>
        <v>7.4530000000000003</v>
      </c>
      <c r="J69" s="521">
        <f>CFS!J15</f>
        <v>8.0560000000000009</v>
      </c>
      <c r="K69" s="521">
        <f>CFS!K15</f>
        <v>7.6720000000000006</v>
      </c>
      <c r="L69" s="521">
        <f>CFS!L15</f>
        <v>7.6009999999999991</v>
      </c>
      <c r="M69" s="394">
        <f>SUM(I69:L69)</f>
        <v>30.782</v>
      </c>
      <c r="N69" s="387"/>
      <c r="O69" s="521">
        <f>CFS!O15</f>
        <v>7.3479999999999999</v>
      </c>
      <c r="P69" s="521">
        <f>CFS!P15</f>
        <v>7.1580000000000004</v>
      </c>
      <c r="Q69" s="521">
        <f>CFS!Q15</f>
        <v>7.2510000000000021</v>
      </c>
      <c r="R69" s="521">
        <f>CFS!R15</f>
        <v>6.4979999999999976</v>
      </c>
      <c r="S69" s="394">
        <f>SUM(O69:R69)</f>
        <v>28.254999999999999</v>
      </c>
      <c r="T69" s="387"/>
      <c r="U69" s="522">
        <f>CFS!U15</f>
        <v>6.0309999999999997</v>
      </c>
      <c r="V69" s="521">
        <f>CFS!V15</f>
        <v>6.2830000000000004</v>
      </c>
      <c r="W69" s="521">
        <f>CFS!W15</f>
        <v>6.2440000000000007</v>
      </c>
      <c r="X69" s="521">
        <f>CFS!X15</f>
        <v>6.2939999999999996</v>
      </c>
      <c r="Y69" s="394">
        <f>SUM(U69:X69)</f>
        <v>24.852</v>
      </c>
      <c r="Z69" s="387"/>
      <c r="AA69" s="521">
        <f>CFS!AA15</f>
        <v>7.0149999999999997</v>
      </c>
      <c r="AB69" s="521">
        <f>CFS!AB15</f>
        <v>6.7480000000000002</v>
      </c>
      <c r="AC69" s="521">
        <f>CFS!AC15</f>
        <v>6.8819999999999997</v>
      </c>
      <c r="AD69" s="89">
        <f>AD70*AD21</f>
        <v>4.4383199999999992</v>
      </c>
      <c r="AE69" s="388">
        <f>SUM(AA69:AD69)</f>
        <v>25.083320000000001</v>
      </c>
      <c r="AF69" s="387"/>
      <c r="AG69" s="521">
        <f>CFS!AG15</f>
        <v>7.2670000000000003</v>
      </c>
      <c r="AH69" s="521">
        <f>CFS!AH15</f>
        <v>7.1139999999999999</v>
      </c>
      <c r="AI69" s="521">
        <f>CFS!AI15</f>
        <v>7.3060000000000009</v>
      </c>
      <c r="AJ69" s="89">
        <f>CFS!AJ15</f>
        <v>7.4959999999999987</v>
      </c>
      <c r="AK69" s="388">
        <f>SUM(AG69:AJ69)</f>
        <v>29.183</v>
      </c>
      <c r="AL69" s="387"/>
      <c r="AM69" s="521">
        <f>CFS!AM15</f>
        <v>7.431</v>
      </c>
      <c r="AN69" s="521">
        <f>CFS!AN15</f>
        <v>7.8760000000000003</v>
      </c>
      <c r="AO69" s="521">
        <f>CFS!AO15</f>
        <v>8.6779999999999973</v>
      </c>
      <c r="AP69" s="521">
        <f>CFS!AP15</f>
        <v>7.722999999999999</v>
      </c>
      <c r="AQ69" s="388">
        <f>SUM(AM69:AP69)</f>
        <v>31.707999999999998</v>
      </c>
      <c r="AR69" s="387"/>
      <c r="AS69" s="521">
        <f>CFS!AS15</f>
        <v>8.1289999999999996</v>
      </c>
      <c r="AT69" s="521">
        <f>CFS!AT15</f>
        <v>8.224000000000002</v>
      </c>
      <c r="AU69" s="521">
        <f>CFS!AU15</f>
        <v>8.1069999999999993</v>
      </c>
      <c r="AV69" s="521">
        <f>CFS!AV15</f>
        <v>8.5379999999999967</v>
      </c>
      <c r="AW69" s="388">
        <f>SUM(AS69:AV69)</f>
        <v>32.997999999999998</v>
      </c>
      <c r="AX69" s="387"/>
      <c r="AY69" s="89">
        <f>CFS!AY15</f>
        <v>8.4550000000000001</v>
      </c>
      <c r="AZ69" s="89">
        <f>CFS!AZ15</f>
        <v>8.1549999999999994</v>
      </c>
      <c r="BA69" s="89">
        <f>BA70*BA21</f>
        <v>4.6087800000000003</v>
      </c>
      <c r="BB69" s="89">
        <f>BB70*BB21</f>
        <v>4.6374599999999999</v>
      </c>
      <c r="BC69" s="388">
        <f>SUM(AY69:BB69)</f>
        <v>25.85624</v>
      </c>
      <c r="BD69" s="387"/>
      <c r="BE69" s="89">
        <f>BE70*BE21</f>
        <v>4.4428799999999997</v>
      </c>
      <c r="BF69" s="89">
        <f>BF70*BF21</f>
        <v>4.8053699999999999</v>
      </c>
      <c r="BG69" s="89">
        <f>BG70*BG21</f>
        <v>4.59945</v>
      </c>
      <c r="BH69" s="89">
        <f>BH70*BH21</f>
        <v>4.8806099999999999</v>
      </c>
      <c r="BI69" s="388">
        <f>SUM(BE69:BH69)</f>
        <v>18.72831</v>
      </c>
      <c r="BJ69" s="387"/>
      <c r="BK69" s="89">
        <f>BK70*BK21</f>
        <v>7.5964</v>
      </c>
      <c r="BL69" s="89">
        <f>BL70*BL21</f>
        <v>8.0731999999999999</v>
      </c>
      <c r="BM69" s="89">
        <f>BM70*BM21</f>
        <v>8.1295500000000001</v>
      </c>
      <c r="BN69" s="89">
        <f>BN70*BN21</f>
        <v>9.0543000000000013</v>
      </c>
      <c r="BO69" s="388">
        <f>SUM(BK69:BN69)</f>
        <v>32.853449999999995</v>
      </c>
      <c r="BP69" s="387"/>
      <c r="BQ69" s="89">
        <f>BQ70*BQ21</f>
        <v>8.1733341105423349</v>
      </c>
      <c r="BR69" s="89">
        <f>BR70*BR21</f>
        <v>8.6924407944593796</v>
      </c>
      <c r="BS69" s="89">
        <f>BS70*BS21</f>
        <v>8.5564553540253652</v>
      </c>
      <c r="BT69" s="89">
        <f>BT70*BT21</f>
        <v>9.5344386857774577</v>
      </c>
      <c r="BU69" s="388">
        <f>SUM(BQ69:BT69)</f>
        <v>34.956668944804541</v>
      </c>
      <c r="BV69" s="387"/>
      <c r="BW69" s="89">
        <f>BW70*BW21</f>
        <v>8.7087952673294957</v>
      </c>
      <c r="BX69" s="89">
        <f>BX70*BX21</f>
        <v>9.201554786842415</v>
      </c>
      <c r="BY69" s="89">
        <f>BY70*BY21</f>
        <v>9.0345898200664365</v>
      </c>
      <c r="BZ69" s="89">
        <f>BZ70*BZ21</f>
        <v>10.003485673726344</v>
      </c>
      <c r="CA69" s="388">
        <f>SUM(BW69:BZ69)</f>
        <v>36.948425547964689</v>
      </c>
      <c r="CB69" s="387"/>
      <c r="CC69" s="89">
        <f>CC70*CC21</f>
        <v>9.210377227966827</v>
      </c>
      <c r="CD69" s="89">
        <f>CD70*CD21</f>
        <v>9.667158025828881</v>
      </c>
      <c r="CE69" s="89">
        <f>CE70*CE21</f>
        <v>9.4790954925148903</v>
      </c>
      <c r="CF69" s="89">
        <f>CF70*CF21</f>
        <v>10.427757896165188</v>
      </c>
      <c r="CG69" s="388">
        <f>SUM(CC69:CF69)</f>
        <v>38.784388642475783</v>
      </c>
      <c r="CH69" s="387"/>
      <c r="CI69" s="89">
        <f>CI70*CI21</f>
        <v>9.7410896646902714</v>
      </c>
      <c r="CJ69" s="89">
        <f>CJ70*CJ21</f>
        <v>10.157137020156744</v>
      </c>
      <c r="CK69" s="89">
        <f>CK70*CK21</f>
        <v>9.9459615507056505</v>
      </c>
      <c r="CL69" s="89">
        <f>CL70*CL21</f>
        <v>10.872544001348487</v>
      </c>
      <c r="CM69" s="388">
        <f>SUM(CI69:CL69)</f>
        <v>40.716732236901152</v>
      </c>
      <c r="CN69"/>
      <c r="CO69"/>
      <c r="CP69"/>
      <c r="CQ69"/>
      <c r="CR69"/>
      <c r="CS69"/>
      <c r="CT69"/>
      <c r="CU69"/>
    </row>
    <row r="70" spans="1:99" s="24" customFormat="1" ht="12.75" hidden="1" customHeight="1" outlineLevel="1">
      <c r="A70" s="523" t="s">
        <v>216</v>
      </c>
      <c r="B70" s="516"/>
      <c r="C70" s="524">
        <f>C69/C21</f>
        <v>6.1600475898747217E-2</v>
      </c>
      <c r="D70" s="524">
        <f>D69/D21</f>
        <v>5.6519804183355588E-2</v>
      </c>
      <c r="E70" s="524">
        <f>E69/E21</f>
        <v>6.0250975072070542E-2</v>
      </c>
      <c r="F70" s="524">
        <f>F69/F21</f>
        <v>6.4745917254180427E-2</v>
      </c>
      <c r="G70" s="505">
        <f>G69/G21</f>
        <v>6.0780509793761234E-2</v>
      </c>
      <c r="H70" s="387"/>
      <c r="I70" s="524">
        <f>I69/I21</f>
        <v>5.9328307714351672E-2</v>
      </c>
      <c r="J70" s="524">
        <f>J69/J21</f>
        <v>6.0046361515469993E-2</v>
      </c>
      <c r="K70" s="524">
        <f>K69/K21</f>
        <v>6.0215526375687757E-2</v>
      </c>
      <c r="L70" s="524">
        <f>L69/L21</f>
        <v>6.2770455521421728E-2</v>
      </c>
      <c r="M70" s="505">
        <f>M69/M21</f>
        <v>6.0560274018418722E-2</v>
      </c>
      <c r="N70" s="387"/>
      <c r="O70" s="524">
        <f>O69/O21</f>
        <v>6.3789705792987303E-2</v>
      </c>
      <c r="P70" s="524">
        <f>P69/P21</f>
        <v>5.8004132733681782E-2</v>
      </c>
      <c r="Q70" s="524">
        <f>Q69/Q21</f>
        <v>5.9441734639504876E-2</v>
      </c>
      <c r="R70" s="524">
        <f>R69/R21</f>
        <v>5.1054401458248196E-2</v>
      </c>
      <c r="S70" s="505">
        <f>S69/S21</f>
        <v>5.7916561615391396E-2</v>
      </c>
      <c r="T70" s="387"/>
      <c r="U70" s="525">
        <f>U69/U21</f>
        <v>4.8337327381000085E-2</v>
      </c>
      <c r="V70" s="524">
        <f>V69/V21</f>
        <v>4.9965804081243147E-2</v>
      </c>
      <c r="W70" s="524">
        <f>W69/W21</f>
        <v>4.9231254435070572E-2</v>
      </c>
      <c r="X70" s="526">
        <f>X69/X21</f>
        <v>4.4516745057820842E-2</v>
      </c>
      <c r="Y70" s="505">
        <f>Y69/Y21</f>
        <v>4.7909316985715114E-2</v>
      </c>
      <c r="Z70" s="387"/>
      <c r="AA70" s="524">
        <f>AA69/AA21</f>
        <v>5.0330755212443859E-2</v>
      </c>
      <c r="AB70" s="524">
        <f>AB69/AB21</f>
        <v>4.5455464018915079E-2</v>
      </c>
      <c r="AC70" s="524">
        <f>AC69/AC21</f>
        <v>4.8607530565110219E-2</v>
      </c>
      <c r="AD70" s="527">
        <v>0.03</v>
      </c>
      <c r="AE70" s="505">
        <f>AE69/AE21</f>
        <v>4.3445002927126677E-2</v>
      </c>
      <c r="AF70" s="387"/>
      <c r="AG70" s="524">
        <f>AG69/AG21</f>
        <v>5.1923832660498027E-2</v>
      </c>
      <c r="AH70" s="524">
        <f>AH69/AH21</f>
        <v>4.9442950174794803E-2</v>
      </c>
      <c r="AI70" s="524">
        <f>AI69/AI21</f>
        <v>5.3278688524590175E-2</v>
      </c>
      <c r="AJ70" s="524">
        <f>AJ69/AJ21</f>
        <v>5.1557878808721369E-2</v>
      </c>
      <c r="AK70" s="505">
        <f>AK69/AK21</f>
        <v>5.1527661047115245E-2</v>
      </c>
      <c r="AL70" s="387"/>
      <c r="AM70" s="524">
        <f>AM69/AM21</f>
        <v>5.2001763483299393E-2</v>
      </c>
      <c r="AN70" s="524">
        <f>AN69/AN21</f>
        <v>5.4391889558773769E-2</v>
      </c>
      <c r="AO70" s="524">
        <f>AO69/AO21</f>
        <v>6.1409343730982051E-2</v>
      </c>
      <c r="AP70" s="524">
        <f>AP69/AP21</f>
        <v>4.9844457926191729E-2</v>
      </c>
      <c r="AQ70" s="505">
        <f>AQ69/AQ21</f>
        <v>5.4298611539225564E-2</v>
      </c>
      <c r="AR70" s="387"/>
      <c r="AS70" s="524">
        <f>AS69/AS21</f>
        <v>5.682112076497766E-2</v>
      </c>
      <c r="AT70" s="524">
        <f>AT69/AT21</f>
        <v>5.3801215499250953E-2</v>
      </c>
      <c r="AU70" s="524">
        <f>AU69/AU21</f>
        <v>5.4294975688816853E-2</v>
      </c>
      <c r="AV70" s="524">
        <f>AV69/AV21</f>
        <v>5.4209523809523791E-2</v>
      </c>
      <c r="AW70" s="505">
        <f>AW69/AW21</f>
        <v>5.4747020254307013E-2</v>
      </c>
      <c r="AX70" s="387"/>
      <c r="AY70" s="524">
        <v>0.03</v>
      </c>
      <c r="AZ70" s="524">
        <v>0.03</v>
      </c>
      <c r="BA70" s="524">
        <v>0.03</v>
      </c>
      <c r="BB70" s="524">
        <v>0.03</v>
      </c>
      <c r="BC70" s="505">
        <f>BC69/BC21</f>
        <v>4.2608212749057822E-2</v>
      </c>
      <c r="BD70" s="387"/>
      <c r="BE70" s="524">
        <v>0.03</v>
      </c>
      <c r="BF70" s="524">
        <v>0.03</v>
      </c>
      <c r="BG70" s="524">
        <v>0.03</v>
      </c>
      <c r="BH70" s="524">
        <v>0.03</v>
      </c>
      <c r="BI70" s="505">
        <f>BI69/BI21</f>
        <v>0.03</v>
      </c>
      <c r="BJ70" s="387"/>
      <c r="BK70" s="524">
        <v>0.05</v>
      </c>
      <c r="BL70" s="524">
        <v>0.05</v>
      </c>
      <c r="BM70" s="524">
        <v>0.05</v>
      </c>
      <c r="BN70" s="524">
        <v>0.05</v>
      </c>
      <c r="BO70" s="505">
        <f>BO69/BO21</f>
        <v>0.05</v>
      </c>
      <c r="BP70" s="387"/>
      <c r="BQ70" s="524">
        <v>0.05</v>
      </c>
      <c r="BR70" s="524">
        <v>0.05</v>
      </c>
      <c r="BS70" s="524">
        <v>0.05</v>
      </c>
      <c r="BT70" s="524">
        <v>0.05</v>
      </c>
      <c r="BU70" s="505">
        <f>BU69/BU21</f>
        <v>5.000000000000001E-2</v>
      </c>
      <c r="BV70" s="387"/>
      <c r="BW70" s="524">
        <v>0.05</v>
      </c>
      <c r="BX70" s="524">
        <v>0.05</v>
      </c>
      <c r="BY70" s="524">
        <v>0.05</v>
      </c>
      <c r="BZ70" s="524">
        <v>0.05</v>
      </c>
      <c r="CA70" s="505">
        <f>CA69/CA21</f>
        <v>0.05</v>
      </c>
      <c r="CB70" s="387"/>
      <c r="CC70" s="524">
        <v>0.05</v>
      </c>
      <c r="CD70" s="524">
        <v>0.05</v>
      </c>
      <c r="CE70" s="524">
        <v>0.05</v>
      </c>
      <c r="CF70" s="524">
        <v>0.05</v>
      </c>
      <c r="CG70" s="505">
        <f>CG69/CG21</f>
        <v>4.9999999999999996E-2</v>
      </c>
      <c r="CH70" s="387"/>
      <c r="CI70" s="524">
        <v>0.05</v>
      </c>
      <c r="CJ70" s="524">
        <v>0.05</v>
      </c>
      <c r="CK70" s="524">
        <v>0.05</v>
      </c>
      <c r="CL70" s="524">
        <v>0.05</v>
      </c>
      <c r="CM70" s="505">
        <f>CM69/CM21</f>
        <v>5.000000000000001E-2</v>
      </c>
      <c r="CN70"/>
      <c r="CO70"/>
      <c r="CP70"/>
      <c r="CQ70"/>
      <c r="CR70"/>
      <c r="CS70"/>
      <c r="CT70"/>
      <c r="CU70"/>
    </row>
    <row r="71" spans="1:99" s="24" customFormat="1" collapsed="1">
      <c r="A71" s="87" t="s">
        <v>217</v>
      </c>
      <c r="B71" s="516"/>
      <c r="C71" s="521">
        <f>C19</f>
        <v>2.125</v>
      </c>
      <c r="D71" s="521">
        <f>D19</f>
        <v>2.133</v>
      </c>
      <c r="E71" s="521">
        <f>E19</f>
        <v>2.1760000000000002</v>
      </c>
      <c r="F71" s="521">
        <f>F19</f>
        <v>2.2610000000000001</v>
      </c>
      <c r="G71" s="394">
        <f>SUM(C71:F71)</f>
        <v>8.6950000000000003</v>
      </c>
      <c r="H71" s="387"/>
      <c r="I71" s="521">
        <f>I19</f>
        <v>2.2719999999999998</v>
      </c>
      <c r="J71" s="521">
        <f>J19</f>
        <v>2.3519999999999999</v>
      </c>
      <c r="K71" s="521">
        <f>K19</f>
        <v>2.3490000000000002</v>
      </c>
      <c r="L71" s="521">
        <f>L19</f>
        <v>2.3170000000000002</v>
      </c>
      <c r="M71" s="394">
        <f>SUM(I71:L71)</f>
        <v>9.2899999999999991</v>
      </c>
      <c r="N71" s="387"/>
      <c r="O71" s="521">
        <f>O19</f>
        <v>2.6160000000000001</v>
      </c>
      <c r="P71" s="521">
        <f>P19</f>
        <v>2.6829999999999998</v>
      </c>
      <c r="Q71" s="521">
        <f>Q19</f>
        <v>2.7229999999999999</v>
      </c>
      <c r="R71" s="521">
        <f>R19</f>
        <v>2.637</v>
      </c>
      <c r="S71" s="394">
        <f>SUM(O71:R71)</f>
        <v>10.658999999999999</v>
      </c>
      <c r="T71" s="387"/>
      <c r="U71" s="522">
        <f t="shared" ref="U71:X72" si="92">U19</f>
        <v>2.6419999999999999</v>
      </c>
      <c r="V71" s="521">
        <f t="shared" si="92"/>
        <v>2.5920000000000001</v>
      </c>
      <c r="W71" s="521">
        <f t="shared" si="92"/>
        <v>2.4079999999999999</v>
      </c>
      <c r="X71" s="88">
        <f t="shared" si="92"/>
        <v>2.7639999999999998</v>
      </c>
      <c r="Y71" s="394">
        <f>SUM(U71:X71)</f>
        <v>10.405999999999999</v>
      </c>
      <c r="Z71" s="387"/>
      <c r="AA71" s="521">
        <f t="shared" ref="AA71:AD72" si="93">AA19</f>
        <v>2.5009999999999999</v>
      </c>
      <c r="AB71" s="521">
        <f t="shared" si="93"/>
        <v>2.504</v>
      </c>
      <c r="AC71" s="521">
        <f t="shared" si="93"/>
        <v>2.3690000000000002</v>
      </c>
      <c r="AD71" s="89">
        <f t="shared" si="93"/>
        <v>2.359</v>
      </c>
      <c r="AE71" s="388">
        <f>SUM(AA71:AD71)</f>
        <v>9.7330000000000005</v>
      </c>
      <c r="AF71" s="387"/>
      <c r="AG71" s="521">
        <f>AG19</f>
        <v>2.617</v>
      </c>
      <c r="AH71" s="521">
        <f>AH19</f>
        <v>2.59</v>
      </c>
      <c r="AI71" s="521">
        <f>AI19</f>
        <v>6.6210000000000004</v>
      </c>
      <c r="AJ71" s="89">
        <f>AJ19</f>
        <v>2.5920000000000001</v>
      </c>
      <c r="AK71" s="388">
        <f>SUM(AG71:AJ71)</f>
        <v>14.42</v>
      </c>
      <c r="AL71" s="387"/>
      <c r="AM71" s="89">
        <f t="shared" ref="AM71:AP72" si="94">AM19</f>
        <v>2.4390000000000001</v>
      </c>
      <c r="AN71" s="89">
        <f t="shared" si="94"/>
        <v>2.3820000000000001</v>
      </c>
      <c r="AO71" s="89">
        <f t="shared" si="94"/>
        <v>2.5179999999999998</v>
      </c>
      <c r="AP71" s="89">
        <f t="shared" si="94"/>
        <v>2.625</v>
      </c>
      <c r="AQ71" s="388">
        <f>SUM(AM71:AP71)</f>
        <v>9.9639999999999986</v>
      </c>
      <c r="AR71" s="387"/>
      <c r="AS71" s="89">
        <f t="shared" ref="AS71:AV72" si="95">AS19</f>
        <v>2.6469999999999998</v>
      </c>
      <c r="AT71" s="89">
        <f t="shared" si="95"/>
        <v>2.6459999999999999</v>
      </c>
      <c r="AU71" s="89">
        <f t="shared" si="95"/>
        <v>2.7250000000000001</v>
      </c>
      <c r="AV71" s="89">
        <f t="shared" si="95"/>
        <v>2.6160000000000001</v>
      </c>
      <c r="AW71" s="388">
        <f>SUM(AS71:AV71)</f>
        <v>10.633999999999999</v>
      </c>
      <c r="AX71" s="387"/>
      <c r="AY71" s="89">
        <f t="shared" ref="AY71:BB72" si="96">AY19</f>
        <v>2.4740000000000002</v>
      </c>
      <c r="AZ71" s="89">
        <f t="shared" si="96"/>
        <v>2.5</v>
      </c>
      <c r="BA71" s="89">
        <f t="shared" si="96"/>
        <v>2.573</v>
      </c>
      <c r="BB71" s="89">
        <f t="shared" si="96"/>
        <v>2.5760000000000001</v>
      </c>
      <c r="BC71" s="388">
        <f>SUM(AY71:BB71)</f>
        <v>10.123000000000001</v>
      </c>
      <c r="BD71" s="387"/>
      <c r="BE71" s="89">
        <f t="shared" ref="BE71:BH72" si="97">BE19</f>
        <v>2.6440000000000001</v>
      </c>
      <c r="BF71" s="89">
        <f t="shared" si="97"/>
        <v>2.411</v>
      </c>
      <c r="BG71" s="89">
        <f t="shared" si="97"/>
        <v>2.476</v>
      </c>
      <c r="BH71" s="89">
        <f t="shared" si="97"/>
        <v>2.3580000000000001</v>
      </c>
      <c r="BI71" s="388">
        <f>SUM(BE71:BH71)</f>
        <v>9.8889999999999993</v>
      </c>
      <c r="BJ71" s="387"/>
      <c r="BK71" s="89">
        <f t="shared" ref="BK71:BN72" si="98">BK19</f>
        <v>1.7290000000000001</v>
      </c>
      <c r="BL71" s="89">
        <f t="shared" si="98"/>
        <v>1.6930000000000001</v>
      </c>
      <c r="BM71" s="89">
        <f t="shared" si="98"/>
        <v>1.6819999999999999</v>
      </c>
      <c r="BN71" s="89">
        <f t="shared" si="98"/>
        <v>1.639</v>
      </c>
      <c r="BO71" s="388">
        <f>SUM(BK71:BN71)</f>
        <v>6.7430000000000003</v>
      </c>
      <c r="BP71" s="387"/>
      <c r="BQ71" s="89">
        <f t="shared" ref="BQ71:BT72" si="99">BQ19</f>
        <v>2.5</v>
      </c>
      <c r="BR71" s="89">
        <f t="shared" si="99"/>
        <v>2.5</v>
      </c>
      <c r="BS71" s="89">
        <f t="shared" si="99"/>
        <v>2.5</v>
      </c>
      <c r="BT71" s="89">
        <f t="shared" si="99"/>
        <v>2.5</v>
      </c>
      <c r="BU71" s="388">
        <f>SUM(BQ71:BT71)</f>
        <v>10</v>
      </c>
      <c r="BV71" s="387"/>
      <c r="BW71" s="89">
        <f t="shared" ref="BW71:BZ72" si="100">BW19</f>
        <v>2.5</v>
      </c>
      <c r="BX71" s="89">
        <f t="shared" si="100"/>
        <v>2.5</v>
      </c>
      <c r="BY71" s="89">
        <f t="shared" si="100"/>
        <v>2.5</v>
      </c>
      <c r="BZ71" s="89">
        <f t="shared" si="100"/>
        <v>2.5</v>
      </c>
      <c r="CA71" s="388">
        <f>SUM(BW71:BZ71)</f>
        <v>10</v>
      </c>
      <c r="CB71" s="387"/>
      <c r="CC71" s="89">
        <f t="shared" ref="CC71:CF72" si="101">CC19</f>
        <v>2.5</v>
      </c>
      <c r="CD71" s="89">
        <f t="shared" si="101"/>
        <v>2.5</v>
      </c>
      <c r="CE71" s="89">
        <f t="shared" si="101"/>
        <v>2.5</v>
      </c>
      <c r="CF71" s="89">
        <f t="shared" si="101"/>
        <v>2.5</v>
      </c>
      <c r="CG71" s="388">
        <f>SUM(CC71:CF71)</f>
        <v>10</v>
      </c>
      <c r="CH71" s="387"/>
      <c r="CI71" s="89">
        <f t="shared" ref="CI71:CL72" si="102">CI19</f>
        <v>2.5</v>
      </c>
      <c r="CJ71" s="89">
        <f t="shared" si="102"/>
        <v>2.5</v>
      </c>
      <c r="CK71" s="89">
        <f t="shared" si="102"/>
        <v>2.5</v>
      </c>
      <c r="CL71" s="89">
        <f t="shared" si="102"/>
        <v>2.5</v>
      </c>
      <c r="CM71" s="388">
        <f>SUM(CI71:CL71)</f>
        <v>10</v>
      </c>
      <c r="CN71"/>
      <c r="CO71"/>
      <c r="CP71"/>
      <c r="CQ71"/>
      <c r="CR71"/>
      <c r="CS71"/>
      <c r="CT71"/>
      <c r="CU71"/>
    </row>
    <row r="72" spans="1:99" s="24" customFormat="1">
      <c r="A72" s="87" t="s">
        <v>218</v>
      </c>
      <c r="B72" s="516"/>
      <c r="C72" s="410">
        <v>0</v>
      </c>
      <c r="D72" s="521">
        <f>D20</f>
        <v>0</v>
      </c>
      <c r="E72" s="410">
        <f>12.167</f>
        <v>12.167</v>
      </c>
      <c r="F72" s="410">
        <v>0</v>
      </c>
      <c r="G72" s="394">
        <f>SUM(C72:F72)</f>
        <v>12.167</v>
      </c>
      <c r="H72" s="387"/>
      <c r="I72" s="521">
        <f>I20</f>
        <v>0</v>
      </c>
      <c r="J72" s="410">
        <f>-(16.3-8.7)</f>
        <v>-7.6000000000000014</v>
      </c>
      <c r="K72" s="410">
        <f>K20+5.083</f>
        <v>6.2830000000000004</v>
      </c>
      <c r="L72" s="521">
        <f>L20</f>
        <v>6.5270000000000001</v>
      </c>
      <c r="M72" s="394">
        <f>SUM(I72:L72)</f>
        <v>5.2099999999999991</v>
      </c>
      <c r="N72" s="387"/>
      <c r="O72" s="410">
        <f>O20-4.555</f>
        <v>-2.2549999999999999</v>
      </c>
      <c r="P72" s="521">
        <f>P20</f>
        <v>5.9</v>
      </c>
      <c r="Q72" s="521">
        <f>Q20</f>
        <v>0</v>
      </c>
      <c r="R72" s="521">
        <f>R20</f>
        <v>2.5</v>
      </c>
      <c r="S72" s="394">
        <f>SUM(O72:R72)</f>
        <v>6.1450000000000005</v>
      </c>
      <c r="T72" s="387"/>
      <c r="U72" s="522">
        <f t="shared" si="92"/>
        <v>2</v>
      </c>
      <c r="V72" s="521">
        <f t="shared" si="92"/>
        <v>2</v>
      </c>
      <c r="W72" s="521">
        <f t="shared" si="92"/>
        <v>5</v>
      </c>
      <c r="X72" s="88">
        <f t="shared" si="92"/>
        <v>2</v>
      </c>
      <c r="Y72" s="394">
        <f>SUM(U72:X72)</f>
        <v>11</v>
      </c>
      <c r="Z72" s="387"/>
      <c r="AA72" s="521">
        <f t="shared" si="93"/>
        <v>0</v>
      </c>
      <c r="AB72" s="521">
        <f t="shared" si="93"/>
        <v>0</v>
      </c>
      <c r="AC72" s="521">
        <f t="shared" si="93"/>
        <v>3</v>
      </c>
      <c r="AD72" s="89">
        <f t="shared" si="93"/>
        <v>2</v>
      </c>
      <c r="AE72" s="388">
        <f>SUM(AA72:AD72)</f>
        <v>5</v>
      </c>
      <c r="AF72" s="387"/>
      <c r="AG72" s="521">
        <f>AG20</f>
        <v>0.379</v>
      </c>
      <c r="AH72" s="521">
        <f>AH20+1.903</f>
        <v>7.5129999999999999</v>
      </c>
      <c r="AI72" s="521">
        <f>AI20</f>
        <v>1.756</v>
      </c>
      <c r="AJ72" s="89">
        <f>AJ20</f>
        <v>6.016</v>
      </c>
      <c r="AK72" s="388">
        <f>SUM(AG72:AJ72)</f>
        <v>15.664</v>
      </c>
      <c r="AL72" s="387"/>
      <c r="AM72" s="89">
        <f t="shared" si="94"/>
        <v>1.0269999999999999</v>
      </c>
      <c r="AN72" s="89">
        <f t="shared" si="94"/>
        <v>2.911</v>
      </c>
      <c r="AO72" s="89">
        <f t="shared" si="94"/>
        <v>2.8479999999999999</v>
      </c>
      <c r="AP72" s="89">
        <f t="shared" si="94"/>
        <v>2.7130000000000001</v>
      </c>
      <c r="AQ72" s="388">
        <f>SUM(AM72:AP72)</f>
        <v>9.4989999999999988</v>
      </c>
      <c r="AR72" s="387"/>
      <c r="AS72" s="89">
        <f t="shared" si="95"/>
        <v>8.3179999999999996</v>
      </c>
      <c r="AT72" s="89">
        <f t="shared" si="95"/>
        <v>6.048</v>
      </c>
      <c r="AU72" s="89">
        <f t="shared" si="95"/>
        <v>0.191</v>
      </c>
      <c r="AV72" s="89">
        <f t="shared" si="95"/>
        <v>18.596</v>
      </c>
      <c r="AW72" s="388">
        <f>SUM(AS72:AV72)</f>
        <v>33.152999999999999</v>
      </c>
      <c r="AX72" s="387"/>
      <c r="AY72" s="89">
        <f t="shared" si="96"/>
        <v>1.272</v>
      </c>
      <c r="AZ72" s="89">
        <f t="shared" si="96"/>
        <v>2.016</v>
      </c>
      <c r="BA72" s="89">
        <f t="shared" si="96"/>
        <v>1.732</v>
      </c>
      <c r="BB72" s="89">
        <f t="shared" si="96"/>
        <v>10.229000000000001</v>
      </c>
      <c r="BC72" s="388">
        <f>SUM(AY72:BB72)</f>
        <v>15.249000000000002</v>
      </c>
      <c r="BD72" s="387"/>
      <c r="BE72" s="89">
        <f t="shared" si="97"/>
        <v>10.693</v>
      </c>
      <c r="BF72" s="89">
        <f t="shared" si="97"/>
        <v>1.98</v>
      </c>
      <c r="BG72" s="89">
        <f t="shared" si="97"/>
        <v>0.96399999999999997</v>
      </c>
      <c r="BH72" s="89">
        <f t="shared" si="97"/>
        <v>3.8279999999999998</v>
      </c>
      <c r="BI72" s="388">
        <f>SUM(BE72:BH72)</f>
        <v>17.465</v>
      </c>
      <c r="BJ72" s="387"/>
      <c r="BK72" s="89">
        <f t="shared" si="98"/>
        <v>14.348000000000001</v>
      </c>
      <c r="BL72" s="89">
        <f t="shared" si="98"/>
        <v>11.681000000000001</v>
      </c>
      <c r="BM72" s="89">
        <f t="shared" si="98"/>
        <v>6.3849999999999998</v>
      </c>
      <c r="BN72" s="89">
        <f t="shared" si="98"/>
        <v>3.927</v>
      </c>
      <c r="BO72" s="388">
        <f>SUM(BK72:BN72)</f>
        <v>36.341000000000001</v>
      </c>
      <c r="BP72" s="387"/>
      <c r="BQ72" s="89">
        <f t="shared" si="99"/>
        <v>2</v>
      </c>
      <c r="BR72" s="89">
        <f t="shared" si="99"/>
        <v>2</v>
      </c>
      <c r="BS72" s="89">
        <f t="shared" si="99"/>
        <v>2</v>
      </c>
      <c r="BT72" s="89">
        <f t="shared" si="99"/>
        <v>2</v>
      </c>
      <c r="BU72" s="388">
        <f>SUM(BQ72:BT72)</f>
        <v>8</v>
      </c>
      <c r="BV72" s="387"/>
      <c r="BW72" s="89">
        <f t="shared" si="100"/>
        <v>2</v>
      </c>
      <c r="BX72" s="89">
        <f t="shared" si="100"/>
        <v>2</v>
      </c>
      <c r="BY72" s="89">
        <f t="shared" si="100"/>
        <v>2</v>
      </c>
      <c r="BZ72" s="89">
        <f t="shared" si="100"/>
        <v>2</v>
      </c>
      <c r="CA72" s="388">
        <f>SUM(BW72:BZ72)</f>
        <v>8</v>
      </c>
      <c r="CB72" s="387"/>
      <c r="CC72" s="89">
        <f t="shared" si="101"/>
        <v>2</v>
      </c>
      <c r="CD72" s="89">
        <f t="shared" si="101"/>
        <v>2</v>
      </c>
      <c r="CE72" s="89">
        <f t="shared" si="101"/>
        <v>2</v>
      </c>
      <c r="CF72" s="89">
        <f t="shared" si="101"/>
        <v>2</v>
      </c>
      <c r="CG72" s="388">
        <f>SUM(CC72:CF72)</f>
        <v>8</v>
      </c>
      <c r="CH72" s="387"/>
      <c r="CI72" s="89">
        <f t="shared" si="102"/>
        <v>2</v>
      </c>
      <c r="CJ72" s="89">
        <f t="shared" si="102"/>
        <v>2</v>
      </c>
      <c r="CK72" s="89">
        <f t="shared" si="102"/>
        <v>2</v>
      </c>
      <c r="CL72" s="89">
        <f t="shared" si="102"/>
        <v>2</v>
      </c>
      <c r="CM72" s="388">
        <f>SUM(CI72:CL72)</f>
        <v>8</v>
      </c>
      <c r="CN72"/>
      <c r="CO72"/>
      <c r="CP72"/>
      <c r="CQ72"/>
      <c r="CR72"/>
      <c r="CS72"/>
      <c r="CT72"/>
      <c r="CU72"/>
    </row>
    <row r="73" spans="1:99" s="24" customFormat="1">
      <c r="A73" s="87" t="s">
        <v>219</v>
      </c>
      <c r="B73" s="516"/>
      <c r="C73" s="410">
        <f>C71-1.638</f>
        <v>0.4870000000000001</v>
      </c>
      <c r="D73" s="410">
        <f>D71-1.648</f>
        <v>0.4850000000000001</v>
      </c>
      <c r="E73" s="410">
        <f>(E71-1.557)+(E72-7.75)</f>
        <v>5.0359999999999996</v>
      </c>
      <c r="F73" s="410">
        <f>F71-1.294</f>
        <v>0.96700000000000008</v>
      </c>
      <c r="G73" s="394">
        <f>SUM(C73:F73)</f>
        <v>6.9749999999999996</v>
      </c>
      <c r="H73" s="387"/>
      <c r="I73" s="410">
        <f>I71-1.603</f>
        <v>0.66899999999999982</v>
      </c>
      <c r="J73" s="410">
        <f>(J71-1.675)</f>
        <v>0.67699999999999982</v>
      </c>
      <c r="K73" s="410">
        <f>(2.349-1.639)+(1.2-0.761)</f>
        <v>1.149</v>
      </c>
      <c r="L73" s="410">
        <f>(6.5-4.138)+(2.317-1.557)+(0.8-0.514)</f>
        <v>3.4080000000000004</v>
      </c>
      <c r="M73" s="528">
        <f>SUM(I73:L73)</f>
        <v>5.9030000000000005</v>
      </c>
      <c r="N73" s="387"/>
      <c r="O73" s="410">
        <f>+(O71-1.819)+(1-0.643)+(1.3-1.078)</f>
        <v>1.3760000000000001</v>
      </c>
      <c r="P73" s="410">
        <f>+(P71-2.008)+(P72-3.723)</f>
        <v>2.8520000000000003</v>
      </c>
      <c r="Q73" s="410">
        <f>+(Q71-1.96)+(Q72)</f>
        <v>0.7629999999999999</v>
      </c>
      <c r="R73" s="410">
        <f>+(R71-1.902)+(R72-2.033)</f>
        <v>1.2020000000000002</v>
      </c>
      <c r="S73" s="528">
        <f>SUM(O73:R73)</f>
        <v>6.1930000000000005</v>
      </c>
      <c r="T73" s="387"/>
      <c r="U73" s="412">
        <f>+(U71-1.911)+(U72-(0.524+0.624))+1.5</f>
        <v>3.0829999999999997</v>
      </c>
      <c r="V73" s="410">
        <f>+(V71-1.874)+(V72-(0.163+0.533))</f>
        <v>2.0219999999999998</v>
      </c>
      <c r="W73" s="410">
        <f>+(W71-1.727)+(W72-(2.197+0.302+0.064))+7.581</f>
        <v>10.699</v>
      </c>
      <c r="X73" s="529">
        <f>+(X71-1.985)+(X72-(0.302+0.072))</f>
        <v>2.4049999999999994</v>
      </c>
      <c r="Y73" s="528">
        <f>SUM(U73:X73)</f>
        <v>18.208999999999996</v>
      </c>
      <c r="Z73" s="387"/>
      <c r="AA73" s="410">
        <f>+(AA71-1.838)</f>
        <v>0.66299999999999981</v>
      </c>
      <c r="AB73" s="410">
        <f>+(AB71-1.74)</f>
        <v>0.76400000000000001</v>
      </c>
      <c r="AC73" s="410">
        <f>+(AC71-1.693)+(3-1.856)</f>
        <v>1.82</v>
      </c>
      <c r="AD73" s="410">
        <f>(AD71-1.903-1.084)+(2-1.291)</f>
        <v>8.0999999999999961E-2</v>
      </c>
      <c r="AE73" s="530">
        <f>SUM(AA73:AD73)</f>
        <v>3.3279999999999998</v>
      </c>
      <c r="AF73" s="387"/>
      <c r="AG73" s="410">
        <f>0.839+0.256</f>
        <v>1.095</v>
      </c>
      <c r="AH73" s="410">
        <f>0.814+1.402+0.182+1.125</f>
        <v>3.5229999999999997</v>
      </c>
      <c r="AI73" s="410">
        <f>2.318+0.639</f>
        <v>2.9569999999999999</v>
      </c>
      <c r="AJ73" s="410">
        <f>0.63+0.567+1.663+36.25+6.035</f>
        <v>45.144999999999996</v>
      </c>
      <c r="AK73" s="530">
        <f>SUM(AG73:AJ73)</f>
        <v>52.72</v>
      </c>
      <c r="AL73" s="387"/>
      <c r="AM73" s="410">
        <f>30.04+0.706+0.362</f>
        <v>31.107999999999997</v>
      </c>
      <c r="AN73" s="410">
        <f>0.686+1.035-0.659</f>
        <v>1.0620000000000001</v>
      </c>
      <c r="AO73" s="410">
        <f>0.719+0.896-0.999</f>
        <v>0.61599999999999999</v>
      </c>
      <c r="AP73" s="410">
        <f>0.738+0.893-0.915</f>
        <v>0.71599999999999997</v>
      </c>
      <c r="AQ73" s="530">
        <f>SUM(AM73:AP73)</f>
        <v>33.501999999999995</v>
      </c>
      <c r="AR73" s="387"/>
      <c r="AS73" s="410">
        <f>-0.857+2.76+0.743</f>
        <v>2.6459999999999999</v>
      </c>
      <c r="AT73" s="410">
        <f>0.759+1.444-0.85</f>
        <v>1.3529999999999998</v>
      </c>
      <c r="AU73" s="410">
        <f>0.804-0.15-1.033</f>
        <v>-0.37899999999999989</v>
      </c>
      <c r="AV73" s="410">
        <f>0.718+0.925+3.323+0.357</f>
        <v>5.3230000000000004</v>
      </c>
      <c r="AW73" s="530">
        <f>SUM(AS73:AV73)</f>
        <v>8.9429999999999996</v>
      </c>
      <c r="AX73" s="387"/>
      <c r="AY73" s="410">
        <f>-2.406+0.363+0.704</f>
        <v>-1.3390000000000002</v>
      </c>
      <c r="AZ73" s="410">
        <f>0.717+0.636-0.793</f>
        <v>0.55999999999999994</v>
      </c>
      <c r="BA73" s="410">
        <f>0.738+0.772+1.832</f>
        <v>3.3420000000000001</v>
      </c>
      <c r="BB73" s="410">
        <f>0.786+0.729+0.606+1.478-0.959</f>
        <v>2.64</v>
      </c>
      <c r="BC73" s="530">
        <f>SUM(AY73:BB73)</f>
        <v>5.2029999999999994</v>
      </c>
      <c r="BD73" s="387"/>
      <c r="BE73" s="1659">
        <f>0.75+2.657+1.142-0.737</f>
        <v>3.8119999999999994</v>
      </c>
      <c r="BF73" s="1659">
        <f>2.367+0.721+0.519</f>
        <v>3.6070000000000002</v>
      </c>
      <c r="BG73" s="1659">
        <f>0.732+0.839-0.756</f>
        <v>0.81499999999999995</v>
      </c>
      <c r="BH73" s="1659">
        <f>0.661+0.312+1.321-0.739</f>
        <v>1.5550000000000002</v>
      </c>
      <c r="BI73" s="530">
        <f>SUM(BE73:BH73)</f>
        <v>9.7889999999999997</v>
      </c>
      <c r="BJ73" s="387"/>
      <c r="BK73" s="1908">
        <f>0.473+3.059+0.962-0.475</f>
        <v>4.0190000000000001</v>
      </c>
      <c r="BL73" s="1908">
        <f>0.449+0.735+3.757-1.972</f>
        <v>2.9689999999999999</v>
      </c>
      <c r="BM73" s="1908">
        <f>0.436+0.931+1.446-0.837</f>
        <v>1.9759999999999998</v>
      </c>
      <c r="BN73" s="1659">
        <f>0.424+0.791+0.411+0.142-550-1.012</f>
        <v>-549.24399999999991</v>
      </c>
      <c r="BO73" s="530">
        <f>SUM(BK73:BN73)</f>
        <v>-540.28</v>
      </c>
      <c r="BP73" s="387"/>
      <c r="BQ73" s="89">
        <f>BQ71*BQ74</f>
        <v>0</v>
      </c>
      <c r="BR73" s="89">
        <f>BR71*BR74</f>
        <v>0</v>
      </c>
      <c r="BS73" s="89">
        <f>BS71*BS74</f>
        <v>0</v>
      </c>
      <c r="BT73" s="89">
        <f>BT71*BT74</f>
        <v>0</v>
      </c>
      <c r="BU73" s="530">
        <f>SUM(BQ73:BT73)</f>
        <v>0</v>
      </c>
      <c r="BV73" s="387"/>
      <c r="BW73" s="89">
        <f>BW71*BW74</f>
        <v>0</v>
      </c>
      <c r="BX73" s="89">
        <f>BX71*BX74</f>
        <v>0</v>
      </c>
      <c r="BY73" s="89">
        <f>BY71*BY74</f>
        <v>0</v>
      </c>
      <c r="BZ73" s="89">
        <f>BZ71*BZ74</f>
        <v>0</v>
      </c>
      <c r="CA73" s="530">
        <f>SUM(BW73:BZ73)</f>
        <v>0</v>
      </c>
      <c r="CB73" s="387"/>
      <c r="CC73" s="89">
        <f>CC71*CC74</f>
        <v>0</v>
      </c>
      <c r="CD73" s="89">
        <f>CD71*CD74</f>
        <v>0</v>
      </c>
      <c r="CE73" s="89">
        <f>CE71*CE74</f>
        <v>0</v>
      </c>
      <c r="CF73" s="89">
        <f>CF71*CF74</f>
        <v>0</v>
      </c>
      <c r="CG73" s="530">
        <f>SUM(CC73:CF73)</f>
        <v>0</v>
      </c>
      <c r="CH73" s="387"/>
      <c r="CI73" s="89">
        <f>CI71*CI74</f>
        <v>0</v>
      </c>
      <c r="CJ73" s="89">
        <f>CJ71*CJ74</f>
        <v>0</v>
      </c>
      <c r="CK73" s="89">
        <f>CK71*CK74</f>
        <v>0</v>
      </c>
      <c r="CL73" s="89">
        <f>CL71*CL74</f>
        <v>0</v>
      </c>
      <c r="CM73" s="530">
        <f>SUM(CI73:CL73)</f>
        <v>0</v>
      </c>
      <c r="CN73"/>
      <c r="CO73"/>
      <c r="CP73"/>
      <c r="CQ73"/>
      <c r="CR73"/>
      <c r="CS73"/>
      <c r="CT73"/>
      <c r="CU73"/>
    </row>
    <row r="74" spans="1:99" s="24" customFormat="1">
      <c r="A74" s="523" t="s">
        <v>220</v>
      </c>
      <c r="B74" s="516"/>
      <c r="C74" s="531">
        <f>C73/(C71+C72)</f>
        <v>0.22917647058823534</v>
      </c>
      <c r="D74" s="531">
        <f>D73/(D71+D72)</f>
        <v>0.22737927801218946</v>
      </c>
      <c r="E74" s="531">
        <f>E73/(E71+E72)</f>
        <v>0.35111204071672591</v>
      </c>
      <c r="F74" s="531">
        <f>F73/(F71+F72)</f>
        <v>0.42768686421937196</v>
      </c>
      <c r="G74" s="532">
        <f>G73/(G71+G72)</f>
        <v>0.33433994823123375</v>
      </c>
      <c r="H74" s="387"/>
      <c r="I74" s="531">
        <f>I73/I71</f>
        <v>0.29445422535211263</v>
      </c>
      <c r="J74" s="531">
        <f>J73/J71</f>
        <v>0.28784013605442171</v>
      </c>
      <c r="K74" s="524" t="s">
        <v>215</v>
      </c>
      <c r="L74" s="531">
        <f>J74</f>
        <v>0.28784013605442171</v>
      </c>
      <c r="M74" s="532">
        <f>M73/(M71+M72)</f>
        <v>0.40710344827586215</v>
      </c>
      <c r="N74" s="387"/>
      <c r="O74" s="531">
        <f>L74</f>
        <v>0.28784013605442171</v>
      </c>
      <c r="P74" s="531">
        <f>O74</f>
        <v>0.28784013605442171</v>
      </c>
      <c r="Q74" s="531">
        <f>P74</f>
        <v>0.28784013605442171</v>
      </c>
      <c r="R74" s="531">
        <f>Q74</f>
        <v>0.28784013605442171</v>
      </c>
      <c r="S74" s="532">
        <f>S73/(S71+S72)</f>
        <v>0.36854320399904789</v>
      </c>
      <c r="T74" s="387"/>
      <c r="U74" s="525"/>
      <c r="V74" s="524"/>
      <c r="W74" s="524"/>
      <c r="X74" s="526"/>
      <c r="Y74" s="530"/>
      <c r="Z74" s="387"/>
      <c r="AA74" s="524"/>
      <c r="AB74" s="524"/>
      <c r="AC74" s="524"/>
      <c r="AD74" s="524"/>
      <c r="AE74" s="530"/>
      <c r="AF74" s="387"/>
      <c r="AG74" s="524"/>
      <c r="AH74" s="533"/>
      <c r="AI74" s="524"/>
      <c r="AJ74" s="524"/>
      <c r="AK74" s="530"/>
      <c r="AL74" s="387"/>
      <c r="AM74" s="524"/>
      <c r="AN74" s="524"/>
      <c r="AO74" s="524"/>
      <c r="AP74" s="524"/>
      <c r="AQ74" s="530"/>
      <c r="AR74" s="387"/>
      <c r="AS74" s="524">
        <f>AP74</f>
        <v>0</v>
      </c>
      <c r="AT74" s="524">
        <f>AS74</f>
        <v>0</v>
      </c>
      <c r="AU74" s="524">
        <f>AT74</f>
        <v>0</v>
      </c>
      <c r="AV74" s="524">
        <f>AU74</f>
        <v>0</v>
      </c>
      <c r="AW74" s="530"/>
      <c r="AX74" s="387"/>
      <c r="AY74" s="524">
        <f>AV74</f>
        <v>0</v>
      </c>
      <c r="AZ74" s="524">
        <f>AY74</f>
        <v>0</v>
      </c>
      <c r="BA74" s="524">
        <f>AZ74</f>
        <v>0</v>
      </c>
      <c r="BB74" s="524">
        <f>BA74</f>
        <v>0</v>
      </c>
      <c r="BC74" s="530"/>
      <c r="BD74" s="387"/>
      <c r="BE74" s="524">
        <f>BB74</f>
        <v>0</v>
      </c>
      <c r="BF74" s="524">
        <f>BE74</f>
        <v>0</v>
      </c>
      <c r="BG74" s="524">
        <f>BF74</f>
        <v>0</v>
      </c>
      <c r="BH74" s="524">
        <f>BG74</f>
        <v>0</v>
      </c>
      <c r="BI74" s="530"/>
      <c r="BJ74" s="387"/>
      <c r="BK74" s="524">
        <f>BH74</f>
        <v>0</v>
      </c>
      <c r="BL74" s="524">
        <f>BK74</f>
        <v>0</v>
      </c>
      <c r="BM74" s="524">
        <f>BL74</f>
        <v>0</v>
      </c>
      <c r="BN74" s="524">
        <f>BM74</f>
        <v>0</v>
      </c>
      <c r="BO74" s="530"/>
      <c r="BP74" s="387"/>
      <c r="BQ74" s="524">
        <f>BN74</f>
        <v>0</v>
      </c>
      <c r="BR74" s="524">
        <f>BQ74</f>
        <v>0</v>
      </c>
      <c r="BS74" s="524">
        <f>BR74</f>
        <v>0</v>
      </c>
      <c r="BT74" s="524">
        <f>BS74</f>
        <v>0</v>
      </c>
      <c r="BU74" s="530"/>
      <c r="BV74" s="387"/>
      <c r="BW74" s="524">
        <f>BT74</f>
        <v>0</v>
      </c>
      <c r="BX74" s="524">
        <f>BW74</f>
        <v>0</v>
      </c>
      <c r="BY74" s="524">
        <f>BX74</f>
        <v>0</v>
      </c>
      <c r="BZ74" s="524">
        <f>BY74</f>
        <v>0</v>
      </c>
      <c r="CA74" s="530"/>
      <c r="CB74" s="387"/>
      <c r="CC74" s="524">
        <f>BZ74</f>
        <v>0</v>
      </c>
      <c r="CD74" s="524">
        <f>CC74</f>
        <v>0</v>
      </c>
      <c r="CE74" s="524">
        <f>CD74</f>
        <v>0</v>
      </c>
      <c r="CF74" s="524">
        <f>CE74</f>
        <v>0</v>
      </c>
      <c r="CG74" s="530"/>
      <c r="CH74" s="387"/>
      <c r="CI74" s="524">
        <f>CF74</f>
        <v>0</v>
      </c>
      <c r="CJ74" s="524">
        <f>CI74</f>
        <v>0</v>
      </c>
      <c r="CK74" s="524">
        <f>CJ74</f>
        <v>0</v>
      </c>
      <c r="CL74" s="524">
        <f>CK74</f>
        <v>0</v>
      </c>
      <c r="CM74" s="530"/>
      <c r="CN74"/>
      <c r="CO74"/>
      <c r="CP74"/>
      <c r="CQ74"/>
      <c r="CR74"/>
      <c r="CS74"/>
      <c r="CT74"/>
      <c r="CU74"/>
    </row>
    <row r="75" spans="1:99" s="24" customFormat="1">
      <c r="A75" s="534" t="s">
        <v>221</v>
      </c>
      <c r="B75" s="535"/>
      <c r="C75" s="536">
        <f>C68-C71+C73</f>
        <v>55.936999999999991</v>
      </c>
      <c r="D75" s="536">
        <f>D68-D71+D73</f>
        <v>59.909000000000006</v>
      </c>
      <c r="E75" s="536">
        <f>E68-E71-E72+E73</f>
        <v>53.282999999999994</v>
      </c>
      <c r="F75" s="536">
        <f>F68-F71-F72+F73</f>
        <v>98.942999999999941</v>
      </c>
      <c r="G75" s="537">
        <f>G68-G71-G72+G73</f>
        <v>268.07199999999989</v>
      </c>
      <c r="H75" s="538"/>
      <c r="I75" s="536">
        <f>I68-I71+I73</f>
        <v>68.761000000000038</v>
      </c>
      <c r="J75" s="536">
        <f>J68-J71-J72+J73</f>
        <v>82.862000000000009</v>
      </c>
      <c r="K75" s="536">
        <f>K68-K71-K72+K73</f>
        <v>71.502999999999957</v>
      </c>
      <c r="L75" s="536">
        <f>L68-L71-L72+L73</f>
        <v>100.15299999999991</v>
      </c>
      <c r="M75" s="537">
        <f>M68-M71-M72+M73</f>
        <v>323.27899999999994</v>
      </c>
      <c r="N75" s="538"/>
      <c r="O75" s="536">
        <f>O68-O71-O72+O73</f>
        <v>73.302000000000021</v>
      </c>
      <c r="P75" s="536">
        <f>P68-P71-P72+P73</f>
        <v>69.906999999999982</v>
      </c>
      <c r="Q75" s="536">
        <f>Q68-Q71-Q72+Q73</f>
        <v>75.936000000000035</v>
      </c>
      <c r="R75" s="536">
        <f>R68-R71-R72+R73</f>
        <v>104.12299999999998</v>
      </c>
      <c r="S75" s="537">
        <f>S68-S71-S72+S73</f>
        <v>323.26800000000014</v>
      </c>
      <c r="T75" s="538"/>
      <c r="U75" s="539">
        <f>U68-U71-U72+U73</f>
        <v>75.518000000000001</v>
      </c>
      <c r="V75" s="536">
        <f>V68-V71-V72+V73</f>
        <v>84.922000000000011</v>
      </c>
      <c r="W75" s="536">
        <f>W68-W71+W73-W72</f>
        <v>94.718999999999994</v>
      </c>
      <c r="X75" s="536">
        <f>X68-X71+X73-X72</f>
        <v>126.60399999999998</v>
      </c>
      <c r="Y75" s="537">
        <f>Y68-Y71-Y72+Y73</f>
        <v>381.76300000000003</v>
      </c>
      <c r="Z75" s="538"/>
      <c r="AA75" s="536">
        <f>AA68-AA71+AA73-AA72</f>
        <v>94.489000000000004</v>
      </c>
      <c r="AB75" s="536">
        <f>AB68-AB71+AB73-AB72</f>
        <v>100.07500000000005</v>
      </c>
      <c r="AC75" s="536">
        <f>AC68-AC71+AC73-AC72</f>
        <v>101.25700000000001</v>
      </c>
      <c r="AD75" s="536">
        <f>AD68-AD71+AD73-AD72</f>
        <v>137.22799999999995</v>
      </c>
      <c r="AE75" s="540">
        <f>AE68-AE71-AE72+AE73</f>
        <v>433.04900000000009</v>
      </c>
      <c r="AF75" s="538"/>
      <c r="AG75" s="536">
        <f>AG68-AG71+AG73-AG72</f>
        <v>88.666000000000025</v>
      </c>
      <c r="AH75" s="536">
        <f>AH68-AH71+AH73-AH72</f>
        <v>97.72399999999999</v>
      </c>
      <c r="AI75" s="536">
        <f>AI68-AI71+AI73-AI72</f>
        <v>99.109000000000009</v>
      </c>
      <c r="AJ75" s="536">
        <f>AJ68-AJ71+AJ73-AJ72</f>
        <v>175.94399999999993</v>
      </c>
      <c r="AK75" s="540">
        <f>SUM(AG75:AJ75)</f>
        <v>461.44299999999998</v>
      </c>
      <c r="AL75" s="538"/>
      <c r="AM75" s="536">
        <f>AM68-AM71+AM73-AM72</f>
        <v>121.05900000000004</v>
      </c>
      <c r="AN75" s="536">
        <f>AN68-AN71+AN73-AN72</f>
        <v>89.314000000000007</v>
      </c>
      <c r="AO75" s="536">
        <f>AO68-AO71+AO73-AO72</f>
        <v>98.04800000000003</v>
      </c>
      <c r="AP75" s="536">
        <f>AP68-AP71+AP73-AP72</f>
        <v>141.58199999999994</v>
      </c>
      <c r="AQ75" s="540">
        <f>AQ68-AQ71-AQ72+AQ73</f>
        <v>450.00300000000004</v>
      </c>
      <c r="AR75" s="538"/>
      <c r="AS75" s="536">
        <f>AS68-AS71+AS73-AS72</f>
        <v>70.301999999999964</v>
      </c>
      <c r="AT75" s="536">
        <f>AT68-AT71+AT73-AT72</f>
        <v>96.528999999999968</v>
      </c>
      <c r="AU75" s="536">
        <f>AU68-AU71+AU73-AU72</f>
        <v>113.49700000000003</v>
      </c>
      <c r="AV75" s="536">
        <f>AV68-AV71+AV73-AV72</f>
        <v>151.29199999999997</v>
      </c>
      <c r="AW75" s="540">
        <f>AW68-AW71-AW72+AW73</f>
        <v>431.61999999999989</v>
      </c>
      <c r="AX75" s="538"/>
      <c r="AY75" s="536">
        <f>AY68-AY71+AY73-AY72</f>
        <v>96.061000000000021</v>
      </c>
      <c r="AZ75" s="536">
        <f>AZ68-AZ71+AZ73-AZ72</f>
        <v>105.65700000000001</v>
      </c>
      <c r="BA75" s="536">
        <f>BA68-BA71+BA73-BA72</f>
        <v>116.28099999999993</v>
      </c>
      <c r="BB75" s="536">
        <f>BB68-BB71+BB73-BB72</f>
        <v>151.05399999999997</v>
      </c>
      <c r="BC75" s="540">
        <f>BC68-BC71-BC72+BC73</f>
        <v>469.05299999999977</v>
      </c>
      <c r="BD75" s="538"/>
      <c r="BE75" s="536">
        <f>BE68-BE71+BE73-BE72</f>
        <v>94.051999999999964</v>
      </c>
      <c r="BF75" s="536">
        <f>BF68-BF71+BF73-BF72</f>
        <v>128.21699999999993</v>
      </c>
      <c r="BG75" s="536">
        <f>BG68-BG71+BG73-BG72</f>
        <v>124.85600000000005</v>
      </c>
      <c r="BH75" s="536">
        <f>BH68-BH71+BH73-BH72</f>
        <v>174.37799999999996</v>
      </c>
      <c r="BI75" s="540">
        <f>BI68-BI71-BI72+BI73</f>
        <v>521.50299999999982</v>
      </c>
      <c r="BJ75" s="538"/>
      <c r="BK75" s="536">
        <f>BK68-BK71+BK73-BK72</f>
        <v>105.55700000000003</v>
      </c>
      <c r="BL75" s="536">
        <f>BL68-BL71+BL73-BL72</f>
        <v>131.82199999999997</v>
      </c>
      <c r="BM75" s="536">
        <f>BM68-BM71+BM73-BM72</f>
        <v>136.10399999999996</v>
      </c>
      <c r="BN75" s="536">
        <f>BN68-BN71+BN73-BN72</f>
        <v>-353.17200000000003</v>
      </c>
      <c r="BO75" s="540">
        <f>BO68-BO71-BO72+BO73</f>
        <v>20.311000000000149</v>
      </c>
      <c r="BP75" s="538"/>
      <c r="BQ75" s="536">
        <f>BQ68-BQ71+BQ73-BQ72</f>
        <v>120.67472369378999</v>
      </c>
      <c r="BR75" s="536">
        <f>BR68-BR71+BR73-BR72</f>
        <v>151.64871689256745</v>
      </c>
      <c r="BS75" s="536">
        <f>BS68-BS71+BS73-BS72</f>
        <v>148.0866692641045</v>
      </c>
      <c r="BT75" s="536">
        <f>BT68-BT71+BT73-BT72</f>
        <v>211.59901492334876</v>
      </c>
      <c r="BU75" s="540">
        <f>BU68-BU71-BU72+BU73</f>
        <v>632.00912477381087</v>
      </c>
      <c r="BV75" s="538"/>
      <c r="BW75" s="536">
        <f>BW68-BW71+BW73-BW72</f>
        <v>131.59051125642418</v>
      </c>
      <c r="BX75" s="536">
        <f>BX68-BX71+BX73-BX72</f>
        <v>162.47580258576488</v>
      </c>
      <c r="BY75" s="536">
        <f>BY68-BY71+BY73-BY72</f>
        <v>158.26428984701346</v>
      </c>
      <c r="BZ75" s="536">
        <f>BZ68-BZ71+BZ73-BZ72</f>
        <v>224.15127601715488</v>
      </c>
      <c r="CA75" s="540">
        <f>CA68-CA71-CA72+CA73</f>
        <v>676.48187970635752</v>
      </c>
      <c r="CB75" s="538"/>
      <c r="CC75" s="536">
        <f>CC68-CC71+CC73-CC72</f>
        <v>140.26773879583797</v>
      </c>
      <c r="CD75" s="536">
        <f>CD68-CD71+CD73-CD72</f>
        <v>236.11506464795346</v>
      </c>
      <c r="CE75" s="536">
        <f>CE68-CE71+CE73-CE72</f>
        <v>233.60003475521148</v>
      </c>
      <c r="CF75" s="536">
        <f>CF68-CF71+CF73-CF72</f>
        <v>303.60034719637196</v>
      </c>
      <c r="CG75" s="540">
        <f>CG68-CG71-CG72+CG73</f>
        <v>913.58318539537504</v>
      </c>
      <c r="CH75" s="538"/>
      <c r="CI75" s="536">
        <f>CI68-CI71+CI73-CI72</f>
        <v>221.31740046230712</v>
      </c>
      <c r="CJ75" s="536">
        <f>CJ68-CJ71+CJ73-CJ72</f>
        <v>183.62512212168841</v>
      </c>
      <c r="CK75" s="536">
        <f>CK68-CK71+CK73-CK72</f>
        <v>178.71309328305139</v>
      </c>
      <c r="CL75" s="536">
        <f>CL68-CL71+CL73-CL72</f>
        <v>248.69696500851811</v>
      </c>
      <c r="CM75" s="540">
        <f>CM68-CM71-CM72+CM73</f>
        <v>832.3525808755652</v>
      </c>
      <c r="CN75"/>
      <c r="CO75"/>
      <c r="CP75"/>
      <c r="CQ75"/>
      <c r="CR75"/>
      <c r="CS75"/>
      <c r="CT75"/>
      <c r="CU75"/>
    </row>
    <row r="76" spans="1:99" s="24" customFormat="1">
      <c r="B76" s="71"/>
      <c r="AC76" s="541"/>
      <c r="AD76" s="542"/>
      <c r="AH76" s="542"/>
      <c r="AI76" s="541"/>
      <c r="AN76" s="71"/>
      <c r="CN76"/>
      <c r="CO76"/>
      <c r="CP76"/>
      <c r="CQ76"/>
      <c r="CR76"/>
      <c r="CS76"/>
      <c r="CT76"/>
      <c r="CU76"/>
    </row>
    <row r="77" spans="1:99" s="24" customFormat="1" ht="12.75" hidden="1" customHeight="1" outlineLevel="1">
      <c r="A77" s="543" t="s">
        <v>262</v>
      </c>
      <c r="B77" s="544"/>
      <c r="C77" s="543">
        <f>SUM(C78:C80)</f>
        <v>0.1696421941137157</v>
      </c>
      <c r="D77" s="543">
        <f>SUM(D78:D80)</f>
        <v>0.1696421941137157</v>
      </c>
      <c r="E77" s="543">
        <f>SUM(E78:E80)</f>
        <v>0.1696421941137157</v>
      </c>
      <c r="F77" s="543">
        <f>SUM(F78:F80)</f>
        <v>0.1696421941137157</v>
      </c>
      <c r="G77" s="543">
        <f>SUM(G78:G80)</f>
        <v>0.1696421941137157</v>
      </c>
      <c r="H77" s="543"/>
      <c r="I77" s="543">
        <f>SUM(I78:I80)</f>
        <v>0.13337739661250103</v>
      </c>
      <c r="J77" s="543">
        <f>SUM(J78:J80)</f>
        <v>0.13337739661250103</v>
      </c>
      <c r="K77" s="543">
        <f>SUM(K78:K80)</f>
        <v>0.13337739661250103</v>
      </c>
      <c r="L77" s="543">
        <f>SUM(L78:L80)</f>
        <v>0.13337739661250103</v>
      </c>
      <c r="M77" s="543">
        <f>SUM(M78:M80)</f>
        <v>0.13337739661250103</v>
      </c>
      <c r="N77" s="543"/>
      <c r="O77" s="543">
        <f>SUM(O78:O80)</f>
        <v>0.16660718165171784</v>
      </c>
      <c r="P77" s="543">
        <f>SUM(P78:P80)</f>
        <v>0.16660718165171784</v>
      </c>
      <c r="Q77" s="543">
        <f>SUM(Q78:Q80)</f>
        <v>0.16660718165171784</v>
      </c>
      <c r="R77" s="543">
        <f>SUM(R78:R80)</f>
        <v>0.16660718165171784</v>
      </c>
      <c r="S77" s="543">
        <f>SUM(S78:S80)</f>
        <v>0.16660718165171784</v>
      </c>
      <c r="T77" s="543"/>
      <c r="U77" s="543">
        <f>SUM(U78:U80)</f>
        <v>0.13293884160114014</v>
      </c>
      <c r="V77" s="543">
        <f>SUM(V78:V80)</f>
        <v>0.13293884160114014</v>
      </c>
      <c r="W77" s="543">
        <f>SUM(W78:W80)</f>
        <v>0.13293884160114014</v>
      </c>
      <c r="X77" s="543">
        <f>SUM(X78:X80)</f>
        <v>0.13293884160114014</v>
      </c>
      <c r="Y77" s="543">
        <f>SUM(Y78:Y80)</f>
        <v>0.13293884160114014</v>
      </c>
      <c r="Z77" s="543"/>
      <c r="AA77" s="543">
        <f>SUM(AA78:AA80)</f>
        <v>0.13293884160114014</v>
      </c>
      <c r="AB77" s="543">
        <f>SUM(AB78:AB80)</f>
        <v>0.13293884160114014</v>
      </c>
      <c r="AC77" s="543">
        <f>SUM(AC78:AC80)</f>
        <v>0.13293884160114014</v>
      </c>
      <c r="AD77" s="543">
        <f>AD54</f>
        <v>0.13207801766437685</v>
      </c>
      <c r="AE77" s="543">
        <f>AE54</f>
        <v>0.15178106243499334</v>
      </c>
      <c r="AF77" s="543"/>
      <c r="AG77" s="543">
        <f>AG54</f>
        <v>0.15744573964331893</v>
      </c>
      <c r="AH77" s="543">
        <f>SUM(AH78:AH80)</f>
        <v>0.13293884160114014</v>
      </c>
      <c r="AI77" s="543">
        <f>SUM(AI78:AI80)</f>
        <v>0.13293884160114014</v>
      </c>
      <c r="AJ77" s="543">
        <f>AJ54</f>
        <v>0.13754639940608768</v>
      </c>
      <c r="AK77" s="543">
        <f>AK54</f>
        <v>0.15240608140866779</v>
      </c>
      <c r="AL77" s="543"/>
      <c r="AM77" s="543">
        <f>AM54</f>
        <v>0.12590644971133955</v>
      </c>
      <c r="AN77" s="544">
        <f>AN54</f>
        <v>0.14966048232417348</v>
      </c>
      <c r="AO77" s="543">
        <f>AO54</f>
        <v>0.12900027960651733</v>
      </c>
      <c r="AP77" s="543">
        <f>AP54</f>
        <v>0.16293662653223642</v>
      </c>
      <c r="AQ77" s="543">
        <f>AQ54</f>
        <v>0.14444392112534538</v>
      </c>
      <c r="AR77" s="543"/>
      <c r="AS77" s="543">
        <f>AS54</f>
        <v>0.16088371844815633</v>
      </c>
      <c r="AT77" s="543">
        <f>AT54</f>
        <v>0.14027711102650267</v>
      </c>
      <c r="AU77" s="543">
        <f>AU54</f>
        <v>0.13055259847091838</v>
      </c>
      <c r="AV77" s="543">
        <f>AV54</f>
        <v>9.9652637531303018E-2</v>
      </c>
      <c r="AW77" s="543">
        <f>AW54</f>
        <v>0.12733313752158451</v>
      </c>
      <c r="AX77" s="543"/>
      <c r="AY77" s="543">
        <f>AY54</f>
        <v>0.13619089100116999</v>
      </c>
      <c r="AZ77" s="543">
        <f>AZ54</f>
        <v>0.14557090296832126</v>
      </c>
      <c r="BA77" s="543">
        <f>BA54</f>
        <v>0.12417548761083769</v>
      </c>
      <c r="BB77" s="543">
        <f>BB54</f>
        <v>0.14264822407640806</v>
      </c>
      <c r="BC77" s="543">
        <f>BC54</f>
        <v>0.1376172017535974</v>
      </c>
      <c r="BD77" s="543"/>
      <c r="BE77" s="543">
        <f>BE54</f>
        <v>0.1366209040819559</v>
      </c>
      <c r="BF77" s="543">
        <f>BF54</f>
        <v>0.13910948573869178</v>
      </c>
      <c r="BG77" s="543">
        <f>BG54</f>
        <v>0.14379071797971651</v>
      </c>
      <c r="BH77" s="543">
        <f>BH54</f>
        <v>0.14253347064881569</v>
      </c>
      <c r="BI77" s="543">
        <f>BI54</f>
        <v>0.14088367853021994</v>
      </c>
      <c r="BJ77" s="543"/>
      <c r="BK77" s="543">
        <f>BK54</f>
        <v>9.2224692044086301E-2</v>
      </c>
      <c r="BL77" s="543">
        <f>BL54</f>
        <v>0.11904289979311969</v>
      </c>
      <c r="BM77" s="543">
        <f>BM54</f>
        <v>0.12153187493435974</v>
      </c>
      <c r="BN77" s="543">
        <f>BN54</f>
        <v>0.1282554560232422</v>
      </c>
      <c r="BO77" s="543">
        <f>BO54</f>
        <v>0.11766769319814491</v>
      </c>
      <c r="BP77" s="543"/>
      <c r="BQ77" s="543">
        <f>BQ54</f>
        <v>0.14699999999999999</v>
      </c>
      <c r="BR77" s="543">
        <f>BR54</f>
        <v>0.14000000000000001</v>
      </c>
      <c r="BS77" s="543">
        <f>BS54</f>
        <v>0.14000000000000001</v>
      </c>
      <c r="BT77" s="543">
        <f>BT54</f>
        <v>0.14000000000000001</v>
      </c>
      <c r="BU77" s="543">
        <f>BU54</f>
        <v>0.14135693443552774</v>
      </c>
      <c r="BV77" s="543"/>
      <c r="BW77" s="543">
        <f>BW54</f>
        <v>0.14000000000000001</v>
      </c>
      <c r="BX77" s="543">
        <f>BX54</f>
        <v>0.14000000000000001</v>
      </c>
      <c r="BY77" s="543">
        <f>BY54</f>
        <v>0.14000000000000001</v>
      </c>
      <c r="BZ77" s="543">
        <f>BZ54</f>
        <v>0.14000000000000001</v>
      </c>
      <c r="CA77" s="543">
        <f>CA54</f>
        <v>0.13999999999999999</v>
      </c>
      <c r="CB77" s="543"/>
      <c r="CC77" s="543">
        <f>CC54</f>
        <v>0.14000000000000001</v>
      </c>
      <c r="CD77" s="543">
        <f>CD54</f>
        <v>0.14000000000000001</v>
      </c>
      <c r="CE77" s="543">
        <f>CE54</f>
        <v>0.14000000000000001</v>
      </c>
      <c r="CF77" s="543">
        <f>CF54</f>
        <v>0.14000000000000001</v>
      </c>
      <c r="CG77" s="543">
        <f>CG54</f>
        <v>0.13999999999999999</v>
      </c>
      <c r="CH77" s="543"/>
      <c r="CI77" s="543">
        <f>CI54</f>
        <v>0.14000000000000001</v>
      </c>
      <c r="CJ77" s="543">
        <f>CJ54</f>
        <v>0.14000000000000001</v>
      </c>
      <c r="CK77" s="543">
        <f>CK54</f>
        <v>0.14000000000000001</v>
      </c>
      <c r="CL77" s="543">
        <f>CL54</f>
        <v>0.14000000000000001</v>
      </c>
      <c r="CM77" s="543">
        <f>CM54</f>
        <v>0.13999999999999999</v>
      </c>
      <c r="CN77"/>
      <c r="CO77"/>
      <c r="CP77"/>
      <c r="CQ77"/>
      <c r="CR77"/>
      <c r="CS77"/>
      <c r="CT77"/>
      <c r="CU77"/>
    </row>
    <row r="78" spans="1:99" s="24" customFormat="1" ht="12.75" hidden="1" customHeight="1" outlineLevel="1">
      <c r="A78" s="543" t="s">
        <v>2</v>
      </c>
      <c r="B78" s="544"/>
      <c r="C78" s="543">
        <f>$G78</f>
        <v>0.34999938117280133</v>
      </c>
      <c r="D78" s="543">
        <f>$G78</f>
        <v>0.34999938117280133</v>
      </c>
      <c r="E78" s="543">
        <f>$G78</f>
        <v>0.34999938117280133</v>
      </c>
      <c r="F78" s="543">
        <f>$G78</f>
        <v>0.34999938117280133</v>
      </c>
      <c r="G78" s="543">
        <f>113.117/323.192</f>
        <v>0.34999938117280133</v>
      </c>
      <c r="H78" s="543"/>
      <c r="I78" s="543">
        <f>$M78</f>
        <v>0.34999946264293696</v>
      </c>
      <c r="J78" s="543">
        <f>$M78</f>
        <v>0.34999946264293696</v>
      </c>
      <c r="K78" s="543">
        <f>$M78</f>
        <v>0.34999946264293696</v>
      </c>
      <c r="L78" s="543">
        <f>$M78</f>
        <v>0.34999946264293696</v>
      </c>
      <c r="M78" s="543">
        <f>130.267/372.192</f>
        <v>0.34999946264293696</v>
      </c>
      <c r="N78" s="543"/>
      <c r="O78" s="543">
        <f>$S78</f>
        <v>0.34999948273900044</v>
      </c>
      <c r="P78" s="543">
        <f>$S78</f>
        <v>0.34999948273900044</v>
      </c>
      <c r="Q78" s="543">
        <f>$S78</f>
        <v>0.34999948273900044</v>
      </c>
      <c r="R78" s="543">
        <f>$S78</f>
        <v>0.34999948273900044</v>
      </c>
      <c r="S78" s="543">
        <f>135.328/386.652</f>
        <v>0.34999948273900044</v>
      </c>
      <c r="T78" s="543"/>
      <c r="U78" s="543">
        <f t="shared" ref="U78:X80" si="103">$Y78</f>
        <v>0.34999988580903163</v>
      </c>
      <c r="V78" s="543">
        <f t="shared" si="103"/>
        <v>0.34999988580903163</v>
      </c>
      <c r="W78" s="543">
        <f t="shared" si="103"/>
        <v>0.34999988580903163</v>
      </c>
      <c r="X78" s="543">
        <f t="shared" si="103"/>
        <v>0.34999988580903163</v>
      </c>
      <c r="Y78" s="543">
        <f>153.252/437.863</f>
        <v>0.34999988580903163</v>
      </c>
      <c r="Z78" s="543"/>
      <c r="AA78" s="543">
        <f>$Y78</f>
        <v>0.34999988580903163</v>
      </c>
      <c r="AB78" s="543">
        <f>$Y78</f>
        <v>0.34999988580903163</v>
      </c>
      <c r="AC78" s="543">
        <f>$Y78</f>
        <v>0.34999988580903163</v>
      </c>
      <c r="AD78" s="543">
        <f>$Y78</f>
        <v>0.34999988580903163</v>
      </c>
      <c r="AE78" s="543"/>
      <c r="AF78" s="543"/>
      <c r="AG78" s="543">
        <f t="shared" ref="AG78:AI80" si="104">$Y78</f>
        <v>0.34999988580903163</v>
      </c>
      <c r="AH78" s="543">
        <f t="shared" si="104"/>
        <v>0.34999988580903163</v>
      </c>
      <c r="AI78" s="543">
        <f>$Y78</f>
        <v>0.34999988580903163</v>
      </c>
      <c r="AJ78" s="543"/>
      <c r="AK78" s="543"/>
      <c r="AL78" s="543"/>
      <c r="AM78" s="543"/>
      <c r="AN78" s="544"/>
      <c r="AO78" s="543"/>
      <c r="AP78" s="543"/>
      <c r="AQ78" s="543"/>
      <c r="AR78" s="543"/>
      <c r="AS78" s="543"/>
      <c r="AT78" s="543"/>
      <c r="AU78" s="543"/>
      <c r="AV78" s="543"/>
      <c r="AW78" s="543"/>
      <c r="AX78" s="543"/>
      <c r="AY78" s="543"/>
      <c r="AZ78" s="543"/>
      <c r="BA78" s="543"/>
      <c r="BB78" s="543"/>
      <c r="BC78" s="543"/>
      <c r="BD78" s="543"/>
      <c r="BE78" s="543"/>
      <c r="BF78" s="543"/>
      <c r="BG78" s="543"/>
      <c r="BH78" s="543"/>
      <c r="BI78" s="543"/>
      <c r="BJ78" s="543"/>
      <c r="BK78" s="543"/>
      <c r="BL78" s="543"/>
      <c r="BM78" s="543"/>
      <c r="BN78" s="543"/>
      <c r="BO78" s="543"/>
      <c r="BP78" s="543"/>
      <c r="BQ78" s="543"/>
      <c r="BR78" s="543"/>
      <c r="BS78" s="543"/>
      <c r="BT78" s="543"/>
      <c r="BU78" s="543"/>
      <c r="BV78" s="543"/>
      <c r="BW78" s="543"/>
      <c r="BX78" s="543"/>
      <c r="BY78" s="543"/>
      <c r="BZ78" s="543"/>
      <c r="CA78" s="543"/>
      <c r="CB78" s="543"/>
      <c r="CC78" s="543"/>
      <c r="CD78" s="543"/>
      <c r="CE78" s="543"/>
      <c r="CF78" s="543"/>
      <c r="CG78" s="543"/>
      <c r="CH78" s="543"/>
      <c r="CI78" s="543"/>
      <c r="CJ78" s="543"/>
      <c r="CK78" s="543"/>
      <c r="CL78" s="543"/>
      <c r="CM78" s="543"/>
      <c r="CN78"/>
      <c r="CO78"/>
      <c r="CP78"/>
      <c r="CQ78"/>
      <c r="CR78"/>
      <c r="CS78"/>
      <c r="CT78"/>
      <c r="CU78"/>
    </row>
    <row r="79" spans="1:99" s="24" customFormat="1" ht="12.75" hidden="1" customHeight="1" outlineLevel="1">
      <c r="A79" s="543" t="s">
        <v>3</v>
      </c>
      <c r="B79" s="544"/>
      <c r="C79" s="543">
        <f t="shared" ref="C79:F80" si="105">$G79</f>
        <v>3.419020272779029E-3</v>
      </c>
      <c r="D79" s="543">
        <f t="shared" si="105"/>
        <v>3.419020272779029E-3</v>
      </c>
      <c r="E79" s="543">
        <f t="shared" si="105"/>
        <v>3.419020272779029E-3</v>
      </c>
      <c r="F79" s="543">
        <f t="shared" si="105"/>
        <v>3.419020272779029E-3</v>
      </c>
      <c r="G79" s="543">
        <f>1.105/323.192</f>
        <v>3.419020272779029E-3</v>
      </c>
      <c r="H79" s="543"/>
      <c r="I79" s="543">
        <f t="shared" ref="I79:L80" si="106">$M79</f>
        <v>4.2316868712922364E-3</v>
      </c>
      <c r="J79" s="543">
        <f t="shared" si="106"/>
        <v>4.2316868712922364E-3</v>
      </c>
      <c r="K79" s="543">
        <f t="shared" si="106"/>
        <v>4.2316868712922364E-3</v>
      </c>
      <c r="L79" s="543">
        <f t="shared" si="106"/>
        <v>4.2316868712922364E-3</v>
      </c>
      <c r="M79" s="543">
        <f>1.575/372.192</f>
        <v>4.2316868712922364E-3</v>
      </c>
      <c r="N79" s="543"/>
      <c r="O79" s="543">
        <f t="shared" ref="O79:R80" si="107">$S79</f>
        <v>6.3157568045684497E-3</v>
      </c>
      <c r="P79" s="543">
        <f t="shared" si="107"/>
        <v>6.3157568045684497E-3</v>
      </c>
      <c r="Q79" s="543">
        <f t="shared" si="107"/>
        <v>6.3157568045684497E-3</v>
      </c>
      <c r="R79" s="543">
        <f t="shared" si="107"/>
        <v>6.3157568045684497E-3</v>
      </c>
      <c r="S79" s="543">
        <f>2.442/386.652</f>
        <v>6.3157568045684497E-3</v>
      </c>
      <c r="T79" s="543"/>
      <c r="U79" s="543">
        <f t="shared" si="103"/>
        <v>5.1819861463517133E-3</v>
      </c>
      <c r="V79" s="543">
        <f t="shared" si="103"/>
        <v>5.1819861463517133E-3</v>
      </c>
      <c r="W79" s="543">
        <f t="shared" si="103"/>
        <v>5.1819861463517133E-3</v>
      </c>
      <c r="X79" s="543">
        <f t="shared" si="103"/>
        <v>5.1819861463517133E-3</v>
      </c>
      <c r="Y79" s="543">
        <f>2.269/437.863</f>
        <v>5.1819861463517133E-3</v>
      </c>
      <c r="Z79" s="543"/>
      <c r="AA79" s="543">
        <f t="shared" ref="AA79:AD80" si="108">$Y79</f>
        <v>5.1819861463517133E-3</v>
      </c>
      <c r="AB79" s="543">
        <f t="shared" si="108"/>
        <v>5.1819861463517133E-3</v>
      </c>
      <c r="AC79" s="543">
        <f t="shared" si="108"/>
        <v>5.1819861463517133E-3</v>
      </c>
      <c r="AD79" s="543">
        <f t="shared" si="108"/>
        <v>5.1819861463517133E-3</v>
      </c>
      <c r="AE79" s="543"/>
      <c r="AF79" s="543"/>
      <c r="AG79" s="543">
        <f t="shared" si="104"/>
        <v>5.1819861463517133E-3</v>
      </c>
      <c r="AH79" s="543">
        <f t="shared" si="104"/>
        <v>5.1819861463517133E-3</v>
      </c>
      <c r="AI79" s="543">
        <f t="shared" si="104"/>
        <v>5.1819861463517133E-3</v>
      </c>
      <c r="AJ79" s="543"/>
      <c r="AK79" s="543"/>
      <c r="AL79" s="543"/>
      <c r="AM79" s="543"/>
      <c r="AN79" s="544"/>
      <c r="AO79" s="543"/>
      <c r="AP79" s="543"/>
      <c r="AQ79" s="543"/>
      <c r="AR79" s="543"/>
      <c r="AS79" s="543"/>
      <c r="AT79" s="543"/>
      <c r="AU79" s="543"/>
      <c r="AV79" s="543"/>
      <c r="AW79" s="543"/>
      <c r="AX79" s="543"/>
      <c r="AY79" s="543"/>
      <c r="AZ79" s="543"/>
      <c r="BA79" s="543"/>
      <c r="BB79" s="543"/>
      <c r="BC79" s="543"/>
      <c r="BD79" s="543"/>
      <c r="BE79" s="543"/>
      <c r="BF79" s="543"/>
      <c r="BG79" s="543"/>
      <c r="BH79" s="543"/>
      <c r="BI79" s="543"/>
      <c r="BJ79" s="543"/>
      <c r="BK79" s="543"/>
      <c r="BL79" s="543"/>
      <c r="BM79" s="543"/>
      <c r="BN79" s="543"/>
      <c r="BO79" s="543"/>
      <c r="BP79" s="543"/>
      <c r="BQ79" s="543"/>
      <c r="BR79" s="543"/>
      <c r="BS79" s="543"/>
      <c r="BT79" s="543"/>
      <c r="BU79" s="543"/>
      <c r="BV79" s="543"/>
      <c r="BW79" s="543"/>
      <c r="BX79" s="543"/>
      <c r="BY79" s="543"/>
      <c r="BZ79" s="543"/>
      <c r="CA79" s="543"/>
      <c r="CB79" s="543"/>
      <c r="CC79" s="543"/>
      <c r="CD79" s="543"/>
      <c r="CE79" s="543"/>
      <c r="CF79" s="543"/>
      <c r="CG79" s="543"/>
      <c r="CH79" s="543"/>
      <c r="CI79" s="543"/>
      <c r="CJ79" s="543"/>
      <c r="CK79" s="543"/>
      <c r="CL79" s="543"/>
      <c r="CM79" s="543"/>
      <c r="CN79"/>
      <c r="CO79"/>
      <c r="CP79"/>
      <c r="CQ79"/>
      <c r="CR79"/>
      <c r="CS79"/>
      <c r="CT79"/>
      <c r="CU79"/>
    </row>
    <row r="80" spans="1:99" s="24" customFormat="1" ht="12.75" hidden="1" customHeight="1" outlineLevel="1">
      <c r="A80" s="543" t="s">
        <v>4</v>
      </c>
      <c r="B80" s="544"/>
      <c r="C80" s="543">
        <f t="shared" si="105"/>
        <v>-0.18377620733186464</v>
      </c>
      <c r="D80" s="543">
        <f t="shared" si="105"/>
        <v>-0.18377620733186464</v>
      </c>
      <c r="E80" s="543">
        <f t="shared" si="105"/>
        <v>-0.18377620733186464</v>
      </c>
      <c r="F80" s="543">
        <f t="shared" si="105"/>
        <v>-0.18377620733186464</v>
      </c>
      <c r="G80" s="543">
        <f>-59.395/323.192</f>
        <v>-0.18377620733186464</v>
      </c>
      <c r="H80" s="543"/>
      <c r="I80" s="543">
        <f t="shared" si="106"/>
        <v>-0.22085375290172815</v>
      </c>
      <c r="J80" s="543">
        <f t="shared" si="106"/>
        <v>-0.22085375290172815</v>
      </c>
      <c r="K80" s="543">
        <f t="shared" si="106"/>
        <v>-0.22085375290172815</v>
      </c>
      <c r="L80" s="543">
        <f t="shared" si="106"/>
        <v>-0.22085375290172815</v>
      </c>
      <c r="M80" s="543">
        <f>-82.2/372.192</f>
        <v>-0.22085375290172815</v>
      </c>
      <c r="N80" s="543"/>
      <c r="O80" s="543">
        <f t="shared" si="107"/>
        <v>-0.18970805789185108</v>
      </c>
      <c r="P80" s="543">
        <f t="shared" si="107"/>
        <v>-0.18970805789185108</v>
      </c>
      <c r="Q80" s="543">
        <f t="shared" si="107"/>
        <v>-0.18970805789185108</v>
      </c>
      <c r="R80" s="543">
        <f t="shared" si="107"/>
        <v>-0.18970805789185108</v>
      </c>
      <c r="S80" s="543">
        <f>-73.351/386.652</f>
        <v>-0.18970805789185108</v>
      </c>
      <c r="T80" s="543"/>
      <c r="U80" s="543">
        <f t="shared" si="103"/>
        <v>-0.22224303035424323</v>
      </c>
      <c r="V80" s="543">
        <f t="shared" si="103"/>
        <v>-0.22224303035424323</v>
      </c>
      <c r="W80" s="543">
        <f t="shared" si="103"/>
        <v>-0.22224303035424323</v>
      </c>
      <c r="X80" s="543">
        <f t="shared" si="103"/>
        <v>-0.22224303035424323</v>
      </c>
      <c r="Y80" s="543">
        <f>-97.312/437.863</f>
        <v>-0.22224303035424323</v>
      </c>
      <c r="Z80" s="543"/>
      <c r="AA80" s="543">
        <f t="shared" si="108"/>
        <v>-0.22224303035424323</v>
      </c>
      <c r="AB80" s="543">
        <f t="shared" si="108"/>
        <v>-0.22224303035424323</v>
      </c>
      <c r="AC80" s="543">
        <f t="shared" si="108"/>
        <v>-0.22224303035424323</v>
      </c>
      <c r="AD80" s="543">
        <f t="shared" si="108"/>
        <v>-0.22224303035424323</v>
      </c>
      <c r="AE80" s="543"/>
      <c r="AF80" s="543"/>
      <c r="AG80" s="543">
        <f t="shared" si="104"/>
        <v>-0.22224303035424323</v>
      </c>
      <c r="AH80" s="543">
        <f t="shared" si="104"/>
        <v>-0.22224303035424323</v>
      </c>
      <c r="AI80" s="543">
        <f t="shared" si="104"/>
        <v>-0.22224303035424323</v>
      </c>
      <c r="AJ80" s="543"/>
      <c r="AK80" s="543"/>
      <c r="AL80" s="543"/>
      <c r="AM80" s="543"/>
      <c r="AN80" s="544"/>
      <c r="AO80" s="543"/>
      <c r="AP80" s="543"/>
      <c r="AQ80" s="543"/>
      <c r="AR80" s="543"/>
      <c r="AS80" s="543"/>
      <c r="AT80" s="543"/>
      <c r="AU80" s="543"/>
      <c r="AV80" s="543"/>
      <c r="AW80" s="543"/>
      <c r="AX80" s="543"/>
      <c r="AY80" s="543"/>
      <c r="AZ80" s="543"/>
      <c r="BA80" s="543"/>
      <c r="BB80" s="543"/>
      <c r="BC80" s="543"/>
      <c r="BD80" s="543"/>
      <c r="BE80" s="543"/>
      <c r="BF80" s="543"/>
      <c r="BG80" s="543"/>
      <c r="BH80" s="543"/>
      <c r="BI80" s="543"/>
      <c r="BJ80" s="543"/>
      <c r="BK80" s="543"/>
      <c r="BL80" s="543"/>
      <c r="BM80" s="543"/>
      <c r="BN80" s="543"/>
      <c r="BO80" s="543"/>
      <c r="BP80" s="543"/>
      <c r="BQ80" s="543"/>
      <c r="BR80" s="543"/>
      <c r="BS80" s="543"/>
      <c r="BT80" s="543"/>
      <c r="BU80" s="543"/>
      <c r="BV80" s="543"/>
      <c r="BW80" s="543"/>
      <c r="BX80" s="543"/>
      <c r="BY80" s="543"/>
      <c r="BZ80" s="543"/>
      <c r="CA80" s="543"/>
      <c r="CB80" s="543"/>
      <c r="CC80" s="543"/>
      <c r="CD80" s="543"/>
      <c r="CE80" s="543"/>
      <c r="CF80" s="543"/>
      <c r="CG80" s="543"/>
      <c r="CH80" s="543"/>
      <c r="CI80" s="543"/>
      <c r="CJ80" s="543"/>
      <c r="CK80" s="543"/>
      <c r="CL80" s="543"/>
      <c r="CM80" s="543"/>
      <c r="CN80"/>
      <c r="CO80"/>
      <c r="CP80"/>
      <c r="CQ80"/>
      <c r="CR80"/>
      <c r="CS80"/>
      <c r="CT80"/>
      <c r="CU80"/>
    </row>
    <row r="81" spans="1:99" s="24" customFormat="1" ht="12.75" hidden="1" customHeight="1" outlineLevel="1">
      <c r="A81" s="73" t="s">
        <v>5</v>
      </c>
      <c r="B81" s="70"/>
      <c r="C81" s="84">
        <f t="shared" ref="C81:M81" si="109">C31-C71</f>
        <v>55.449999999999989</v>
      </c>
      <c r="D81" s="84">
        <f t="shared" si="109"/>
        <v>59.424000000000007</v>
      </c>
      <c r="E81" s="84">
        <f t="shared" si="109"/>
        <v>60.413999999999994</v>
      </c>
      <c r="F81" s="84">
        <f t="shared" si="109"/>
        <v>97.975999999999942</v>
      </c>
      <c r="G81" s="84">
        <f t="shared" si="109"/>
        <v>273.26399999999984</v>
      </c>
      <c r="H81" s="84">
        <f t="shared" si="109"/>
        <v>0</v>
      </c>
      <c r="I81" s="84">
        <f t="shared" si="109"/>
        <v>68.092000000000041</v>
      </c>
      <c r="J81" s="84">
        <f t="shared" si="109"/>
        <v>74.585000000000008</v>
      </c>
      <c r="K81" s="84">
        <f t="shared" si="109"/>
        <v>76.636999999999958</v>
      </c>
      <c r="L81" s="84">
        <f t="shared" si="109"/>
        <v>103.27199999999991</v>
      </c>
      <c r="M81" s="84">
        <f t="shared" si="109"/>
        <v>322.5859999999999</v>
      </c>
      <c r="N81" s="84"/>
      <c r="O81" s="84">
        <f>O31-O71</f>
        <v>69.671000000000021</v>
      </c>
      <c r="P81" s="84">
        <f>P31-P71</f>
        <v>72.954999999999984</v>
      </c>
      <c r="Q81" s="84">
        <f>Q31-Q71</f>
        <v>75.17300000000003</v>
      </c>
      <c r="R81" s="84">
        <f>R31-R71</f>
        <v>105.42099999999998</v>
      </c>
      <c r="S81" s="84">
        <f>S31-S71</f>
        <v>323.22000000000014</v>
      </c>
      <c r="T81" s="73"/>
      <c r="U81" s="84">
        <f>U31-U71</f>
        <v>74.435000000000002</v>
      </c>
      <c r="V81" s="84">
        <f>V31-V71</f>
        <v>84.9</v>
      </c>
      <c r="W81" s="84">
        <f>W31-W71</f>
        <v>89.02</v>
      </c>
      <c r="X81" s="84">
        <f>X31-X71</f>
        <v>126.199</v>
      </c>
      <c r="Y81" s="84">
        <f>Y31-Y71</f>
        <v>374.55400000000003</v>
      </c>
      <c r="Z81" s="73"/>
      <c r="AA81" s="84">
        <f>AA31-AA71</f>
        <v>93.826000000000008</v>
      </c>
      <c r="AB81" s="84">
        <f>AB31-AB71</f>
        <v>99.31100000000005</v>
      </c>
      <c r="AC81" s="84">
        <f>AC31-AC71</f>
        <v>102.43700000000001</v>
      </c>
      <c r="AD81" s="84">
        <f>AD31-AD71</f>
        <v>139.14699999999996</v>
      </c>
      <c r="AE81" s="84">
        <f>AE31-AE71</f>
        <v>434.72100000000012</v>
      </c>
      <c r="AF81" s="84"/>
      <c r="AG81" s="84">
        <f>AG31-AG71</f>
        <v>87.950000000000031</v>
      </c>
      <c r="AH81" s="84">
        <f>AH31-AH71</f>
        <v>101.714</v>
      </c>
      <c r="AI81" s="84">
        <f>AI31-AI71</f>
        <v>97.908000000000015</v>
      </c>
      <c r="AJ81" s="84">
        <f>AJ31-AJ71</f>
        <v>136.81499999999991</v>
      </c>
      <c r="AK81" s="84">
        <f>AK31-AK71</f>
        <v>424.38700000000006</v>
      </c>
      <c r="AL81" s="84"/>
      <c r="AM81" s="84">
        <f>AM31-AM71</f>
        <v>90.978000000000037</v>
      </c>
      <c r="AN81" s="341">
        <f>AN31-AN71</f>
        <v>91.163000000000011</v>
      </c>
      <c r="AO81" s="84">
        <f>AO31-AO71</f>
        <v>100.28000000000003</v>
      </c>
      <c r="AP81" s="84">
        <f>AP31-AP71</f>
        <v>143.57899999999992</v>
      </c>
      <c r="AQ81" s="84">
        <f>AQ31-AQ71</f>
        <v>426.00000000000006</v>
      </c>
      <c r="AR81" s="84"/>
      <c r="AS81" s="84">
        <f>AS31-AS71</f>
        <v>75.973999999999961</v>
      </c>
      <c r="AT81" s="84">
        <f>AT31-AT71</f>
        <v>101.22399999999998</v>
      </c>
      <c r="AU81" s="84">
        <f>AU31-AU71</f>
        <v>114.06700000000004</v>
      </c>
      <c r="AV81" s="84">
        <f>AV31-AV71</f>
        <v>164.56499999999997</v>
      </c>
      <c r="AW81" s="84">
        <f>AW31-AW71</f>
        <v>455.82999999999993</v>
      </c>
      <c r="AX81" s="84"/>
      <c r="AY81" s="84">
        <f>AY31-AY71</f>
        <v>98.672000000000025</v>
      </c>
      <c r="AZ81" s="84">
        <f>AZ31-AZ71</f>
        <v>107.11300000000001</v>
      </c>
      <c r="BA81" s="84">
        <f>BA31-BA71</f>
        <v>114.67099999999994</v>
      </c>
      <c r="BB81" s="84">
        <f>BB31-BB71</f>
        <v>158.643</v>
      </c>
      <c r="BC81" s="84">
        <f>BC31-BC71</f>
        <v>479.09899999999982</v>
      </c>
      <c r="BD81" s="73"/>
      <c r="BE81" s="84">
        <f>BE31-BE71</f>
        <v>100.93299999999996</v>
      </c>
      <c r="BF81" s="84">
        <f>BF31-BF71</f>
        <v>126.58999999999992</v>
      </c>
      <c r="BG81" s="84">
        <f>BG31-BG71</f>
        <v>125.00500000000005</v>
      </c>
      <c r="BH81" s="84">
        <f>BH31-BH71</f>
        <v>176.65099999999995</v>
      </c>
      <c r="BI81" s="84">
        <f>BI31-BI71</f>
        <v>529.17899999999975</v>
      </c>
      <c r="BJ81" s="84"/>
      <c r="BK81" s="84">
        <f>BK31-BK71</f>
        <v>115.88600000000002</v>
      </c>
      <c r="BL81" s="84">
        <f>BL31-BL71</f>
        <v>140.53399999999999</v>
      </c>
      <c r="BM81" s="84">
        <f>BM31-BM71</f>
        <v>140.51299999999995</v>
      </c>
      <c r="BN81" s="84">
        <f>BN31-BN71</f>
        <v>199.99899999999988</v>
      </c>
      <c r="BO81" s="84">
        <f>BO31-BO71</f>
        <v>596.93200000000013</v>
      </c>
      <c r="BP81" s="84"/>
      <c r="BQ81" s="84">
        <f>BQ31-BQ71</f>
        <v>122.67472369378999</v>
      </c>
      <c r="BR81" s="84">
        <f>BR31-BR71</f>
        <v>153.64871689256745</v>
      </c>
      <c r="BS81" s="84">
        <f>BS31-BS71</f>
        <v>150.0866692641045</v>
      </c>
      <c r="BT81" s="84">
        <f>BT31-BT71</f>
        <v>213.59901492334876</v>
      </c>
      <c r="BU81" s="84">
        <f>BU31-BU71</f>
        <v>640.00912477381087</v>
      </c>
      <c r="BV81" s="84"/>
      <c r="BW81" s="84">
        <f>BW31-BW71</f>
        <v>133.59051125642418</v>
      </c>
      <c r="BX81" s="84">
        <f>BX31-BX71</f>
        <v>164.47580258576488</v>
      </c>
      <c r="BY81" s="84">
        <f>BY31-BY71</f>
        <v>160.26428984701346</v>
      </c>
      <c r="BZ81" s="84">
        <f>BZ31-BZ71</f>
        <v>226.15127601715488</v>
      </c>
      <c r="CA81" s="84">
        <f>CA31-CA71</f>
        <v>684.48187970635752</v>
      </c>
      <c r="CB81" s="84"/>
      <c r="CC81" s="84">
        <f>CC31-CC71</f>
        <v>142.26773879583797</v>
      </c>
      <c r="CD81" s="84">
        <f>CD31-CD71</f>
        <v>238.11506464795346</v>
      </c>
      <c r="CE81" s="84">
        <f>CE31-CE71</f>
        <v>235.60003475521148</v>
      </c>
      <c r="CF81" s="84">
        <f>CF31-CF71</f>
        <v>305.60034719637196</v>
      </c>
      <c r="CG81" s="84">
        <f>CG31-CG71</f>
        <v>921.58318539537504</v>
      </c>
      <c r="CH81" s="84"/>
      <c r="CI81" s="84">
        <f>CI31-CI71</f>
        <v>223.31740046230712</v>
      </c>
      <c r="CJ81" s="84">
        <f>CJ31-CJ71</f>
        <v>185.62512212168841</v>
      </c>
      <c r="CK81" s="84">
        <f>CK31-CK71</f>
        <v>180.71309328305139</v>
      </c>
      <c r="CL81" s="84">
        <f>CL31-CL71</f>
        <v>250.69696500851811</v>
      </c>
      <c r="CM81" s="84">
        <f>CM31-CM71</f>
        <v>840.3525808755652</v>
      </c>
      <c r="CN81"/>
      <c r="CO81"/>
      <c r="CP81"/>
      <c r="CQ81"/>
      <c r="CR81"/>
      <c r="CS81"/>
      <c r="CT81"/>
      <c r="CU81"/>
    </row>
    <row r="82" spans="1:99" s="24" customFormat="1" ht="12.75" hidden="1" customHeight="1" outlineLevel="1">
      <c r="A82" s="73" t="s">
        <v>79</v>
      </c>
      <c r="B82" s="71"/>
      <c r="C82" s="90">
        <f>C81/C40</f>
        <v>0.53731661466307479</v>
      </c>
      <c r="D82" s="90">
        <f>D81/D40</f>
        <v>0.58184666601390389</v>
      </c>
      <c r="E82" s="90">
        <f>E81/E40</f>
        <v>0.59397121283624343</v>
      </c>
      <c r="F82" s="90">
        <f>F81/F40</f>
        <v>0.95327793885850998</v>
      </c>
      <c r="G82" s="90">
        <f>G81/G40</f>
        <v>2.6658602019413671</v>
      </c>
      <c r="I82" s="90">
        <f>I81/I40</f>
        <v>0.66767990743555339</v>
      </c>
      <c r="J82" s="90">
        <f>J81/J40</f>
        <v>0.73820953135052225</v>
      </c>
      <c r="K82" s="90">
        <f>K81/K40</f>
        <v>0.76205675874550005</v>
      </c>
      <c r="L82" s="90">
        <f>L81/L40</f>
        <v>1.045041033788364</v>
      </c>
      <c r="M82" s="90">
        <f>M81/M40</f>
        <v>3.2080552931231652</v>
      </c>
      <c r="O82" s="90">
        <f>O81/O40</f>
        <v>0.71145853543966442</v>
      </c>
      <c r="P82" s="90">
        <f>P81/P40</f>
        <v>0.75214441832652879</v>
      </c>
      <c r="Q82" s="90">
        <f>Q81/Q40</f>
        <v>0.77888989048107538</v>
      </c>
      <c r="R82" s="90">
        <f>R81/R40</f>
        <v>1.0968671640082819</v>
      </c>
      <c r="S82" s="90">
        <f>S81/S40</f>
        <v>3.336912308232332</v>
      </c>
      <c r="U82" s="90">
        <f>U81/U40</f>
        <v>0.78169139808659671</v>
      </c>
      <c r="V82" s="90">
        <f>V81/V40</f>
        <v>0.90052822503659391</v>
      </c>
      <c r="W82" s="90">
        <f>W81/W40</f>
        <v>0.95426966533027457</v>
      </c>
      <c r="X82" s="90">
        <f>X81/X40</f>
        <v>1.3519776311278711</v>
      </c>
      <c r="Y82" s="90">
        <f>Y81/Y40</f>
        <v>3.9822022815952032</v>
      </c>
      <c r="AA82" s="90">
        <f>AA81/AA40</f>
        <v>1.00549762626858</v>
      </c>
      <c r="AB82" s="90">
        <f>AB81/AB40</f>
        <v>1.0647575344962534</v>
      </c>
      <c r="AC82" s="90">
        <f>AC81/AC40</f>
        <v>1.112719965240061</v>
      </c>
      <c r="AD82" s="90">
        <f>AD81/AD40</f>
        <v>1.5364154318397629</v>
      </c>
      <c r="AE82" s="90">
        <f>AE81/AE40</f>
        <v>4.7085946385052813</v>
      </c>
      <c r="AG82" s="90">
        <f>AG81/AG40</f>
        <v>0.97431011753758245</v>
      </c>
      <c r="AH82" s="90">
        <f>AH81/AH40</f>
        <v>1.1379823452411586</v>
      </c>
      <c r="AI82" s="90">
        <f>AI81/AI40</f>
        <v>1.1069179545737191</v>
      </c>
      <c r="AJ82" s="90">
        <f>AJ81/AJ40</f>
        <v>1.5573527905203117</v>
      </c>
      <c r="AK82" s="90">
        <f>AK81/AK40</f>
        <v>4.71651163049156</v>
      </c>
      <c r="AM82" s="90">
        <f>AM81/AM40</f>
        <v>1.0431462477784788</v>
      </c>
      <c r="AN82" s="90">
        <f>AN81/AN40</f>
        <v>1.0529823507669565</v>
      </c>
      <c r="AO82" s="90">
        <f>AO81/AO40</f>
        <v>1.1611319531286186</v>
      </c>
      <c r="AP82" s="90">
        <f>AP81/AP40</f>
        <v>1.6691932989990343</v>
      </c>
      <c r="AQ82" s="90">
        <f>AQ81/AQ40</f>
        <v>4.9224085136868387</v>
      </c>
      <c r="AS82" s="90">
        <f>AS81/AS40</f>
        <v>0.8847251173244205</v>
      </c>
      <c r="AT82" s="90">
        <f>AT81/AT40</f>
        <v>1.1833804858659307</v>
      </c>
      <c r="AU82" s="90">
        <f>AU81/AU40</f>
        <v>1.3514887264368911</v>
      </c>
      <c r="AV82" s="90">
        <f>AV81/AV40</f>
        <v>1.9587573647562933</v>
      </c>
      <c r="AW82" s="90">
        <f>AW81/AW40</f>
        <v>5.3531960869514155</v>
      </c>
      <c r="AY82" s="90">
        <f>AY81/AY40</f>
        <v>1.1781449995223998</v>
      </c>
      <c r="AZ82" s="90">
        <f>AZ81/AZ40</f>
        <v>1.2853765660250567</v>
      </c>
      <c r="BA82" s="90">
        <f>BA81/BA40</f>
        <v>1.3851831271743322</v>
      </c>
      <c r="BB82" s="90">
        <f>BB81/BB40</f>
        <v>1.925699788788813</v>
      </c>
      <c r="BC82" s="90">
        <f>BC81/BC40</f>
        <v>5.7679337848005998</v>
      </c>
      <c r="BE82" s="90">
        <f>BE81/BE40</f>
        <v>1.2312806499621827</v>
      </c>
      <c r="BF82" s="90">
        <f>BF81/BF40</f>
        <v>1.5541096310846469</v>
      </c>
      <c r="BG82" s="90">
        <f>BG81/BG40</f>
        <v>1.5359143854130834</v>
      </c>
      <c r="BH82" s="90">
        <f>BH81/BH40</f>
        <v>2.1821157694493163</v>
      </c>
      <c r="BI82" s="90">
        <f>BI81/BI40</f>
        <v>6.4975581006289662</v>
      </c>
      <c r="BK82" s="90">
        <f>BK81/BK40</f>
        <v>1.4347831469994679</v>
      </c>
      <c r="BL82" s="90">
        <f>BL81/BL40</f>
        <v>1.7402298281242259</v>
      </c>
      <c r="BM82" s="90">
        <f>BM81/BM40</f>
        <v>1.7450478757094416</v>
      </c>
      <c r="BN82" s="90">
        <f>BN81/BN40</f>
        <v>2.517167165907316</v>
      </c>
      <c r="BO82" s="90">
        <f>BO81/BO40</f>
        <v>7.4268367029549003</v>
      </c>
      <c r="BQ82" s="90">
        <f>BQ81/BQ40</f>
        <v>1.5595103589662567</v>
      </c>
      <c r="BR82" s="90">
        <f>BR81/BR40</f>
        <v>1.9727049712834805</v>
      </c>
      <c r="BS82" s="90">
        <f>BS81/BS40</f>
        <v>1.9459268150388034</v>
      </c>
      <c r="BT82" s="90">
        <f>BT81/BT40</f>
        <v>2.796314718913647</v>
      </c>
      <c r="BU82" s="90">
        <f>BU81/BU40</f>
        <v>8.2564726432599809</v>
      </c>
      <c r="BW82" s="90">
        <f>BW81/BW40</f>
        <v>1.7656969519313217</v>
      </c>
      <c r="BX82" s="90">
        <f>BX81/BX40</f>
        <v>2.1945615093217241</v>
      </c>
      <c r="BY82" s="90">
        <f>BY81/BY40</f>
        <v>2.1584363469238319</v>
      </c>
      <c r="BZ82" s="90">
        <f>BZ81/BZ40</f>
        <v>3.0740430074368086</v>
      </c>
      <c r="CA82" s="90">
        <f>CA81/CA40</f>
        <v>9.1746221966281247</v>
      </c>
      <c r="CC82" s="90">
        <f>CC81/CC40</f>
        <v>1.9515404229232058</v>
      </c>
      <c r="CD82" s="90">
        <f>CD81/CD40</f>
        <v>3.2958707940991561</v>
      </c>
      <c r="CE82" s="90">
        <f>CE81/CE40</f>
        <v>3.2902049540375424</v>
      </c>
      <c r="CF82" s="90">
        <f>CF81/CF40</f>
        <v>4.3054447505563784</v>
      </c>
      <c r="CG82" s="90">
        <f>CG81/CG40</f>
        <v>12.811636324476778</v>
      </c>
      <c r="CI82" s="90">
        <f>CI81/CI40</f>
        <v>3.173626191163339</v>
      </c>
      <c r="CJ82" s="90">
        <f>CJ81/CJ40</f>
        <v>2.6606737907200784</v>
      </c>
      <c r="CK82" s="90">
        <f>CK81/CK40</f>
        <v>2.6122756746651117</v>
      </c>
      <c r="CL82" s="90">
        <f>CL81/CL40</f>
        <v>3.6543152530437766</v>
      </c>
      <c r="CM82" s="90">
        <f>CM81/CM40</f>
        <v>12.095134642977133</v>
      </c>
      <c r="CN82"/>
      <c r="CO82"/>
      <c r="CP82"/>
      <c r="CQ82"/>
      <c r="CR82"/>
      <c r="CS82"/>
      <c r="CT82"/>
      <c r="CU82"/>
    </row>
    <row r="83" spans="1:99" s="24" customFormat="1" collapsed="1">
      <c r="B83" s="71"/>
      <c r="AN83" s="71"/>
      <c r="CN83"/>
      <c r="CO83"/>
      <c r="CP83"/>
      <c r="CQ83"/>
      <c r="CR83"/>
      <c r="CS83"/>
      <c r="CT83"/>
      <c r="CU83"/>
    </row>
    <row r="84" spans="1:99" s="24" customFormat="1">
      <c r="B84" s="71"/>
      <c r="AN84" s="71"/>
      <c r="CN84"/>
      <c r="CO84"/>
      <c r="CP84"/>
      <c r="CQ84"/>
      <c r="CR84"/>
      <c r="CS84"/>
      <c r="CT84"/>
      <c r="CU84"/>
    </row>
    <row r="85" spans="1:99" ht="15" customHeight="1">
      <c r="A85" s="1" t="s">
        <v>124</v>
      </c>
      <c r="B85" s="2"/>
      <c r="C85" s="2"/>
      <c r="D85" s="2"/>
      <c r="E85" s="2"/>
      <c r="F85" s="2"/>
      <c r="G85" s="3"/>
      <c r="H85" s="2"/>
      <c r="I85" s="2"/>
      <c r="J85" s="2"/>
      <c r="K85" s="2"/>
      <c r="L85" s="2"/>
      <c r="M85" s="3"/>
      <c r="N85" s="2"/>
      <c r="O85" s="102"/>
      <c r="P85" s="2"/>
      <c r="Q85" s="2"/>
      <c r="R85" s="2"/>
      <c r="S85" s="3"/>
      <c r="T85" s="2"/>
      <c r="U85" s="2"/>
      <c r="V85" s="2"/>
      <c r="W85" s="2"/>
      <c r="X85" s="2"/>
      <c r="Y85" s="3"/>
      <c r="Z85" s="2"/>
      <c r="AA85" s="2"/>
      <c r="AB85" s="2"/>
      <c r="AC85" s="2"/>
      <c r="AD85" s="116"/>
      <c r="AE85" s="116"/>
      <c r="AF85" s="2"/>
      <c r="AG85" s="2"/>
      <c r="AH85" s="2"/>
      <c r="AI85" s="2"/>
      <c r="AJ85" s="2"/>
      <c r="AK85" s="3"/>
      <c r="AL85" s="2"/>
      <c r="AM85" s="2"/>
      <c r="AN85" s="2"/>
      <c r="AO85" s="2"/>
      <c r="AP85" s="2"/>
      <c r="AQ85" s="3"/>
      <c r="AR85" s="2"/>
      <c r="AS85" s="2"/>
      <c r="AT85" s="2"/>
      <c r="AU85" s="2"/>
      <c r="AV85" s="2"/>
      <c r="AW85" s="3"/>
      <c r="AX85" s="2"/>
      <c r="AY85" s="2"/>
      <c r="AZ85" s="2"/>
      <c r="BA85" s="2"/>
      <c r="BB85" s="2"/>
      <c r="BC85" s="3"/>
      <c r="BD85" s="2"/>
      <c r="BE85" s="2"/>
      <c r="BF85" s="2"/>
      <c r="BG85" s="2"/>
      <c r="BH85" s="2"/>
      <c r="BI85" s="3"/>
      <c r="BJ85" s="2"/>
      <c r="BK85" s="2"/>
      <c r="BL85" s="2"/>
      <c r="BM85" s="2"/>
      <c r="BN85" s="2"/>
      <c r="BO85" s="3"/>
      <c r="BP85" s="2"/>
      <c r="BQ85" s="2"/>
      <c r="BR85" s="2"/>
      <c r="BS85" s="2"/>
      <c r="BT85" s="2"/>
      <c r="BU85" s="3"/>
      <c r="BV85" s="2"/>
      <c r="BW85" s="2"/>
      <c r="BX85" s="2"/>
      <c r="BY85" s="2"/>
      <c r="BZ85" s="2"/>
      <c r="CA85" s="3"/>
      <c r="CB85" s="2"/>
      <c r="CC85" s="2"/>
      <c r="CD85" s="2"/>
      <c r="CE85" s="2"/>
      <c r="CF85" s="2"/>
      <c r="CG85" s="3"/>
      <c r="CH85" s="2"/>
      <c r="CI85" s="2"/>
      <c r="CJ85" s="2"/>
      <c r="CK85" s="2"/>
      <c r="CL85" s="2"/>
      <c r="CM85" s="3"/>
    </row>
    <row r="86" spans="1:99" s="24" customFormat="1">
      <c r="A86" s="545" t="s">
        <v>166</v>
      </c>
      <c r="B86" s="71"/>
      <c r="AN86" s="71"/>
      <c r="CN86"/>
      <c r="CO86"/>
      <c r="CP86"/>
      <c r="CQ86"/>
      <c r="CR86"/>
      <c r="CS86"/>
      <c r="CT86"/>
      <c r="CU86"/>
    </row>
    <row r="87" spans="1:99" s="24" customFormat="1">
      <c r="A87" s="546" t="s">
        <v>125</v>
      </c>
      <c r="B87" s="71"/>
      <c r="C87" s="547"/>
      <c r="D87" s="547"/>
      <c r="E87" s="547"/>
      <c r="F87" s="547"/>
      <c r="G87" s="547"/>
      <c r="I87" s="547">
        <f>(I15-C15)/(I$9-C$9)</f>
        <v>0.70357342131437917</v>
      </c>
      <c r="J87" s="547">
        <f>(J15-D15)/(J$9-D$9)</f>
        <v>0.68786391887471421</v>
      </c>
      <c r="K87" s="547">
        <f>(K15-E15)/(K$9-E$9)</f>
        <v>0.81595984794487975</v>
      </c>
      <c r="L87" s="547">
        <f>(L15-F15)/(L$9-F$9)</f>
        <v>0.42539631533847611</v>
      </c>
      <c r="M87" s="547">
        <f>(M15-G15)/(M$9-G$9)</f>
        <v>0.78447431325678962</v>
      </c>
      <c r="O87" s="547">
        <f>(O15-I15)/(O$9-I$9)</f>
        <v>0.28113285061367105</v>
      </c>
      <c r="P87" s="547">
        <f>(P15-J15)/(P$9-J$9)</f>
        <v>0.37225089766606906</v>
      </c>
      <c r="Q87" s="547">
        <f>(Q15-K15)/(Q$9-K$9)</f>
        <v>0.66169919818579259</v>
      </c>
      <c r="R87" s="547">
        <f>(R15-L15)/(R$9-L$9)</f>
        <v>1.1076352572026182</v>
      </c>
      <c r="S87" s="547">
        <f>(S15-M15)/(S$9-M$9)</f>
        <v>0.2713807180990267</v>
      </c>
      <c r="U87" s="547">
        <f>(U15-O15)/(U$9-O$9)</f>
        <v>0.46669360424844153</v>
      </c>
      <c r="V87" s="547">
        <f>(V15-P15)/(V$9-P$9)</f>
        <v>0.61092210645687128</v>
      </c>
      <c r="W87" s="547">
        <f>(W15-Q15)/(W$9-Q$9)</f>
        <v>0.63649122807017477</v>
      </c>
      <c r="X87" s="547">
        <f>(X15-R15)/(X$9-R$9)</f>
        <v>0.6506120957427376</v>
      </c>
      <c r="Y87" s="547">
        <f>(Y15-S15)/(Y$9-S$9)</f>
        <v>0.59618029874681155</v>
      </c>
      <c r="AA87" s="547">
        <f>(AA15-U15)/(AA$9-U$9)</f>
        <v>0.60107173263442548</v>
      </c>
      <c r="AB87" s="547">
        <f>(AB15-V15)/(AB$9-V$9)</f>
        <v>0.62932192604115156</v>
      </c>
      <c r="AC87" s="547">
        <f>(AC15-W15)/(AC$9-W$9)</f>
        <v>0.6759944668760286</v>
      </c>
      <c r="AD87" s="547">
        <f>(AD15-X15)/(AD$9-X$9)</f>
        <v>0.60387928756408182</v>
      </c>
      <c r="AE87" s="547">
        <f>(AE15-Y15)/(AE$9-Y$9)</f>
        <v>0.62856029218576326</v>
      </c>
      <c r="AG87" s="547">
        <f>(AG15-AA15)/(AG$9-AA$9)</f>
        <v>0.64464660601819546</v>
      </c>
      <c r="AH87" s="547">
        <f>(AH15-AB15)/(AH$9-AB$9)</f>
        <v>0.67352787910369571</v>
      </c>
      <c r="AI87" s="547">
        <f>(AI15-AC15)/(AI$9-AC$9)</f>
        <v>1.5202968136185111</v>
      </c>
      <c r="AJ87" s="547">
        <f>(AJ15-AD15)/(AJ$9-AD$9)</f>
        <v>-10.907514450867104</v>
      </c>
      <c r="AK87" s="547">
        <f>(AK15-AE15)/(AK$9-AE$9)</f>
        <v>1.6917672013787814</v>
      </c>
      <c r="AM87" s="547">
        <f>(AM15-AG15)/(AM$9-AG$9)</f>
        <v>0.26336032388664304</v>
      </c>
      <c r="AN87" s="979">
        <f>(AN15-AH15)/(AN$9-AH$9)</f>
        <v>32.351428571431661</v>
      </c>
      <c r="AO87" s="547">
        <f>(AO15-AI15)/(AO$9-AI$9)</f>
        <v>-0.20380176510522396</v>
      </c>
      <c r="AP87" s="547">
        <f>(AP15-AJ15)/(AP$9-AJ$9)</f>
        <v>0.52776887505150916</v>
      </c>
      <c r="AQ87" s="547">
        <f>(AQ15-AK15)/(AQ$9-AK$9)</f>
        <v>0.21182957227990704</v>
      </c>
      <c r="AS87" s="547">
        <f>(AS15-AM15)/(AS$9-AM$9)</f>
        <v>-76.358823529430452</v>
      </c>
      <c r="AT87" s="547">
        <f>(AT15-AN15)/(AT$9-AN$9)</f>
        <v>0.55927784657498503</v>
      </c>
      <c r="AU87" s="547">
        <f>(AU15-AO15)/(AU$9-AO$9)</f>
        <v>0.70280071412631129</v>
      </c>
      <c r="AV87" s="547">
        <f>(AV15-AP15)/(AV$9-AP$9)</f>
        <v>0.77592009553794483</v>
      </c>
      <c r="AW87" s="547">
        <f>(AW15-AQ15)/(AW$9-AQ$9)</f>
        <v>0.51299250522754491</v>
      </c>
      <c r="AY87" s="547">
        <f>(AY15-AS15)/(AY$9-AS$9)</f>
        <v>0.94892293283382434</v>
      </c>
      <c r="AZ87" s="547">
        <f>(AZ15-AT15)/(AZ$9-AT$9)</f>
        <v>0.47028363861195038</v>
      </c>
      <c r="BA87" s="547">
        <f>(BA15-AU15)/(BA$9-AU$9)</f>
        <v>0.38189666801563754</v>
      </c>
      <c r="BB87" s="547">
        <f>(BB15-AV15)/(BB$9-AV$9)</f>
        <v>-0.75036496350364101</v>
      </c>
      <c r="BC87" s="547">
        <f>(BC15-AW15)/(BC$9-AW$9)</f>
        <v>0.66484864497621965</v>
      </c>
      <c r="BE87" s="547">
        <f>(BE15-AY15)/(BE$9-AY$9)</f>
        <v>0.19788438215873588</v>
      </c>
      <c r="BF87" s="547">
        <f>(BF15-AZ15)/(BF$9-AZ$9)</f>
        <v>0.72089909134385355</v>
      </c>
      <c r="BG87" s="547">
        <f>(BG15-BA15)/(BG$9-BA$9)</f>
        <v>0.56041444461374623</v>
      </c>
      <c r="BH87" s="547">
        <f>(BH15-BB15)/(BH$9-BB$9)</f>
        <v>0.67603196054721681</v>
      </c>
      <c r="BI87" s="547">
        <f>(BI15-BC15)/(BI$9-BC$9)</f>
        <v>0.61003589386926327</v>
      </c>
      <c r="BK87" s="547">
        <f>(BK15-BE15)/(BK$9-BE$9)</f>
        <v>0.56238172776482176</v>
      </c>
      <c r="BL87" s="547">
        <f>(BL15-BF15)/(BL$9-BF$9)</f>
        <v>0.5736284001844183</v>
      </c>
      <c r="BM87" s="547">
        <f>(BM15-BG15)/(BM$9-BG$9)</f>
        <v>0.54719512824482519</v>
      </c>
      <c r="BN87" s="547">
        <f>(BN15-BH15)/(BN$9-BH$9)</f>
        <v>0.67730132676788324</v>
      </c>
      <c r="BO87" s="547">
        <f>(BO15-BI15)/(BO$9-BI$9)</f>
        <v>0.60739825632699196</v>
      </c>
      <c r="BQ87" s="547">
        <f>(BQ15-BK15)/(BQ$9-BK$9)</f>
        <v>0.57370820520476706</v>
      </c>
      <c r="BR87" s="547">
        <f>(BR15-BL15)/(BR$9-BL$9)</f>
        <v>0.58931000131025935</v>
      </c>
      <c r="BS87" s="547">
        <f>(BS15-BM15)/(BS$9-BM$9)</f>
        <v>0.58244060908660911</v>
      </c>
      <c r="BT87" s="547">
        <f>(BT15-BN15)/(BT$9-BN$9)</f>
        <v>0.60633257149960218</v>
      </c>
      <c r="BU87" s="547">
        <f>(BU15-BO15)/(BU$9-BO$9)</f>
        <v>0.58839714711837754</v>
      </c>
      <c r="BW87" s="547">
        <f>(BW15-BQ15)/(BW$9-BQ$9)</f>
        <v>0.61458309428296853</v>
      </c>
      <c r="BX87" s="547">
        <f>(BX15-BR15)/(BX$9-BR$9)</f>
        <v>0.63085714752409117</v>
      </c>
      <c r="BY87" s="547">
        <f>(BY15-BS15)/(BY$9-BS$9)</f>
        <v>0.62710531139170667</v>
      </c>
      <c r="BZ87" s="547">
        <f>(BZ15-BT15)/(BZ$9-BT$9)</f>
        <v>0.65745798082970364</v>
      </c>
      <c r="CA87" s="547">
        <f>(CA15-BU15)/(CA$9-BU$9)</f>
        <v>0.63266983095084861</v>
      </c>
      <c r="CC87" s="547">
        <f>(CC15-BW15)/(CC$9-BW$9)</f>
        <v>0.62007228239782608</v>
      </c>
      <c r="CD87" s="547">
        <f>(CD15-BX15)/(CD$9-BX$9)</f>
        <v>0.63698593316841279</v>
      </c>
      <c r="CE87" s="547">
        <f>(CE15-BY15)/(CE$9-BY$9)</f>
        <v>0.63474011736622404</v>
      </c>
      <c r="CF87" s="547">
        <f>(CF15-BZ15)/(CF$9-BZ$9)</f>
        <v>0.66661913497846781</v>
      </c>
      <c r="CG87" s="547">
        <f>(CG15-CA15)/(CG$9-CA$9)</f>
        <v>0.63955980480604202</v>
      </c>
      <c r="CI87" s="547">
        <f>(CI15-CC15)/(CI$9-CC$9)</f>
        <v>0.62229872420975219</v>
      </c>
      <c r="CJ87" s="547">
        <f>(CJ15-CD15)/(CJ$9-CD$9)</f>
        <v>0.6389078598056448</v>
      </c>
      <c r="CK87" s="547">
        <f>(CK15-CE15)/(CK$9-CE$9)</f>
        <v>0.63699503711072714</v>
      </c>
      <c r="CL87" s="547">
        <f>(CL15-CF15)/(CL$9-CF$9)</f>
        <v>0.66846940453401205</v>
      </c>
      <c r="CM87" s="547">
        <f>(CM15-CG15)/(CM$9-CG$9)</f>
        <v>0.64157163880673085</v>
      </c>
      <c r="CN87"/>
      <c r="CO87"/>
      <c r="CP87"/>
      <c r="CQ87"/>
      <c r="CR87"/>
      <c r="CS87"/>
      <c r="CT87"/>
      <c r="CU87"/>
    </row>
    <row r="88" spans="1:99" s="24" customFormat="1">
      <c r="A88" s="546" t="s">
        <v>229</v>
      </c>
      <c r="B88" s="71"/>
      <c r="C88" s="547"/>
      <c r="D88" s="547"/>
      <c r="E88" s="547"/>
      <c r="F88" s="547"/>
      <c r="G88" s="547"/>
      <c r="I88" s="547">
        <f>(I22-C22)/(I$9-C$9)</f>
        <v>0.38834574610028938</v>
      </c>
      <c r="J88" s="547">
        <f>(J22-D22)/(J$9-D$9)</f>
        <v>0.40817795224075903</v>
      </c>
      <c r="K88" s="547">
        <f>(K22-E22)/(K$9-E$9)</f>
        <v>0.53474697077690625</v>
      </c>
      <c r="L88" s="547">
        <f>(L22-F22)/(L$9-F$9)</f>
        <v>0.3321015424164534</v>
      </c>
      <c r="M88" s="547">
        <f>(M22-G22)/(M$9-G$9)</f>
        <v>0.45583682746189197</v>
      </c>
      <c r="O88" s="548">
        <f>(O22-I22)/(O$9-I$9)</f>
        <v>1.3274790735891702E-2</v>
      </c>
      <c r="P88" s="548">
        <f>(P22-J22)/(P$9-J$9)</f>
        <v>7.0466786355476527E-2</v>
      </c>
      <c r="Q88" s="548">
        <f>(Q22-K22)/(Q$9-K$9)</f>
        <v>0.22240220296427921</v>
      </c>
      <c r="R88" s="547">
        <f>(R22-L22)/(R$9-L$9)</f>
        <v>0.51963487686602539</v>
      </c>
      <c r="S88" s="547">
        <f>(S22-M22)/(S$9-M$9)</f>
        <v>4.0563173872074938E-3</v>
      </c>
      <c r="U88" s="547">
        <f>(U22-O22)/(U$9-O$9)</f>
        <v>0.19025629184945714</v>
      </c>
      <c r="V88" s="547">
        <f>(V22-P22)/(V$9-P$9)</f>
        <v>0.52796087603657249</v>
      </c>
      <c r="W88" s="547">
        <f>(W22-Q22)/(W$9-Q$9)</f>
        <v>0.45754385964912214</v>
      </c>
      <c r="X88" s="547">
        <f>(X22-R22)/(X$9-R$9)</f>
        <v>0.39281929471953297</v>
      </c>
      <c r="Y88" s="547">
        <f>(Y22-S22)/(Y$9-S$9)</f>
        <v>0.38277885685451774</v>
      </c>
      <c r="AA88" s="547">
        <f>(AA22-U22)/(AA$9-U$9)</f>
        <v>0.35719413051099297</v>
      </c>
      <c r="AB88" s="547">
        <f>(AB22-V22)/(AB$9-V$9)</f>
        <v>0.22793961677154845</v>
      </c>
      <c r="AC88" s="547">
        <f>(AC22-W22)/(AC$9-W$9)</f>
        <v>0.4002168386421418</v>
      </c>
      <c r="AD88" s="547">
        <f>(AD22-X22)/(AD$9-X$9)</f>
        <v>0.43055335341683804</v>
      </c>
      <c r="AE88" s="547">
        <f>(AE22-Y22)/(AE$9-Y$9)</f>
        <v>0.34644127172024874</v>
      </c>
      <c r="AG88" s="547">
        <f>(AG22-AA22)/(AG$9-AA$9)</f>
        <v>0.72540237928621498</v>
      </c>
      <c r="AH88" s="547">
        <f>(AH22-AB22)/(AH$9-AB$9)</f>
        <v>1.8642522146951837</v>
      </c>
      <c r="AI88" s="547">
        <f>(AI22-AC22)/(AI$9-AC$9)</f>
        <v>0.54801396769969424</v>
      </c>
      <c r="AJ88" s="547">
        <f>(AJ22-AD22)/(AJ$9-AD$9)</f>
        <v>-3.5260115606937656</v>
      </c>
      <c r="AK88" s="547">
        <f>(AK22-AE22)/(AK$9-AE$9)</f>
        <v>0.23319634097839581</v>
      </c>
      <c r="AM88" s="547">
        <f>(AM22-AG22)/(AM$9-AG$9)</f>
        <v>-3.4615384615383063E-2</v>
      </c>
      <c r="AN88" s="979">
        <f>(AN22-AH22)/(AN$9-AH$9)</f>
        <v>34.974285714289081</v>
      </c>
      <c r="AO88" s="547">
        <f>(AO22-AI22)/(AO$9-AI$9)</f>
        <v>-0.77216564833672452</v>
      </c>
      <c r="AP88" s="547">
        <f>(AP22-AJ22)/(AP$9-AJ$9)</f>
        <v>0.30909756879263778</v>
      </c>
      <c r="AQ88" s="547">
        <f>(AQ22-AK22)/(AQ$9-AK$9)</f>
        <v>-7.8709741320964186E-2</v>
      </c>
      <c r="AS88" s="547">
        <f>(AS22-AM22)/(AS$9-AM$9)</f>
        <v>-77.32352941178371</v>
      </c>
      <c r="AT88" s="547">
        <f>(AT22-AN22)/(AT$9-AN$9)</f>
        <v>0.29668252623346031</v>
      </c>
      <c r="AU88" s="547">
        <f>(AU22-AO22)/(AU$9-AO$9)</f>
        <v>0.4796362419102882</v>
      </c>
      <c r="AV88" s="547">
        <f>(AV22-AP22)/(AV$9-AP$9)</f>
        <v>0.63706437954619644</v>
      </c>
      <c r="AW88" s="547">
        <f>(AW22-AQ22)/(AW$9-AQ$9)</f>
        <v>0.29237835678875829</v>
      </c>
      <c r="AY88" s="547">
        <f>(AY22-AS22)/(AY$9-AS$9)</f>
        <v>0.80284987958255472</v>
      </c>
      <c r="AZ88" s="547">
        <f>(AZ22-AT22)/(AZ$9-AT$9)</f>
        <v>0.59857794265399333</v>
      </c>
      <c r="BA88" s="547">
        <f>(BA22-AU22)/(BA$9-AU$9)</f>
        <v>-0.19978416295698334</v>
      </c>
      <c r="BB88" s="547">
        <f>(BB22-AV22)/(BB$9-AV$9)</f>
        <v>0.31459854014599281</v>
      </c>
      <c r="BC88" s="547">
        <f>(BC22-AW22)/(BC$9-AW$9)</f>
        <v>0.58745376311617781</v>
      </c>
      <c r="BE88" s="547">
        <f>(BE22-AY22)/(BE$9-AY$9)</f>
        <v>0.15301172348739606</v>
      </c>
      <c r="BF88" s="547">
        <f>(BF22-AZ22)/(BF$9-AZ$9)</f>
        <v>0.50616929698708635</v>
      </c>
      <c r="BG88" s="547">
        <f>(BG22-BA22)/(BG$9-BA$9)</f>
        <v>0.57226116105439861</v>
      </c>
      <c r="BH88" s="547">
        <f>(BH22-BB22)/(BH$9-BB$9)</f>
        <v>0.48386561396021405</v>
      </c>
      <c r="BI88" s="547">
        <f>(BI22-BC22)/(BI$9-BC$9)</f>
        <v>0.47061739053968665</v>
      </c>
      <c r="BK88" s="547">
        <f>(BK22-BE22)/(BK$9-BE$9)</f>
        <v>0.39374202350042048</v>
      </c>
      <c r="BL88" s="547">
        <f>(BL22-BF22)/(BL$9-BF$9)</f>
        <v>0.51438450899031996</v>
      </c>
      <c r="BM88" s="547">
        <f>(BM22-BG22)/(BM$9-BG$9)</f>
        <v>0.30783919079320643</v>
      </c>
      <c r="BN88" s="547">
        <f>(BN22-BH22)/(BN$9-BH$9)</f>
        <v>0.36272397756804708</v>
      </c>
      <c r="BO88" s="547">
        <f>(BO22-BI22)/(BO$9-BI$9)</f>
        <v>0.37590625110303405</v>
      </c>
      <c r="BQ88" s="547">
        <f>(BQ22-BK22)/(BQ$9-BK$9)</f>
        <v>0.30624165851961166</v>
      </c>
      <c r="BR88" s="547">
        <f>(BR22-BL22)/(BR$9-BL$9)</f>
        <v>0.33717306584506795</v>
      </c>
      <c r="BS88" s="547">
        <f>(BS22-BM22)/(BS$9-BM$9)</f>
        <v>0.34512673289154677</v>
      </c>
      <c r="BT88" s="547">
        <f>(BT22-BN22)/(BT$9-BN$9)</f>
        <v>0.39189147128020241</v>
      </c>
      <c r="BU88" s="547">
        <f>(BU22-BO22)/(BU$9-BO$9)</f>
        <v>0.34527665936746599</v>
      </c>
      <c r="BW88" s="547">
        <f>(BW22-BQ22)/(BW$9-BQ$9)</f>
        <v>0.31248779718616121</v>
      </c>
      <c r="BX88" s="547">
        <f>(BX22-BR22)/(BX$9-BR$9)</f>
        <v>0.34462472477442702</v>
      </c>
      <c r="BY88" s="547">
        <f>(BY22-BS22)/(BY$9-BS$9)</f>
        <v>0.34263077180077051</v>
      </c>
      <c r="BZ88" s="547">
        <f>(BZ22-BT22)/(BZ$9-BT$9)</f>
        <v>0.39697393150446969</v>
      </c>
      <c r="CA88" s="547">
        <f>(CA22-BU22)/(CA$9-BU$9)</f>
        <v>0.34945225598604218</v>
      </c>
      <c r="CC88" s="547">
        <f>(CC22-BW22)/(CC$9-BW$9)</f>
        <v>0.31797698530101903</v>
      </c>
      <c r="CD88" s="547">
        <f>(CD22-BX22)/(CD$9-BX$9)</f>
        <v>0.35075351041874875</v>
      </c>
      <c r="CE88" s="547">
        <f>(CE22-BY22)/(CE$9-BY$9)</f>
        <v>0.35026557777528872</v>
      </c>
      <c r="CF88" s="547">
        <f>(CF22-BZ22)/(CF$9-BZ$9)</f>
        <v>0.40613508565323375</v>
      </c>
      <c r="CG88" s="547">
        <f>(CG22-CA22)/(CG$9-CA$9)</f>
        <v>0.35615951179462579</v>
      </c>
      <c r="CI88" s="547">
        <f>(CI22-CC22)/(CI$9-CC$9)</f>
        <v>0.32020342711294442</v>
      </c>
      <c r="CJ88" s="547">
        <f>(CJ22-CD22)/(CJ$9-CD$9)</f>
        <v>0.3526754370559807</v>
      </c>
      <c r="CK88" s="547">
        <f>(CK22-CE22)/(CK$9-CE$9)</f>
        <v>0.35252049751978992</v>
      </c>
      <c r="CL88" s="547">
        <f>(CL22-CF22)/(CL$9-CF$9)</f>
        <v>0.40798535520877921</v>
      </c>
      <c r="CM88" s="547">
        <f>(CM22-CG22)/(CM$9-CG$9)</f>
        <v>0.3581238742561102</v>
      </c>
      <c r="CN88"/>
      <c r="CO88"/>
      <c r="CP88"/>
      <c r="CQ88"/>
      <c r="CR88"/>
      <c r="CS88"/>
      <c r="CT88"/>
      <c r="CU88"/>
    </row>
    <row r="89" spans="1:99" s="24" customFormat="1">
      <c r="B89" s="71"/>
      <c r="CN89"/>
      <c r="CO89"/>
      <c r="CP89"/>
      <c r="CQ89"/>
      <c r="CR89"/>
      <c r="CS89"/>
      <c r="CT89"/>
      <c r="CU89"/>
    </row>
    <row r="90" spans="1:99">
      <c r="BF90" s="1495"/>
      <c r="BG90" s="1473"/>
    </row>
    <row r="91" spans="1:99" s="1199" customFormat="1">
      <c r="A91" s="39"/>
      <c r="B91" s="1200"/>
      <c r="C91" s="1201"/>
      <c r="D91" s="1201"/>
      <c r="E91" s="1201"/>
      <c r="F91" s="1201"/>
      <c r="G91" s="1201"/>
      <c r="I91" s="1201"/>
      <c r="J91" s="1201"/>
      <c r="K91" s="1201"/>
      <c r="L91" s="1201"/>
      <c r="M91" s="1201"/>
      <c r="O91" s="1201"/>
      <c r="P91" s="1201"/>
      <c r="Q91" s="1201"/>
      <c r="R91" s="1201"/>
      <c r="S91" s="1201"/>
      <c r="U91" s="1201"/>
      <c r="V91" s="1201"/>
      <c r="W91" s="1201"/>
      <c r="X91" s="1201"/>
      <c r="Y91" s="1201"/>
      <c r="AA91" s="1201"/>
      <c r="AB91" s="1201"/>
      <c r="AC91" s="1201"/>
      <c r="AD91" s="1201"/>
      <c r="AE91" s="1201"/>
      <c r="AG91" s="1201"/>
      <c r="AH91" s="1201"/>
      <c r="AI91" s="1201"/>
      <c r="AJ91" s="1201"/>
      <c r="AK91" s="1201"/>
      <c r="AM91" s="1623"/>
      <c r="AN91" s="1623"/>
      <c r="AO91" s="1623"/>
      <c r="AP91" s="1623"/>
      <c r="AQ91" s="1623"/>
      <c r="AS91" s="1623"/>
      <c r="AT91" s="1623"/>
      <c r="AU91" s="1623"/>
      <c r="AV91" s="1623"/>
      <c r="AW91" s="1623"/>
      <c r="AX91" s="1623"/>
      <c r="AY91" s="1623"/>
      <c r="AZ91" s="1623"/>
      <c r="BA91" s="1623"/>
      <c r="BB91" s="1623"/>
      <c r="BC91" s="1623"/>
      <c r="BE91" s="1201"/>
      <c r="BF91" s="1201"/>
      <c r="BG91" s="1201"/>
      <c r="BH91" s="1201"/>
      <c r="BI91" s="1201"/>
      <c r="BK91" s="1201"/>
      <c r="BL91" s="1201"/>
      <c r="BM91" s="1201"/>
      <c r="BN91" s="1201"/>
      <c r="BO91" s="1201"/>
      <c r="BQ91" s="1201"/>
      <c r="BR91" s="1201"/>
      <c r="BS91" s="1201"/>
      <c r="BT91" s="1201"/>
      <c r="BU91" s="1201"/>
      <c r="BW91" s="1201"/>
      <c r="BX91" s="1201"/>
      <c r="BY91" s="1201"/>
      <c r="BZ91" s="1201"/>
      <c r="CA91" s="1201"/>
      <c r="CC91" s="1201"/>
      <c r="CD91" s="1201"/>
      <c r="CE91" s="1201"/>
      <c r="CF91" s="1201"/>
      <c r="CG91" s="1201"/>
      <c r="CI91" s="1201"/>
      <c r="CJ91" s="1201"/>
      <c r="CK91" s="1201"/>
      <c r="CL91" s="1201"/>
      <c r="CM91" s="1201"/>
      <c r="CP91"/>
      <c r="CQ91"/>
      <c r="CR91"/>
      <c r="CS91"/>
      <c r="CT91"/>
      <c r="CU91"/>
    </row>
    <row r="92" spans="1:99" ht="15" customHeight="1">
      <c r="A92" s="1" t="s">
        <v>566</v>
      </c>
      <c r="B92" s="2"/>
      <c r="C92" s="2"/>
      <c r="D92" s="2"/>
      <c r="E92" s="2"/>
      <c r="F92" s="2"/>
      <c r="G92" s="3"/>
      <c r="H92" s="2"/>
      <c r="I92" s="2"/>
      <c r="J92" s="2"/>
      <c r="K92" s="2"/>
      <c r="L92" s="2"/>
      <c r="M92" s="3"/>
      <c r="N92" s="2"/>
      <c r="O92" s="102"/>
      <c r="P92" s="2"/>
      <c r="Q92" s="2"/>
      <c r="R92" s="2"/>
      <c r="S92" s="3"/>
      <c r="T92" s="2"/>
      <c r="U92" s="2"/>
      <c r="V92" s="2"/>
      <c r="W92" s="2"/>
      <c r="X92" s="2"/>
      <c r="Y92" s="3"/>
      <c r="Z92" s="2"/>
      <c r="AA92" s="2"/>
      <c r="AB92" s="2"/>
      <c r="AC92" s="2"/>
      <c r="AD92" s="116"/>
      <c r="AE92" s="116"/>
      <c r="AF92" s="2"/>
      <c r="AG92" s="2"/>
      <c r="AH92" s="2"/>
      <c r="AI92" s="2"/>
      <c r="AJ92" s="2"/>
      <c r="AK92" s="3"/>
      <c r="AL92" s="2"/>
      <c r="AM92" s="2"/>
      <c r="AN92" s="2"/>
      <c r="AO92" s="2"/>
      <c r="AP92" s="2"/>
      <c r="AQ92" s="3"/>
      <c r="AR92" s="2"/>
      <c r="AS92" s="2"/>
      <c r="AT92" s="2"/>
      <c r="AU92" s="2"/>
      <c r="AV92" s="2"/>
      <c r="AW92" s="3"/>
      <c r="AX92" s="2"/>
      <c r="AY92" s="2"/>
      <c r="AZ92" s="2"/>
      <c r="BA92" s="2"/>
      <c r="BB92" s="2"/>
      <c r="BC92" s="3"/>
      <c r="BD92" s="2"/>
      <c r="BE92" s="2"/>
      <c r="BF92" s="2"/>
      <c r="BG92" s="2"/>
      <c r="BH92" s="2"/>
      <c r="BI92" s="3"/>
      <c r="BJ92" s="2"/>
      <c r="BK92" s="2"/>
      <c r="BL92" s="2"/>
      <c r="BM92" s="2"/>
      <c r="BN92" s="2"/>
      <c r="BO92" s="3"/>
      <c r="BP92" s="2"/>
      <c r="BQ92" s="2"/>
      <c r="BR92" s="2"/>
      <c r="BS92" s="2"/>
      <c r="BT92" s="2"/>
      <c r="BU92" s="3"/>
      <c r="BV92" s="2"/>
      <c r="BW92" s="2"/>
      <c r="BX92" s="2"/>
      <c r="BY92" s="2"/>
      <c r="BZ92" s="2"/>
      <c r="CA92" s="3"/>
      <c r="CB92" s="2"/>
      <c r="CC92" s="2"/>
      <c r="CD92" s="2"/>
      <c r="CE92" s="2"/>
      <c r="CF92" s="2"/>
      <c r="CG92" s="3"/>
      <c r="CH92" s="2"/>
      <c r="CI92" s="2"/>
      <c r="CJ92" s="2"/>
      <c r="CK92" s="2"/>
      <c r="CL92" s="2"/>
      <c r="CM92" s="3"/>
    </row>
    <row r="93" spans="1:99" s="1199" customFormat="1">
      <c r="A93" s="1794" t="s">
        <v>499</v>
      </c>
      <c r="B93" s="1799"/>
      <c r="C93" s="1796"/>
      <c r="D93" s="1796"/>
      <c r="E93" s="1796"/>
      <c r="F93" s="1796"/>
      <c r="G93" s="1800"/>
      <c r="H93" s="1799"/>
      <c r="I93" s="1796"/>
      <c r="J93" s="1796"/>
      <c r="K93" s="1796"/>
      <c r="L93" s="1796"/>
      <c r="M93" s="1800"/>
      <c r="N93" s="1799"/>
      <c r="O93" s="1796"/>
      <c r="P93" s="1796"/>
      <c r="Q93" s="1796"/>
      <c r="R93" s="1796"/>
      <c r="S93" s="1800"/>
      <c r="T93" s="1799"/>
      <c r="U93" s="1796"/>
      <c r="V93" s="1796"/>
      <c r="W93" s="1796"/>
      <c r="X93" s="1796"/>
      <c r="Y93" s="1800"/>
      <c r="Z93" s="1799"/>
      <c r="AA93" s="1796"/>
      <c r="AB93" s="1796"/>
      <c r="AC93" s="1796"/>
      <c r="AD93" s="1796"/>
      <c r="AE93" s="1800"/>
      <c r="AF93" s="1799"/>
      <c r="AG93" s="1796"/>
      <c r="AH93" s="1796"/>
      <c r="AI93" s="1796"/>
      <c r="AJ93" s="1796"/>
      <c r="AK93" s="1800"/>
      <c r="AL93" s="1795"/>
      <c r="AM93" s="1814">
        <f>+AM49</f>
        <v>0.26228452983468814</v>
      </c>
      <c r="AN93" s="1797">
        <f>+AN49</f>
        <v>0.26154084878578637</v>
      </c>
      <c r="AO93" s="1797">
        <f>+AO49</f>
        <v>0.27209791020233237</v>
      </c>
      <c r="AP93" s="1797">
        <f>+AP49</f>
        <v>0.32101095060907447</v>
      </c>
      <c r="AQ93" s="1814">
        <f>+AQ49</f>
        <v>0.28190364758656838</v>
      </c>
      <c r="AR93" s="1799"/>
      <c r="AS93" s="1814">
        <f>+AS49</f>
        <v>0.2316472632332035</v>
      </c>
      <c r="AT93" s="1797">
        <f>+AT49</f>
        <v>0.26377902910122636</v>
      </c>
      <c r="AU93" s="1797">
        <f>+AU49</f>
        <v>0.28718380258128628</v>
      </c>
      <c r="AV93" s="1797">
        <f>+AV49</f>
        <v>0.33098292428108994</v>
      </c>
      <c r="AW93" s="1814">
        <f>+AW49</f>
        <v>0.28235187076744894</v>
      </c>
      <c r="AX93" s="1823"/>
      <c r="AY93" s="1814">
        <f>+AY49</f>
        <v>0.26873789106958246</v>
      </c>
      <c r="AZ93" s="1797">
        <f>+AZ49</f>
        <v>0.27253506892509199</v>
      </c>
      <c r="BA93" s="1797">
        <f>+BA49</f>
        <v>0.27997235196113285</v>
      </c>
      <c r="BB93" s="1797">
        <f>+BB49</f>
        <v>0.3309063943676378</v>
      </c>
      <c r="BC93" s="1814">
        <f>+BC49</f>
        <v>0.29026769398902819</v>
      </c>
      <c r="BD93" s="1827"/>
      <c r="BE93" s="1814">
        <f>+BE49</f>
        <v>0.26512374643868641</v>
      </c>
      <c r="BF93" s="1797">
        <f>+BF49</f>
        <v>0.29074474429700303</v>
      </c>
      <c r="BG93" s="1797">
        <f>+BG49</f>
        <v>0.29453713721693914</v>
      </c>
      <c r="BH93" s="1797">
        <f>+BH49</f>
        <v>0.34116640452172192</v>
      </c>
      <c r="BI93" s="1814">
        <f>+BI49</f>
        <v>0.30067642541395928</v>
      </c>
      <c r="BJ93" s="1830"/>
      <c r="BK93" s="1814">
        <f>+BK49</f>
        <v>0.27099277264247379</v>
      </c>
      <c r="BL93" s="1797">
        <f>+BL49</f>
        <v>0.29943394536497986</v>
      </c>
      <c r="BM93" s="1797">
        <f>+BM49</f>
        <v>0.29544859826303427</v>
      </c>
      <c r="BN93" s="1797">
        <f>+BN49</f>
        <v>0.34300098213960917</v>
      </c>
      <c r="BO93" s="1814">
        <f>+BO49</f>
        <v>0.30529154926771646</v>
      </c>
      <c r="BP93" s="1830"/>
      <c r="BQ93" s="1814">
        <f>+BQ49</f>
        <v>0.27380303491466096</v>
      </c>
      <c r="BR93" s="1797">
        <f>+BR49</f>
        <v>0.30248599750738842</v>
      </c>
      <c r="BS93" s="1797">
        <f>+BS49</f>
        <v>0.29841973926867332</v>
      </c>
      <c r="BT93" s="1797">
        <f>+BT49</f>
        <v>0.34599165603047299</v>
      </c>
      <c r="BU93" s="1814">
        <f>+BU49</f>
        <v>0.30807877748392143</v>
      </c>
      <c r="BV93" s="1830"/>
      <c r="BW93" s="1814">
        <f>+BW49</f>
        <v>0.27618157143091615</v>
      </c>
      <c r="BX93" s="1797">
        <f>+BX49</f>
        <v>0.30481749649531364</v>
      </c>
      <c r="BY93" s="1797">
        <f>+BY49</f>
        <v>0.30075950442169752</v>
      </c>
      <c r="BZ93" s="1797">
        <f>+BZ49</f>
        <v>0.34838213106385713</v>
      </c>
      <c r="CA93" s="1814">
        <f>+CA49</f>
        <v>0.31029754304907609</v>
      </c>
      <c r="CB93" s="1830"/>
      <c r="CC93" s="1814">
        <f>+CC49</f>
        <v>0.27845768077103739</v>
      </c>
      <c r="CD93" s="1797">
        <f>+CD49</f>
        <v>0.30702993129897921</v>
      </c>
      <c r="CE93" s="1797">
        <f>+CE49</f>
        <v>0.30308100550201655</v>
      </c>
      <c r="CF93" s="1797">
        <f>+CF49</f>
        <v>0.35073191465492565</v>
      </c>
      <c r="CG93" s="1814">
        <f>+CG49</f>
        <v>0.31245652061659901</v>
      </c>
      <c r="CH93" s="1830"/>
      <c r="CI93" s="1814">
        <f>+CI49</f>
        <v>0.28073206562186781</v>
      </c>
      <c r="CJ93" s="1797">
        <f>+CJ49</f>
        <v>0.3092318646746951</v>
      </c>
      <c r="CK93" s="1797">
        <f>+CK49</f>
        <v>0.30540170829577046</v>
      </c>
      <c r="CL93" s="1797">
        <f>+CL49</f>
        <v>0.35307410198745187</v>
      </c>
      <c r="CM93" s="1827">
        <f>+CM49</f>
        <v>0.31461203318242931</v>
      </c>
      <c r="CN93" s="1200"/>
      <c r="CO93" s="1200"/>
      <c r="CP93"/>
      <c r="CQ93"/>
      <c r="CR93"/>
      <c r="CS93"/>
      <c r="CT93"/>
      <c r="CU93"/>
    </row>
    <row r="94" spans="1:99" s="1199" customFormat="1">
      <c r="A94" s="1801" t="s">
        <v>520</v>
      </c>
      <c r="B94" s="1805"/>
      <c r="C94" s="1785"/>
      <c r="D94" s="1785"/>
      <c r="E94" s="1785"/>
      <c r="F94" s="1785"/>
      <c r="G94" s="1811"/>
      <c r="H94" s="1805"/>
      <c r="I94" s="1785"/>
      <c r="J94" s="1785"/>
      <c r="K94" s="1785"/>
      <c r="L94" s="1785"/>
      <c r="M94" s="1811"/>
      <c r="N94" s="1805"/>
      <c r="O94" s="1785"/>
      <c r="P94" s="1785"/>
      <c r="Q94" s="1785"/>
      <c r="R94" s="1785"/>
      <c r="S94" s="1811"/>
      <c r="T94" s="1805"/>
      <c r="U94" s="1785"/>
      <c r="V94" s="1785"/>
      <c r="W94" s="1785"/>
      <c r="X94" s="1785"/>
      <c r="Y94" s="1811"/>
      <c r="Z94" s="1805"/>
      <c r="AA94" s="1785"/>
      <c r="AB94" s="1785"/>
      <c r="AC94" s="1785"/>
      <c r="AD94" s="1785"/>
      <c r="AE94" s="1811"/>
      <c r="AF94" s="1805"/>
      <c r="AG94" s="1785"/>
      <c r="AH94" s="1785"/>
      <c r="AI94" s="1785"/>
      <c r="AJ94" s="1785"/>
      <c r="AK94" s="1810"/>
      <c r="AL94" s="1786"/>
      <c r="AM94" s="1815">
        <f>+RevBuild!AM16/(1+RevBuild!AM18)</f>
        <v>443.64742268041238</v>
      </c>
      <c r="AN94" s="1787">
        <f>+RevBuild!AN16/(1+RevBuild!AN18)</f>
        <v>460.32142857142856</v>
      </c>
      <c r="AO94" s="1787">
        <f>+RevBuild!AO16/(1+RevBuild!AO18)</f>
        <v>466.65000000000003</v>
      </c>
      <c r="AP94" s="1787">
        <f>+RevBuild!AP16/(1+RevBuild!AP18)</f>
        <v>576.98775510204064</v>
      </c>
      <c r="AQ94" s="1815">
        <f>SUM(AM94:AP94)</f>
        <v>1947.6066063538817</v>
      </c>
      <c r="AR94" s="1806"/>
      <c r="AS94" s="1815">
        <f>+RevBuild!AS16/(1+RevBuild!AS18)</f>
        <v>430.50800000000004</v>
      </c>
      <c r="AT94" s="1787">
        <f>+RevBuild!AT16/(1+RevBuild!AT18)</f>
        <v>477.97718253968253</v>
      </c>
      <c r="AU94" s="1787">
        <f>+RevBuild!AU16/(1+RevBuild!AU18)</f>
        <v>493.16500000000002</v>
      </c>
      <c r="AV94" s="1787">
        <f>+RevBuild!AV16/(1+RevBuild!AV18)</f>
        <v>614.59999999999991</v>
      </c>
      <c r="AW94" s="1815">
        <f>SUM(AS94:AV94)</f>
        <v>2016.2501825396826</v>
      </c>
      <c r="AX94" s="1824"/>
      <c r="AY94" s="1815">
        <f>+RevBuild!AY16/(1+RevBuild!AY18)</f>
        <v>500.43913043478256</v>
      </c>
      <c r="AZ94" s="1787">
        <f>+RevBuild!AZ16/(1+RevBuild!AZ18)</f>
        <v>531.97849462365593</v>
      </c>
      <c r="BA94" s="1787">
        <f>+RevBuild!BA16/(1+RevBuild!BA18)</f>
        <v>540.5809935205184</v>
      </c>
      <c r="BB94" s="1787">
        <f>+RevBuild!BB16/(1+RevBuild!BB18)</f>
        <v>620.3731872712807</v>
      </c>
      <c r="BC94" s="1815">
        <f>SUM(AY94:BB94)</f>
        <v>2193.3718058502377</v>
      </c>
      <c r="BD94" s="1824"/>
      <c r="BE94" s="1815">
        <f>+RevBuild!BE16/(1+RevBuild!BE18)</f>
        <v>483.40353008226521</v>
      </c>
      <c r="BF94" s="1787">
        <f>+RevBuild!BF16/(1+RevBuild!BF18)</f>
        <v>536.20234391096199</v>
      </c>
      <c r="BG94" s="1787">
        <f>+RevBuild!BG16/(1+RevBuild!BG18)</f>
        <v>525.3868544266096</v>
      </c>
      <c r="BH94" s="1787">
        <f>+RevBuild!BH16/(1+RevBuild!BH18)</f>
        <v>641.61938775510214</v>
      </c>
      <c r="BI94" s="1815">
        <f>SUM(BE94:BH94)</f>
        <v>2186.6121161749388</v>
      </c>
      <c r="BJ94" s="1831"/>
      <c r="BK94" s="1815">
        <f>+RevBuild!BK16/(1+RevBuild!BK18)</f>
        <v>502.99898989898992</v>
      </c>
      <c r="BL94" s="1787">
        <f>+RevBuild!BL16/(1+RevBuild!BL18)</f>
        <v>563.88888888888891</v>
      </c>
      <c r="BM94" s="1787">
        <f>+RevBuild!BM16/(1+RevBuild!BM18)</f>
        <v>559.98415841584165</v>
      </c>
      <c r="BN94" s="1787">
        <f>+RevBuild!BN16/(1+RevBuild!BN18)</f>
        <v>667.257281553398</v>
      </c>
      <c r="BO94" s="1815">
        <f>SUM(BK94:BN94)</f>
        <v>2294.1293187571187</v>
      </c>
      <c r="BP94" s="1831"/>
      <c r="BQ94" s="1815">
        <f>+RevBuild!BQ16/(1+RevBuild!BQ18)</f>
        <v>543.82879973243996</v>
      </c>
      <c r="BR94" s="1787">
        <f>+RevBuild!BR16/(1+RevBuild!BR18)</f>
        <v>607.36940357463959</v>
      </c>
      <c r="BS94" s="1787">
        <f>+RevBuild!BS16/(1+RevBuild!BS18)</f>
        <v>601.56211985292123</v>
      </c>
      <c r="BT94" s="1787">
        <f>+RevBuild!BT16/(1+RevBuild!BT18)</f>
        <v>732.05547214701062</v>
      </c>
      <c r="BU94" s="1815">
        <f>SUM(BQ94:BT94)</f>
        <v>2484.8157953070113</v>
      </c>
      <c r="BV94" s="1831"/>
      <c r="BW94" s="1815">
        <f>+RevBuild!BW16/(1+RevBuild!BW18)</f>
        <v>576.55947318761059</v>
      </c>
      <c r="BX94" s="1787">
        <f>+RevBuild!BX16/(1+RevBuild!BX18)</f>
        <v>642.94287128261487</v>
      </c>
      <c r="BY94" s="1787">
        <f>+RevBuild!BY16/(1+RevBuild!BY18)</f>
        <v>635.17739289131771</v>
      </c>
      <c r="BZ94" s="1787">
        <f>+RevBuild!BZ16/(1+RevBuild!BZ18)</f>
        <v>768.06896235218198</v>
      </c>
      <c r="CA94" s="1815">
        <f>SUM(BW94:BZ94)</f>
        <v>2622.7486997137253</v>
      </c>
      <c r="CB94" s="1831"/>
      <c r="CC94" s="1815">
        <f>+RevBuild!CC16/(1+RevBuild!CC18)</f>
        <v>609.76634303680248</v>
      </c>
      <c r="CD94" s="1787">
        <f>+RevBuild!CD16/(1+RevBuild!CD18)</f>
        <v>675.47609966489892</v>
      </c>
      <c r="CE94" s="1787">
        <f>+RevBuild!CE16/(1+RevBuild!CE18)</f>
        <v>666.42839152814736</v>
      </c>
      <c r="CF94" s="1787">
        <f>+RevBuild!CF16/(1+RevBuild!CF18)</f>
        <v>800.644640098124</v>
      </c>
      <c r="CG94" s="1815">
        <f>SUM(CC94:CF94)</f>
        <v>2752.3154743279729</v>
      </c>
      <c r="CH94" s="1831"/>
      <c r="CI94" s="1815">
        <f>+RevBuild!CI16/(1+RevBuild!CI18)</f>
        <v>644.90177492360704</v>
      </c>
      <c r="CJ94" s="1787">
        <f>+RevBuild!CJ16/(1+RevBuild!CJ18)</f>
        <v>709.71254217696151</v>
      </c>
      <c r="CK94" s="1787">
        <f>+RevBuild!CK16/(1+RevBuild!CK18)</f>
        <v>699.251438459665</v>
      </c>
      <c r="CL94" s="1787">
        <f>+RevBuild!CL16/(1+RevBuild!CL18)</f>
        <v>834.79537649334588</v>
      </c>
      <c r="CM94" s="1824">
        <f>SUM(CI94:CL94)</f>
        <v>2888.6611320535794</v>
      </c>
      <c r="CN94" s="1200"/>
      <c r="CO94" s="1200"/>
      <c r="CP94"/>
      <c r="CQ94"/>
      <c r="CR94"/>
      <c r="CS94"/>
      <c r="CT94"/>
      <c r="CU94"/>
    </row>
    <row r="95" spans="1:99" s="1199" customFormat="1">
      <c r="A95" s="1802" t="s">
        <v>522</v>
      </c>
      <c r="B95" s="1806"/>
      <c r="C95" s="1785"/>
      <c r="D95" s="1785"/>
      <c r="E95" s="1785"/>
      <c r="F95" s="1785"/>
      <c r="G95" s="1810"/>
      <c r="H95" s="1806"/>
      <c r="I95" s="1785"/>
      <c r="J95" s="1785"/>
      <c r="K95" s="1785"/>
      <c r="L95" s="1785"/>
      <c r="M95" s="1810"/>
      <c r="N95" s="1806"/>
      <c r="O95" s="1785"/>
      <c r="P95" s="1785"/>
      <c r="Q95" s="1785"/>
      <c r="R95" s="1785"/>
      <c r="S95" s="1810"/>
      <c r="T95" s="1806"/>
      <c r="U95" s="1785"/>
      <c r="V95" s="1785"/>
      <c r="W95" s="1785"/>
      <c r="X95" s="1785"/>
      <c r="Y95" s="1810"/>
      <c r="Z95" s="1806"/>
      <c r="AA95" s="1785"/>
      <c r="AB95" s="1785"/>
      <c r="AC95" s="1785"/>
      <c r="AD95" s="1785"/>
      <c r="AE95" s="1810"/>
      <c r="AF95" s="1806"/>
      <c r="AG95" s="1785"/>
      <c r="AH95" s="1785"/>
      <c r="AI95" s="1785"/>
      <c r="AJ95" s="1785"/>
      <c r="AK95" s="1810"/>
      <c r="AL95" s="1786"/>
      <c r="AM95" s="1815">
        <f>+AM9*(AM44+0.001)</f>
        <v>256.20033800000004</v>
      </c>
      <c r="AN95" s="1787">
        <f>+AN9*(AN44+0.001)</f>
        <v>263.23711500000002</v>
      </c>
      <c r="AO95" s="1787">
        <f>+AO9*(AO44+0.007)</f>
        <v>268.950219</v>
      </c>
      <c r="AP95" s="1787">
        <f>+AP9*(AP44+0.005)</f>
        <v>339.28423999999995</v>
      </c>
      <c r="AQ95" s="1815">
        <f>+AQ9*(AQ44+0.007)</f>
        <v>1134.0915259999997</v>
      </c>
      <c r="AR95" s="1806"/>
      <c r="AS95" s="1815">
        <f>+AS9*(AS44+0.025)</f>
        <v>253.55169999999995</v>
      </c>
      <c r="AT95" s="1787">
        <f>+AT9*(AT44+0.005)</f>
        <v>282.35700500000002</v>
      </c>
      <c r="AU95" s="1787">
        <f>+AU9*(AU44+0.005)</f>
        <v>293.40882500000009</v>
      </c>
      <c r="AV95" s="1787">
        <f>+AV9*(AV44+0.015)</f>
        <v>359.50905</v>
      </c>
      <c r="AW95" s="1815">
        <f>+AW9*(AW44+0.005)</f>
        <v>1174.3777200000002</v>
      </c>
      <c r="AX95" s="1824"/>
      <c r="AY95" s="1815">
        <f>+AY15</f>
        <v>271.15800000000002</v>
      </c>
      <c r="AZ95" s="1787">
        <f>+AZ15</f>
        <v>286.03300000000002</v>
      </c>
      <c r="BA95" s="1787">
        <f>+BA9*(BA44+0.019)</f>
        <v>303.28498199999996</v>
      </c>
      <c r="BB95" s="1787">
        <f>+BB9*(BB44+0.015)</f>
        <v>357.49414999999999</v>
      </c>
      <c r="BC95" s="1815">
        <f>+BC9*(BC44+0.002)</f>
        <v>1203.7446639999998</v>
      </c>
      <c r="BD95" s="1824"/>
      <c r="BE95" s="1821">
        <f>+BE9*(BE44+0.01)</f>
        <v>278.84746000000001</v>
      </c>
      <c r="BF95" s="1788">
        <f>+BF9*(BF44-0.0065)</f>
        <v>312.69335999999998</v>
      </c>
      <c r="BG95" s="1788">
        <f>+BG9*(BG44-0.004)</f>
        <v>306.37868000000009</v>
      </c>
      <c r="BH95" s="1787">
        <f>+BH9*(BH44-0.006)</f>
        <v>373.43527799999998</v>
      </c>
      <c r="BI95" s="1820">
        <f>+SUM(BE95:BH95)</f>
        <v>1271.3547779999999</v>
      </c>
      <c r="BJ95" s="1831"/>
      <c r="BK95" s="1815">
        <f>+BK9*(BK44+0.01)</f>
        <v>291.85368999999997</v>
      </c>
      <c r="BL95" s="1787">
        <f>+BL9*(BL44+0.008)</f>
        <v>333.089</v>
      </c>
      <c r="BM95" s="1787">
        <f>+BM9*(BM44+0.003)</f>
        <v>331.3887519999999</v>
      </c>
      <c r="BN95" s="1787">
        <f>+BN9*(BN44+0.0009)</f>
        <v>417.44054749999992</v>
      </c>
      <c r="BO95" s="1820">
        <f>+SUM(BK95:BN95)</f>
        <v>1373.7719894999998</v>
      </c>
      <c r="BP95" s="1831"/>
      <c r="BQ95" s="1815">
        <f>+BQ9*(BQ44-0.0005)</f>
        <v>311.35359334451556</v>
      </c>
      <c r="BR95" s="1787">
        <f t="shared" ref="BR95:BT95" si="110">+BR9*(BR44-0.0005)</f>
        <v>357.26587108314277</v>
      </c>
      <c r="BS95" s="1787">
        <f t="shared" si="110"/>
        <v>350.34633698100004</v>
      </c>
      <c r="BT95" s="1787">
        <f t="shared" si="110"/>
        <v>443.60783109378974</v>
      </c>
      <c r="BU95" s="1815">
        <f>+BU9*(BU44)</f>
        <v>1463.8146808281022</v>
      </c>
      <c r="BV95" s="1831"/>
      <c r="BW95" s="1815">
        <f>+BW9*(BW44)</f>
        <v>333.41100667492537</v>
      </c>
      <c r="BX95" s="1787">
        <f>+BX9*(BX44)</f>
        <v>380.01133215072372</v>
      </c>
      <c r="BY95" s="1787">
        <f>+BY9*(BY44)</f>
        <v>371.72743430718725</v>
      </c>
      <c r="BZ95" s="1787">
        <f>+BZ9*(BZ44)</f>
        <v>467.65121538278544</v>
      </c>
      <c r="CA95" s="1815">
        <f>+CA9*(CA44)</f>
        <v>1552.8009885156218</v>
      </c>
      <c r="CB95" s="1831"/>
      <c r="CC95" s="1815">
        <f>+CC9*(CC44)</f>
        <v>354.00166625360134</v>
      </c>
      <c r="CD95" s="1787">
        <f>+CD9*(CD44)</f>
        <v>400.73454099079396</v>
      </c>
      <c r="CE95" s="1787">
        <f>+CE9*(CE44)</f>
        <v>391.56369684974027</v>
      </c>
      <c r="CF95" s="1787">
        <f>+CF9*(CF44)</f>
        <v>489.36678550312257</v>
      </c>
      <c r="CG95" s="1815">
        <f>+CG9*(CG44)</f>
        <v>1635.6666895972585</v>
      </c>
      <c r="CH95" s="1831"/>
      <c r="CI95" s="1815">
        <f>+CI9*(CI44)</f>
        <v>375.86640069131846</v>
      </c>
      <c r="CJ95" s="1787">
        <f>+CJ9*(CJ44)</f>
        <v>422.60847320353486</v>
      </c>
      <c r="CK95" s="1787">
        <f>+CK9*(CK44)</f>
        <v>412.47181484796948</v>
      </c>
      <c r="CL95" s="1787">
        <f>+CL9*(CL44)</f>
        <v>512.19550792563462</v>
      </c>
      <c r="CM95" s="1824">
        <f>+CM9*(CM44)</f>
        <v>1723.1421966684575</v>
      </c>
      <c r="CN95" s="1200"/>
      <c r="CO95" s="1200"/>
      <c r="CP95"/>
      <c r="CQ95"/>
      <c r="CR95"/>
      <c r="CS95"/>
      <c r="CT95"/>
      <c r="CU95"/>
    </row>
    <row r="96" spans="1:99" s="1199" customFormat="1">
      <c r="A96" s="1802" t="s">
        <v>530</v>
      </c>
      <c r="B96" s="1807"/>
      <c r="C96" s="1790"/>
      <c r="D96" s="1790"/>
      <c r="E96" s="1790"/>
      <c r="F96" s="1790"/>
      <c r="G96" s="1812"/>
      <c r="H96" s="1807"/>
      <c r="I96" s="1790"/>
      <c r="J96" s="1790"/>
      <c r="K96" s="1790"/>
      <c r="L96" s="1790"/>
      <c r="M96" s="1812"/>
      <c r="N96" s="1807"/>
      <c r="O96" s="1790"/>
      <c r="P96" s="1790"/>
      <c r="Q96" s="1790"/>
      <c r="R96" s="1790"/>
      <c r="S96" s="1812"/>
      <c r="T96" s="1807"/>
      <c r="U96" s="1790"/>
      <c r="V96" s="1790"/>
      <c r="W96" s="1790"/>
      <c r="X96" s="1790"/>
      <c r="Y96" s="1812"/>
      <c r="Z96" s="1807"/>
      <c r="AA96" s="1790"/>
      <c r="AB96" s="1790"/>
      <c r="AC96" s="1790"/>
      <c r="AD96" s="1790"/>
      <c r="AE96" s="1812"/>
      <c r="AF96" s="1807"/>
      <c r="AG96" s="1790"/>
      <c r="AH96" s="1790"/>
      <c r="AI96" s="1790"/>
      <c r="AJ96" s="1790"/>
      <c r="AK96" s="1812"/>
      <c r="AL96" s="1791"/>
      <c r="AM96" s="1816">
        <f>+AM95/AM9</f>
        <v>0.59534676928367947</v>
      </c>
      <c r="AN96" s="1792">
        <f>+AN95/AN9</f>
        <v>0.5835255201001962</v>
      </c>
      <c r="AO96" s="1792">
        <f>+AO95/AO9</f>
        <v>0.58810457297673169</v>
      </c>
      <c r="AP96" s="1792">
        <f>+AP95/AP9</f>
        <v>0.60002730578231767</v>
      </c>
      <c r="AQ96" s="1816">
        <f>+AQ95/AQ9</f>
        <v>0.59556811562541678</v>
      </c>
      <c r="AR96" s="1807"/>
      <c r="AS96" s="1816">
        <f>+AS95/AS9</f>
        <v>0.58895932247484362</v>
      </c>
      <c r="AT96" s="1792">
        <f>+AT95/AT9</f>
        <v>0.58604487122276627</v>
      </c>
      <c r="AU96" s="1792">
        <f>+AU95/AU9</f>
        <v>0.59495062504435647</v>
      </c>
      <c r="AV96" s="1792">
        <f>+AV95/AV9</f>
        <v>0.61573475259903743</v>
      </c>
      <c r="AW96" s="1816">
        <f>+AW95/AW9</f>
        <v>0.59033416040664666</v>
      </c>
      <c r="AX96" s="1825"/>
      <c r="AY96" s="1816">
        <f>+AY95/AY9</f>
        <v>0.58895665545911857</v>
      </c>
      <c r="AZ96" s="1792">
        <f>+AZ95/AZ9</f>
        <v>0.57814811820350087</v>
      </c>
      <c r="BA96" s="1792">
        <f>+BA95/BA9</f>
        <v>0.60586957876694536</v>
      </c>
      <c r="BB96" s="1792">
        <f>+BB95/BB9</f>
        <v>0.60942389321695845</v>
      </c>
      <c r="BC96" s="1816">
        <f>+BC95/BC9</f>
        <v>0.58939715188323927</v>
      </c>
      <c r="BD96" s="1825"/>
      <c r="BE96" s="1816">
        <f>+BE95/BE9</f>
        <v>0.58674341288511644</v>
      </c>
      <c r="BF96" s="1792">
        <f>+BF95/BF9</f>
        <v>0.58277426569256008</v>
      </c>
      <c r="BG96" s="1792">
        <f>+BG95/BG9</f>
        <v>0.58155131636391255</v>
      </c>
      <c r="BH96" s="1792">
        <f>+BH95/BH9</f>
        <v>0.59389789865248477</v>
      </c>
      <c r="BI96" s="1816">
        <f>+BI95/BI9</f>
        <v>0.58657436873189961</v>
      </c>
      <c r="BJ96" s="1832"/>
      <c r="BK96" s="1816">
        <f>+BK95/BK9</f>
        <v>0.58608806973928096</v>
      </c>
      <c r="BL96" s="1792">
        <f>+BL95/BL9</f>
        <v>0.59666636811464402</v>
      </c>
      <c r="BM96" s="1792">
        <f>+BM95/BM9</f>
        <v>0.58592313785397032</v>
      </c>
      <c r="BN96" s="1792">
        <f>+BN95/BN9</f>
        <v>0.60738503146484291</v>
      </c>
      <c r="BO96" s="1816">
        <f>+BO95/BO9</f>
        <v>0.59494395143862611</v>
      </c>
      <c r="BP96" s="1832"/>
      <c r="BQ96" s="1816">
        <f>+BQ95/BQ9</f>
        <v>0.57539833201146828</v>
      </c>
      <c r="BR96" s="1792">
        <f>+BR95/BR9</f>
        <v>0.58821842025705262</v>
      </c>
      <c r="BS96" s="1792">
        <f>+BS95/BS9</f>
        <v>0.58239427885960948</v>
      </c>
      <c r="BT96" s="1792">
        <f>+BT95/BT9</f>
        <v>0.60597570535570677</v>
      </c>
      <c r="BU96" s="1816">
        <f>+BU95/BU9</f>
        <v>0.58974926703861597</v>
      </c>
      <c r="BV96" s="1832"/>
      <c r="BW96" s="1816">
        <f>+BW95/BW9</f>
        <v>0.57827686852772342</v>
      </c>
      <c r="BX96" s="1792">
        <f>+BX95/BX9</f>
        <v>0.59104991924497785</v>
      </c>
      <c r="BY96" s="1792">
        <f>+BY95/BY9</f>
        <v>0.58523404401263357</v>
      </c>
      <c r="BZ96" s="1792">
        <f>+BZ95/BZ9</f>
        <v>0.60886618038909079</v>
      </c>
      <c r="CA96" s="1816">
        <f>+CA95/CA9</f>
        <v>0.59205099927610716</v>
      </c>
      <c r="CB96" s="1832"/>
      <c r="CC96" s="1816">
        <f>+CC95/CC9</f>
        <v>0.58055297786784466</v>
      </c>
      <c r="CD96" s="1792">
        <f>+CD95/CD9</f>
        <v>0.59326235404864336</v>
      </c>
      <c r="CE96" s="1792">
        <f>+CE95/CE9</f>
        <v>0.5875555450929526</v>
      </c>
      <c r="CF96" s="1792">
        <f>+CF95/CF9</f>
        <v>0.61121596398015932</v>
      </c>
      <c r="CG96" s="1816">
        <f>+CG95/CG9</f>
        <v>0.59428750259693097</v>
      </c>
      <c r="CH96" s="1832"/>
      <c r="CI96" s="1816">
        <f>+CI95/CI9</f>
        <v>0.58282736271867508</v>
      </c>
      <c r="CJ96" s="1792">
        <f>+CJ95/CJ9</f>
        <v>0.5954642874243592</v>
      </c>
      <c r="CK96" s="1792">
        <f>+CK95/CK9</f>
        <v>0.58987624788670656</v>
      </c>
      <c r="CL96" s="1792">
        <f>+CL95/CL9</f>
        <v>0.61355815131268554</v>
      </c>
      <c r="CM96" s="2034">
        <f>+CM95/CM9</f>
        <v>0.59651932777710681</v>
      </c>
      <c r="CN96" s="2031"/>
      <c r="CO96" s="2031"/>
      <c r="CP96"/>
      <c r="CQ96"/>
      <c r="CR96"/>
      <c r="CS96"/>
      <c r="CT96"/>
      <c r="CU96"/>
    </row>
    <row r="97" spans="1:99" s="1199" customFormat="1">
      <c r="A97" s="1802" t="s">
        <v>523</v>
      </c>
      <c r="B97" s="1806"/>
      <c r="C97" s="1785"/>
      <c r="D97" s="1785"/>
      <c r="E97" s="1785"/>
      <c r="F97" s="1785"/>
      <c r="G97" s="1810"/>
      <c r="H97" s="1806"/>
      <c r="I97" s="1785"/>
      <c r="J97" s="1785"/>
      <c r="K97" s="1785"/>
      <c r="L97" s="1785"/>
      <c r="M97" s="1810"/>
      <c r="N97" s="1806"/>
      <c r="O97" s="1785"/>
      <c r="P97" s="1785"/>
      <c r="Q97" s="1785"/>
      <c r="R97" s="1785"/>
      <c r="S97" s="1810"/>
      <c r="T97" s="1806"/>
      <c r="U97" s="1785"/>
      <c r="V97" s="1785"/>
      <c r="W97" s="1785"/>
      <c r="X97" s="1785"/>
      <c r="Y97" s="1810"/>
      <c r="Z97" s="1806"/>
      <c r="AA97" s="1785"/>
      <c r="AB97" s="1785"/>
      <c r="AC97" s="1785"/>
      <c r="AD97" s="1785"/>
      <c r="AE97" s="1810"/>
      <c r="AF97" s="1806"/>
      <c r="AG97" s="1785"/>
      <c r="AH97" s="1785"/>
      <c r="AI97" s="1785"/>
      <c r="AJ97" s="1785"/>
      <c r="AK97" s="1810"/>
      <c r="AL97" s="1786"/>
      <c r="AM97" s="1815">
        <f t="shared" ref="AM97:AP98" si="111">+AG16*(1+AM61)</f>
        <v>25.312000000000001</v>
      </c>
      <c r="AN97" s="1787">
        <f t="shared" si="111"/>
        <v>24.65</v>
      </c>
      <c r="AO97" s="1787">
        <f t="shared" si="111"/>
        <v>23.599</v>
      </c>
      <c r="AP97" s="1787">
        <f t="shared" si="111"/>
        <v>26.975000000000001</v>
      </c>
      <c r="AQ97" s="1815">
        <f>SUM(AM97:AP97)</f>
        <v>100.536</v>
      </c>
      <c r="AR97" s="1806"/>
      <c r="AS97" s="1815">
        <f>+AM16*(1+AS61)</f>
        <v>24.745999999999999</v>
      </c>
      <c r="AT97" s="1787">
        <f>+AN16*(1.06)</f>
        <v>26.129000000000001</v>
      </c>
      <c r="AU97" s="1787">
        <f>+AO16*(1+0.13)</f>
        <v>26.666869999999999</v>
      </c>
      <c r="AV97" s="1787">
        <f>+AP16*(1+0.07)</f>
        <v>28.863250000000004</v>
      </c>
      <c r="AW97" s="1815">
        <f>SUM(AS97:AV97)</f>
        <v>106.40512000000001</v>
      </c>
      <c r="AX97" s="1824"/>
      <c r="AY97" s="1815">
        <f>+AS16*(1+AY61+0.055)</f>
        <v>30.31203</v>
      </c>
      <c r="AZ97" s="1787">
        <f>+AT16*(1+0.18)</f>
        <v>31.83286</v>
      </c>
      <c r="BA97" s="1787">
        <f>+AU16*(1+BA61+0.045)</f>
        <v>31.930554999999998</v>
      </c>
      <c r="BB97" s="1787">
        <f>+AV16*(1+0.02)</f>
        <v>29.298480000000001</v>
      </c>
      <c r="BC97" s="1815">
        <f>SUM(AY97:BB97)</f>
        <v>123.373925</v>
      </c>
      <c r="BD97" s="1828"/>
      <c r="BE97" s="1815">
        <f>+AY16*1.04</f>
        <v>30.10904</v>
      </c>
      <c r="BF97" s="1789">
        <f>+AZ16*1.1</f>
        <v>33.610500000000002</v>
      </c>
      <c r="BG97" s="1789">
        <f>+BA16*1.08</f>
        <v>33.159240000000004</v>
      </c>
      <c r="BH97" s="1789">
        <f>+BB16*1.09</f>
        <v>30.886240000000001</v>
      </c>
      <c r="BI97" s="1820">
        <f>+SUM(BE97:BH97)</f>
        <v>127.76502000000001</v>
      </c>
      <c r="BJ97" s="1831"/>
      <c r="BK97" s="1820">
        <f>+BE16*1.06</f>
        <v>31.204280000000001</v>
      </c>
      <c r="BL97" s="1789">
        <f>+BF16*1.03</f>
        <v>33.555340000000001</v>
      </c>
      <c r="BM97" s="1789">
        <f>+BG16*1.05</f>
        <v>31.9389</v>
      </c>
      <c r="BN97" s="1789">
        <f>+BH16*1.09</f>
        <v>35.700770000000006</v>
      </c>
      <c r="BO97" s="1820">
        <f>+SUM(BK97:BN97)</f>
        <v>132.39929000000001</v>
      </c>
      <c r="BP97" s="1831"/>
      <c r="BQ97" s="1820">
        <f t="shared" ref="BQ97:BT98" si="112">+BQ16</f>
        <v>33.416144645801516</v>
      </c>
      <c r="BR97" s="1789">
        <f t="shared" si="112"/>
        <v>35.835066807949666</v>
      </c>
      <c r="BS97" s="1789">
        <f t="shared" si="112"/>
        <v>35.930951959163245</v>
      </c>
      <c r="BT97" s="1789">
        <f t="shared" si="112"/>
        <v>37.410428566072248</v>
      </c>
      <c r="BU97" s="1820">
        <f>+SUM(BQ97:BT97)</f>
        <v>142.59259197898669</v>
      </c>
      <c r="BV97" s="1831"/>
      <c r="BW97" s="1820">
        <f t="shared" ref="BW97:BZ98" si="113">+BW16</f>
        <v>35.605342741145336</v>
      </c>
      <c r="BX97" s="1789">
        <f t="shared" si="113"/>
        <v>37.93391733351632</v>
      </c>
      <c r="BY97" s="1789">
        <f t="shared" si="113"/>
        <v>37.938772466432034</v>
      </c>
      <c r="BZ97" s="1789">
        <f t="shared" si="113"/>
        <v>39.250835685472822</v>
      </c>
      <c r="CA97" s="1820">
        <f>+SUM(BW97:BZ97)</f>
        <v>150.7288682265665</v>
      </c>
      <c r="CB97" s="1831"/>
      <c r="CC97" s="1820">
        <f t="shared" ref="CC97:CF98" si="114">+CC16</f>
        <v>37.656027947658892</v>
      </c>
      <c r="CD97" s="1789">
        <f t="shared" si="114"/>
        <v>39.853392377362781</v>
      </c>
      <c r="CE97" s="1789">
        <f t="shared" si="114"/>
        <v>39.805376252871142</v>
      </c>
      <c r="CF97" s="1789">
        <f t="shared" si="114"/>
        <v>40.915559346006056</v>
      </c>
      <c r="CG97" s="1820">
        <f>+SUM(CC97:CF97)</f>
        <v>158.23035592389886</v>
      </c>
      <c r="CH97" s="1831"/>
      <c r="CI97" s="1820">
        <f t="shared" ref="CI97:CL98" si="115">+CI16</f>
        <v>39.825811210036697</v>
      </c>
      <c r="CJ97" s="1789">
        <f t="shared" si="115"/>
        <v>41.873357817613218</v>
      </c>
      <c r="CK97" s="1789">
        <f t="shared" si="115"/>
        <v>41.765877560264087</v>
      </c>
      <c r="CL97" s="1789">
        <f t="shared" si="115"/>
        <v>42.660773654213081</v>
      </c>
      <c r="CM97" s="1828">
        <f>+SUM(CI97:CL97)</f>
        <v>166.12582024212708</v>
      </c>
      <c r="CN97" s="1200"/>
      <c r="CO97" s="1200"/>
      <c r="CP97"/>
      <c r="CQ97"/>
      <c r="CR97"/>
      <c r="CS97"/>
      <c r="CT97"/>
      <c r="CU97"/>
    </row>
    <row r="98" spans="1:99" s="1199" customFormat="1">
      <c r="A98" s="1802" t="s">
        <v>524</v>
      </c>
      <c r="B98" s="1806"/>
      <c r="C98" s="1785"/>
      <c r="D98" s="1785"/>
      <c r="E98" s="1785"/>
      <c r="F98" s="1785"/>
      <c r="G98" s="1810"/>
      <c r="H98" s="1806"/>
      <c r="I98" s="1785"/>
      <c r="J98" s="1785"/>
      <c r="K98" s="1785"/>
      <c r="L98" s="1785"/>
      <c r="M98" s="1810"/>
      <c r="N98" s="1806"/>
      <c r="O98" s="1785"/>
      <c r="P98" s="1785"/>
      <c r="Q98" s="1785"/>
      <c r="R98" s="1785"/>
      <c r="S98" s="1810"/>
      <c r="T98" s="1806"/>
      <c r="U98" s="1785"/>
      <c r="V98" s="1785"/>
      <c r="W98" s="1785"/>
      <c r="X98" s="1785"/>
      <c r="Y98" s="1810"/>
      <c r="Z98" s="1806"/>
      <c r="AA98" s="1785"/>
      <c r="AB98" s="1785"/>
      <c r="AC98" s="1785"/>
      <c r="AD98" s="1785"/>
      <c r="AE98" s="1810"/>
      <c r="AF98" s="1806"/>
      <c r="AG98" s="1785"/>
      <c r="AH98" s="1785"/>
      <c r="AI98" s="1785"/>
      <c r="AJ98" s="1785"/>
      <c r="AK98" s="1810"/>
      <c r="AL98" s="1786"/>
      <c r="AM98" s="1815">
        <f t="shared" si="111"/>
        <v>117.587</v>
      </c>
      <c r="AN98" s="1787">
        <f t="shared" si="111"/>
        <v>120.15100000000001</v>
      </c>
      <c r="AO98" s="1787">
        <f t="shared" si="111"/>
        <v>117.715</v>
      </c>
      <c r="AP98" s="1787">
        <f t="shared" si="111"/>
        <v>127.96700000000001</v>
      </c>
      <c r="AQ98" s="1815">
        <f>SUM(AM98:AP98)</f>
        <v>483.41999999999996</v>
      </c>
      <c r="AR98" s="1806"/>
      <c r="AS98" s="1815">
        <f>+AM17*(1+AS62)</f>
        <v>118.31700000000001</v>
      </c>
      <c r="AT98" s="1793">
        <f>+AN17*1.03</f>
        <v>123.75552999999999</v>
      </c>
      <c r="AU98" s="1793">
        <f>+AO17*(1+0.03)</f>
        <v>121.24645000000001</v>
      </c>
      <c r="AV98" s="1793">
        <f>+AP17*(1+0.03)</f>
        <v>131.80601000000001</v>
      </c>
      <c r="AW98" s="1815">
        <f>SUM(AS98:AV98)</f>
        <v>495.12499000000003</v>
      </c>
      <c r="AX98" s="1824"/>
      <c r="AY98" s="1815">
        <f>+AS17*(1+0.09)</f>
        <v>128.96553000000003</v>
      </c>
      <c r="AZ98" s="1787">
        <f>+AT17*(1+0.01)</f>
        <v>127.14082000000001</v>
      </c>
      <c r="BA98" s="1793">
        <f>+AU17*(1+OrgRev!BA11-OrgRev!BA12-0.01)</f>
        <v>131.67960670282764</v>
      </c>
      <c r="BB98" s="1793">
        <f>+AV17*(1+OrgRev!BB11-OrgRev!BB12-0.01)</f>
        <v>135.10106767730298</v>
      </c>
      <c r="BC98" s="1815">
        <f>SUM(AY98:BB98)</f>
        <v>522.8870243801307</v>
      </c>
      <c r="BD98" s="1828"/>
      <c r="BE98" s="1820">
        <f>+AY17*1.02</f>
        <v>120.84857999999998</v>
      </c>
      <c r="BF98" s="1789">
        <f>+AZ17*1.07</f>
        <v>129.08908000000002</v>
      </c>
      <c r="BG98" s="1789">
        <f>+BA17*1.02</f>
        <v>125.38146</v>
      </c>
      <c r="BH98" s="1789">
        <f>+BB17*1.09</f>
        <v>137.60813999999999</v>
      </c>
      <c r="BI98" s="1820">
        <f>+SUM(BE98:BH98)</f>
        <v>512.92725999999993</v>
      </c>
      <c r="BJ98" s="1831"/>
      <c r="BK98" s="1820">
        <f>+BE17*1.06</f>
        <v>125.77748000000001</v>
      </c>
      <c r="BL98" s="1789">
        <f>+BF17*1.03</f>
        <v>131.42903000000001</v>
      </c>
      <c r="BM98" s="1789">
        <f>+BG17*1.05</f>
        <v>129.04185000000001</v>
      </c>
      <c r="BN98" s="1789">
        <f>+BH17*1.09</f>
        <v>141.62806</v>
      </c>
      <c r="BO98" s="1820">
        <f>+SUM(BK98:BN98)</f>
        <v>527.87642000000005</v>
      </c>
      <c r="BP98" s="1831"/>
      <c r="BQ98" s="1820">
        <f t="shared" si="112"/>
        <v>130.05053756504518</v>
      </c>
      <c r="BR98" s="1789">
        <f t="shared" si="112"/>
        <v>138.01374908123793</v>
      </c>
      <c r="BS98" s="1789">
        <f t="shared" si="112"/>
        <v>135.19815512134403</v>
      </c>
      <c r="BT98" s="1789">
        <f t="shared" si="112"/>
        <v>153.27834514947691</v>
      </c>
      <c r="BU98" s="1820">
        <f>+SUM(BQ98:BT98)</f>
        <v>556.54078691710401</v>
      </c>
      <c r="BV98" s="1831"/>
      <c r="BW98" s="1820">
        <f t="shared" si="113"/>
        <v>138.57056260544456</v>
      </c>
      <c r="BX98" s="1789">
        <f t="shared" si="113"/>
        <v>146.09717840333198</v>
      </c>
      <c r="BY98" s="1789">
        <f t="shared" si="113"/>
        <v>142.7530239348967</v>
      </c>
      <c r="BZ98" s="1789">
        <f t="shared" si="113"/>
        <v>160.81887778905403</v>
      </c>
      <c r="CA98" s="1820">
        <f>+SUM(BW98:BZ98)</f>
        <v>588.23964273272725</v>
      </c>
      <c r="CB98" s="1831"/>
      <c r="CC98" s="1820">
        <f t="shared" si="114"/>
        <v>146.55151661167764</v>
      </c>
      <c r="CD98" s="1789">
        <f t="shared" si="114"/>
        <v>153.48976813921482</v>
      </c>
      <c r="CE98" s="1789">
        <f t="shared" si="114"/>
        <v>149.77653359742666</v>
      </c>
      <c r="CF98" s="1789">
        <f t="shared" si="114"/>
        <v>167.63959857729768</v>
      </c>
      <c r="CG98" s="1820">
        <f>+SUM(CC98:CF98)</f>
        <v>617.45741692561683</v>
      </c>
      <c r="CH98" s="1831"/>
      <c r="CI98" s="1820">
        <f t="shared" si="115"/>
        <v>154.99598208376869</v>
      </c>
      <c r="CJ98" s="1789">
        <f t="shared" si="115"/>
        <v>161.26938258552164</v>
      </c>
      <c r="CK98" s="1789">
        <f t="shared" si="115"/>
        <v>157.15335345384889</v>
      </c>
      <c r="CL98" s="1789">
        <f t="shared" si="115"/>
        <v>174.79010637275667</v>
      </c>
      <c r="CM98" s="1828">
        <f>+SUM(CI98:CL98)</f>
        <v>648.2088244958959</v>
      </c>
      <c r="CN98" s="1200"/>
      <c r="CO98" s="1200"/>
      <c r="CP98"/>
      <c r="CQ98"/>
      <c r="CR98"/>
      <c r="CS98"/>
      <c r="CT98"/>
      <c r="CU98"/>
    </row>
    <row r="99" spans="1:99" s="1199" customFormat="1">
      <c r="A99" s="1802" t="s">
        <v>570</v>
      </c>
      <c r="B99" s="1806"/>
      <c r="C99" s="1785"/>
      <c r="D99" s="1785"/>
      <c r="E99" s="1785"/>
      <c r="F99" s="1785"/>
      <c r="G99" s="1810"/>
      <c r="H99" s="1806"/>
      <c r="I99" s="1785"/>
      <c r="J99" s="1785"/>
      <c r="K99" s="1785"/>
      <c r="L99" s="1785"/>
      <c r="M99" s="1810"/>
      <c r="N99" s="1806"/>
      <c r="O99" s="1785"/>
      <c r="P99" s="1785"/>
      <c r="Q99" s="1785"/>
      <c r="R99" s="1785"/>
      <c r="S99" s="1810"/>
      <c r="T99" s="1806"/>
      <c r="U99" s="1785"/>
      <c r="V99" s="1785"/>
      <c r="W99" s="1785"/>
      <c r="X99" s="1785"/>
      <c r="Y99" s="1810"/>
      <c r="Z99" s="1806"/>
      <c r="AA99" s="1785"/>
      <c r="AB99" s="1785"/>
      <c r="AC99" s="1785"/>
      <c r="AD99" s="1785"/>
      <c r="AE99" s="1810"/>
      <c r="AF99" s="1806"/>
      <c r="AG99" s="1785"/>
      <c r="AH99" s="1785"/>
      <c r="AI99" s="1785"/>
      <c r="AJ99" s="1785"/>
      <c r="AK99" s="1810"/>
      <c r="AL99" s="1831"/>
      <c r="AM99" s="2053">
        <f>+SUM(AM97:AM98)/AG21-1</f>
        <v>2.1035332785538374E-2</v>
      </c>
      <c r="AN99" s="2016">
        <f>+SUM(AN97:AN98)/AH21-1</f>
        <v>6.3801838994184124E-3</v>
      </c>
      <c r="AO99" s="2016">
        <f>+SUM(AO97:AO98)/AI21-1</f>
        <v>3.0526223674231412E-2</v>
      </c>
      <c r="AP99" s="2016">
        <f>+SUM(AP97:AP98)/AJ21-1</f>
        <v>6.5699153999587478E-2</v>
      </c>
      <c r="AQ99" s="2053">
        <f>+SUM(AQ97:AQ98)/AK21-1</f>
        <v>3.1075860412885126E-2</v>
      </c>
      <c r="AR99" s="1831"/>
      <c r="AS99" s="2053">
        <f>+SUM(AS97:AS98)/AM21-1</f>
        <v>1.1476637345257945E-3</v>
      </c>
      <c r="AT99" s="2016">
        <f>+SUM(AT97:AT98)/AN21-1</f>
        <v>3.5107008929496253E-2</v>
      </c>
      <c r="AU99" s="2016">
        <f>+SUM(AU97:AU98)/AO21-1</f>
        <v>4.6699690051941189E-2</v>
      </c>
      <c r="AV99" s="2016">
        <f>+SUM(AV97:AV98)/AP21-1</f>
        <v>3.6963896167598209E-2</v>
      </c>
      <c r="AW99" s="2053">
        <f>+SUM(AW97:AW98)/AQ21-1</f>
        <v>3.0094921535184449E-2</v>
      </c>
      <c r="AX99" s="1831"/>
      <c r="AY99" s="2053">
        <f>+SUM(AY97:AY98)/AS21-1</f>
        <v>0.11333859907872768</v>
      </c>
      <c r="AZ99" s="2016">
        <f>+SUM(AZ97:AZ98)/AT21-1</f>
        <v>4.00020934325096E-2</v>
      </c>
      <c r="BA99" s="2016">
        <f>+SUM(BA97:BA98)/AU21-1</f>
        <v>9.5745621327053332E-2</v>
      </c>
      <c r="BB99" s="2016">
        <f>+SUM(BB97:BB98)/AV21-1</f>
        <v>4.3806651919384043E-2</v>
      </c>
      <c r="BC99" s="2053">
        <f>+SUM(BC97:BC98)/AW21-1</f>
        <v>7.2212294238490182E-2</v>
      </c>
      <c r="BD99" s="1831"/>
      <c r="BE99" s="2053">
        <f>+SUM(BE97:BE98)/AY21-1</f>
        <v>2.3927423183883967E-2</v>
      </c>
      <c r="BF99" s="2016">
        <f>+SUM(BF97:BF98)/AZ21-1</f>
        <v>7.6062540096164755E-2</v>
      </c>
      <c r="BG99" s="2016">
        <f>+SUM(BG97:BG98)/BA21-1</f>
        <v>3.1991329592647055E-2</v>
      </c>
      <c r="BH99" s="2016">
        <f>+SUM(BH97:BH98)/BB21-1</f>
        <v>8.9999999999999858E-2</v>
      </c>
      <c r="BI99" s="2053">
        <f>+SUM(BI97:BI98)/BC21-1</f>
        <v>5.5789742550305998E-2</v>
      </c>
      <c r="BJ99" s="1831"/>
      <c r="BK99" s="2053">
        <f>+SUM(BK97:BK98)/BE21-1</f>
        <v>6.0000000000000053E-2</v>
      </c>
      <c r="BL99" s="2016">
        <f>+SUM(BL97:BL98)/BF21-1</f>
        <v>3.0000000000000027E-2</v>
      </c>
      <c r="BM99" s="2016">
        <f>+SUM(BM97:BM98)/BG21-1</f>
        <v>5.0000000000000044E-2</v>
      </c>
      <c r="BN99" s="2016">
        <f>+SUM(BN97:BN98)/BH21-1</f>
        <v>9.000000000000008E-2</v>
      </c>
      <c r="BO99" s="2053">
        <f>+SUM(BO97:BO98)/BI21-1</f>
        <v>5.7664642458395976E-2</v>
      </c>
      <c r="BP99" s="1831"/>
      <c r="BQ99" s="2053">
        <f>+SUM(BQ97:BQ98)/BK21-1</f>
        <v>7.5948358504335678E-2</v>
      </c>
      <c r="BR99" s="2016">
        <f>+SUM(BR97:BR98)/BL21-1</f>
        <v>7.6703264437816498E-2</v>
      </c>
      <c r="BS99" s="2016">
        <f>+SUM(BS97:BS98)/BM21-1</f>
        <v>5.2512790255963004E-2</v>
      </c>
      <c r="BT99" s="2016">
        <f>+SUM(BT97:BT98)/BN21-1</f>
        <v>5.302880242287733E-2</v>
      </c>
      <c r="BU99" s="2053">
        <f>+SUM(BU97:BU98)/BO21-1</f>
        <v>6.4018206453341886E-2</v>
      </c>
      <c r="BV99" s="1831"/>
      <c r="BW99" s="2053">
        <f>+SUM(BW97:BW98)/BQ21-1</f>
        <v>6.5513185873130819E-2</v>
      </c>
      <c r="BX99" s="2016">
        <f>+SUM(BX97:BX98)/BR21-1</f>
        <v>5.856973943469912E-2</v>
      </c>
      <c r="BY99" s="2016">
        <f>+SUM(BY97:BY98)/BS21-1</f>
        <v>5.5879969713876321E-2</v>
      </c>
      <c r="BZ99" s="2016">
        <f>+SUM(BZ97:BZ98)/BT21-1</f>
        <v>4.9195029031815274E-2</v>
      </c>
      <c r="CA99" s="2053">
        <f>+SUM(CA97:CA98)/BU21-1</f>
        <v>5.6977871841995986E-2</v>
      </c>
      <c r="CB99" s="1831"/>
      <c r="CC99" s="2053">
        <f>+SUM(CC97:CC98)/BW21-1</f>
        <v>5.7594873371175082E-2</v>
      </c>
      <c r="CD99" s="2016">
        <f>+SUM(CD97:CD98)/BX21-1</f>
        <v>5.060049630441199E-2</v>
      </c>
      <c r="CE99" s="2016">
        <f>+SUM(CE97:CE98)/BY21-1</f>
        <v>4.9200426505382255E-2</v>
      </c>
      <c r="CF99" s="2016">
        <f>+SUM(CF97:CF98)/BZ21-1</f>
        <v>4.2412438651576734E-2</v>
      </c>
      <c r="CG99" s="2053">
        <f>+SUM(CG97:CG98)/CA21-1</f>
        <v>4.9689887113802289E-2</v>
      </c>
      <c r="CH99" s="1831"/>
      <c r="CI99" s="2053">
        <f>+SUM(CI97:CI98)/CC21-1</f>
        <v>5.7621140110522662E-2</v>
      </c>
      <c r="CJ99" s="2016">
        <f>+SUM(CJ97:CJ98)/CD21-1</f>
        <v>5.0684905844998962E-2</v>
      </c>
      <c r="CK99" s="2016">
        <f>+SUM(CK97:CK98)/CE21-1</f>
        <v>4.9252173750060635E-2</v>
      </c>
      <c r="CL99" s="2016">
        <f>+SUM(CL97:CL98)/CF21-1</f>
        <v>4.2654049855421983E-2</v>
      </c>
      <c r="CM99" s="2102">
        <f>+SUM(CM97:CM98)/CG21-1</f>
        <v>4.9822716357300179E-2</v>
      </c>
      <c r="CN99" s="1200"/>
      <c r="CO99" s="1200"/>
      <c r="CP99"/>
      <c r="CQ99"/>
      <c r="CR99"/>
      <c r="CS99"/>
      <c r="CT99"/>
      <c r="CU99"/>
    </row>
    <row r="100" spans="1:99" s="1199" customFormat="1">
      <c r="A100" s="1802" t="s">
        <v>531</v>
      </c>
      <c r="B100" s="1806"/>
      <c r="C100" s="1785"/>
      <c r="D100" s="1785"/>
      <c r="E100" s="1785"/>
      <c r="F100" s="1785"/>
      <c r="G100" s="1810"/>
      <c r="H100" s="1806"/>
      <c r="I100" s="1785"/>
      <c r="J100" s="1785"/>
      <c r="K100" s="1785"/>
      <c r="L100" s="1785"/>
      <c r="M100" s="1810"/>
      <c r="N100" s="1806"/>
      <c r="O100" s="1785"/>
      <c r="P100" s="1785"/>
      <c r="Q100" s="1785"/>
      <c r="R100" s="1785"/>
      <c r="S100" s="1810"/>
      <c r="T100" s="1806"/>
      <c r="U100" s="1785"/>
      <c r="V100" s="1785"/>
      <c r="W100" s="1785"/>
      <c r="X100" s="1785"/>
      <c r="Y100" s="1810"/>
      <c r="Z100" s="1806"/>
      <c r="AA100" s="1785"/>
      <c r="AB100" s="1785"/>
      <c r="AC100" s="1785"/>
      <c r="AD100" s="1785"/>
      <c r="AE100" s="1810"/>
      <c r="AF100" s="1806"/>
      <c r="AG100" s="1785"/>
      <c r="AH100" s="1785"/>
      <c r="AI100" s="1785"/>
      <c r="AJ100" s="1785"/>
      <c r="AK100" s="1810"/>
      <c r="AL100" s="1786"/>
      <c r="AM100" s="1815">
        <f>(0.55*(AG9*(OrgRev!AM116)))*0.05</f>
        <v>0.57812975000000022</v>
      </c>
      <c r="AN100" s="1787">
        <f>(0.55*(AH9*(OrgRev!AN116)))*0.05</f>
        <v>0.62076437500000015</v>
      </c>
      <c r="AO100" s="1787">
        <f>(0.55*(AI9*(OrgRev!AO116)))*0.05</f>
        <v>0</v>
      </c>
      <c r="AP100" s="1787">
        <f>(0.55*(AJ9*(OrgRev!AP116)))*0.05</f>
        <v>0.43045694999999995</v>
      </c>
      <c r="AQ100" s="1815">
        <f>(0.55*(AK9*(OrgRev!AQ116)))*0.05</f>
        <v>1.6477541437500003</v>
      </c>
      <c r="AR100" s="1806"/>
      <c r="AS100" s="1815">
        <f>(0.55*(AM9*(OrgRev!AS116)))*0.05</f>
        <v>0.23668590000000009</v>
      </c>
      <c r="AT100" s="1787">
        <f>(0.55*(AN9*(OrgRev!AT116)))*0.05</f>
        <v>0.99245300000000014</v>
      </c>
      <c r="AU100" s="1787">
        <f>(0.55*(AO9*(OrgRev!AU116)))*0.05</f>
        <v>1.5091461000000002</v>
      </c>
      <c r="AV100" s="1787">
        <f>(0.55*(AP9*(OrgRev!AV116)))*0.05</f>
        <v>1.5549820000000003</v>
      </c>
      <c r="AW100" s="1815">
        <f>(0.55*(AQ9*(OrgRev!AW116)))*0.05</f>
        <v>4.1892795999999999</v>
      </c>
      <c r="AX100" s="1824"/>
      <c r="AY100" s="1815">
        <f>(0.55*(AS9*(OrgRev!AY116)))*0.05</f>
        <v>1.5982609500000002</v>
      </c>
      <c r="AZ100" s="1787">
        <f>(0.55*(AT9*(OrgRev!AZ116)))*0.05</f>
        <v>1.4574480250000001</v>
      </c>
      <c r="BA100" s="1787">
        <f>(0.55*(AU9*(OrgRev!BA116)))*0.05</f>
        <v>1.3562037500000004</v>
      </c>
      <c r="BB100" s="1787">
        <f>(0.55*(AV9*(OrgRev!BB116)))*0.05</f>
        <v>1.5253603750000002</v>
      </c>
      <c r="BC100" s="1815">
        <f>(0.55*(AW9*(OrgRev!BC116)))*0.05</f>
        <v>6.0177656000000006</v>
      </c>
      <c r="BD100" s="1828"/>
      <c r="BE100" s="1815">
        <f>(0.55*(AY9*(OrgRev!BE116)))*0.05</f>
        <v>1.2028054500000003</v>
      </c>
      <c r="BF100" s="1787">
        <f>(0.55*(AZ9*(OrgRev!BF116)))*0.05</f>
        <v>1.6326420000000004</v>
      </c>
      <c r="BG100" s="1787">
        <f>(0.55*(BA9*(OrgRev!BG116)))*0.05</f>
        <v>1.7895663500000003</v>
      </c>
      <c r="BH100" s="1787">
        <f>(0.55*(BB9*(OrgRev!BH116)))*0.05</f>
        <v>0.80658875000000008</v>
      </c>
      <c r="BI100" s="1820">
        <f>+SUM(BE100:BH100)</f>
        <v>5.4316025500000018</v>
      </c>
      <c r="BJ100" s="1831"/>
      <c r="BK100" s="1815">
        <f>(0.55*(BE9*(OrgRev!BK116)))*0.05</f>
        <v>1.3069265000000001</v>
      </c>
      <c r="BL100" s="1787">
        <f>(0.55*(BF9*(OrgRev!BL116)))*0.05</f>
        <v>0.59021600000000007</v>
      </c>
      <c r="BM100" s="1787">
        <f>(0.55*(BG9*(OrgRev!BM116)))*0.03</f>
        <v>0.5841491040000002</v>
      </c>
      <c r="BN100" s="2041">
        <f>(0.55*(BH9*(OrgRev!BN116)))*0.03</f>
        <v>0.82999884000000013</v>
      </c>
      <c r="BO100" s="1820">
        <f>+SUM(BK100:BN100)</f>
        <v>3.3112904440000004</v>
      </c>
      <c r="BP100" s="1831"/>
      <c r="BQ100" s="1835">
        <f>(0.55*(BK9*BQ101))*0.03</f>
        <v>0.49298931000000001</v>
      </c>
      <c r="BR100" s="1834">
        <f>(0.55*(BL9*BR101))*0.03</f>
        <v>0.55266749999999998</v>
      </c>
      <c r="BS100" s="1834">
        <f>(0.55*(BM9*BS101))*0.03</f>
        <v>0.5599281599999999</v>
      </c>
      <c r="BT100" s="1834">
        <f>(0.55*(BN9*BT101))*0.03</f>
        <v>0.68040224999999999</v>
      </c>
      <c r="BU100" s="1820">
        <f>+SUM(BQ100:BT100)</f>
        <v>2.28598722</v>
      </c>
      <c r="BV100" s="1831"/>
      <c r="BW100" s="1835">
        <f>(0.55*(BQ9*BW101))*0.03</f>
        <v>0.53569855917644005</v>
      </c>
      <c r="BX100" s="1834">
        <f>(0.55*(BR9*BX101))*0.03</f>
        <v>0.60129570953889322</v>
      </c>
      <c r="BY100" s="1834">
        <f>(0.55*(BS9*BY101))*0.03</f>
        <v>0.59554649865439202</v>
      </c>
      <c r="BZ100" s="1834">
        <f>(0.55*(BT9*BZ101))*0.03</f>
        <v>0.72473491742554053</v>
      </c>
      <c r="CA100" s="1820">
        <f>+SUM(BW100:BZ100)</f>
        <v>2.4572756847952659</v>
      </c>
      <c r="CB100" s="1831"/>
      <c r="CC100" s="1835">
        <f>(0.55*(BW9*CC101))*0.03</f>
        <v>0.57079387845573448</v>
      </c>
      <c r="CD100" s="1834">
        <f>(0.55*(BX9*CD101))*0.03</f>
        <v>0.63651344256978859</v>
      </c>
      <c r="CE100" s="1834">
        <f>(0.55*(BY9*CE101))*0.03</f>
        <v>0.62882561896240452</v>
      </c>
      <c r="CF100" s="1834">
        <f>(0.55*(BZ9*CF101))*0.03</f>
        <v>0.76038827272866016</v>
      </c>
      <c r="CG100" s="1820">
        <f>+SUM(CC100:CF100)</f>
        <v>2.5965212127165875</v>
      </c>
      <c r="CH100" s="1831"/>
      <c r="CI100" s="1835">
        <f>(0.55*(CC9*CI101))*0.03</f>
        <v>0.60366867960643444</v>
      </c>
      <c r="CJ100" s="1834">
        <f>(0.55*(CD9*CJ101))*0.03</f>
        <v>0.6687213386682499</v>
      </c>
      <c r="CK100" s="1834">
        <f>(0.55*(CE9*CK101))*0.03</f>
        <v>0.65976410761286586</v>
      </c>
      <c r="CL100" s="1834">
        <f>(0.55*(CF9*CL101))*0.03</f>
        <v>0.79263819369714283</v>
      </c>
      <c r="CM100" s="1828">
        <f>+SUM(CI100:CL100)</f>
        <v>2.7247923195846933</v>
      </c>
      <c r="CN100" s="1200"/>
      <c r="CO100" s="1200"/>
      <c r="CP100"/>
      <c r="CQ100"/>
      <c r="CR100"/>
      <c r="CS100"/>
      <c r="CT100"/>
      <c r="CU100"/>
    </row>
    <row r="101" spans="1:99" s="1199" customFormat="1">
      <c r="A101" s="1802" t="s">
        <v>553</v>
      </c>
      <c r="B101" s="1806"/>
      <c r="C101" s="1785"/>
      <c r="D101" s="1785"/>
      <c r="E101" s="1785"/>
      <c r="F101" s="1785"/>
      <c r="G101" s="1810"/>
      <c r="H101" s="1806"/>
      <c r="I101" s="1785"/>
      <c r="J101" s="1785"/>
      <c r="K101" s="1785"/>
      <c r="L101" s="1785"/>
      <c r="M101" s="1810"/>
      <c r="N101" s="1806"/>
      <c r="O101" s="1785"/>
      <c r="P101" s="1785"/>
      <c r="Q101" s="1785"/>
      <c r="R101" s="1785"/>
      <c r="S101" s="1810"/>
      <c r="T101" s="1806"/>
      <c r="U101" s="1785"/>
      <c r="V101" s="1785"/>
      <c r="W101" s="1785"/>
      <c r="X101" s="1785"/>
      <c r="Y101" s="1810"/>
      <c r="Z101" s="1806"/>
      <c r="AA101" s="1785"/>
      <c r="AB101" s="1785"/>
      <c r="AC101" s="1785"/>
      <c r="AD101" s="1785"/>
      <c r="AE101" s="1810"/>
      <c r="AF101" s="1806"/>
      <c r="AG101" s="1785"/>
      <c r="AH101" s="1785"/>
      <c r="AI101" s="1785"/>
      <c r="AJ101" s="1785"/>
      <c r="AK101" s="1810"/>
      <c r="AL101" s="1786"/>
      <c r="AM101" s="1815"/>
      <c r="AN101" s="1787"/>
      <c r="AO101" s="1787"/>
      <c r="AP101" s="1787"/>
      <c r="AQ101" s="1815"/>
      <c r="AR101" s="1806"/>
      <c r="AS101" s="1815"/>
      <c r="AT101" s="1787"/>
      <c r="AU101" s="1787"/>
      <c r="AV101" s="1787"/>
      <c r="AW101" s="1815"/>
      <c r="AX101" s="1824"/>
      <c r="AY101" s="1815"/>
      <c r="AZ101" s="1787"/>
      <c r="BA101" s="1787"/>
      <c r="BB101" s="1787"/>
      <c r="BC101" s="1815"/>
      <c r="BD101" s="1828"/>
      <c r="BE101" s="1815"/>
      <c r="BF101" s="1787"/>
      <c r="BG101" s="1787"/>
      <c r="BH101" s="1787"/>
      <c r="BI101" s="1820"/>
      <c r="BJ101" s="1831"/>
      <c r="BK101" s="1822"/>
      <c r="BL101" s="1787"/>
      <c r="BM101" s="2040"/>
      <c r="BN101" s="2107"/>
      <c r="BO101" s="2106"/>
      <c r="BP101" s="1831"/>
      <c r="BQ101" s="2004">
        <v>0.06</v>
      </c>
      <c r="BR101" s="2004">
        <v>0.06</v>
      </c>
      <c r="BS101" s="2004">
        <v>0.06</v>
      </c>
      <c r="BT101" s="2004">
        <v>0.06</v>
      </c>
      <c r="BU101" s="1820"/>
      <c r="BV101" s="1831"/>
      <c r="BW101" s="2004">
        <v>0.06</v>
      </c>
      <c r="BX101" s="2004">
        <v>0.06</v>
      </c>
      <c r="BY101" s="2004">
        <v>0.06</v>
      </c>
      <c r="BZ101" s="2004">
        <v>0.06</v>
      </c>
      <c r="CA101" s="1820"/>
      <c r="CB101" s="1831"/>
      <c r="CC101" s="2004">
        <v>0.06</v>
      </c>
      <c r="CD101" s="2004">
        <v>0.06</v>
      </c>
      <c r="CE101" s="2004">
        <v>0.06</v>
      </c>
      <c r="CF101" s="2004">
        <v>0.06</v>
      </c>
      <c r="CG101" s="1820"/>
      <c r="CH101" s="1831"/>
      <c r="CI101" s="2004">
        <v>0.06</v>
      </c>
      <c r="CJ101" s="2004">
        <v>0.06</v>
      </c>
      <c r="CK101" s="2004">
        <v>0.06</v>
      </c>
      <c r="CL101" s="2004">
        <v>0.06</v>
      </c>
      <c r="CM101" s="1828"/>
      <c r="CN101" s="1200"/>
      <c r="CO101" s="1200"/>
      <c r="CP101"/>
      <c r="CQ101"/>
      <c r="CR101"/>
      <c r="CS101"/>
      <c r="CT101"/>
      <c r="CU101"/>
    </row>
    <row r="102" spans="1:99" s="1199" customFormat="1">
      <c r="A102" s="1803" t="s">
        <v>532</v>
      </c>
      <c r="B102" s="1806"/>
      <c r="C102" s="1785"/>
      <c r="D102" s="1785"/>
      <c r="E102" s="1785"/>
      <c r="F102" s="1785"/>
      <c r="G102" s="1810"/>
      <c r="H102" s="1806"/>
      <c r="I102" s="1785"/>
      <c r="J102" s="1785"/>
      <c r="K102" s="1785"/>
      <c r="L102" s="1785"/>
      <c r="M102" s="1810"/>
      <c r="N102" s="1806"/>
      <c r="O102" s="1785"/>
      <c r="P102" s="1785"/>
      <c r="Q102" s="1785"/>
      <c r="R102" s="1785"/>
      <c r="S102" s="1810"/>
      <c r="T102" s="1806"/>
      <c r="U102" s="1785"/>
      <c r="V102" s="1785"/>
      <c r="W102" s="1785"/>
      <c r="X102" s="1785"/>
      <c r="Y102" s="1810"/>
      <c r="Z102" s="1806"/>
      <c r="AA102" s="1785"/>
      <c r="AB102" s="1785"/>
      <c r="AC102" s="1785"/>
      <c r="AD102" s="1785"/>
      <c r="AE102" s="1810"/>
      <c r="AF102" s="1806"/>
      <c r="AG102" s="1785"/>
      <c r="AH102" s="1785"/>
      <c r="AI102" s="1785"/>
      <c r="AJ102" s="1785"/>
      <c r="AK102" s="1810"/>
      <c r="AL102" s="1786"/>
      <c r="AM102" s="1815">
        <f>+AM95-AM97-AM98-AM100</f>
        <v>112.72320825000003</v>
      </c>
      <c r="AN102" s="1787">
        <f>+AN95-AN97-AN98-AN100</f>
        <v>117.81535062500001</v>
      </c>
      <c r="AO102" s="1787">
        <f>+AO95-AO97-AO98-AO100</f>
        <v>127.63621900000001</v>
      </c>
      <c r="AP102" s="1787">
        <f>+AP95-AP97-AP98-AP100</f>
        <v>183.91178304999991</v>
      </c>
      <c r="AQ102" s="1815">
        <f>+AQ95-AQ97-AQ98-AQ100</f>
        <v>548.48777185624965</v>
      </c>
      <c r="AR102" s="1806"/>
      <c r="AS102" s="1815">
        <f>+AS95-AS97-AS98-AS100</f>
        <v>110.25201409999994</v>
      </c>
      <c r="AT102" s="1787">
        <f>+AT95-AT97-AT98-AT100</f>
        <v>131.48002199999999</v>
      </c>
      <c r="AU102" s="1787">
        <f>+AU95-AU97-AU98-AU100</f>
        <v>143.98635890000006</v>
      </c>
      <c r="AV102" s="1787">
        <f>+AV95-AV97-AV98-AV100</f>
        <v>197.284808</v>
      </c>
      <c r="AW102" s="1815">
        <f>+AW95-AW97-AW98-AW100</f>
        <v>568.65833040000007</v>
      </c>
      <c r="AX102" s="1824"/>
      <c r="AY102" s="1815">
        <f>+AY95-AY97-AY98-AY100</f>
        <v>110.28217905</v>
      </c>
      <c r="AZ102" s="1787">
        <f>+AZ95-AZ97-AZ98-AZ100</f>
        <v>125.60187197499999</v>
      </c>
      <c r="BA102" s="1787">
        <f>+BA95-BA97-BA98-BA100</f>
        <v>138.31861654717235</v>
      </c>
      <c r="BB102" s="1787">
        <f>+BB95-BB97-BB98-BB100</f>
        <v>191.56924194769704</v>
      </c>
      <c r="BC102" s="1815">
        <f>+BC95-BC97-BC98-BC100</f>
        <v>551.46594901986907</v>
      </c>
      <c r="BD102" s="1828"/>
      <c r="BE102" s="1815">
        <f>+BE95-BE97-BE98-BE100</f>
        <v>126.68703455000004</v>
      </c>
      <c r="BF102" s="1787">
        <f>+BF95-BF97-BF98-BF100</f>
        <v>148.36113799999995</v>
      </c>
      <c r="BG102" s="1787">
        <f>+BG95-BG97-BG98-BG100</f>
        <v>146.04841365000007</v>
      </c>
      <c r="BH102" s="1787">
        <f>+BH95-BH97-BH98-BH100</f>
        <v>204.13430925</v>
      </c>
      <c r="BI102" s="1815">
        <f>+BI95-BI97-BI98-BI100</f>
        <v>625.23089544999993</v>
      </c>
      <c r="BJ102" s="1831"/>
      <c r="BK102" s="1815">
        <f>+BK95-BK97-BK98-BK100</f>
        <v>133.56500349999996</v>
      </c>
      <c r="BL102" s="1787">
        <f>+BL95-BL97-BL98-BL100</f>
        <v>167.51441399999999</v>
      </c>
      <c r="BM102" s="1787">
        <f>+BM95-BM97-BM98-BM100</f>
        <v>169.82385289599989</v>
      </c>
      <c r="BN102" s="1787">
        <f>+BN95-BN97-BN98-BN100</f>
        <v>239.28171865999994</v>
      </c>
      <c r="BO102" s="1815">
        <f>+BO95-BO97-BO98-BO100</f>
        <v>710.18498905599972</v>
      </c>
      <c r="BP102" s="1831"/>
      <c r="BQ102" s="1815">
        <f>+BQ95-BQ97-BQ98-BQ100</f>
        <v>147.39392182366885</v>
      </c>
      <c r="BR102" s="1787">
        <f>+BR95-BR97-BR98-BR100</f>
        <v>182.86438769395517</v>
      </c>
      <c r="BS102" s="1787">
        <f>+BS95-BS97-BS98-BS100</f>
        <v>178.65730174049278</v>
      </c>
      <c r="BT102" s="1787">
        <f>+BT95-BT97-BT98-BT100</f>
        <v>252.23865512824059</v>
      </c>
      <c r="BU102" s="1815">
        <f>+BU95-BU97-BU98-BU100</f>
        <v>762.39531471201133</v>
      </c>
      <c r="BV102" s="1831"/>
      <c r="BW102" s="1815">
        <f>+BW95-BW97-BW98-BW100</f>
        <v>158.69940276915901</v>
      </c>
      <c r="BX102" s="1787">
        <f>+BX95-BX97-BX98-BX100</f>
        <v>195.37894070433651</v>
      </c>
      <c r="BY102" s="1787">
        <f>+BY95-BY97-BY98-BY100</f>
        <v>190.44009140720411</v>
      </c>
      <c r="BZ102" s="1787">
        <f>+BZ95-BZ97-BZ98-BZ100</f>
        <v>266.85676699083302</v>
      </c>
      <c r="CA102" s="1815">
        <f>+CA95-CA97-CA98-CA100</f>
        <v>811.37520187153291</v>
      </c>
      <c r="CB102" s="1831"/>
      <c r="CC102" s="1815">
        <f>+CC95-CC97-CC98-CC100</f>
        <v>169.22332781580906</v>
      </c>
      <c r="CD102" s="1787">
        <f>+CD95-CD97-CD98-CD100</f>
        <v>206.75486703164654</v>
      </c>
      <c r="CE102" s="1787">
        <f>+CE95-CE97-CE98-CE100</f>
        <v>201.35296138048005</v>
      </c>
      <c r="CF102" s="1787">
        <f>+CF95-CF97-CF98-CF100</f>
        <v>280.05123930709016</v>
      </c>
      <c r="CG102" s="1815">
        <f>+CG95-CG97-CG98-CG100</f>
        <v>857.38239553502615</v>
      </c>
      <c r="CH102" s="1831"/>
      <c r="CI102" s="1815">
        <f>+CI95-CI97-CI98-CI100</f>
        <v>180.44093871790662</v>
      </c>
      <c r="CJ102" s="1787">
        <f>+CJ95-CJ97-CJ98-CJ100</f>
        <v>218.79701146173173</v>
      </c>
      <c r="CK102" s="1787">
        <f>+CK95-CK97-CK98-CK100</f>
        <v>212.89281972624366</v>
      </c>
      <c r="CL102" s="1787">
        <f>+CL95-CL97-CL98-CL100</f>
        <v>293.95198970496773</v>
      </c>
      <c r="CM102" s="1824">
        <f>+CM95-CM97-CM98-CM100</f>
        <v>906.08275961084985</v>
      </c>
      <c r="CN102" s="2032"/>
      <c r="CO102" s="2032"/>
      <c r="CP102"/>
      <c r="CQ102"/>
      <c r="CR102"/>
      <c r="CS102"/>
      <c r="CT102"/>
      <c r="CU102"/>
    </row>
    <row r="103" spans="1:99" s="1199" customFormat="1">
      <c r="A103" s="1804" t="s">
        <v>538</v>
      </c>
      <c r="B103" s="1798"/>
      <c r="C103" s="1809"/>
      <c r="D103" s="1809"/>
      <c r="E103" s="1809"/>
      <c r="F103" s="1809"/>
      <c r="G103" s="1813"/>
      <c r="H103" s="1798"/>
      <c r="I103" s="1809"/>
      <c r="J103" s="1809"/>
      <c r="K103" s="1809"/>
      <c r="L103" s="1809"/>
      <c r="M103" s="1813"/>
      <c r="N103" s="1798"/>
      <c r="O103" s="1809"/>
      <c r="P103" s="1809"/>
      <c r="Q103" s="1809"/>
      <c r="R103" s="1809"/>
      <c r="S103" s="1813"/>
      <c r="T103" s="1798"/>
      <c r="U103" s="1809"/>
      <c r="V103" s="1809"/>
      <c r="W103" s="1809"/>
      <c r="X103" s="1809"/>
      <c r="Y103" s="1813"/>
      <c r="Z103" s="1798"/>
      <c r="AA103" s="1809"/>
      <c r="AB103" s="1809"/>
      <c r="AC103" s="1809"/>
      <c r="AD103" s="1809"/>
      <c r="AE103" s="1813"/>
      <c r="AF103" s="1798"/>
      <c r="AG103" s="1809"/>
      <c r="AH103" s="1809"/>
      <c r="AI103" s="1809"/>
      <c r="AJ103" s="1809"/>
      <c r="AK103" s="1813"/>
      <c r="AL103" s="1817"/>
      <c r="AM103" s="1818">
        <f>+AM102/AM9</f>
        <v>0.26194109804386323</v>
      </c>
      <c r="AN103" s="1819">
        <f>+AN102/AN9</f>
        <v>0.26116478198463805</v>
      </c>
      <c r="AO103" s="1819">
        <f>+AO102/AO9</f>
        <v>0.27909791020233232</v>
      </c>
      <c r="AP103" s="1819">
        <f>+AP102/AP9</f>
        <v>0.32524968352527539</v>
      </c>
      <c r="AQ103" s="1818">
        <f>+AQ102/AQ9</f>
        <v>0.28803832956953968</v>
      </c>
      <c r="AR103" s="1798"/>
      <c r="AS103" s="1818">
        <f>+AS102/AS9</f>
        <v>0.25609748041848224</v>
      </c>
      <c r="AT103" s="1819">
        <f>+AT102/AT9</f>
        <v>0.27289279598838523</v>
      </c>
      <c r="AU103" s="1819">
        <f>+AU102/AU9</f>
        <v>0.29196386381839762</v>
      </c>
      <c r="AV103" s="1819">
        <f>+AV102/AV9</f>
        <v>0.33789166766574752</v>
      </c>
      <c r="AW103" s="1818">
        <f>+AW102/AW9</f>
        <v>0.28585218564511722</v>
      </c>
      <c r="AX103" s="1826"/>
      <c r="AY103" s="1818">
        <f>+AY102/AY9</f>
        <v>0.23953349460473844</v>
      </c>
      <c r="AZ103" s="1819">
        <f>+AZ102/AZ9</f>
        <v>0.25387450372923148</v>
      </c>
      <c r="BA103" s="1819">
        <f>+BA102/BA9</f>
        <v>0.27631780970632419</v>
      </c>
      <c r="BB103" s="1819">
        <f>+BB102/BB9</f>
        <v>0.32657002428819321</v>
      </c>
      <c r="BC103" s="1818">
        <f>+BC102/BC9</f>
        <v>0.27001777821621026</v>
      </c>
      <c r="BD103" s="1829"/>
      <c r="BE103" s="1818">
        <f>+BE102/BE9</f>
        <v>0.26657149044915696</v>
      </c>
      <c r="BF103" s="1819">
        <f>+BF102/BF9</f>
        <v>0.27650428283882506</v>
      </c>
      <c r="BG103" s="1819">
        <f>+BG102/BG9</f>
        <v>0.27722114088035998</v>
      </c>
      <c r="BH103" s="1819">
        <f>+BH102/BH9</f>
        <v>0.32464778891739171</v>
      </c>
      <c r="BI103" s="1818">
        <f>+BI102/BI9</f>
        <v>0.28846740827701839</v>
      </c>
      <c r="BJ103" s="1833"/>
      <c r="BK103" s="1818">
        <f>+BK102/BK9</f>
        <v>0.26821951466858374</v>
      </c>
      <c r="BL103" s="1819">
        <f>+BL102/BL9</f>
        <v>0.3000706027765338</v>
      </c>
      <c r="BM103" s="1819">
        <f>+BM102/BM9</f>
        <v>0.30026283080143695</v>
      </c>
      <c r="BN103" s="1819">
        <f>+BN102/BN9</f>
        <v>0.34816007953148298</v>
      </c>
      <c r="BO103" s="1818">
        <f>+BO102/BO9</f>
        <v>0.30756214777326696</v>
      </c>
      <c r="BP103" s="1833"/>
      <c r="BQ103" s="1818">
        <f>+BQ102/BQ9</f>
        <v>0.27239196392419512</v>
      </c>
      <c r="BR103" s="1819">
        <f>+BR102/BR9</f>
        <v>0.3010760611544091</v>
      </c>
      <c r="BS103" s="1819">
        <f>+BS102/BS9</f>
        <v>0.29698894901190515</v>
      </c>
      <c r="BT103" s="1819">
        <f>+BT102/BT9</f>
        <v>0.34456221519451508</v>
      </c>
      <c r="BU103" s="1818">
        <f>+BU102/BU9</f>
        <v>0.30715778707091912</v>
      </c>
      <c r="BV103" s="1833"/>
      <c r="BW103" s="1818">
        <f>+BW102/BW9</f>
        <v>0.27525244168092738</v>
      </c>
      <c r="BX103" s="1819">
        <f>+BX102/BX9</f>
        <v>0.30388227233093446</v>
      </c>
      <c r="BY103" s="1819">
        <f>+BY102/BY9</f>
        <v>0.2998218978486053</v>
      </c>
      <c r="BZ103" s="1819">
        <f>+BZ102/BZ9</f>
        <v>0.34743855053535078</v>
      </c>
      <c r="CA103" s="1818">
        <f>+CA102/CA9</f>
        <v>0.30936063449772944</v>
      </c>
      <c r="CB103" s="1833"/>
      <c r="CC103" s="1818">
        <f>+CC102/CC9</f>
        <v>0.27752159453903408</v>
      </c>
      <c r="CD103" s="1819">
        <f>+CD102/CD9</f>
        <v>0.30608761306908833</v>
      </c>
      <c r="CE103" s="1819">
        <f>+CE102/CE9</f>
        <v>0.30213742982763614</v>
      </c>
      <c r="CF103" s="1819">
        <f>+CF102/CF9</f>
        <v>0.34978219459855264</v>
      </c>
      <c r="CG103" s="1818">
        <f>+CG102/CG9</f>
        <v>0.31151312541465526</v>
      </c>
      <c r="CH103" s="1833"/>
      <c r="CI103" s="1818">
        <f>+CI102/CI9</f>
        <v>0.27979600263820187</v>
      </c>
      <c r="CJ103" s="1819">
        <f>+CJ102/CJ9</f>
        <v>0.30828962214842237</v>
      </c>
      <c r="CK103" s="1819">
        <f>+CK102/CK9</f>
        <v>0.30445817915685847</v>
      </c>
      <c r="CL103" s="1819">
        <f>+CL102/CL9</f>
        <v>0.35212460200695755</v>
      </c>
      <c r="CM103" s="1829">
        <f>+CM102/CM9</f>
        <v>0.31366876147452649</v>
      </c>
      <c r="CN103" s="1200"/>
      <c r="CO103" s="1200"/>
      <c r="CP103"/>
      <c r="CQ103"/>
      <c r="CR103"/>
      <c r="CS103"/>
      <c r="CT103"/>
      <c r="CU103"/>
    </row>
    <row r="104" spans="1:99" s="1784" customFormat="1">
      <c r="A104" s="1647" t="s">
        <v>552</v>
      </c>
      <c r="B104" s="2005"/>
      <c r="C104" s="2006"/>
      <c r="D104" s="2006"/>
      <c r="E104" s="2006"/>
      <c r="F104" s="2006"/>
      <c r="G104" s="2007"/>
      <c r="H104" s="2005"/>
      <c r="I104" s="2006"/>
      <c r="J104" s="2006"/>
      <c r="K104" s="2006"/>
      <c r="L104" s="2006"/>
      <c r="M104" s="2007"/>
      <c r="N104" s="2005"/>
      <c r="O104" s="2006"/>
      <c r="P104" s="2006"/>
      <c r="Q104" s="2006"/>
      <c r="R104" s="2006"/>
      <c r="S104" s="2007"/>
      <c r="T104" s="2005"/>
      <c r="U104" s="2006"/>
      <c r="V104" s="2006"/>
      <c r="W104" s="2006"/>
      <c r="X104" s="2006"/>
      <c r="Y104" s="2007"/>
      <c r="Z104" s="2005"/>
      <c r="AA104" s="2006"/>
      <c r="AB104" s="2006"/>
      <c r="AC104" s="2006"/>
      <c r="AD104" s="2006"/>
      <c r="AE104" s="2007"/>
      <c r="AF104" s="2005"/>
      <c r="AG104" s="2006"/>
      <c r="AH104" s="2006"/>
      <c r="AI104" s="2006"/>
      <c r="AJ104" s="2006"/>
      <c r="AK104" s="2007"/>
      <c r="AL104" s="2008"/>
      <c r="AM104" s="2009"/>
      <c r="AN104" s="1648"/>
      <c r="AO104" s="1648"/>
      <c r="AP104" s="1648"/>
      <c r="AQ104" s="2009"/>
      <c r="AR104" s="2005"/>
      <c r="AS104" s="2009">
        <f>+AS103-AM93</f>
        <v>-6.1870494162059031E-3</v>
      </c>
      <c r="AT104" s="1648">
        <f>+AT103-AN93</f>
        <v>1.1351947202598855E-2</v>
      </c>
      <c r="AU104" s="1648">
        <f>+AU103-AO93</f>
        <v>1.9865953616065246E-2</v>
      </c>
      <c r="AV104" s="1648">
        <f>+AV103-AP93</f>
        <v>1.6880717056673045E-2</v>
      </c>
      <c r="AW104" s="2009">
        <f>+AW103-AQ93</f>
        <v>3.9485380585488339E-3</v>
      </c>
      <c r="AX104" s="2010"/>
      <c r="AY104" s="2009">
        <f>+AY103-AS93</f>
        <v>7.8862313715349353E-3</v>
      </c>
      <c r="AZ104" s="1648">
        <f>+AZ103-AT93</f>
        <v>-9.9045253719948767E-3</v>
      </c>
      <c r="BA104" s="1648">
        <f>+BA103-AU93</f>
        <v>-1.0865992874962094E-2</v>
      </c>
      <c r="BB104" s="1648">
        <f>+BB103-AV93</f>
        <v>-4.412899992896735E-3</v>
      </c>
      <c r="BC104" s="2009">
        <f>+BC103-AW93</f>
        <v>-1.2334092551238685E-2</v>
      </c>
      <c r="BD104" s="2011"/>
      <c r="BE104" s="2009">
        <f>+BE103-AY93</f>
        <v>-2.1664006204255015E-3</v>
      </c>
      <c r="BF104" s="1648">
        <f>+BF103-AZ93</f>
        <v>3.9692139137330607E-3</v>
      </c>
      <c r="BG104" s="1648">
        <f>+BG103-BA93</f>
        <v>-2.751211080772864E-3</v>
      </c>
      <c r="BH104" s="1648">
        <f>+BH103-BB93</f>
        <v>-6.2586054502460908E-3</v>
      </c>
      <c r="BI104" s="2009">
        <f>+BI103-BC93</f>
        <v>-1.800285712009797E-3</v>
      </c>
      <c r="BJ104" s="2012"/>
      <c r="BK104" s="2009">
        <f>+BK103-BE93</f>
        <v>3.0957682298973221E-3</v>
      </c>
      <c r="BL104" s="1648">
        <f>+BL103-BF93</f>
        <v>9.3258584795307686E-3</v>
      </c>
      <c r="BM104" s="1648">
        <f>+BM103-BG93</f>
        <v>5.7256935844978152E-3</v>
      </c>
      <c r="BN104" s="1648">
        <f>+BN103-BH93</f>
        <v>6.9936750097610578E-3</v>
      </c>
      <c r="BO104" s="2009">
        <f>+BO103-BI93</f>
        <v>6.8857223593076777E-3</v>
      </c>
      <c r="BP104" s="2012"/>
      <c r="BQ104" s="2009">
        <f>+BQ103-BK93</f>
        <v>1.3991912817213348E-3</v>
      </c>
      <c r="BR104" s="1648">
        <f>+BR103-BL93</f>
        <v>1.6421157894292437E-3</v>
      </c>
      <c r="BS104" s="1648">
        <f>+BS103-BM93</f>
        <v>1.5403507488708779E-3</v>
      </c>
      <c r="BT104" s="1648">
        <f>+BT103-BN93</f>
        <v>1.5612330549059084E-3</v>
      </c>
      <c r="BU104" s="2009">
        <f>+BU103-BO93</f>
        <v>1.8662378032026639E-3</v>
      </c>
      <c r="BV104" s="2012"/>
      <c r="BW104" s="2009">
        <f>+BW103-BQ93</f>
        <v>1.4494067662664256E-3</v>
      </c>
      <c r="BX104" s="1648">
        <f>+BX103-BR93</f>
        <v>1.3962748235460398E-3</v>
      </c>
      <c r="BY104" s="1648">
        <f>+BY103-BS93</f>
        <v>1.402158579931978E-3</v>
      </c>
      <c r="BZ104" s="1648">
        <f>+BZ103-BT93</f>
        <v>1.4468945048777826E-3</v>
      </c>
      <c r="CA104" s="2009">
        <f>+CA103-BU93</f>
        <v>1.2818570138080077E-3</v>
      </c>
      <c r="CB104" s="2012"/>
      <c r="CC104" s="2009">
        <f>+CC103-BW93</f>
        <v>1.340023108117927E-3</v>
      </c>
      <c r="CD104" s="1648">
        <f>+CD103-BX93</f>
        <v>1.2701165737746822E-3</v>
      </c>
      <c r="CE104" s="1648">
        <f>+CE103-BY93</f>
        <v>1.3779254059386181E-3</v>
      </c>
      <c r="CF104" s="1648">
        <f>+CF103-BZ93</f>
        <v>1.400063534695517E-3</v>
      </c>
      <c r="CG104" s="2009">
        <f>+CG103-CA93</f>
        <v>1.2155823655791709E-3</v>
      </c>
      <c r="CH104" s="2012"/>
      <c r="CI104" s="2009">
        <f>+CI103-CC93</f>
        <v>1.3383218671644825E-3</v>
      </c>
      <c r="CJ104" s="1648">
        <f>+CJ103-CD93</f>
        <v>1.2596908494431625E-3</v>
      </c>
      <c r="CK104" s="1648">
        <f>+CK103-CE93</f>
        <v>1.3771736548419122E-3</v>
      </c>
      <c r="CL104" s="1648">
        <f>+CL103-CF93</f>
        <v>1.3926873520319072E-3</v>
      </c>
      <c r="CM104" s="2011">
        <f>+CM103-CG93</f>
        <v>1.2122408579274824E-3</v>
      </c>
      <c r="CN104" s="2033"/>
      <c r="CO104" s="2033"/>
      <c r="CP104"/>
      <c r="CQ104"/>
      <c r="CR104"/>
      <c r="CS104"/>
      <c r="CT104"/>
      <c r="CU104"/>
    </row>
    <row r="105" spans="1:99" s="1199" customFormat="1">
      <c r="A105" s="1647" t="s">
        <v>521</v>
      </c>
      <c r="B105" s="2005"/>
      <c r="C105" s="2006"/>
      <c r="D105" s="2006"/>
      <c r="E105" s="2006"/>
      <c r="F105" s="2006"/>
      <c r="G105" s="2007"/>
      <c r="H105" s="2005"/>
      <c r="I105" s="2006"/>
      <c r="J105" s="2006"/>
      <c r="K105" s="2006"/>
      <c r="L105" s="2006"/>
      <c r="M105" s="2007"/>
      <c r="N105" s="2005"/>
      <c r="O105" s="2006"/>
      <c r="P105" s="2006"/>
      <c r="Q105" s="2006"/>
      <c r="R105" s="2006"/>
      <c r="S105" s="2007"/>
      <c r="T105" s="2005"/>
      <c r="U105" s="2006"/>
      <c r="V105" s="2006"/>
      <c r="W105" s="2006"/>
      <c r="X105" s="2006"/>
      <c r="Y105" s="2007"/>
      <c r="Z105" s="2005"/>
      <c r="AA105" s="2006"/>
      <c r="AB105" s="2006"/>
      <c r="AC105" s="2006"/>
      <c r="AD105" s="2006"/>
      <c r="AE105" s="2007"/>
      <c r="AF105" s="2005"/>
      <c r="AG105" s="2006"/>
      <c r="AH105" s="2006"/>
      <c r="AI105" s="2006"/>
      <c r="AJ105" s="2006"/>
      <c r="AK105" s="2007"/>
      <c r="AL105" s="2008"/>
      <c r="AM105" s="2009"/>
      <c r="AN105" s="1648"/>
      <c r="AO105" s="1648"/>
      <c r="AP105" s="1648"/>
      <c r="AQ105" s="2009"/>
      <c r="AR105" s="2005"/>
      <c r="AS105" s="2013">
        <f>(AS102-AM22)/(RevBuild!AM16*OrgRev!AS17)</f>
        <v>-15.405799411770204</v>
      </c>
      <c r="AT105" s="1648">
        <f>(AT102-AN22)/(RevBuild!AN16*OrgRev!AT17)</f>
        <v>0.59802640529328865</v>
      </c>
      <c r="AU105" s="1648">
        <f>(AU102-AO22)/(RevBuild!AO16*OrgRev!AU17)</f>
        <v>0.62514676818387127</v>
      </c>
      <c r="AV105" s="1648">
        <f>(AV102-AP22)/(RevBuild!AP16*OrgRev!AV17)</f>
        <v>0.38425532993241868</v>
      </c>
      <c r="AW105" s="2009">
        <f>(AW102-AQ22)/(RevBuild!AQ16*OrgRev!AW17)</f>
        <v>0.3506473180459061</v>
      </c>
      <c r="AX105" s="2010"/>
      <c r="AY105" s="2009">
        <f>(AY102-AS22)/(RevBuild!AS16*OrgRev!AY17)</f>
        <v>0.22404506655018933</v>
      </c>
      <c r="AZ105" s="1648">
        <f>(AZ102-AT22)/(RevBuild!AT16*OrgRev!AZ17)</f>
        <v>-4.0690559910541421E-2</v>
      </c>
      <c r="BA105" s="1648">
        <f>(BA102-AU22)/(RevBuild!AU16*OrgRev!BA17)</f>
        <v>-0.10649483585055702</v>
      </c>
      <c r="BB105" s="1648">
        <f>(BB102-AV22)/(RevBuild!AV16*OrgRev!BB17)</f>
        <v>-3.6406466422902281E-2</v>
      </c>
      <c r="BC105" s="2009">
        <f>(BC102-AW22)/(RevBuild!AW16*OrgRev!BC17)</f>
        <v>-6.4684838119548158E-2</v>
      </c>
      <c r="BD105" s="2011"/>
      <c r="BE105" s="2009">
        <f>(BE102-AY22)/(RevBuild!AY16*OrgRev!BE17)</f>
        <v>0.1187726752992712</v>
      </c>
      <c r="BF105" s="1648">
        <f>(BF102-AZ22)/(RevBuild!AZ16*OrgRev!BF17)</f>
        <v>0.33605166303755035</v>
      </c>
      <c r="BG105" s="1648">
        <f>(BG102-BA22)/(RevBuild!BA16*OrgRev!BG17)</f>
        <v>0.24712900829809889</v>
      </c>
      <c r="BH105" s="1648">
        <f>(BH102-BB22)/(RevBuild!BB16*OrgRev!BH17)</f>
        <v>0.20858997962246373</v>
      </c>
      <c r="BI105" s="2009">
        <f>(BI102-BC22)/(RevBuild!BC16*OrgRev!BI17)</f>
        <v>0.23599369278240995</v>
      </c>
      <c r="BJ105" s="2011"/>
      <c r="BK105" s="2009">
        <f>(BK102-BE22)/(RevBuild!BE16*OrgRev!BK17)</f>
        <v>0.23476549215711096</v>
      </c>
      <c r="BL105" s="1648">
        <f>(BL102-BF22)/(RevBuild!BF16*OrgRev!BL17)</f>
        <v>0.42550946938896311</v>
      </c>
      <c r="BM105" s="1648">
        <f>(BM102-BG22)/(RevBuild!BG16*OrgRev!BM17)</f>
        <v>0.39140108051074923</v>
      </c>
      <c r="BN105" s="1648">
        <f>(BN102-BH22)/(RevBuild!BH16*OrgRev!BN17)</f>
        <v>0.62488580038708541</v>
      </c>
      <c r="BO105" s="2009">
        <f>(BO102-BI22)/(RevBuild!BI16*OrgRev!BO17)</f>
        <v>0.41690547904106623</v>
      </c>
      <c r="BP105" s="2011"/>
      <c r="BQ105" s="2009">
        <f>(BQ102-BK22)/(RevBuild!BK16*OrgRev!BQ17)</f>
        <v>0.34896357522856286</v>
      </c>
      <c r="BR105" s="1648">
        <f>(BR102-BL22)/(RevBuild!BL16*OrgRev!BR17)</f>
        <v>0.38544939928832833</v>
      </c>
      <c r="BS105" s="1648">
        <f>(BS102-BM22)/(RevBuild!BM16*OrgRev!BS17)</f>
        <v>0.33163020367659651</v>
      </c>
      <c r="BT105" s="1648">
        <f>(BT102-BN22)/(RevBuild!BN16*OrgRev!BT17)</f>
        <v>0.39915383977453511</v>
      </c>
      <c r="BU105" s="2009">
        <f>(BU102-BO22)/(RevBuild!BO16*OrgRev!BU17)</f>
        <v>0.37883051569549886</v>
      </c>
      <c r="BV105" s="2011"/>
      <c r="BW105" s="2009">
        <f>(BW102-BQ22)/(RevBuild!BQ16*OrgRev!BW17)</f>
        <v>0.29737633547344217</v>
      </c>
      <c r="BX105" s="1648">
        <f>(BX102-BR22)/(RevBuild!BR16*OrgRev!BX17)</f>
        <v>0.32772179828789755</v>
      </c>
      <c r="BY105" s="1648">
        <f>(BY102-BS22)/(RevBuild!BS16*OrgRev!BY17)</f>
        <v>0.32491422676559506</v>
      </c>
      <c r="BZ105" s="1648">
        <f>(BZ102-BT22)/(RevBuild!BT16*OrgRev!BZ17)</f>
        <v>0.37684994703929509</v>
      </c>
      <c r="CA105" s="2009">
        <f>(CA102-BU22)/(RevBuild!BU16*OrgRev!CA17)</f>
        <v>0.33198165592970258</v>
      </c>
      <c r="CB105" s="2011"/>
      <c r="CC105" s="2009">
        <f>(CC102-BW22)/(RevBuild!BW16*OrgRev!CC17)</f>
        <v>0.30078795540907222</v>
      </c>
      <c r="CD105" s="1648">
        <f>(CD102-BX22)/(RevBuild!BX16*OrgRev!CD17)</f>
        <v>0.33118848492879727</v>
      </c>
      <c r="CE105" s="1648">
        <f>(CE102-BY22)/(RevBuild!BY16*OrgRev!CE17)</f>
        <v>0.33014380098760798</v>
      </c>
      <c r="CF105" s="1648">
        <f>(CF102-BZ22)/(RevBuild!BZ16*OrgRev!CF17)</f>
        <v>0.38279287682310659</v>
      </c>
      <c r="CG105" s="2009">
        <f>(CG102-CA22)/(RevBuild!CA16*OrgRev!CG17)</f>
        <v>0.33611948825890742</v>
      </c>
      <c r="CH105" s="2011"/>
      <c r="CI105" s="2009">
        <f>(CI102-CC22)/(RevBuild!CC16*OrgRev!CI17)</f>
        <v>0.30302223288282093</v>
      </c>
      <c r="CJ105" s="1648">
        <f>(CJ102-CD22)/(RevBuild!CD16*OrgRev!CJ17)</f>
        <v>0.33314299473424597</v>
      </c>
      <c r="CK105" s="1648">
        <f>(CK102-CE22)/(RevBuild!CE16*OrgRev!CK17)</f>
        <v>0.33241986186005495</v>
      </c>
      <c r="CL105" s="1648">
        <f>(CL102-CF22)/(RevBuild!CF16*OrgRev!CL17)</f>
        <v>0.38477536686404562</v>
      </c>
      <c r="CM105" s="2011">
        <f>(CM102-CG22)/(RevBuild!CG16*OrgRev!CM17)</f>
        <v>0.33813942909638012</v>
      </c>
      <c r="CN105" s="1200"/>
      <c r="CO105" s="1200"/>
      <c r="CP105"/>
      <c r="CQ105"/>
      <c r="CR105"/>
      <c r="CS105"/>
      <c r="CT105"/>
      <c r="CU105"/>
    </row>
    <row r="106" spans="1:99" s="1199" customFormat="1">
      <c r="A106" s="1804" t="s">
        <v>539</v>
      </c>
      <c r="B106" s="1798"/>
      <c r="C106" s="1808"/>
      <c r="D106" s="1809"/>
      <c r="E106" s="1809"/>
      <c r="F106" s="1809"/>
      <c r="G106" s="1813"/>
      <c r="H106" s="1798"/>
      <c r="I106" s="1808"/>
      <c r="J106" s="1809"/>
      <c r="K106" s="1809"/>
      <c r="L106" s="1809"/>
      <c r="M106" s="1813"/>
      <c r="N106" s="1798"/>
      <c r="O106" s="1808"/>
      <c r="P106" s="1809"/>
      <c r="Q106" s="1809"/>
      <c r="R106" s="1809"/>
      <c r="S106" s="1813"/>
      <c r="T106" s="1798"/>
      <c r="U106" s="1808"/>
      <c r="V106" s="1809"/>
      <c r="W106" s="1809"/>
      <c r="X106" s="1809"/>
      <c r="Y106" s="1813"/>
      <c r="Z106" s="1798"/>
      <c r="AA106" s="1808"/>
      <c r="AB106" s="1809"/>
      <c r="AC106" s="1809"/>
      <c r="AD106" s="1809"/>
      <c r="AE106" s="1813"/>
      <c r="AF106" s="1798"/>
      <c r="AG106" s="1808"/>
      <c r="AH106" s="1809"/>
      <c r="AI106" s="1809"/>
      <c r="AJ106" s="1809"/>
      <c r="AK106" s="1813"/>
      <c r="AL106" s="1817"/>
      <c r="AM106" s="1818"/>
      <c r="AN106" s="1819"/>
      <c r="AO106" s="1819"/>
      <c r="AP106" s="1819"/>
      <c r="AQ106" s="1818"/>
      <c r="AR106" s="1798"/>
      <c r="AS106" s="1818">
        <f>+AS93-AS103</f>
        <v>-2.4450217185278733E-2</v>
      </c>
      <c r="AT106" s="1819">
        <f>+AT93-AT103</f>
        <v>-9.1137668871588695E-3</v>
      </c>
      <c r="AU106" s="1819">
        <f>+AU93-AU103</f>
        <v>-4.7800612371113327E-3</v>
      </c>
      <c r="AV106" s="1819">
        <f>+AV93-AV103</f>
        <v>-6.9087433846575785E-3</v>
      </c>
      <c r="AW106" s="1818">
        <f>AVERAGE(AS106:AV106)</f>
        <v>-1.1313197173551628E-2</v>
      </c>
      <c r="AX106" s="1826"/>
      <c r="AY106" s="1818">
        <f>+AY93-AY103</f>
        <v>2.9204396464844018E-2</v>
      </c>
      <c r="AZ106" s="1819">
        <f>+AZ93-AZ103</f>
        <v>1.8660565195860512E-2</v>
      </c>
      <c r="BA106" s="1819">
        <f>+BA93-BA103</f>
        <v>3.654542254808657E-3</v>
      </c>
      <c r="BB106" s="1819">
        <f>+BB93-BB103</f>
        <v>4.3363700794445958E-3</v>
      </c>
      <c r="BC106" s="1818">
        <f>AVERAGE(AY106:BB106)</f>
        <v>1.3963968498739446E-2</v>
      </c>
      <c r="BD106" s="1829"/>
      <c r="BE106" s="1818">
        <f>+BE93-BE103</f>
        <v>-1.4477440104705419E-3</v>
      </c>
      <c r="BF106" s="1819">
        <f>+BF93-BF103</f>
        <v>1.4240461458177978E-2</v>
      </c>
      <c r="BG106" s="1819">
        <f>+BG93-BG103</f>
        <v>1.7315996336579154E-2</v>
      </c>
      <c r="BH106" s="1819">
        <f>+BH93-BH103</f>
        <v>1.6518615604330211E-2</v>
      </c>
      <c r="BI106" s="1818">
        <f>AVERAGE(BE106:BH106)</f>
        <v>1.16568323471542E-2</v>
      </c>
      <c r="BJ106" s="1833"/>
      <c r="BK106" s="1818">
        <f>+BK93-BK103</f>
        <v>2.7732579738900531E-3</v>
      </c>
      <c r="BL106" s="1819">
        <f>+BL93-BL103</f>
        <v>-6.3665741155394251E-4</v>
      </c>
      <c r="BM106" s="1819">
        <f>+BM93-BM103</f>
        <v>-4.8142325384026852E-3</v>
      </c>
      <c r="BN106" s="1819">
        <f>+BN93-BN103</f>
        <v>-5.1590973918738126E-3</v>
      </c>
      <c r="BO106" s="1818">
        <f>AVERAGE(BK106:BN106)</f>
        <v>-1.9591823419850968E-3</v>
      </c>
      <c r="BP106" s="1833"/>
      <c r="BQ106" s="1818">
        <f>+BQ93-BQ103</f>
        <v>1.4110709904658347E-3</v>
      </c>
      <c r="BR106" s="1819">
        <f>+BR93-BR103</f>
        <v>1.409936352979313E-3</v>
      </c>
      <c r="BS106" s="1819">
        <f>+BS93-BS103</f>
        <v>1.4307902567681774E-3</v>
      </c>
      <c r="BT106" s="1819">
        <f>+BT93-BT103</f>
        <v>1.429440835957918E-3</v>
      </c>
      <c r="BU106" s="1818">
        <f>+BU93-BU103</f>
        <v>9.2099041300230944E-4</v>
      </c>
      <c r="BV106" s="1833"/>
      <c r="BW106" s="1818">
        <f>+BW93-BW103</f>
        <v>9.291297499887663E-4</v>
      </c>
      <c r="BX106" s="1819">
        <f>+BX93-BX103</f>
        <v>9.352241643791892E-4</v>
      </c>
      <c r="BY106" s="1819">
        <f>+BY93-BY103</f>
        <v>9.3760657309222006E-4</v>
      </c>
      <c r="BZ106" s="1819">
        <f>+BZ93-BZ103</f>
        <v>9.4358052850634921E-4</v>
      </c>
      <c r="CA106" s="1818">
        <f>+CA93-CA103</f>
        <v>9.3690855134664908E-4</v>
      </c>
      <c r="CB106" s="1833"/>
      <c r="CC106" s="1818">
        <f>+CC93-CC103</f>
        <v>9.3608623200330809E-4</v>
      </c>
      <c r="CD106" s="1819">
        <f>+CD93-CD103</f>
        <v>9.4231822989088165E-4</v>
      </c>
      <c r="CE106" s="1819">
        <f>+CE93-CE103</f>
        <v>9.4357567438041468E-4</v>
      </c>
      <c r="CF106" s="1819">
        <f>+CF93-CF103</f>
        <v>9.4972005637300461E-4</v>
      </c>
      <c r="CG106" s="1818">
        <f>+CG93-CG103</f>
        <v>9.4339520194375304E-4</v>
      </c>
      <c r="CH106" s="1833"/>
      <c r="CI106" s="1818">
        <f>+CI93-CI103</f>
        <v>9.3606298366594176E-4</v>
      </c>
      <c r="CJ106" s="1819">
        <f>+CJ93-CJ103</f>
        <v>9.4224252627272964E-4</v>
      </c>
      <c r="CK106" s="1819">
        <f>+CK93-CK103</f>
        <v>9.4352913891199153E-4</v>
      </c>
      <c r="CL106" s="1819">
        <f>+CL93-CL103</f>
        <v>9.4949998049431716E-4</v>
      </c>
      <c r="CM106" s="1829">
        <f>+CM93-CM103</f>
        <v>9.4327170790281523E-4</v>
      </c>
      <c r="CN106" s="1200"/>
      <c r="CO106" s="1200"/>
      <c r="CP106"/>
      <c r="CQ106"/>
      <c r="CR106"/>
      <c r="CS106"/>
      <c r="CT106"/>
      <c r="CU106"/>
    </row>
    <row r="107" spans="1:99" s="1199" customFormat="1">
      <c r="A107" s="18"/>
      <c r="B107" s="1641"/>
      <c r="C107" s="1642"/>
      <c r="D107" s="1642"/>
      <c r="E107" s="1642"/>
      <c r="F107" s="1642"/>
      <c r="G107" s="1642"/>
      <c r="H107" s="1643"/>
      <c r="I107" s="1642"/>
      <c r="J107" s="1642"/>
      <c r="K107" s="1642"/>
      <c r="L107" s="1642"/>
      <c r="M107" s="1642"/>
      <c r="N107" s="1643"/>
      <c r="O107" s="1642"/>
      <c r="P107" s="1642"/>
      <c r="Q107" s="1642"/>
      <c r="R107" s="1642"/>
      <c r="S107" s="1642"/>
      <c r="T107" s="1643"/>
      <c r="U107" s="1642"/>
      <c r="V107" s="1642"/>
      <c r="W107" s="1642"/>
      <c r="X107" s="1642"/>
      <c r="Y107" s="1642"/>
      <c r="Z107" s="1643"/>
      <c r="AA107" s="1642"/>
      <c r="AB107" s="1642"/>
      <c r="AC107" s="1642"/>
      <c r="AD107" s="1642"/>
      <c r="AE107" s="1642"/>
      <c r="AF107" s="1643"/>
      <c r="AG107" s="1642"/>
      <c r="AH107" s="1642"/>
      <c r="AI107" s="1642"/>
      <c r="AJ107" s="1642"/>
      <c r="AK107" s="1642"/>
      <c r="AL107" s="1643"/>
      <c r="AM107" s="1642"/>
      <c r="AN107" s="1642"/>
      <c r="AO107" s="1642"/>
      <c r="AP107" s="1642"/>
      <c r="AQ107" s="1642"/>
      <c r="AR107" s="1643"/>
      <c r="AS107" s="1645"/>
      <c r="AT107" s="1645"/>
      <c r="AU107" s="1645"/>
      <c r="AV107" s="1645"/>
      <c r="AW107" s="1645"/>
      <c r="AX107" s="1645"/>
      <c r="AY107" s="1644"/>
      <c r="AZ107" s="1644"/>
      <c r="BA107" s="1644"/>
      <c r="BB107" s="1645"/>
      <c r="BC107" s="1645"/>
      <c r="BD107" s="1643"/>
      <c r="BE107" s="1642"/>
      <c r="BF107" s="1642"/>
      <c r="BG107" s="1642"/>
      <c r="BH107" s="1642"/>
      <c r="BI107" s="1642"/>
      <c r="BK107" s="1656"/>
      <c r="BL107" s="1656"/>
      <c r="BM107" s="1656"/>
      <c r="BN107" s="1656"/>
      <c r="BO107" s="1642"/>
      <c r="BQ107" s="1656"/>
      <c r="BR107" s="1656"/>
      <c r="BS107" s="1656"/>
      <c r="BT107" s="1656"/>
      <c r="BU107" s="1642"/>
      <c r="BW107" s="1656"/>
      <c r="BX107" s="1656"/>
      <c r="BY107" s="1656"/>
      <c r="BZ107" s="1656"/>
      <c r="CA107" s="1642"/>
      <c r="CC107" s="1656"/>
      <c r="CD107" s="1656"/>
      <c r="CE107" s="1656"/>
      <c r="CF107" s="1656"/>
      <c r="CG107" s="1642"/>
      <c r="CI107" s="1656"/>
      <c r="CJ107" s="1656"/>
      <c r="CK107" s="1656"/>
      <c r="CL107" s="1656"/>
      <c r="CM107" s="1642"/>
      <c r="CP107"/>
      <c r="CQ107"/>
      <c r="CR107"/>
      <c r="CS107"/>
      <c r="CT107"/>
      <c r="CU107"/>
    </row>
    <row r="109" spans="1:99">
      <c r="BL109" s="85"/>
      <c r="BM109" s="85"/>
      <c r="BN109" s="85"/>
    </row>
    <row r="110" spans="1:99">
      <c r="BL110" s="1495"/>
      <c r="BM110" s="1495"/>
      <c r="BN110" s="1495"/>
    </row>
    <row r="111" spans="1:99">
      <c r="BL111" s="1495"/>
      <c r="BM111" s="1495"/>
      <c r="BN111" s="1495"/>
    </row>
    <row r="112" spans="1:99">
      <c r="BL112" s="1495"/>
      <c r="BM112" s="1495"/>
      <c r="BN112" s="1495"/>
    </row>
    <row r="113" spans="65:65">
      <c r="BM113" s="1495"/>
    </row>
    <row r="4926" collapsed="1"/>
  </sheetData>
  <phoneticPr fontId="7" type="noConversion"/>
  <pageMargins left="0" right="0" top="0" bottom="0" header="0" footer="0"/>
  <pageSetup scale="83" orientation="landscape" r:id="rId1"/>
  <headerFooter alignWithMargins="0"/>
  <ignoredErrors>
    <ignoredError sqref="U25:X29 T21 S23:S29 Y23:Y29 T22:T29 AE12:AQ21 BC70:BJ70 BO15 BU15 BO29:BU29 BI29 BI15 BO7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DR171"/>
  <sheetViews>
    <sheetView zoomScaleNormal="100" workbookViewId="0">
      <pane xSplit="1" ySplit="8" topLeftCell="AK9" activePane="bottomRight" state="frozen"/>
      <selection pane="topRight" activeCell="B1" sqref="B1"/>
      <selection pane="bottomLeft" activeCell="A9" sqref="A9"/>
      <selection pane="bottomRight"/>
    </sheetView>
  </sheetViews>
  <sheetFormatPr defaultRowHeight="12.75" outlineLevelRow="2" outlineLevelCol="1"/>
  <cols>
    <col min="1" max="1" width="24.28515625" customWidth="1"/>
    <col min="2" max="2" width="0.85546875" hidden="1" customWidth="1" outlineLevel="1"/>
    <col min="3" max="6" width="7.28515625" hidden="1" customWidth="1" outlineLevel="1"/>
    <col min="7" max="7" width="7.28515625" hidden="1" customWidth="1" outlineLevel="1" collapsed="1"/>
    <col min="8" max="8" width="0.85546875" hidden="1" customWidth="1" outlineLevel="1"/>
    <col min="9" max="12" width="7.28515625" hidden="1" customWidth="1" outlineLevel="1"/>
    <col min="13" max="13" width="7.28515625" hidden="1" customWidth="1" outlineLevel="1" collapsed="1"/>
    <col min="14" max="14" width="0.85546875" hidden="1" customWidth="1" outlineLevel="1"/>
    <col min="15" max="19" width="7.28515625" hidden="1" customWidth="1" outlineLevel="1"/>
    <col min="20" max="20" width="0.85546875" hidden="1" customWidth="1" outlineLevel="1"/>
    <col min="21" max="24" width="7.28515625" hidden="1" customWidth="1" outlineLevel="1"/>
    <col min="25" max="25" width="7.28515625" hidden="1" customWidth="1" outlineLevel="1" collapsed="1"/>
    <col min="26" max="26" width="0.85546875" hidden="1" customWidth="1" outlineLevel="1"/>
    <col min="27" max="30" width="7.28515625" hidden="1" customWidth="1" outlineLevel="1"/>
    <col min="31" max="31" width="7.28515625" hidden="1" customWidth="1" outlineLevel="1" collapsed="1"/>
    <col min="32" max="32" width="0.85546875" hidden="1" customWidth="1" outlineLevel="1"/>
    <col min="33" max="36" width="7.28515625" hidden="1" customWidth="1" outlineLevel="1"/>
    <col min="37" max="37" width="7.28515625" customWidth="1" collapsed="1"/>
    <col min="38" max="38" width="0.85546875" customWidth="1"/>
    <col min="39" max="42" width="7.28515625" hidden="1" customWidth="1" outlineLevel="1"/>
    <col min="43" max="43" width="7.28515625" customWidth="1" collapsed="1"/>
    <col min="44" max="44" width="0.85546875" customWidth="1"/>
    <col min="45" max="48" width="7.28515625" hidden="1" customWidth="1" outlineLevel="1"/>
    <col min="49" max="49" width="7.28515625" customWidth="1" collapsed="1"/>
    <col min="50" max="50" width="0.85546875" customWidth="1"/>
    <col min="51" max="54" width="7.28515625" hidden="1" customWidth="1" outlineLevel="1"/>
    <col min="55" max="55" width="7.28515625" customWidth="1" collapsed="1"/>
    <col min="56" max="56" width="0.85546875" customWidth="1"/>
    <col min="57" max="57" width="8.85546875" hidden="1" customWidth="1" outlineLevel="1"/>
    <col min="58" max="60" width="7.28515625" hidden="1" customWidth="1" outlineLevel="1"/>
    <col min="61" max="61" width="7.28515625" customWidth="1" collapsed="1"/>
    <col min="62" max="62" width="0.85546875" customWidth="1"/>
    <col min="63" max="66" width="7.28515625" hidden="1" customWidth="1" outlineLevel="1"/>
    <col min="67" max="67" width="7.28515625" customWidth="1" collapsed="1"/>
    <col min="68" max="68" width="0.85546875" customWidth="1"/>
    <col min="69" max="72" width="7.28515625" customWidth="1" outlineLevel="1"/>
    <col min="73" max="73" width="7.28515625" customWidth="1"/>
    <col min="74" max="74" width="0.85546875" customWidth="1"/>
    <col min="75" max="78" width="7.28515625" customWidth="1" outlineLevel="1"/>
    <col min="79" max="79" width="7.28515625" customWidth="1"/>
    <col min="80" max="80" width="0.85546875" customWidth="1"/>
    <col min="81" max="84" width="7.28515625" hidden="1" customWidth="1" outlineLevel="1"/>
    <col min="85" max="85" width="7.28515625" customWidth="1" collapsed="1"/>
    <col min="86" max="86" width="0.85546875" customWidth="1"/>
    <col min="87" max="90" width="7.28515625" hidden="1" customWidth="1" outlineLevel="1"/>
    <col min="91" max="91" width="7.28515625" customWidth="1" collapsed="1"/>
    <col min="92" max="92" width="9.140625" style="71"/>
    <col min="93" max="94" width="9.140625" style="71" customWidth="1"/>
    <col min="95" max="16384" width="9.140625" style="71"/>
  </cols>
  <sheetData>
    <row r="1" spans="1:122">
      <c r="A1" s="827"/>
      <c r="B1" s="828"/>
      <c r="C1" s="97"/>
      <c r="D1" s="828"/>
      <c r="E1" s="828"/>
      <c r="F1" s="828"/>
      <c r="G1" s="829"/>
      <c r="H1" s="828"/>
      <c r="I1" s="97"/>
      <c r="J1" s="828"/>
      <c r="K1" s="828"/>
      <c r="L1" s="828"/>
      <c r="M1" s="829"/>
      <c r="N1" s="828"/>
      <c r="O1" s="828"/>
      <c r="P1" s="828"/>
      <c r="Q1" s="828"/>
      <c r="R1" s="828"/>
      <c r="S1" s="829"/>
      <c r="T1" s="828"/>
      <c r="U1" s="828"/>
      <c r="V1" s="828"/>
      <c r="W1" s="828"/>
      <c r="X1" s="828"/>
      <c r="Y1" s="829"/>
      <c r="Z1" s="828"/>
      <c r="AA1" s="828"/>
      <c r="AB1" s="828"/>
      <c r="AC1" s="828"/>
      <c r="AD1" s="828"/>
      <c r="AE1" s="828"/>
      <c r="AF1" s="828"/>
      <c r="AG1" s="828"/>
      <c r="AH1" s="828"/>
      <c r="AI1" s="828"/>
      <c r="AJ1" s="828"/>
      <c r="AK1" s="828"/>
      <c r="AL1" s="828"/>
      <c r="AM1" s="828"/>
      <c r="AN1" s="828"/>
      <c r="AO1" s="828"/>
      <c r="AP1" s="828"/>
      <c r="AQ1" s="828"/>
      <c r="AR1" s="828"/>
      <c r="AS1" s="828"/>
      <c r="AT1" s="828"/>
      <c r="AU1" s="828"/>
      <c r="AV1" s="828"/>
      <c r="AW1" s="828"/>
      <c r="AX1" s="828"/>
      <c r="AY1" s="828"/>
      <c r="AZ1" s="828"/>
      <c r="BA1" s="828"/>
      <c r="BB1" s="828"/>
      <c r="BC1" s="24"/>
      <c r="BD1" s="828"/>
      <c r="BE1" s="828"/>
      <c r="BF1" s="828"/>
      <c r="BG1" s="828"/>
      <c r="BH1" s="828"/>
      <c r="BI1" s="828"/>
      <c r="BJ1" s="828"/>
      <c r="BK1" s="828"/>
      <c r="BL1" s="828"/>
      <c r="BM1" s="828"/>
      <c r="BN1" s="828"/>
      <c r="BO1" s="828"/>
      <c r="BP1" s="828"/>
      <c r="BQ1" s="828"/>
      <c r="BR1" s="828"/>
      <c r="BS1" s="828"/>
      <c r="BT1" s="828"/>
      <c r="BU1" s="828"/>
      <c r="BV1" s="24"/>
      <c r="BW1" s="828"/>
      <c r="BX1" s="828"/>
      <c r="BY1" s="828"/>
      <c r="BZ1" s="828"/>
      <c r="CA1" s="828"/>
      <c r="CB1" s="24"/>
      <c r="CC1" s="828"/>
      <c r="CD1" s="828"/>
      <c r="CE1" s="828"/>
      <c r="CF1" s="828"/>
      <c r="CG1" s="828"/>
      <c r="CH1" s="24"/>
      <c r="CI1" s="828"/>
      <c r="CJ1" s="828"/>
      <c r="CK1" s="828"/>
      <c r="CL1" s="828"/>
      <c r="CM1" s="828"/>
    </row>
    <row r="2" spans="1:122">
      <c r="A2" s="830" t="s">
        <v>263</v>
      </c>
      <c r="B2" s="828"/>
      <c r="C2" s="828"/>
      <c r="D2" s="828"/>
      <c r="E2" s="828"/>
      <c r="F2" s="828"/>
      <c r="G2" s="829"/>
      <c r="H2" s="828"/>
      <c r="I2" s="828"/>
      <c r="J2" s="828"/>
      <c r="K2" s="828"/>
      <c r="L2" s="828"/>
      <c r="M2" s="829"/>
      <c r="N2" s="828"/>
      <c r="O2" s="831"/>
      <c r="P2" s="831"/>
      <c r="Q2" s="828"/>
      <c r="R2" s="828"/>
      <c r="S2" s="829"/>
      <c r="T2" s="828"/>
      <c r="U2" s="828"/>
      <c r="V2" s="828"/>
      <c r="W2" s="828"/>
      <c r="X2" s="828"/>
      <c r="Y2" s="829"/>
      <c r="Z2" s="828"/>
      <c r="AA2" s="828"/>
      <c r="AB2" s="828"/>
      <c r="AC2" s="828"/>
      <c r="AD2" s="828"/>
      <c r="AE2" s="829"/>
      <c r="AF2" s="828"/>
      <c r="AG2" s="828"/>
      <c r="AH2" s="828"/>
      <c r="AI2" s="828"/>
      <c r="AJ2" s="828"/>
      <c r="AK2" s="829"/>
      <c r="AL2" s="828"/>
      <c r="AM2" s="828"/>
      <c r="AN2" s="828"/>
      <c r="AO2" s="928"/>
      <c r="AP2" s="828"/>
      <c r="AQ2" s="829"/>
      <c r="AR2" s="1445"/>
      <c r="AS2" s="24"/>
      <c r="AT2" s="828"/>
      <c r="AU2" s="828"/>
      <c r="AV2" s="828"/>
      <c r="AW2" s="1156"/>
      <c r="AX2" s="828"/>
      <c r="AY2" s="828"/>
      <c r="AZ2" s="828"/>
      <c r="BA2" s="828"/>
      <c r="BB2" s="828"/>
      <c r="BC2" s="829"/>
      <c r="BD2" s="828"/>
      <c r="BE2" s="828"/>
      <c r="BF2" s="828"/>
      <c r="BG2" s="828"/>
      <c r="BH2" s="828"/>
      <c r="BI2" s="1220"/>
      <c r="BJ2" s="828"/>
      <c r="BK2" s="828"/>
      <c r="BL2" s="828"/>
      <c r="BM2" s="828"/>
      <c r="BN2" s="828"/>
      <c r="BO2" s="829"/>
      <c r="BP2" s="828"/>
      <c r="BQ2" s="828"/>
      <c r="BR2" s="828"/>
      <c r="BS2" s="828"/>
      <c r="BT2" s="828"/>
      <c r="BU2" s="829"/>
      <c r="BV2" s="24"/>
      <c r="BW2" s="828"/>
      <c r="BX2" s="828"/>
      <c r="BY2" s="828"/>
      <c r="BZ2" s="828"/>
      <c r="CA2" s="829"/>
      <c r="CB2" s="24"/>
      <c r="CC2" s="828"/>
      <c r="CD2" s="828"/>
      <c r="CE2" s="828"/>
      <c r="CF2" s="828"/>
      <c r="CG2" s="829"/>
      <c r="CH2" s="24"/>
      <c r="CI2" s="828"/>
      <c r="CJ2" s="828"/>
      <c r="CK2" s="828"/>
      <c r="CL2" s="828"/>
      <c r="CM2" s="829"/>
    </row>
    <row r="3" spans="1:122">
      <c r="A3" s="832" t="s">
        <v>264</v>
      </c>
      <c r="B3" s="833"/>
      <c r="C3" s="833"/>
      <c r="D3" s="833"/>
      <c r="E3" s="833"/>
      <c r="F3" s="833"/>
      <c r="G3" s="834"/>
      <c r="H3" s="833"/>
      <c r="I3" s="833"/>
      <c r="J3" s="833"/>
      <c r="K3" s="833"/>
      <c r="L3" s="833"/>
      <c r="M3" s="834"/>
      <c r="N3" s="833"/>
      <c r="O3" s="833"/>
      <c r="P3" s="833"/>
      <c r="Q3" s="833"/>
      <c r="R3" s="833"/>
      <c r="S3" s="834"/>
      <c r="T3" s="833"/>
      <c r="U3" s="833"/>
      <c r="V3" s="833"/>
      <c r="W3" s="833"/>
      <c r="X3" s="833"/>
      <c r="Y3" s="834"/>
      <c r="Z3" s="833"/>
      <c r="AA3" s="833"/>
      <c r="AB3" s="833"/>
      <c r="AC3" s="833"/>
      <c r="AD3" s="833"/>
      <c r="AE3" s="833"/>
      <c r="AF3" s="833"/>
      <c r="AG3" s="833"/>
      <c r="AH3" s="833"/>
      <c r="AI3" s="833"/>
      <c r="AJ3" s="833"/>
      <c r="AK3" s="833"/>
      <c r="AL3" s="833"/>
      <c r="AM3" s="833"/>
      <c r="AN3" s="833"/>
      <c r="AO3" s="833"/>
      <c r="AP3" s="833"/>
      <c r="AQ3" s="833"/>
      <c r="AR3" s="833"/>
      <c r="AS3" s="833"/>
      <c r="AT3" s="833"/>
      <c r="AU3" s="833"/>
      <c r="AV3" s="833"/>
      <c r="AW3" s="1694"/>
      <c r="AX3" s="833"/>
      <c r="AY3" s="833"/>
      <c r="AZ3" s="833"/>
      <c r="BA3" s="833"/>
      <c r="BB3" s="833"/>
      <c r="BC3" s="1694"/>
      <c r="BD3" s="833"/>
      <c r="BE3" s="833"/>
      <c r="BF3" s="1683"/>
      <c r="BG3" s="833"/>
      <c r="BH3" s="833"/>
      <c r="BI3" s="1694"/>
      <c r="BJ3" s="833"/>
      <c r="BK3" s="833"/>
      <c r="BL3" s="833"/>
      <c r="BM3" s="833"/>
      <c r="BN3" s="833"/>
      <c r="BO3" s="1694"/>
      <c r="BP3" s="833"/>
      <c r="BQ3" s="833"/>
      <c r="BR3" s="833"/>
      <c r="BS3" s="833"/>
      <c r="BT3" s="833"/>
      <c r="BU3" s="1694"/>
      <c r="BV3" s="24"/>
      <c r="BW3" s="833"/>
      <c r="BX3" s="833"/>
      <c r="BY3" s="833"/>
      <c r="BZ3" s="833"/>
      <c r="CA3" s="1694"/>
      <c r="CB3" s="24"/>
      <c r="CC3" s="833"/>
      <c r="CD3" s="833"/>
      <c r="CE3" s="833"/>
      <c r="CF3" s="833"/>
      <c r="CG3" s="1694"/>
      <c r="CH3" s="24"/>
      <c r="CI3" s="833"/>
      <c r="CJ3" s="833"/>
      <c r="CK3" s="833"/>
      <c r="CL3" s="833"/>
      <c r="CM3" s="1694"/>
    </row>
    <row r="4" spans="1:122">
      <c r="A4" s="835" t="s">
        <v>167</v>
      </c>
      <c r="B4" s="828"/>
      <c r="C4" s="828"/>
      <c r="D4" s="828"/>
      <c r="E4" s="828"/>
      <c r="F4" s="828"/>
      <c r="G4" s="828"/>
      <c r="H4" s="828"/>
      <c r="I4" s="828"/>
      <c r="J4" s="828"/>
      <c r="K4" s="828"/>
      <c r="L4" s="828"/>
      <c r="M4" s="828"/>
      <c r="N4" s="828"/>
      <c r="O4" s="828"/>
      <c r="P4" s="828"/>
      <c r="Q4" s="828"/>
      <c r="R4" s="828"/>
      <c r="S4" s="828"/>
      <c r="T4" s="828"/>
      <c r="U4" s="828"/>
      <c r="V4" s="828"/>
      <c r="W4" s="828"/>
      <c r="X4" s="828"/>
      <c r="Y4" s="828"/>
      <c r="Z4" s="828"/>
      <c r="AA4" s="828"/>
      <c r="AB4" s="828"/>
      <c r="AC4" s="828"/>
      <c r="AD4" s="828"/>
      <c r="AE4" s="828"/>
      <c r="AF4" s="828"/>
      <c r="AG4" s="828"/>
      <c r="AH4" s="828"/>
      <c r="AI4" s="828"/>
      <c r="AJ4" s="828"/>
      <c r="AK4" s="828"/>
      <c r="AL4" s="828"/>
      <c r="AM4" s="828"/>
      <c r="AN4" s="948"/>
      <c r="AO4" s="948"/>
      <c r="AP4" s="948"/>
      <c r="AQ4" s="836"/>
      <c r="AR4" s="828"/>
      <c r="AS4" s="828"/>
      <c r="AT4" s="828"/>
      <c r="AU4" s="828"/>
      <c r="AV4" s="828"/>
      <c r="AW4" s="103"/>
      <c r="AX4" s="828"/>
      <c r="AY4" s="1657"/>
      <c r="AZ4" s="828"/>
      <c r="BA4" s="828"/>
      <c r="BB4" s="828"/>
      <c r="BC4" s="97"/>
      <c r="BD4" s="828"/>
      <c r="BE4" s="1661"/>
      <c r="BF4" s="1662"/>
      <c r="BG4" s="828"/>
      <c r="BH4" s="828"/>
      <c r="BI4" s="1221"/>
      <c r="BJ4" s="828"/>
      <c r="BK4" s="828"/>
      <c r="BL4" s="828"/>
      <c r="BM4" s="828"/>
      <c r="BN4" s="828"/>
      <c r="BO4" s="97"/>
      <c r="BP4" s="828"/>
      <c r="BQ4" s="828"/>
      <c r="BR4" s="828"/>
      <c r="BS4" s="828"/>
      <c r="BT4" s="828"/>
      <c r="BU4" s="97"/>
      <c r="BV4" s="24"/>
      <c r="BW4" s="828"/>
      <c r="BX4" s="828"/>
      <c r="BY4" s="828"/>
      <c r="BZ4" s="828"/>
      <c r="CA4" s="97"/>
      <c r="CB4" s="24"/>
      <c r="CC4" s="828"/>
      <c r="CD4" s="828"/>
      <c r="CE4" s="828"/>
      <c r="CF4" s="828"/>
      <c r="CG4" s="97"/>
      <c r="CH4" s="24"/>
      <c r="CI4" s="828"/>
      <c r="CJ4" s="828"/>
      <c r="CK4" s="828"/>
      <c r="CL4" s="828"/>
      <c r="CM4" s="97"/>
    </row>
    <row r="5" spans="1:122" collapsed="1">
      <c r="A5" s="835"/>
      <c r="B5" s="828"/>
      <c r="C5" s="828"/>
      <c r="D5" s="828"/>
      <c r="E5" s="828"/>
      <c r="F5" s="828"/>
      <c r="G5" s="828"/>
      <c r="H5" s="828"/>
      <c r="I5" s="828"/>
      <c r="J5" s="828"/>
      <c r="K5" s="828"/>
      <c r="L5" s="828"/>
      <c r="M5" s="828"/>
      <c r="N5" s="828"/>
      <c r="O5" s="828"/>
      <c r="P5" s="828"/>
      <c r="Q5" s="828"/>
      <c r="R5" s="828"/>
      <c r="S5" s="828"/>
      <c r="T5" s="828"/>
      <c r="U5" s="828"/>
      <c r="V5" s="828"/>
      <c r="W5" s="828"/>
      <c r="X5" s="828"/>
      <c r="Y5" s="828"/>
      <c r="Z5" s="828"/>
      <c r="AA5" s="828"/>
      <c r="AB5" s="828"/>
      <c r="AC5" s="828"/>
      <c r="AD5" s="828"/>
      <c r="AE5" s="828"/>
      <c r="AF5" s="828"/>
      <c r="AG5" s="908"/>
      <c r="AH5" s="828"/>
      <c r="AI5" s="828"/>
      <c r="AJ5" s="828"/>
      <c r="AK5" s="828"/>
      <c r="AL5" s="828"/>
      <c r="AM5" s="828"/>
      <c r="AN5" s="443"/>
      <c r="AO5" s="1228"/>
      <c r="AP5" s="948"/>
      <c r="AQ5" s="1156"/>
      <c r="AR5" s="828"/>
      <c r="AS5" s="828"/>
      <c r="AT5" s="828"/>
      <c r="AU5" s="928"/>
      <c r="AV5" s="828"/>
      <c r="AW5" s="1156"/>
      <c r="AX5" s="828"/>
      <c r="AY5" s="1657"/>
      <c r="AZ5" s="828"/>
      <c r="BA5" s="828"/>
      <c r="BB5" s="828"/>
      <c r="BC5" s="928"/>
      <c r="BD5" s="828"/>
      <c r="BE5" s="1657"/>
      <c r="BF5" s="828"/>
      <c r="BG5" s="828"/>
      <c r="BH5" s="828"/>
      <c r="BI5" s="828"/>
      <c r="BJ5" s="828"/>
      <c r="BK5" s="828"/>
      <c r="BL5" s="828"/>
      <c r="BM5" s="828"/>
      <c r="BN5" s="828"/>
      <c r="BO5" s="828"/>
      <c r="BP5" s="828"/>
      <c r="BQ5" s="828"/>
      <c r="BR5" s="828"/>
      <c r="BS5" s="828"/>
      <c r="BT5" s="828"/>
      <c r="BU5" s="828"/>
      <c r="BV5" s="24"/>
      <c r="BW5" s="828"/>
      <c r="BX5" s="828"/>
      <c r="BY5" s="828"/>
      <c r="BZ5" s="828"/>
      <c r="CA5" s="828"/>
      <c r="CB5" s="24"/>
      <c r="CC5" s="828"/>
      <c r="CD5" s="828"/>
      <c r="CE5" s="828"/>
      <c r="CF5" s="828"/>
      <c r="CG5" s="828"/>
      <c r="CH5" s="24"/>
      <c r="CI5" s="828"/>
      <c r="CJ5" s="828"/>
      <c r="CK5" s="828"/>
      <c r="CL5" s="828"/>
      <c r="CM5" s="828"/>
    </row>
    <row r="6" spans="1:122">
      <c r="A6" s="97"/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7"/>
      <c r="AK6" s="97"/>
      <c r="AL6" s="97"/>
      <c r="AM6" s="97"/>
      <c r="AN6" s="828"/>
      <c r="AO6" s="97"/>
      <c r="AP6" s="97"/>
      <c r="AQ6" s="925"/>
      <c r="AR6" s="97"/>
      <c r="AS6" s="97"/>
      <c r="AT6" s="97"/>
      <c r="AU6" s="97"/>
      <c r="AV6" s="97"/>
      <c r="AW6" s="97"/>
      <c r="AX6" s="97"/>
      <c r="AY6" s="97"/>
      <c r="AZ6" s="97"/>
      <c r="BA6" s="97"/>
      <c r="BB6" s="97"/>
      <c r="BC6" s="97"/>
      <c r="BD6" s="97"/>
      <c r="BE6" s="97"/>
      <c r="BF6" s="1663"/>
      <c r="BG6" s="97"/>
      <c r="BH6" s="97"/>
      <c r="BI6" s="97"/>
      <c r="BJ6" s="97"/>
      <c r="BK6" s="97"/>
      <c r="BL6" s="97"/>
      <c r="BM6" s="97"/>
      <c r="BN6" s="97"/>
      <c r="BO6" s="97"/>
      <c r="BP6" s="97"/>
      <c r="BQ6" s="97"/>
      <c r="BR6" s="97"/>
      <c r="BS6" s="97"/>
      <c r="BT6" s="97"/>
      <c r="BU6" s="97"/>
      <c r="BV6" s="24"/>
      <c r="BW6" s="97"/>
      <c r="BX6" s="97"/>
      <c r="BY6" s="97"/>
      <c r="BZ6" s="97"/>
      <c r="CA6" s="97"/>
      <c r="CB6" s="24"/>
      <c r="CC6" s="97"/>
      <c r="CD6" s="97"/>
      <c r="CE6" s="97"/>
      <c r="CF6" s="97"/>
      <c r="CG6" s="97"/>
      <c r="CH6" s="24"/>
      <c r="CI6" s="97"/>
      <c r="CJ6" s="97"/>
      <c r="CK6" s="97"/>
      <c r="CL6" s="97"/>
      <c r="CM6" s="97"/>
    </row>
    <row r="7" spans="1:122" ht="12.75" customHeight="1">
      <c r="A7" s="358"/>
      <c r="B7" s="67"/>
      <c r="C7" s="133">
        <v>2007</v>
      </c>
      <c r="D7" s="134"/>
      <c r="E7" s="134"/>
      <c r="F7" s="134"/>
      <c r="G7" s="135">
        <v>2007</v>
      </c>
      <c r="H7" s="136"/>
      <c r="I7" s="133">
        <f>C7+1</f>
        <v>2008</v>
      </c>
      <c r="J7" s="134"/>
      <c r="K7" s="134"/>
      <c r="L7" s="134"/>
      <c r="M7" s="135">
        <f>G7+1</f>
        <v>2008</v>
      </c>
      <c r="N7" s="137"/>
      <c r="O7" s="133">
        <f>I7+1</f>
        <v>2009</v>
      </c>
      <c r="P7" s="134"/>
      <c r="Q7" s="134"/>
      <c r="R7" s="134"/>
      <c r="S7" s="135">
        <f>M7+1</f>
        <v>2009</v>
      </c>
      <c r="T7" s="137"/>
      <c r="U7" s="133">
        <f>O7+1</f>
        <v>2010</v>
      </c>
      <c r="V7" s="134"/>
      <c r="W7" s="134"/>
      <c r="X7" s="134"/>
      <c r="Y7" s="135">
        <f>S7+1</f>
        <v>2010</v>
      </c>
      <c r="Z7" s="137"/>
      <c r="AA7" s="133">
        <f>U7+1</f>
        <v>2011</v>
      </c>
      <c r="AB7" s="134"/>
      <c r="AC7" s="134"/>
      <c r="AD7" s="134"/>
      <c r="AE7" s="135">
        <f>Y7+1</f>
        <v>2011</v>
      </c>
      <c r="AF7" s="137"/>
      <c r="AG7" s="133">
        <f>AA7+1</f>
        <v>2012</v>
      </c>
      <c r="AH7" s="134"/>
      <c r="AI7" s="134"/>
      <c r="AJ7" s="134"/>
      <c r="AK7" s="135">
        <f>AE7+1</f>
        <v>2012</v>
      </c>
      <c r="AL7" s="137"/>
      <c r="AM7" s="133">
        <f>AG7+1</f>
        <v>2013</v>
      </c>
      <c r="AN7" s="134"/>
      <c r="AO7" s="134"/>
      <c r="AP7" s="134"/>
      <c r="AQ7" s="135">
        <f>AK7+1</f>
        <v>2013</v>
      </c>
      <c r="AR7" s="137"/>
      <c r="AS7" s="133">
        <f>AM7+1</f>
        <v>2014</v>
      </c>
      <c r="AT7" s="134"/>
      <c r="AU7" s="134"/>
      <c r="AV7" s="134"/>
      <c r="AW7" s="135">
        <f>AQ7+1</f>
        <v>2014</v>
      </c>
      <c r="AX7" s="137"/>
      <c r="AY7" s="133">
        <f>AS7+1</f>
        <v>2015</v>
      </c>
      <c r="AZ7" s="134"/>
      <c r="BA7" s="134"/>
      <c r="BB7" s="134"/>
      <c r="BC7" s="135">
        <f>AW7+1</f>
        <v>2015</v>
      </c>
      <c r="BD7" s="137"/>
      <c r="BE7" s="133">
        <f>AY7+1</f>
        <v>2016</v>
      </c>
      <c r="BF7" s="134"/>
      <c r="BG7" s="134"/>
      <c r="BH7" s="134"/>
      <c r="BI7" s="135">
        <f>BC7+1</f>
        <v>2016</v>
      </c>
      <c r="BJ7" s="137"/>
      <c r="BK7" s="133">
        <f>BE7+1</f>
        <v>2017</v>
      </c>
      <c r="BL7" s="134"/>
      <c r="BM7" s="134"/>
      <c r="BN7" s="134"/>
      <c r="BO7" s="135">
        <f>BI7+1</f>
        <v>2017</v>
      </c>
      <c r="BP7" s="137"/>
      <c r="BQ7" s="138">
        <f>BK7+1</f>
        <v>2018</v>
      </c>
      <c r="BR7" s="134"/>
      <c r="BS7" s="134"/>
      <c r="BT7" s="134"/>
      <c r="BU7" s="139">
        <f>BO7+1</f>
        <v>2018</v>
      </c>
      <c r="BV7" s="24"/>
      <c r="BW7" s="138">
        <f>BQ7+1</f>
        <v>2019</v>
      </c>
      <c r="BX7" s="134"/>
      <c r="BY7" s="134"/>
      <c r="BZ7" s="134"/>
      <c r="CA7" s="139">
        <f>BU7+1</f>
        <v>2019</v>
      </c>
      <c r="CB7" s="24"/>
      <c r="CC7" s="138">
        <f>BW7+1</f>
        <v>2020</v>
      </c>
      <c r="CD7" s="134"/>
      <c r="CE7" s="134"/>
      <c r="CF7" s="134"/>
      <c r="CG7" s="139">
        <f>CA7+1</f>
        <v>2020</v>
      </c>
      <c r="CH7" s="24"/>
      <c r="CI7" s="138">
        <f>CC7+1</f>
        <v>2021</v>
      </c>
      <c r="CJ7" s="134"/>
      <c r="CK7" s="134"/>
      <c r="CL7" s="134"/>
      <c r="CM7" s="139">
        <f>CG7+1</f>
        <v>2021</v>
      </c>
    </row>
    <row r="8" spans="1:122" ht="13.5" thickBot="1">
      <c r="A8" s="837"/>
      <c r="B8" s="838"/>
      <c r="C8" s="140">
        <v>39172</v>
      </c>
      <c r="D8" s="141">
        <f>C8+FLOOR(365/4,1)</f>
        <v>39263</v>
      </c>
      <c r="E8" s="141">
        <f>D8+FLOOR(365/4,1)+1</f>
        <v>39355</v>
      </c>
      <c r="F8" s="141">
        <f>E8+FLOOR(365/4,1)+1</f>
        <v>39447</v>
      </c>
      <c r="G8" s="142"/>
      <c r="H8" s="143"/>
      <c r="I8" s="140">
        <f>C8+366</f>
        <v>39538</v>
      </c>
      <c r="J8" s="141">
        <f>I8+FLOOR(365/4,1)</f>
        <v>39629</v>
      </c>
      <c r="K8" s="141">
        <f>J8+FLOOR(365/4,1)+1</f>
        <v>39721</v>
      </c>
      <c r="L8" s="141">
        <f>K8+FLOOR(365/4,1)+1</f>
        <v>39813</v>
      </c>
      <c r="M8" s="142"/>
      <c r="N8" s="144"/>
      <c r="O8" s="140">
        <f>I8+365</f>
        <v>39903</v>
      </c>
      <c r="P8" s="141">
        <f>O8+FLOOR(365/4,1)</f>
        <v>39994</v>
      </c>
      <c r="Q8" s="141">
        <f>P8+FLOOR(365/4,1)+1</f>
        <v>40086</v>
      </c>
      <c r="R8" s="141">
        <f>Q8+FLOOR(365/4,1)+1</f>
        <v>40178</v>
      </c>
      <c r="S8" s="142"/>
      <c r="T8" s="144"/>
      <c r="U8" s="140">
        <f>O8+365</f>
        <v>40268</v>
      </c>
      <c r="V8" s="141">
        <f>U8+FLOOR(365/4,1)</f>
        <v>40359</v>
      </c>
      <c r="W8" s="141">
        <f>V8+FLOOR(365/4,1)+1</f>
        <v>40451</v>
      </c>
      <c r="X8" s="141">
        <f>W8+FLOOR(365/4,1)+1</f>
        <v>40543</v>
      </c>
      <c r="Y8" s="142"/>
      <c r="Z8" s="144"/>
      <c r="AA8" s="140">
        <f>U8+365</f>
        <v>40633</v>
      </c>
      <c r="AB8" s="141">
        <f>AA8+FLOOR(365/4,1)</f>
        <v>40724</v>
      </c>
      <c r="AC8" s="141">
        <f>AB8+FLOOR(365/4,1)+1</f>
        <v>40816</v>
      </c>
      <c r="AD8" s="141">
        <f>AC8+FLOOR(365/4,1)+1</f>
        <v>40908</v>
      </c>
      <c r="AE8" s="142"/>
      <c r="AF8" s="144"/>
      <c r="AG8" s="140">
        <f>AA8+366</f>
        <v>40999</v>
      </c>
      <c r="AH8" s="141">
        <f>AG8+FLOOR(365/4,1)</f>
        <v>41090</v>
      </c>
      <c r="AI8" s="141">
        <f>AH8+FLOOR(365/4,1)+1</f>
        <v>41182</v>
      </c>
      <c r="AJ8" s="141">
        <f>AI8+FLOOR(365/4,1)+1</f>
        <v>41274</v>
      </c>
      <c r="AK8" s="142"/>
      <c r="AL8" s="144"/>
      <c r="AM8" s="140">
        <f>AG8+365</f>
        <v>41364</v>
      </c>
      <c r="AN8" s="141">
        <f>AM8+FLOOR(365/4,1)</f>
        <v>41455</v>
      </c>
      <c r="AO8" s="141">
        <f>AN8+FLOOR(365/4,1)+1</f>
        <v>41547</v>
      </c>
      <c r="AP8" s="141">
        <f>AO8+FLOOR(365/4,1)+1</f>
        <v>41639</v>
      </c>
      <c r="AQ8" s="142"/>
      <c r="AR8" s="144"/>
      <c r="AS8" s="140">
        <f>AM8+365</f>
        <v>41729</v>
      </c>
      <c r="AT8" s="141">
        <f>AS8+FLOOR(365/4,1)</f>
        <v>41820</v>
      </c>
      <c r="AU8" s="141">
        <f>AT8+FLOOR(365/4,1)+1</f>
        <v>41912</v>
      </c>
      <c r="AV8" s="141">
        <f>AU8+FLOOR(365/4,1)+1</f>
        <v>42004</v>
      </c>
      <c r="AW8" s="142"/>
      <c r="AX8" s="144"/>
      <c r="AY8" s="140">
        <f>AS8+365</f>
        <v>42094</v>
      </c>
      <c r="AZ8" s="141">
        <f>AY8+FLOOR(365/4,1)</f>
        <v>42185</v>
      </c>
      <c r="BA8" s="141">
        <f>AZ8+FLOOR(365/4,1)+1</f>
        <v>42277</v>
      </c>
      <c r="BB8" s="141">
        <f>BA8+FLOOR(365/4,1)+1</f>
        <v>42369</v>
      </c>
      <c r="BC8" s="142"/>
      <c r="BD8" s="144"/>
      <c r="BE8" s="140">
        <f>AY8+365+1</f>
        <v>42460</v>
      </c>
      <c r="BF8" s="141">
        <f>BE8+FLOOR(365/4,1)</f>
        <v>42551</v>
      </c>
      <c r="BG8" s="141">
        <f>BF8+FLOOR(365/4,1)+1</f>
        <v>42643</v>
      </c>
      <c r="BH8" s="141">
        <f>BG8+FLOOR(365/4,1)+1</f>
        <v>42735</v>
      </c>
      <c r="BI8" s="142"/>
      <c r="BJ8" s="144"/>
      <c r="BK8" s="140">
        <f>BE8+365</f>
        <v>42825</v>
      </c>
      <c r="BL8" s="141">
        <f>BK8+FLOOR(365/4,1)</f>
        <v>42916</v>
      </c>
      <c r="BM8" s="141">
        <f>BL8+FLOOR(365/4,1)+1</f>
        <v>43008</v>
      </c>
      <c r="BN8" s="141">
        <f>BM8+FLOOR(365/4,1)+1</f>
        <v>43100</v>
      </c>
      <c r="BO8" s="142"/>
      <c r="BP8" s="144"/>
      <c r="BQ8" s="146">
        <f>BK8+365</f>
        <v>43190</v>
      </c>
      <c r="BR8" s="145">
        <f>BQ8+FLOOR(365/4,1)</f>
        <v>43281</v>
      </c>
      <c r="BS8" s="145">
        <f>BR8+FLOOR(365/4,1)+1</f>
        <v>43373</v>
      </c>
      <c r="BT8" s="147">
        <f>BS8+FLOOR(365/4,1)+1</f>
        <v>43465</v>
      </c>
      <c r="BU8" s="142"/>
      <c r="BW8" s="146">
        <f>BQ8+365</f>
        <v>43555</v>
      </c>
      <c r="BX8" s="145">
        <f>BW8+FLOOR(365/4,1)</f>
        <v>43646</v>
      </c>
      <c r="BY8" s="145">
        <f>BX8+FLOOR(365/4,1)+1</f>
        <v>43738</v>
      </c>
      <c r="BZ8" s="147">
        <f>BY8+FLOOR(365/4,1)+1</f>
        <v>43830</v>
      </c>
      <c r="CA8" s="142"/>
      <c r="CC8" s="146">
        <f>BW8+365</f>
        <v>43920</v>
      </c>
      <c r="CD8" s="145">
        <f>CC8+FLOOR(365/4,1)</f>
        <v>44011</v>
      </c>
      <c r="CE8" s="145">
        <f>CD8+FLOOR(365/4,1)+1</f>
        <v>44103</v>
      </c>
      <c r="CF8" s="147">
        <f>CE8+FLOOR(365/4,1)+1</f>
        <v>44195</v>
      </c>
      <c r="CG8" s="142"/>
      <c r="CI8" s="146">
        <f>CC8+365</f>
        <v>44285</v>
      </c>
      <c r="CJ8" s="145">
        <f>CI8+FLOOR(365/4,1)</f>
        <v>44376</v>
      </c>
      <c r="CK8" s="145">
        <f>CJ8+FLOOR(365/4,1)+1</f>
        <v>44468</v>
      </c>
      <c r="CL8" s="147">
        <f>CK8+FLOOR(365/4,1)+1</f>
        <v>44560</v>
      </c>
      <c r="CM8" s="142"/>
      <c r="CN8" s="2023"/>
      <c r="CO8" s="2023"/>
      <c r="CP8" s="2023"/>
      <c r="CQ8" s="2023"/>
      <c r="CR8" s="2023"/>
      <c r="CS8" s="2023"/>
      <c r="CT8" s="2023"/>
      <c r="CU8" s="2023"/>
      <c r="CV8" s="2023"/>
      <c r="CW8" s="2023"/>
      <c r="CX8" s="2023"/>
      <c r="CY8" s="2023"/>
      <c r="CZ8" s="2023"/>
      <c r="DA8" s="2023"/>
      <c r="DB8" s="2023"/>
      <c r="DC8" s="2023"/>
      <c r="DD8" s="2023"/>
      <c r="DE8" s="2023"/>
      <c r="DF8" s="2023"/>
      <c r="DG8" s="2023"/>
      <c r="DH8" s="2023"/>
      <c r="DI8" s="2023"/>
      <c r="DJ8" s="2023"/>
      <c r="DK8" s="2023"/>
      <c r="DL8" s="2023"/>
      <c r="DM8" s="2023"/>
      <c r="DN8" s="2023"/>
      <c r="DO8" s="2023"/>
      <c r="DP8" s="2023"/>
      <c r="DQ8" s="2023"/>
      <c r="DR8" s="2023"/>
    </row>
    <row r="9" spans="1:122" s="2024" customFormat="1">
      <c r="A9" s="839" t="s">
        <v>88</v>
      </c>
      <c r="B9" s="840"/>
      <c r="C9" s="841">
        <f>SUM(C10:C12)</f>
        <v>242.06299999999999</v>
      </c>
      <c r="D9" s="842">
        <f>SUM(D10:D12)</f>
        <v>258.64100000000002</v>
      </c>
      <c r="E9" s="842">
        <f>SUM(E10:E12)</f>
        <v>258.46899999999999</v>
      </c>
      <c r="F9" s="842">
        <f>SUM(F10:F12)</f>
        <v>328.41899999999987</v>
      </c>
      <c r="G9" s="843">
        <f>SUM(G10:G12)</f>
        <v>1087.5919999999999</v>
      </c>
      <c r="H9" s="840"/>
      <c r="I9" s="841">
        <f>SUM(I10:I12)</f>
        <v>270.46500000000003</v>
      </c>
      <c r="J9" s="842">
        <f>SUM(J10:J12)</f>
        <v>287.12099999999998</v>
      </c>
      <c r="K9" s="842">
        <f>SUM(K10:K12)</f>
        <v>277.71699999999998</v>
      </c>
      <c r="L9" s="842">
        <f>SUM(L10:L12)</f>
        <v>304.58299999999997</v>
      </c>
      <c r="M9" s="843">
        <f>SUM(M10:M12)</f>
        <v>1139.886</v>
      </c>
      <c r="N9" s="840"/>
      <c r="O9" s="842">
        <f>SUM(O10:O12)</f>
        <v>227.44799999999998</v>
      </c>
      <c r="P9" s="844">
        <f>SUM(P10:P12)</f>
        <v>253.52100000000002</v>
      </c>
      <c r="Q9" s="842">
        <f>SUM(Q10:Q12)</f>
        <v>259.53199999999998</v>
      </c>
      <c r="R9" s="842">
        <f>SUM(R10:R12)</f>
        <v>311.47700000000009</v>
      </c>
      <c r="S9" s="843">
        <f>SUM(O9:R9)</f>
        <v>1051.9780000000001</v>
      </c>
      <c r="T9" s="840"/>
      <c r="U9" s="842">
        <f>SUM(U10:U12)</f>
        <v>253.042</v>
      </c>
      <c r="V9" s="842">
        <f>SUM(V10:V12)</f>
        <v>275.42500000000001</v>
      </c>
      <c r="W9" s="842">
        <f>SUM(W10:W12)</f>
        <v>282.93400000000003</v>
      </c>
      <c r="X9" s="842">
        <f>SUM(X10:X12)</f>
        <v>355.226</v>
      </c>
      <c r="Y9" s="843">
        <f>SUM(U9:X9)</f>
        <v>1166.627</v>
      </c>
      <c r="Z9" s="840"/>
      <c r="AA9" s="841">
        <f>SUM(AA10:AA12)</f>
        <v>303.33600000000001</v>
      </c>
      <c r="AB9" s="842">
        <f>SUM(AB10:AB12)</f>
        <v>316.15000000000003</v>
      </c>
      <c r="AC9" s="842">
        <f>SUM(AC10:AC12)</f>
        <v>321.34799999999996</v>
      </c>
      <c r="AD9" s="842">
        <f>1322.136-SUM(AA9:AC9)</f>
        <v>381.30199999999991</v>
      </c>
      <c r="AE9" s="843">
        <f>SUM(AA9:AD9)</f>
        <v>1322.136</v>
      </c>
      <c r="AF9" s="845"/>
      <c r="AG9" s="841">
        <f>SUM(AG10:AG12)</f>
        <v>286.50700000000001</v>
      </c>
      <c r="AH9" s="842">
        <f>SUM(AH10:AH12)</f>
        <v>313.85500000000002</v>
      </c>
      <c r="AI9" s="842">
        <f>SUM(AI10:AI12)</f>
        <v>310.82299999999998</v>
      </c>
      <c r="AJ9" s="842">
        <f>SUM(AJ10:AJ12)</f>
        <v>369.32199999999989</v>
      </c>
      <c r="AK9" s="1205">
        <f>SUM(AG9:AJ9)</f>
        <v>1280.5070000000001</v>
      </c>
      <c r="AL9" s="1536"/>
      <c r="AM9" s="1537">
        <f>SUM(AM10:AM12)</f>
        <v>293.714</v>
      </c>
      <c r="AN9" s="1538">
        <f>SUM(AN10:AN12)</f>
        <v>305.21099999999996</v>
      </c>
      <c r="AO9" s="1538">
        <f>SUM(AO10:AO12)</f>
        <v>312.94299999999998</v>
      </c>
      <c r="AP9" s="1538">
        <f>SUM(AP10:AP12)</f>
        <v>400.63499999999993</v>
      </c>
      <c r="AQ9" s="1205">
        <f>SUM(AM9:AP9)</f>
        <v>1312.5029999999999</v>
      </c>
      <c r="AR9" s="1536"/>
      <c r="AS9" s="1537">
        <f>SUM(AS10:AS12)</f>
        <v>284.79500000000002</v>
      </c>
      <c r="AT9" s="1538">
        <f>SUM(AT10:AT12)</f>
        <v>321.26499999999999</v>
      </c>
      <c r="AU9" s="1538">
        <f>SUM(AU10:AU12)</f>
        <v>331.16500000000002</v>
      </c>
      <c r="AV9" s="1538">
        <f>SUM(AV10:AV12)</f>
        <v>409.50399999999991</v>
      </c>
      <c r="AW9" s="1205">
        <f>SUM(AS9:AV9)</f>
        <v>1346.7289999999998</v>
      </c>
      <c r="AX9" s="1536"/>
      <c r="AY9" s="1537">
        <f>SUM(AY10:AY12)</f>
        <v>302.87299999999999</v>
      </c>
      <c r="AZ9" s="1538">
        <f>SUM(AZ10:AZ12)</f>
        <v>332.036</v>
      </c>
      <c r="BA9" s="1538">
        <f>SUM(BA10:BA12)</f>
        <v>336.93300000000005</v>
      </c>
      <c r="BB9" s="1538">
        <f>SUM(BB10:BB12)</f>
        <v>413.41399999999999</v>
      </c>
      <c r="BC9" s="1205">
        <f t="shared" ref="BC9:BC15" si="0">SUM(AY9:BB9)</f>
        <v>1385.2560000000001</v>
      </c>
      <c r="BD9" s="1536"/>
      <c r="BE9" s="1537">
        <f>SUM(BE10:BE12)</f>
        <v>307.85700000000003</v>
      </c>
      <c r="BF9" s="1538">
        <f>SUM(BF10:BF12)</f>
        <v>359.68700000000001</v>
      </c>
      <c r="BG9" s="1538">
        <f>SUM(BG10:BG12)</f>
        <v>349.93399999999997</v>
      </c>
      <c r="BH9" s="1538">
        <f>SUM(BH10:BH12)</f>
        <v>442.81799999999998</v>
      </c>
      <c r="BI9" s="1205">
        <f>SUM(BE9:BH9)</f>
        <v>1460.296</v>
      </c>
      <c r="BJ9" s="1536"/>
      <c r="BK9" s="1537">
        <f>SUM(BK10:BK12)</f>
        <v>324.29599999999999</v>
      </c>
      <c r="BL9" s="1538">
        <f>SUM(BL10:BL12)</f>
        <v>372.83799999999997</v>
      </c>
      <c r="BM9" s="1538">
        <f>SUM(BM10:BM12)</f>
        <v>375.55</v>
      </c>
      <c r="BN9" s="1538">
        <f>SUM(BN10:BN12)</f>
        <v>479.66499999999996</v>
      </c>
      <c r="BO9" s="1205">
        <f>SUM(BK9:BN9)</f>
        <v>1552.3489999999999</v>
      </c>
      <c r="BP9" s="1536"/>
      <c r="BQ9" s="1537">
        <f>SUM(BQ10:BQ12)</f>
        <v>349.70091713291112</v>
      </c>
      <c r="BR9" s="1538">
        <f>SUM(BR10:BR12)</f>
        <v>406.37676697315504</v>
      </c>
      <c r="BS9" s="1538">
        <f>SUM(BS10:BS12)</f>
        <v>397.27544681453526</v>
      </c>
      <c r="BT9" s="1538">
        <f>SUM(BT10:BT12)</f>
        <v>510.49581386229619</v>
      </c>
      <c r="BU9" s="1205">
        <f>SUM(BQ9:BT9)</f>
        <v>1663.8489447828977</v>
      </c>
      <c r="BV9" s="566"/>
      <c r="BW9" s="1537">
        <f>SUM(BW10:BW12)</f>
        <v>373.84539933319184</v>
      </c>
      <c r="BX9" s="1538">
        <f>SUM(BX10:BX12)</f>
        <v>430.08329283313191</v>
      </c>
      <c r="BY9" s="1538">
        <f>SUM(BY10:BY12)</f>
        <v>420.67638620101241</v>
      </c>
      <c r="BZ9" s="1538">
        <f>SUM(BZ10:BZ12)</f>
        <v>535.43132115323181</v>
      </c>
      <c r="CA9" s="1205">
        <f>SUM(BW9:BZ9)</f>
        <v>1760.036399520568</v>
      </c>
      <c r="CB9" s="566"/>
      <c r="CC9" s="1537">
        <f>SUM(CC10:CC12)</f>
        <v>395.07757326674357</v>
      </c>
      <c r="CD9" s="1538">
        <f>SUM(CD10:CD12)</f>
        <v>450.04719367394216</v>
      </c>
      <c r="CE9" s="1538">
        <f>SUM(CE10:CE12)</f>
        <v>441.20233450332671</v>
      </c>
      <c r="CF9" s="1538">
        <f>SUM(CF10:CF12)</f>
        <v>556.37511683922628</v>
      </c>
      <c r="CG9" s="1205">
        <f>SUM(CC9:CF9)</f>
        <v>1842.7022182832388</v>
      </c>
      <c r="CH9" s="566"/>
      <c r="CI9" s="1537">
        <f>SUM(CI10:CI12)</f>
        <v>417.52923490875082</v>
      </c>
      <c r="CJ9" s="1538">
        <f>SUM(CJ10:CJ12)</f>
        <v>470.97026135031729</v>
      </c>
      <c r="CK9" s="1538">
        <f>SUM(CK10:CK12)</f>
        <v>462.76407858360329</v>
      </c>
      <c r="CL9" s="1538">
        <f>SUM(CL10:CL12)</f>
        <v>578.31237707150331</v>
      </c>
      <c r="CM9" s="1205">
        <f>SUM(CI9:CL9)</f>
        <v>1929.5759519141748</v>
      </c>
      <c r="CN9" s="2025"/>
      <c r="CO9" s="2025"/>
      <c r="CP9" s="2025"/>
      <c r="CQ9" s="2025"/>
      <c r="CR9" s="2025"/>
      <c r="CS9" s="2025"/>
      <c r="CT9" s="2025"/>
      <c r="CU9" s="2025"/>
      <c r="CV9" s="2025"/>
      <c r="CW9" s="2025"/>
      <c r="CX9" s="2025"/>
      <c r="CY9" s="2025"/>
      <c r="CZ9" s="2025"/>
      <c r="DA9" s="2025"/>
      <c r="DB9" s="2025"/>
      <c r="DC9" s="2025"/>
      <c r="DD9" s="2025"/>
      <c r="DE9" s="2025"/>
      <c r="DF9" s="2025"/>
      <c r="DG9" s="2025"/>
      <c r="DH9" s="2025"/>
      <c r="DI9" s="2025"/>
      <c r="DJ9" s="2025"/>
      <c r="DK9" s="2025"/>
      <c r="DL9" s="2025"/>
      <c r="DM9" s="2025"/>
      <c r="DN9" s="2025"/>
      <c r="DO9" s="2025"/>
      <c r="DP9" s="2025"/>
      <c r="DQ9" s="2025"/>
      <c r="DR9" s="2025"/>
    </row>
    <row r="10" spans="1:122" s="2025" customFormat="1">
      <c r="A10" s="846" t="s">
        <v>90</v>
      </c>
      <c r="B10" s="847"/>
      <c r="C10" s="848">
        <f>342.49-D10</f>
        <v>162.309</v>
      </c>
      <c r="D10" s="849">
        <v>180.18100000000001</v>
      </c>
      <c r="E10" s="849">
        <v>174.71</v>
      </c>
      <c r="F10" s="849">
        <f>G10-SUM(C10:E10)</f>
        <v>224.84499999999991</v>
      </c>
      <c r="G10" s="850">
        <v>742.04499999999996</v>
      </c>
      <c r="H10" s="847"/>
      <c r="I10" s="848">
        <f>376.773-J10</f>
        <v>181.35100000000003</v>
      </c>
      <c r="J10" s="849">
        <v>195.422</v>
      </c>
      <c r="K10" s="849">
        <v>185.59700000000001</v>
      </c>
      <c r="L10" s="849">
        <f>M10-SUM(I10:K10)</f>
        <v>204.75199999999995</v>
      </c>
      <c r="M10" s="850">
        <v>767.12199999999996</v>
      </c>
      <c r="N10" s="847"/>
      <c r="O10" s="849">
        <f>313.77-P10</f>
        <v>142.81099999999998</v>
      </c>
      <c r="P10" s="849">
        <v>170.959</v>
      </c>
      <c r="Q10" s="849">
        <v>172.62299999999999</v>
      </c>
      <c r="R10" s="849">
        <f>699.014-SUM(O10:Q10)</f>
        <v>212.62100000000004</v>
      </c>
      <c r="S10" s="851">
        <f t="shared" ref="S10:S15" si="1">SUM(O10:R10)</f>
        <v>699.01400000000001</v>
      </c>
      <c r="T10" s="847"/>
      <c r="U10" s="849">
        <f>341.101-V10</f>
        <v>158.56700000000001</v>
      </c>
      <c r="V10" s="849">
        <v>182.53399999999999</v>
      </c>
      <c r="W10" s="849">
        <v>185.52600000000001</v>
      </c>
      <c r="X10" s="849">
        <f>772.631-SUM(U10:W10)</f>
        <v>246.00400000000002</v>
      </c>
      <c r="Y10" s="851">
        <f t="shared" ref="Y10:Y15" si="2">SUM(U10:X10)</f>
        <v>772.63099999999997</v>
      </c>
      <c r="Z10" s="847"/>
      <c r="AA10" s="848">
        <v>197.511</v>
      </c>
      <c r="AB10" s="849">
        <v>206.42099999999999</v>
      </c>
      <c r="AC10" s="849">
        <v>212.66399999999999</v>
      </c>
      <c r="AD10" s="852">
        <f>878.367-SUM(AA10:AC10)</f>
        <v>261.77099999999996</v>
      </c>
      <c r="AE10" s="853">
        <f t="shared" ref="AE10:AE15" si="3">SUM(AA10:AD10)</f>
        <v>878.36699999999996</v>
      </c>
      <c r="AF10" s="854"/>
      <c r="AG10" s="848">
        <v>176.667</v>
      </c>
      <c r="AH10" s="849">
        <v>203.90100000000001</v>
      </c>
      <c r="AI10" s="849">
        <v>202.51300000000001</v>
      </c>
      <c r="AJ10" s="849">
        <f>828.458-SUM(AG10:AI10)</f>
        <v>245.37699999999995</v>
      </c>
      <c r="AK10" s="1539">
        <f t="shared" ref="AK10:AK15" si="4">SUM(AG10:AJ10)</f>
        <v>828.45799999999997</v>
      </c>
      <c r="AL10" s="1540"/>
      <c r="AM10" s="1541">
        <v>184.524</v>
      </c>
      <c r="AN10" s="1542">
        <v>195.46799999999999</v>
      </c>
      <c r="AO10" s="1542">
        <v>196.989</v>
      </c>
      <c r="AP10" s="1542">
        <f>840.608-SUM(AM10:AO10)</f>
        <v>263.62699999999995</v>
      </c>
      <c r="AQ10" s="1539">
        <f t="shared" ref="AQ10:AQ15" si="5">SUM(AM10:AP10)</f>
        <v>840.60799999999995</v>
      </c>
      <c r="AR10" s="1540"/>
      <c r="AS10" s="1541">
        <v>176.364</v>
      </c>
      <c r="AT10" s="1542">
        <v>206.184</v>
      </c>
      <c r="AU10" s="1542">
        <v>213.12200000000001</v>
      </c>
      <c r="AV10" s="1542">
        <f>871.048-SUM(AS10:AU10)</f>
        <v>275.37799999999993</v>
      </c>
      <c r="AW10" s="1539">
        <f t="shared" ref="AW10:AW15" si="6">SUM(AS10:AV10)</f>
        <v>871.048</v>
      </c>
      <c r="AX10" s="1540"/>
      <c r="AY10" s="1541">
        <v>188.50399999999999</v>
      </c>
      <c r="AZ10" s="1542">
        <v>217.57599999999999</v>
      </c>
      <c r="BA10" s="1542">
        <v>219.196</v>
      </c>
      <c r="BB10" s="1654">
        <f>895.626-SUM(AY10:BA10)</f>
        <v>270.35000000000002</v>
      </c>
      <c r="BC10" s="1539">
        <f t="shared" si="0"/>
        <v>895.62599999999998</v>
      </c>
      <c r="BD10" s="1540"/>
      <c r="BE10" s="1660">
        <f>307.857-BE11-BE12</f>
        <v>188.52900000000002</v>
      </c>
      <c r="BF10" s="1542">
        <f>272.639-BF12</f>
        <v>231.85833475013141</v>
      </c>
      <c r="BG10" s="1542">
        <f>265.82-BG12</f>
        <v>226.26833999999999</v>
      </c>
      <c r="BH10" s="1542">
        <f>352.717-BH12</f>
        <v>296.69599999999997</v>
      </c>
      <c r="BI10" s="1539">
        <f t="shared" ref="BI10:BI15" si="7">SUM(BE10:BH10)</f>
        <v>943.35167475013145</v>
      </c>
      <c r="BJ10" s="1540"/>
      <c r="BK10" s="1909">
        <f>236.393-BK12</f>
        <v>197.85</v>
      </c>
      <c r="BL10" s="1542">
        <f>282.014-BL12</f>
        <v>238.54400000000001</v>
      </c>
      <c r="BM10" s="1542">
        <f>282.671-BM12</f>
        <v>237.97754363636363</v>
      </c>
      <c r="BN10" s="1681">
        <f>379.114-BN12</f>
        <v>314.83882993122558</v>
      </c>
      <c r="BO10" s="1539">
        <f t="shared" ref="BO10:BO15" si="8">SUM(BK10:BN10)</f>
        <v>989.21037356758916</v>
      </c>
      <c r="BP10" s="1540"/>
      <c r="BQ10" s="1544">
        <f>BQ21+BQ35</f>
        <v>210.64471665935898</v>
      </c>
      <c r="BR10" s="1543">
        <f>BR21+BR35</f>
        <v>255.31641053120006</v>
      </c>
      <c r="BS10" s="1543">
        <f>BS21+BS35</f>
        <v>248.88580273388484</v>
      </c>
      <c r="BT10" s="1543">
        <f>BT21+BT35</f>
        <v>332.7645355176677</v>
      </c>
      <c r="BU10" s="1539">
        <f t="shared" ref="BU10:BU15" si="9">SUM(BQ10:BT10)</f>
        <v>1047.6114654421117</v>
      </c>
      <c r="BV10" s="443"/>
      <c r="BW10" s="1544">
        <f>BW21+BW35</f>
        <v>223.41310769494524</v>
      </c>
      <c r="BX10" s="1543">
        <f>BX21+BX35</f>
        <v>266.93810787582061</v>
      </c>
      <c r="BY10" s="1543">
        <f>BY21+BY35</f>
        <v>260.41557059390999</v>
      </c>
      <c r="BZ10" s="1543">
        <f>BZ21+BZ35</f>
        <v>343.48154054103304</v>
      </c>
      <c r="CA10" s="1539">
        <f t="shared" ref="CA10:CA15" si="10">SUM(BW10:BZ10)</f>
        <v>1094.2483267057087</v>
      </c>
      <c r="CB10" s="443"/>
      <c r="CC10" s="1544">
        <f>CC21+CC35</f>
        <v>235.78010611309332</v>
      </c>
      <c r="CD10" s="1543">
        <f>CD21+CD35</f>
        <v>277.61563219085338</v>
      </c>
      <c r="CE10" s="1543">
        <f>CE21+CE35</f>
        <v>271.83752419117491</v>
      </c>
      <c r="CF10" s="1543">
        <f>CF21+CF35</f>
        <v>353.644165040622</v>
      </c>
      <c r="CG10" s="1539">
        <f t="shared" ref="CG10:CG15" si="11">SUM(CC10:CF10)</f>
        <v>1138.8774275357437</v>
      </c>
      <c r="CH10" s="443"/>
      <c r="CI10" s="1544">
        <f>CI21+CI35</f>
        <v>248.8372350341528</v>
      </c>
      <c r="CJ10" s="1543">
        <f>CJ21+CJ35</f>
        <v>288.72025747848755</v>
      </c>
      <c r="CK10" s="1543">
        <f>CK21+CK35</f>
        <v>283.77461659566802</v>
      </c>
      <c r="CL10" s="1543">
        <f>CL21+CL35</f>
        <v>364.19017459782566</v>
      </c>
      <c r="CM10" s="1539">
        <f t="shared" ref="CM10:CM15" si="12">SUM(CI10:CL10)</f>
        <v>1185.522283706134</v>
      </c>
    </row>
    <row r="11" spans="1:122" s="2025" customFormat="1">
      <c r="A11" s="846" t="s">
        <v>224</v>
      </c>
      <c r="B11" s="847"/>
      <c r="C11" s="848">
        <f>107.822-D11</f>
        <v>54.215000000000003</v>
      </c>
      <c r="D11" s="849">
        <v>53.606999999999999</v>
      </c>
      <c r="E11" s="849">
        <v>54.436</v>
      </c>
      <c r="F11" s="849">
        <f>G11-SUM(C11:E11)</f>
        <v>61.33499999999998</v>
      </c>
      <c r="G11" s="850">
        <v>223.59299999999999</v>
      </c>
      <c r="H11" s="847"/>
      <c r="I11" s="848">
        <f>122.539-J11</f>
        <v>59.264000000000003</v>
      </c>
      <c r="J11" s="849">
        <v>63.274999999999999</v>
      </c>
      <c r="K11" s="849">
        <v>59.238999999999997</v>
      </c>
      <c r="L11" s="849">
        <f>M11-SUM(I11:K11)</f>
        <v>62.076999999999998</v>
      </c>
      <c r="M11" s="850">
        <v>243.85499999999999</v>
      </c>
      <c r="N11" s="847"/>
      <c r="O11" s="849">
        <f>118.372-P11</f>
        <v>59.212000000000003</v>
      </c>
      <c r="P11" s="849">
        <v>59.16</v>
      </c>
      <c r="Q11" s="849">
        <v>61.918999999999997</v>
      </c>
      <c r="R11" s="849">
        <f>243.629-SUM(O11:Q11)</f>
        <v>63.337999999999994</v>
      </c>
      <c r="S11" s="851">
        <f t="shared" si="1"/>
        <v>243.62899999999999</v>
      </c>
      <c r="T11" s="847"/>
      <c r="U11" s="849">
        <f>129.549-V11</f>
        <v>66.677999999999997</v>
      </c>
      <c r="V11" s="849">
        <v>62.871000000000002</v>
      </c>
      <c r="W11" s="849">
        <v>65.594999999999999</v>
      </c>
      <c r="X11" s="849">
        <f>264.368-SUM(U11:W11)</f>
        <v>69.22399999999999</v>
      </c>
      <c r="Y11" s="851">
        <f t="shared" si="2"/>
        <v>264.36799999999999</v>
      </c>
      <c r="Z11" s="847"/>
      <c r="AA11" s="848">
        <v>73.721999999999994</v>
      </c>
      <c r="AB11" s="849">
        <v>74.299000000000007</v>
      </c>
      <c r="AC11" s="849">
        <v>72.103999999999999</v>
      </c>
      <c r="AD11" s="852">
        <f>292.506-SUM(AA11:AC11)</f>
        <v>72.380999999999972</v>
      </c>
      <c r="AE11" s="853">
        <f t="shared" si="3"/>
        <v>292.50599999999997</v>
      </c>
      <c r="AF11" s="854"/>
      <c r="AG11" s="848">
        <v>74.94</v>
      </c>
      <c r="AH11" s="849">
        <v>71.959999999999994</v>
      </c>
      <c r="AI11" s="849">
        <v>73.126000000000005</v>
      </c>
      <c r="AJ11" s="849">
        <f>294.787-SUM(AG11:AI11)</f>
        <v>74.760999999999996</v>
      </c>
      <c r="AK11" s="1539">
        <f t="shared" si="4"/>
        <v>294.78699999999998</v>
      </c>
      <c r="AL11" s="1540"/>
      <c r="AM11" s="1541">
        <v>73.132999999999996</v>
      </c>
      <c r="AN11" s="1542">
        <v>74.453999999999994</v>
      </c>
      <c r="AO11" s="1542">
        <v>75.412999999999997</v>
      </c>
      <c r="AP11" s="1542">
        <f>304.13-SUM(AM11:AO11)</f>
        <v>81.13</v>
      </c>
      <c r="AQ11" s="1539">
        <f t="shared" si="5"/>
        <v>304.13</v>
      </c>
      <c r="AR11" s="1540"/>
      <c r="AS11" s="1541">
        <v>75.203000000000003</v>
      </c>
      <c r="AT11" s="1542">
        <v>76.576999999999998</v>
      </c>
      <c r="AU11" s="1542">
        <v>77.852999999999994</v>
      </c>
      <c r="AV11" s="1542">
        <f>312.89-SUM(AS11:AU11)</f>
        <v>83.257000000000005</v>
      </c>
      <c r="AW11" s="1539">
        <f t="shared" si="6"/>
        <v>312.89</v>
      </c>
      <c r="AX11" s="1540"/>
      <c r="AY11" s="1541">
        <v>78.183000000000007</v>
      </c>
      <c r="AZ11" s="1542">
        <v>77.739000000000004</v>
      </c>
      <c r="BA11" s="1542">
        <v>78.173000000000002</v>
      </c>
      <c r="BB11" s="1654">
        <f>317.941-SUM(AY11:BA11)</f>
        <v>83.845999999999947</v>
      </c>
      <c r="BC11" s="1539">
        <f t="shared" si="0"/>
        <v>317.94099999999997</v>
      </c>
      <c r="BD11" s="1540"/>
      <c r="BE11" s="1660">
        <v>84.15</v>
      </c>
      <c r="BF11" s="1542">
        <v>87.048000000000002</v>
      </c>
      <c r="BG11" s="1542">
        <v>84.114000000000004</v>
      </c>
      <c r="BH11" s="1542">
        <v>90.100999999999999</v>
      </c>
      <c r="BI11" s="1539">
        <f t="shared" si="7"/>
        <v>345.41300000000001</v>
      </c>
      <c r="BJ11" s="1540"/>
      <c r="BK11" s="1909">
        <v>87.903000000000006</v>
      </c>
      <c r="BL11" s="1542">
        <v>90.823999999999998</v>
      </c>
      <c r="BM11" s="1542">
        <v>92.879000000000005</v>
      </c>
      <c r="BN11" s="1681">
        <v>100.551</v>
      </c>
      <c r="BO11" s="1539">
        <f t="shared" si="8"/>
        <v>372.15699999999998</v>
      </c>
      <c r="BP11" s="1540"/>
      <c r="BQ11" s="1544">
        <f>BQ52</f>
        <v>98.778360555558422</v>
      </c>
      <c r="BR11" s="1543">
        <f>BR52</f>
        <v>104.54789610294935</v>
      </c>
      <c r="BS11" s="1543">
        <f>BS52</f>
        <v>101.01425228650223</v>
      </c>
      <c r="BT11" s="1543">
        <f>BT52</f>
        <v>109.60019961069835</v>
      </c>
      <c r="BU11" s="1539">
        <f t="shared" si="9"/>
        <v>413.9407085557084</v>
      </c>
      <c r="BV11" s="443"/>
      <c r="BW11" s="1544">
        <f>BW52</f>
        <v>106.93222452681336</v>
      </c>
      <c r="BX11" s="1543">
        <f>BX52</f>
        <v>112.9117277911853</v>
      </c>
      <c r="BY11" s="1543">
        <f>BY52</f>
        <v>109.09539246942242</v>
      </c>
      <c r="BZ11" s="1543">
        <f>BZ52</f>
        <v>118.36821557955423</v>
      </c>
      <c r="CA11" s="1539">
        <f t="shared" si="10"/>
        <v>447.30756036697528</v>
      </c>
      <c r="CB11" s="443"/>
      <c r="CC11" s="1544">
        <f>CC52</f>
        <v>113.62239668664535</v>
      </c>
      <c r="CD11" s="1543">
        <f>CD52</f>
        <v>119.68643145865643</v>
      </c>
      <c r="CE11" s="1543">
        <f>CE52</f>
        <v>115.64111601758776</v>
      </c>
      <c r="CF11" s="1543">
        <f>CF52</f>
        <v>125.47030851432748</v>
      </c>
      <c r="CG11" s="1539">
        <f t="shared" si="11"/>
        <v>474.42025267721704</v>
      </c>
      <c r="CH11" s="443"/>
      <c r="CI11" s="1544">
        <f>CI52</f>
        <v>120.7331758842429</v>
      </c>
      <c r="CJ11" s="1543">
        <f>CJ52</f>
        <v>126.86761734617582</v>
      </c>
      <c r="CK11" s="1543">
        <f>CK52</f>
        <v>122.57958297864303</v>
      </c>
      <c r="CL11" s="1543">
        <f>CL52</f>
        <v>132.99852702518714</v>
      </c>
      <c r="CM11" s="1539">
        <f t="shared" si="12"/>
        <v>503.17890323424888</v>
      </c>
    </row>
    <row r="12" spans="1:122" s="2025" customFormat="1">
      <c r="A12" s="846" t="s">
        <v>91</v>
      </c>
      <c r="B12" s="847"/>
      <c r="C12" s="848">
        <f>50.392-D12</f>
        <v>25.539000000000001</v>
      </c>
      <c r="D12" s="849">
        <v>24.853000000000002</v>
      </c>
      <c r="E12" s="849">
        <v>29.323</v>
      </c>
      <c r="F12" s="849">
        <f>G12-SUM(C12:E12)</f>
        <v>42.23899999999999</v>
      </c>
      <c r="G12" s="850">
        <v>121.95399999999999</v>
      </c>
      <c r="H12" s="847"/>
      <c r="I12" s="848">
        <f>58.274-J12</f>
        <v>29.85</v>
      </c>
      <c r="J12" s="849">
        <v>28.423999999999999</v>
      </c>
      <c r="K12" s="849">
        <v>32.881</v>
      </c>
      <c r="L12" s="849">
        <f>M12-SUM(I12:K12)</f>
        <v>37.753999999999991</v>
      </c>
      <c r="M12" s="850">
        <v>128.90899999999999</v>
      </c>
      <c r="N12" s="847"/>
      <c r="O12" s="849">
        <f>48.827-P12</f>
        <v>25.424999999999997</v>
      </c>
      <c r="P12" s="849">
        <v>23.402000000000001</v>
      </c>
      <c r="Q12" s="849">
        <v>24.99</v>
      </c>
      <c r="R12" s="849">
        <f>109.335-SUM(O12:Q12)</f>
        <v>35.518000000000001</v>
      </c>
      <c r="S12" s="851">
        <f t="shared" si="1"/>
        <v>109.33499999999999</v>
      </c>
      <c r="T12" s="847"/>
      <c r="U12" s="849">
        <f>57.817-V12</f>
        <v>27.797000000000001</v>
      </c>
      <c r="V12" s="849">
        <v>30.02</v>
      </c>
      <c r="W12" s="849">
        <v>31.812999999999999</v>
      </c>
      <c r="X12" s="849">
        <f>129.628-SUM(U12:W12)</f>
        <v>39.99799999999999</v>
      </c>
      <c r="Y12" s="851">
        <f t="shared" si="2"/>
        <v>129.62799999999999</v>
      </c>
      <c r="Z12" s="847"/>
      <c r="AA12" s="848">
        <v>32.103000000000002</v>
      </c>
      <c r="AB12" s="849">
        <v>35.43</v>
      </c>
      <c r="AC12" s="849">
        <v>36.58</v>
      </c>
      <c r="AD12" s="852">
        <f>151.263-SUM(AA12:AC12)</f>
        <v>47.150000000000006</v>
      </c>
      <c r="AE12" s="853">
        <f t="shared" si="3"/>
        <v>151.26300000000001</v>
      </c>
      <c r="AF12" s="854"/>
      <c r="AG12" s="848">
        <v>34.9</v>
      </c>
      <c r="AH12" s="849">
        <v>37.994</v>
      </c>
      <c r="AI12" s="849">
        <v>35.183999999999997</v>
      </c>
      <c r="AJ12" s="849">
        <f>157.262-SUM(AG12:AI12)</f>
        <v>49.183999999999997</v>
      </c>
      <c r="AK12" s="1539">
        <f t="shared" si="4"/>
        <v>157.262</v>
      </c>
      <c r="AL12" s="1540"/>
      <c r="AM12" s="1541">
        <v>36.057000000000002</v>
      </c>
      <c r="AN12" s="1542">
        <v>35.289000000000001</v>
      </c>
      <c r="AO12" s="1542">
        <v>40.540999999999997</v>
      </c>
      <c r="AP12" s="1542">
        <f>167.765-SUM(AM12:AO12)</f>
        <v>55.877999999999986</v>
      </c>
      <c r="AQ12" s="1539">
        <f t="shared" si="5"/>
        <v>167.76499999999999</v>
      </c>
      <c r="AR12" s="1540"/>
      <c r="AS12" s="1541">
        <v>33.228000000000002</v>
      </c>
      <c r="AT12" s="1542">
        <v>38.503999999999998</v>
      </c>
      <c r="AU12" s="1542">
        <v>40.19</v>
      </c>
      <c r="AV12" s="1542">
        <f>162.791-SUM(AS12:AU12)</f>
        <v>50.869</v>
      </c>
      <c r="AW12" s="1539">
        <f t="shared" si="6"/>
        <v>162.791</v>
      </c>
      <c r="AX12" s="1540"/>
      <c r="AY12" s="1541">
        <v>36.186</v>
      </c>
      <c r="AZ12" s="1542">
        <v>36.720999999999997</v>
      </c>
      <c r="BA12" s="1542">
        <v>39.564</v>
      </c>
      <c r="BB12" s="1654">
        <f>171.689-SUM(AY12:BA12)</f>
        <v>59.217999999999989</v>
      </c>
      <c r="BC12" s="1539">
        <f t="shared" si="0"/>
        <v>171.68899999999999</v>
      </c>
      <c r="BD12" s="1540"/>
      <c r="BE12" s="1660">
        <v>35.177999999999997</v>
      </c>
      <c r="BF12" s="1681">
        <f>57.829-BF15</f>
        <v>40.780665249868619</v>
      </c>
      <c r="BG12" s="1681">
        <f>55.917-BG15</f>
        <v>39.551659999999998</v>
      </c>
      <c r="BH12" s="1681">
        <f>74.561-BH15</f>
        <v>56.021000000000008</v>
      </c>
      <c r="BI12" s="1539">
        <f t="shared" si="7"/>
        <v>171.53132524986862</v>
      </c>
      <c r="BJ12" s="1540"/>
      <c r="BK12" s="1909">
        <f>54.543-BK15</f>
        <v>38.542999999999999</v>
      </c>
      <c r="BL12" s="1681">
        <f>60.47-BL15</f>
        <v>43.47</v>
      </c>
      <c r="BM12" s="1681">
        <f>61.68-BM15</f>
        <v>44.693456363636372</v>
      </c>
      <c r="BN12" s="1681">
        <f>84.822-BN15</f>
        <v>64.275170068774401</v>
      </c>
      <c r="BO12" s="1539">
        <f t="shared" si="8"/>
        <v>190.98162643241079</v>
      </c>
      <c r="BP12" s="1540"/>
      <c r="BQ12" s="1544">
        <f>BQ58</f>
        <v>40.277839917993717</v>
      </c>
      <c r="BR12" s="1543">
        <f>BR58</f>
        <v>46.512460339005585</v>
      </c>
      <c r="BS12" s="1543">
        <f>BS58</f>
        <v>47.375391794148172</v>
      </c>
      <c r="BT12" s="1543">
        <f>BT58</f>
        <v>68.13107873393011</v>
      </c>
      <c r="BU12" s="1539">
        <f t="shared" si="9"/>
        <v>202.29677078507757</v>
      </c>
      <c r="BV12" s="443"/>
      <c r="BW12" s="1544">
        <f>BW58</f>
        <v>43.500067111433218</v>
      </c>
      <c r="BX12" s="1543">
        <f>BX58</f>
        <v>50.233457166126037</v>
      </c>
      <c r="BY12" s="1543">
        <f>BY58</f>
        <v>51.16542313768003</v>
      </c>
      <c r="BZ12" s="1543">
        <f>BZ58</f>
        <v>73.581565032644519</v>
      </c>
      <c r="CA12" s="1539">
        <f t="shared" si="10"/>
        <v>218.48051244788383</v>
      </c>
      <c r="CB12" s="443"/>
      <c r="CC12" s="1544">
        <f>CC58</f>
        <v>45.675070467004879</v>
      </c>
      <c r="CD12" s="1543">
        <f>CD58</f>
        <v>52.745130024432342</v>
      </c>
      <c r="CE12" s="1543">
        <f>CE58</f>
        <v>53.723694294564034</v>
      </c>
      <c r="CF12" s="1543">
        <f>CF58</f>
        <v>77.260643284276753</v>
      </c>
      <c r="CG12" s="1539">
        <f t="shared" si="11"/>
        <v>229.40453807027802</v>
      </c>
      <c r="CH12" s="443"/>
      <c r="CI12" s="1544">
        <f>CI58</f>
        <v>47.958823990355128</v>
      </c>
      <c r="CJ12" s="1543">
        <f>CJ58</f>
        <v>55.382386525653963</v>
      </c>
      <c r="CK12" s="1543">
        <f>CK58</f>
        <v>56.40987900929224</v>
      </c>
      <c r="CL12" s="1543">
        <f>CL58</f>
        <v>81.123675448490587</v>
      </c>
      <c r="CM12" s="1539">
        <f t="shared" si="12"/>
        <v>240.87476497379191</v>
      </c>
    </row>
    <row r="13" spans="1:122" s="2024" customFormat="1">
      <c r="A13" s="839" t="s">
        <v>92</v>
      </c>
      <c r="B13" s="840"/>
      <c r="C13" s="856">
        <f>SUM(C14:C15)</f>
        <v>88.713999999999999</v>
      </c>
      <c r="D13" s="428">
        <f>SUM(D14:D15)</f>
        <v>93.98899999999999</v>
      </c>
      <c r="E13" s="428">
        <f>SUM(E14:E15)</f>
        <v>94.168999999999997</v>
      </c>
      <c r="F13" s="428">
        <f>SUM(F14:F15)</f>
        <v>108.584</v>
      </c>
      <c r="G13" s="843">
        <f>SUM(G14:G15)</f>
        <v>385.45599999999996</v>
      </c>
      <c r="H13" s="840"/>
      <c r="I13" s="856">
        <f>SUM(I14:I15)</f>
        <v>101.533</v>
      </c>
      <c r="J13" s="428">
        <f>SUM(J14:J15)</f>
        <v>111.364</v>
      </c>
      <c r="K13" s="428">
        <f>SUM(K14:K15)</f>
        <v>108.59299999999999</v>
      </c>
      <c r="L13" s="428">
        <f>SUM(L14:L15)</f>
        <v>113.74799999999996</v>
      </c>
      <c r="M13" s="843">
        <f>SUM(M14:M15)</f>
        <v>435.238</v>
      </c>
      <c r="N13" s="840"/>
      <c r="O13" s="428">
        <f>SUM(O14:O15)</f>
        <v>105.60399999999998</v>
      </c>
      <c r="P13" s="857">
        <f>SUM(P14:P15)</f>
        <v>109.316</v>
      </c>
      <c r="Q13" s="428">
        <f>SUM(Q14:Q15)</f>
        <v>116.00999999999999</v>
      </c>
      <c r="R13" s="428">
        <f>SUM(R14:R15)</f>
        <v>115.79200000000003</v>
      </c>
      <c r="S13" s="843">
        <f t="shared" si="1"/>
        <v>446.72199999999998</v>
      </c>
      <c r="T13" s="840"/>
      <c r="U13" s="428">
        <f>SUM(U14:U15)</f>
        <v>114.65800000000002</v>
      </c>
      <c r="V13" s="428">
        <f>SUM(V14:V15)</f>
        <v>115.63</v>
      </c>
      <c r="W13" s="428">
        <f>SUM(W14:W15)</f>
        <v>118.104</v>
      </c>
      <c r="X13" s="428">
        <f>SUM(X14:X15)</f>
        <v>128.35199999999998</v>
      </c>
      <c r="Y13" s="843">
        <f t="shared" si="2"/>
        <v>476.74399999999997</v>
      </c>
      <c r="Z13" s="840"/>
      <c r="AA13" s="858">
        <f>SUM(AA14:AA15)</f>
        <v>124.267</v>
      </c>
      <c r="AB13" s="1135">
        <f>SUM(AB14:AB15)</f>
        <v>131.477</v>
      </c>
      <c r="AC13" s="1135">
        <f>SUM(AC14:AC15)</f>
        <v>133.18600000000001</v>
      </c>
      <c r="AD13" s="428">
        <f>529.048-SUM(AA13:AC13)</f>
        <v>140.11799999999999</v>
      </c>
      <c r="AE13" s="843">
        <f t="shared" si="3"/>
        <v>529.048</v>
      </c>
      <c r="AF13" s="845"/>
      <c r="AG13" s="858">
        <f>SUM(AG14:AG15)</f>
        <v>133.95099999999999</v>
      </c>
      <c r="AH13" s="1135">
        <f>SUM(AH14:AH15)</f>
        <v>137.60999999999999</v>
      </c>
      <c r="AI13" s="1135">
        <f>SUM(AI14:AI15)</f>
        <v>139.12899999999999</v>
      </c>
      <c r="AJ13" s="428">
        <f>SUM(AJ14:AJ15)</f>
        <v>152.44400000000002</v>
      </c>
      <c r="AK13" s="1205">
        <f t="shared" si="4"/>
        <v>563.13400000000001</v>
      </c>
      <c r="AL13" s="1536"/>
      <c r="AM13" s="1545">
        <f>SUM(AM14:AM15)</f>
        <v>136.624</v>
      </c>
      <c r="AN13" s="1546">
        <f>SUM(AN14:AN15)</f>
        <v>145.904</v>
      </c>
      <c r="AO13" s="1546">
        <f>SUM(AO14:AO15)</f>
        <v>144.374</v>
      </c>
      <c r="AP13" s="1547">
        <f>SUM(AP14:AP15)</f>
        <v>164.81299999999999</v>
      </c>
      <c r="AQ13" s="1205">
        <f t="shared" si="5"/>
        <v>591.71500000000003</v>
      </c>
      <c r="AR13" s="1536"/>
      <c r="AS13" s="1545">
        <f>SUM(AS14:AS15)</f>
        <v>145.71299999999999</v>
      </c>
      <c r="AT13" s="1546">
        <f>SUM(AT14:AT15)</f>
        <v>160.536</v>
      </c>
      <c r="AU13" s="1547">
        <f>SUM(AU14:AU15)</f>
        <v>162</v>
      </c>
      <c r="AV13" s="1547">
        <f>SUM(AV14:AV15)</f>
        <v>174.36600000000004</v>
      </c>
      <c r="AW13" s="1205">
        <f t="shared" si="6"/>
        <v>642.61500000000001</v>
      </c>
      <c r="AX13" s="1536"/>
      <c r="AY13" s="1545">
        <f>SUM(AY14:AY15)</f>
        <v>157.53100000000001</v>
      </c>
      <c r="AZ13" s="1546">
        <f>SUM(AZ14:AZ15)</f>
        <v>162.70400000000001</v>
      </c>
      <c r="BA13" s="1546">
        <f>SUM(BA14:BA15)</f>
        <v>163.64499999999998</v>
      </c>
      <c r="BB13" s="1547">
        <f>SUM(BB14:BB15)</f>
        <v>173.196</v>
      </c>
      <c r="BC13" s="1205">
        <f t="shared" si="0"/>
        <v>657.07600000000002</v>
      </c>
      <c r="BD13" s="1536"/>
      <c r="BE13" s="1545">
        <f>SUM(BE14:BE15)</f>
        <v>167.38900000000001</v>
      </c>
      <c r="BF13" s="1546">
        <f>SUM(BF14:BF15)</f>
        <v>176.87299999999999</v>
      </c>
      <c r="BG13" s="1547">
        <f>SUM(BG14:BG15)</f>
        <v>176.89599999999999</v>
      </c>
      <c r="BH13" s="1547">
        <f>SUM(BH14:BH15)</f>
        <v>185.96899999999999</v>
      </c>
      <c r="BI13" s="1205">
        <f t="shared" si="7"/>
        <v>707.12699999999995</v>
      </c>
      <c r="BJ13" s="1536"/>
      <c r="BK13" s="1545">
        <f>SUM(BK14:BK15)</f>
        <v>173.673</v>
      </c>
      <c r="BL13" s="1547">
        <f>SUM(BL14:BL15)</f>
        <v>185.41200000000001</v>
      </c>
      <c r="BM13" s="1547">
        <f>SUM(BM14:BM15)</f>
        <v>190.03399999999999</v>
      </c>
      <c r="BN13" s="1547">
        <f>SUM(BN14:BN15)</f>
        <v>207.61</v>
      </c>
      <c r="BO13" s="1205">
        <f t="shared" si="8"/>
        <v>756.72900000000004</v>
      </c>
      <c r="BP13" s="1536"/>
      <c r="BQ13" s="1545">
        <f>SUM(BQ14:BQ15)</f>
        <v>191.40873860086674</v>
      </c>
      <c r="BR13" s="1547">
        <f>SUM(BR14:BR15)</f>
        <v>200.99263660148458</v>
      </c>
      <c r="BS13" s="1547">
        <f>SUM(BS14:BS15)</f>
        <v>204.286673038386</v>
      </c>
      <c r="BT13" s="1547">
        <f>SUM(BT14:BT15)</f>
        <v>221.55965828471446</v>
      </c>
      <c r="BU13" s="1205">
        <f t="shared" si="9"/>
        <v>818.2477065254518</v>
      </c>
      <c r="BV13" s="566"/>
      <c r="BW13" s="1545">
        <f>SUM(BW14:BW15)</f>
        <v>202.71407385441876</v>
      </c>
      <c r="BX13" s="1547">
        <f>SUM(BX14:BX15)</f>
        <v>212.859578449483</v>
      </c>
      <c r="BY13" s="1547">
        <f>SUM(BY14:BY15)</f>
        <v>214.50100669030533</v>
      </c>
      <c r="BZ13" s="1547">
        <f>SUM(BZ14:BZ15)</f>
        <v>232.63764119895021</v>
      </c>
      <c r="CA13" s="1205">
        <f t="shared" si="10"/>
        <v>862.71230019315726</v>
      </c>
      <c r="CB13" s="566"/>
      <c r="CC13" s="1545">
        <f>SUM(CC14:CC15)</f>
        <v>214.68876977005888</v>
      </c>
      <c r="CD13" s="1547">
        <f>SUM(CD14:CD15)</f>
        <v>225.42890599095679</v>
      </c>
      <c r="CE13" s="1547">
        <f>SUM(CE14:CE15)</f>
        <v>225.22605702482062</v>
      </c>
      <c r="CF13" s="1547">
        <f>SUM(CF14:CF15)</f>
        <v>244.26952325889769</v>
      </c>
      <c r="CG13" s="1205">
        <f t="shared" si="11"/>
        <v>909.61325604473404</v>
      </c>
      <c r="CH13" s="566"/>
      <c r="CI13" s="1545">
        <f>SUM(CI14:CI15)</f>
        <v>227.37254001485618</v>
      </c>
      <c r="CJ13" s="1547">
        <f>SUM(CJ14:CJ15)</f>
        <v>238.74228082664425</v>
      </c>
      <c r="CK13" s="1547">
        <f>SUM(CK14:CK15)</f>
        <v>236.48735987606165</v>
      </c>
      <c r="CL13" s="1547">
        <f>SUM(CL14:CL15)</f>
        <v>256.48299942184258</v>
      </c>
      <c r="CM13" s="1205">
        <f t="shared" si="12"/>
        <v>959.08518013940466</v>
      </c>
      <c r="CN13" s="2025"/>
      <c r="CO13" s="2025"/>
      <c r="CP13" s="2025"/>
      <c r="CQ13" s="2025"/>
      <c r="CR13" s="2025"/>
      <c r="CS13" s="2025"/>
      <c r="CT13" s="2025"/>
      <c r="CU13" s="2025"/>
      <c r="CV13" s="2025"/>
      <c r="CW13" s="2025"/>
      <c r="CX13" s="2025"/>
      <c r="CY13" s="2025"/>
      <c r="CZ13" s="2025"/>
      <c r="DA13" s="2025"/>
      <c r="DB13" s="2025"/>
      <c r="DC13" s="2025"/>
      <c r="DD13" s="2025"/>
      <c r="DE13" s="2025"/>
      <c r="DF13" s="2025"/>
      <c r="DG13" s="2025"/>
      <c r="DH13" s="2025"/>
      <c r="DI13" s="2025"/>
      <c r="DJ13" s="2025"/>
      <c r="DK13" s="2025"/>
      <c r="DL13" s="2025"/>
      <c r="DM13" s="2025"/>
      <c r="DN13" s="2025"/>
      <c r="DO13" s="2025"/>
      <c r="DP13" s="2025"/>
      <c r="DQ13" s="2025"/>
      <c r="DR13" s="2025"/>
    </row>
    <row r="14" spans="1:122" s="2025" customFormat="1">
      <c r="A14" s="846" t="s">
        <v>93</v>
      </c>
      <c r="B14" s="847"/>
      <c r="C14" s="848">
        <f>169.498-D14</f>
        <v>82.471999999999994</v>
      </c>
      <c r="D14" s="849">
        <v>87.025999999999996</v>
      </c>
      <c r="E14" s="849">
        <v>87.02</v>
      </c>
      <c r="F14" s="849">
        <f>G14-SUM(C14:E14)</f>
        <v>100.02600000000001</v>
      </c>
      <c r="G14" s="850">
        <v>356.54399999999998</v>
      </c>
      <c r="H14" s="847"/>
      <c r="I14" s="848">
        <f>196.065-J14</f>
        <v>94.033000000000001</v>
      </c>
      <c r="J14" s="849">
        <v>102.032</v>
      </c>
      <c r="K14" s="849">
        <v>99.260999999999996</v>
      </c>
      <c r="L14" s="849">
        <f>M14-SUM(I14:K14)</f>
        <v>103.08299999999997</v>
      </c>
      <c r="M14" s="850">
        <v>398.40899999999999</v>
      </c>
      <c r="N14" s="847"/>
      <c r="O14" s="849">
        <f>197.509-P14</f>
        <v>97.055999999999983</v>
      </c>
      <c r="P14" s="849">
        <v>100.453</v>
      </c>
      <c r="Q14" s="849">
        <v>104.58</v>
      </c>
      <c r="R14" s="849">
        <f>408.482-SUM(O14:Q14)</f>
        <v>106.39300000000003</v>
      </c>
      <c r="S14" s="851">
        <f t="shared" si="1"/>
        <v>408.48200000000003</v>
      </c>
      <c r="T14" s="847"/>
      <c r="U14" s="849">
        <f>209.894-V14</f>
        <v>105.00800000000001</v>
      </c>
      <c r="V14" s="849">
        <v>104.886</v>
      </c>
      <c r="W14" s="849">
        <v>107.904</v>
      </c>
      <c r="X14" s="849">
        <f>434.352-SUM(U14:W14)</f>
        <v>116.55399999999997</v>
      </c>
      <c r="Y14" s="851">
        <f t="shared" si="2"/>
        <v>434.35199999999998</v>
      </c>
      <c r="Z14" s="847"/>
      <c r="AA14" s="848">
        <v>113.407</v>
      </c>
      <c r="AB14" s="849">
        <v>119.871</v>
      </c>
      <c r="AC14" s="849">
        <v>121.245</v>
      </c>
      <c r="AD14" s="852">
        <f>480.553-SUM(AA14:AC14)</f>
        <v>126.02999999999997</v>
      </c>
      <c r="AE14" s="851">
        <f t="shared" si="3"/>
        <v>480.553</v>
      </c>
      <c r="AF14" s="854"/>
      <c r="AG14" s="848">
        <v>121.64400000000001</v>
      </c>
      <c r="AH14" s="849">
        <v>124.63</v>
      </c>
      <c r="AI14" s="849">
        <v>126.434</v>
      </c>
      <c r="AJ14" s="849">
        <f>509.412-SUM(AG14:AI14)</f>
        <v>136.70400000000001</v>
      </c>
      <c r="AK14" s="1539">
        <f t="shared" si="4"/>
        <v>509.41199999999998</v>
      </c>
      <c r="AL14" s="1540"/>
      <c r="AM14" s="1541">
        <v>123.768</v>
      </c>
      <c r="AN14" s="1542">
        <v>132.256</v>
      </c>
      <c r="AO14" s="1542">
        <v>130.30799999999999</v>
      </c>
      <c r="AP14" s="1542">
        <f>532.323-SUM(AM14:AO14)</f>
        <v>145.99099999999999</v>
      </c>
      <c r="AQ14" s="1539">
        <f t="shared" si="5"/>
        <v>532.32299999999998</v>
      </c>
      <c r="AR14" s="1540"/>
      <c r="AS14" s="1541">
        <v>132.042</v>
      </c>
      <c r="AT14" s="1542">
        <v>145.07499999999999</v>
      </c>
      <c r="AU14" s="1542">
        <v>146.03800000000001</v>
      </c>
      <c r="AV14" s="1542">
        <f>579.759-SUM(AS14:AU14)</f>
        <v>156.60400000000004</v>
      </c>
      <c r="AW14" s="1539">
        <f t="shared" si="6"/>
        <v>579.75900000000001</v>
      </c>
      <c r="AX14" s="1540"/>
      <c r="AY14" s="1541">
        <v>142.98099999999999</v>
      </c>
      <c r="AZ14" s="1542">
        <v>146.917</v>
      </c>
      <c r="BA14" s="1542">
        <v>148.20599999999999</v>
      </c>
      <c r="BB14" s="1654">
        <f>593.301-SUM(AY14:BA14)</f>
        <v>155.197</v>
      </c>
      <c r="BC14" s="1539">
        <f t="shared" si="0"/>
        <v>593.30100000000004</v>
      </c>
      <c r="BD14" s="1540"/>
      <c r="BE14" s="1660">
        <f>167.389-BE15</f>
        <v>151.51400000000001</v>
      </c>
      <c r="BF14" s="1542">
        <f>176.873-BF15</f>
        <v>159.82466524986862</v>
      </c>
      <c r="BG14" s="1542">
        <f>176.896-BG15</f>
        <v>160.53065999999998</v>
      </c>
      <c r="BH14" s="1542">
        <f>185.969-BH15</f>
        <v>167.429</v>
      </c>
      <c r="BI14" s="1539">
        <f t="shared" si="7"/>
        <v>639.29832524986864</v>
      </c>
      <c r="BJ14" s="1540"/>
      <c r="BK14" s="1909">
        <f>173.673-BK15</f>
        <v>157.673</v>
      </c>
      <c r="BL14" s="1542">
        <f>185.412-BL15</f>
        <v>168.41200000000001</v>
      </c>
      <c r="BM14" s="1542">
        <f>190.034-BM15</f>
        <v>173.04745636363637</v>
      </c>
      <c r="BN14" s="1681">
        <f>207.61-BN15</f>
        <v>187.06317006877441</v>
      </c>
      <c r="BO14" s="1539">
        <f t="shared" si="8"/>
        <v>686.19562643241079</v>
      </c>
      <c r="BP14" s="1540"/>
      <c r="BQ14" s="1544">
        <f>BQ64</f>
        <v>173.48983235086675</v>
      </c>
      <c r="BR14" s="1543">
        <f>BR64</f>
        <v>181.7310017924174</v>
      </c>
      <c r="BS14" s="1543">
        <f>BS64</f>
        <v>185.21720901095054</v>
      </c>
      <c r="BT14" s="1543">
        <f>BT64</f>
        <v>196.83349406045048</v>
      </c>
      <c r="BU14" s="1539">
        <f t="shared" si="9"/>
        <v>737.27153721468517</v>
      </c>
      <c r="BV14" s="443"/>
      <c r="BW14" s="1544">
        <f>BW64</f>
        <v>183.89922229191876</v>
      </c>
      <c r="BX14" s="1543">
        <f>BX64</f>
        <v>192.63486189996246</v>
      </c>
      <c r="BY14" s="1543">
        <f>BY64</f>
        <v>194.47806946149808</v>
      </c>
      <c r="BZ14" s="1543">
        <f>BZ64</f>
        <v>206.67516876347301</v>
      </c>
      <c r="CA14" s="1539">
        <f t="shared" si="10"/>
        <v>777.68732241685234</v>
      </c>
      <c r="CB14" s="443"/>
      <c r="CC14" s="1544">
        <f>CC64</f>
        <v>194.93317562943389</v>
      </c>
      <c r="CD14" s="1543">
        <f>CD64</f>
        <v>204.19295361396021</v>
      </c>
      <c r="CE14" s="1543">
        <f>CE64</f>
        <v>204.20197293457301</v>
      </c>
      <c r="CF14" s="1543">
        <f>CF64</f>
        <v>217.00892720164666</v>
      </c>
      <c r="CG14" s="1539">
        <f t="shared" si="11"/>
        <v>820.3370293796138</v>
      </c>
      <c r="CH14" s="443"/>
      <c r="CI14" s="1544">
        <f>CI64</f>
        <v>206.62916616719994</v>
      </c>
      <c r="CJ14" s="1543">
        <f>CJ64</f>
        <v>216.44453083079785</v>
      </c>
      <c r="CK14" s="1543">
        <f>CK64</f>
        <v>214.41207158130166</v>
      </c>
      <c r="CL14" s="1543">
        <f>CL64</f>
        <v>227.859373561729</v>
      </c>
      <c r="CM14" s="1539">
        <f t="shared" si="12"/>
        <v>865.34514214102842</v>
      </c>
    </row>
    <row r="15" spans="1:122" s="2025" customFormat="1" ht="13.5" thickBot="1">
      <c r="A15" s="859" t="s">
        <v>94</v>
      </c>
      <c r="B15" s="860"/>
      <c r="C15" s="861">
        <f>13.205-D15</f>
        <v>6.242</v>
      </c>
      <c r="D15" s="862">
        <v>6.9630000000000001</v>
      </c>
      <c r="E15" s="862">
        <v>7.149</v>
      </c>
      <c r="F15" s="863">
        <f>G15-SUM(C15:E15)</f>
        <v>8.5579999999999998</v>
      </c>
      <c r="G15" s="864">
        <v>28.911999999999999</v>
      </c>
      <c r="H15" s="860"/>
      <c r="I15" s="861">
        <f>16.832-J15</f>
        <v>7.5</v>
      </c>
      <c r="J15" s="862">
        <v>9.3320000000000007</v>
      </c>
      <c r="K15" s="862">
        <v>9.3320000000000007</v>
      </c>
      <c r="L15" s="863">
        <f>M15-SUM(I15:K15)</f>
        <v>10.664999999999999</v>
      </c>
      <c r="M15" s="864">
        <v>36.829000000000001</v>
      </c>
      <c r="N15" s="860"/>
      <c r="O15" s="862">
        <f>17.411-P15</f>
        <v>8.5480000000000018</v>
      </c>
      <c r="P15" s="862">
        <v>8.8629999999999995</v>
      </c>
      <c r="Q15" s="862">
        <v>11.43</v>
      </c>
      <c r="R15" s="862">
        <f>38.24-SUM(O15:Q15)</f>
        <v>9.3990000000000009</v>
      </c>
      <c r="S15" s="865">
        <f t="shared" si="1"/>
        <v>38.24</v>
      </c>
      <c r="T15" s="860"/>
      <c r="U15" s="862">
        <f>20.394-V15</f>
        <v>9.6499999999999986</v>
      </c>
      <c r="V15" s="862">
        <v>10.744</v>
      </c>
      <c r="W15" s="862">
        <v>10.199999999999999</v>
      </c>
      <c r="X15" s="862">
        <f>42.392-SUM(U15:W15)</f>
        <v>11.798000000000005</v>
      </c>
      <c r="Y15" s="865">
        <f t="shared" si="2"/>
        <v>42.392000000000003</v>
      </c>
      <c r="Z15" s="860"/>
      <c r="AA15" s="861">
        <v>10.86</v>
      </c>
      <c r="AB15" s="862">
        <v>11.606</v>
      </c>
      <c r="AC15" s="862">
        <v>11.941000000000001</v>
      </c>
      <c r="AD15" s="866">
        <f>48.495-SUM(AA15:AC15)</f>
        <v>14.087999999999994</v>
      </c>
      <c r="AE15" s="865">
        <f t="shared" si="3"/>
        <v>48.494999999999997</v>
      </c>
      <c r="AF15" s="867"/>
      <c r="AG15" s="861">
        <v>12.307</v>
      </c>
      <c r="AH15" s="862">
        <v>12.98</v>
      </c>
      <c r="AI15" s="862">
        <v>12.695</v>
      </c>
      <c r="AJ15" s="862">
        <f>53.722-SUM(AG15:AI15)</f>
        <v>15.740000000000002</v>
      </c>
      <c r="AK15" s="1548">
        <f t="shared" si="4"/>
        <v>53.722000000000001</v>
      </c>
      <c r="AL15" s="1549"/>
      <c r="AM15" s="1550">
        <v>12.856</v>
      </c>
      <c r="AN15" s="1551">
        <v>13.648</v>
      </c>
      <c r="AO15" s="1551">
        <v>14.066000000000001</v>
      </c>
      <c r="AP15" s="1551">
        <f>59.392-SUM(AM15:AO15)</f>
        <v>18.822000000000003</v>
      </c>
      <c r="AQ15" s="1548">
        <f t="shared" si="5"/>
        <v>59.392000000000003</v>
      </c>
      <c r="AR15" s="1549"/>
      <c r="AS15" s="1550">
        <v>13.670999999999999</v>
      </c>
      <c r="AT15" s="1551">
        <v>15.461</v>
      </c>
      <c r="AU15" s="1551">
        <v>15.962</v>
      </c>
      <c r="AV15" s="1551">
        <f>62.856-SUM(AS15:AU15)</f>
        <v>17.762000000000008</v>
      </c>
      <c r="AW15" s="1548">
        <f t="shared" si="6"/>
        <v>62.856000000000002</v>
      </c>
      <c r="AX15" s="1549"/>
      <c r="AY15" s="1550">
        <v>14.55</v>
      </c>
      <c r="AZ15" s="1551">
        <v>15.787000000000001</v>
      </c>
      <c r="BA15" s="1551">
        <v>15.439</v>
      </c>
      <c r="BB15" s="1655">
        <f>63.775-SUM(AY15:BA15)</f>
        <v>17.998999999999995</v>
      </c>
      <c r="BC15" s="1548">
        <f t="shared" si="0"/>
        <v>63.774999999999999</v>
      </c>
      <c r="BD15" s="1549"/>
      <c r="BE15" s="1664">
        <f>51.053-BE12</f>
        <v>15.875</v>
      </c>
      <c r="BF15" s="1551">
        <v>17.048334750131382</v>
      </c>
      <c r="BG15" s="1551">
        <v>16.36534</v>
      </c>
      <c r="BH15" s="1551">
        <v>18.54</v>
      </c>
      <c r="BI15" s="1548">
        <f t="shared" si="7"/>
        <v>67.82867475013137</v>
      </c>
      <c r="BJ15" s="1549"/>
      <c r="BK15" s="1911">
        <v>16</v>
      </c>
      <c r="BL15" s="1551">
        <v>17</v>
      </c>
      <c r="BM15" s="1551">
        <v>16.986543636363631</v>
      </c>
      <c r="BN15" s="2105">
        <v>20.546829931225606</v>
      </c>
      <c r="BO15" s="1548">
        <f t="shared" si="8"/>
        <v>70.533373567589237</v>
      </c>
      <c r="BP15" s="1549"/>
      <c r="BQ15" s="2111">
        <f>BQ67</f>
        <v>17.918906250000003</v>
      </c>
      <c r="BR15" s="2112">
        <f>BR67</f>
        <v>19.261634809067186</v>
      </c>
      <c r="BS15" s="2112">
        <f>BS67</f>
        <v>19.069464027435469</v>
      </c>
      <c r="BT15" s="2112">
        <f>BT67</f>
        <v>24.726164224263986</v>
      </c>
      <c r="BU15" s="1548">
        <f t="shared" si="9"/>
        <v>80.976169310766636</v>
      </c>
      <c r="BV15" s="1922"/>
      <c r="BW15" s="2111">
        <f>BW67</f>
        <v>18.814851562500003</v>
      </c>
      <c r="BX15" s="2112">
        <f>BX67</f>
        <v>20.224716549520547</v>
      </c>
      <c r="BY15" s="2112">
        <f>BY67</f>
        <v>20.022937228807244</v>
      </c>
      <c r="BZ15" s="2112">
        <f>BZ67</f>
        <v>25.962472435477185</v>
      </c>
      <c r="CA15" s="1548">
        <f t="shared" si="10"/>
        <v>85.024977776304979</v>
      </c>
      <c r="CB15" s="1922"/>
      <c r="CC15" s="2111">
        <f>CC67</f>
        <v>19.755594140625004</v>
      </c>
      <c r="CD15" s="2112">
        <f>CD67</f>
        <v>21.235952376996575</v>
      </c>
      <c r="CE15" s="2112">
        <f>CE67</f>
        <v>21.024084090247609</v>
      </c>
      <c r="CF15" s="2112">
        <f>CF67</f>
        <v>27.260596057251046</v>
      </c>
      <c r="CG15" s="1548">
        <f t="shared" si="11"/>
        <v>89.276226665120234</v>
      </c>
      <c r="CH15" s="1922"/>
      <c r="CI15" s="2111">
        <f>CI67</f>
        <v>20.743373847656255</v>
      </c>
      <c r="CJ15" s="2112">
        <f>CJ67</f>
        <v>22.297749995846406</v>
      </c>
      <c r="CK15" s="2112">
        <f>CK67</f>
        <v>22.075288294759989</v>
      </c>
      <c r="CL15" s="2112">
        <f>CL67</f>
        <v>28.623625860113599</v>
      </c>
      <c r="CM15" s="1548">
        <f t="shared" si="12"/>
        <v>93.740037998376238</v>
      </c>
    </row>
    <row r="16" spans="1:122" s="2024" customFormat="1">
      <c r="A16" s="185" t="s">
        <v>112</v>
      </c>
      <c r="B16" s="186"/>
      <c r="C16" s="187">
        <f>C13+C9</f>
        <v>330.77699999999999</v>
      </c>
      <c r="D16" s="187">
        <f>D13+D9</f>
        <v>352.63</v>
      </c>
      <c r="E16" s="187">
        <f>E13+E9</f>
        <v>352.63799999999998</v>
      </c>
      <c r="F16" s="188">
        <f>F13+F9</f>
        <v>437.00299999999987</v>
      </c>
      <c r="G16" s="189">
        <f>G13+G9</f>
        <v>1473.0479999999998</v>
      </c>
      <c r="H16" s="190"/>
      <c r="I16" s="187">
        <f>I13+I9</f>
        <v>371.99800000000005</v>
      </c>
      <c r="J16" s="187">
        <f>J13+J9</f>
        <v>398.48500000000001</v>
      </c>
      <c r="K16" s="187">
        <f>K13+K9</f>
        <v>386.30999999999995</v>
      </c>
      <c r="L16" s="188">
        <f>L13+L9</f>
        <v>418.3309999999999</v>
      </c>
      <c r="M16" s="189">
        <f>M13+M9</f>
        <v>1575.124</v>
      </c>
      <c r="N16" s="186"/>
      <c r="O16" s="187">
        <f>O13+O9</f>
        <v>333.05199999999996</v>
      </c>
      <c r="P16" s="191">
        <f>P13+P9</f>
        <v>362.83699999999999</v>
      </c>
      <c r="Q16" s="187">
        <f>Q13+Q9</f>
        <v>375.54199999999997</v>
      </c>
      <c r="R16" s="188">
        <f>R13+R9</f>
        <v>427.26900000000012</v>
      </c>
      <c r="S16" s="189">
        <f>S13+S9</f>
        <v>1498.7</v>
      </c>
      <c r="T16" s="186"/>
      <c r="U16" s="187">
        <f>U13+U9</f>
        <v>367.70000000000005</v>
      </c>
      <c r="V16" s="187">
        <f>V13+V9</f>
        <v>391.05500000000001</v>
      </c>
      <c r="W16" s="187">
        <f>W13+W9</f>
        <v>401.03800000000001</v>
      </c>
      <c r="X16" s="188">
        <f>X13+X9</f>
        <v>483.57799999999997</v>
      </c>
      <c r="Y16" s="189">
        <f>Y13+Y9</f>
        <v>1643.3709999999999</v>
      </c>
      <c r="Z16" s="186"/>
      <c r="AA16" s="192">
        <f>AA13+AA9</f>
        <v>427.60300000000001</v>
      </c>
      <c r="AB16" s="187">
        <f>AB13+AB9</f>
        <v>447.62700000000007</v>
      </c>
      <c r="AC16" s="187">
        <f>AC13+AC9</f>
        <v>454.53399999999999</v>
      </c>
      <c r="AD16" s="188">
        <f>AD13+AD9</f>
        <v>521.41999999999985</v>
      </c>
      <c r="AE16" s="189">
        <f>AE13+AE9</f>
        <v>1851.184</v>
      </c>
      <c r="AF16" s="193"/>
      <c r="AG16" s="192">
        <f>AG13+AG9</f>
        <v>420.45799999999997</v>
      </c>
      <c r="AH16" s="187">
        <f>AH13+AH9</f>
        <v>451.46500000000003</v>
      </c>
      <c r="AI16" s="187">
        <f>AI13+AI9</f>
        <v>449.952</v>
      </c>
      <c r="AJ16" s="1179">
        <f>AJ13+AJ9</f>
        <v>521.76599999999985</v>
      </c>
      <c r="AK16" s="1552">
        <f>SUM(AG16:AJ16)</f>
        <v>1843.6409999999998</v>
      </c>
      <c r="AL16" s="1553"/>
      <c r="AM16" s="1532">
        <f>AM13+AM9</f>
        <v>430.33799999999997</v>
      </c>
      <c r="AN16" s="1533">
        <f>AN13+AN9</f>
        <v>451.11499999999995</v>
      </c>
      <c r="AO16" s="1533">
        <f>AO13+AO9</f>
        <v>457.31700000000001</v>
      </c>
      <c r="AP16" s="1534">
        <f>AP13+AP9</f>
        <v>565.44799999999987</v>
      </c>
      <c r="AQ16" s="1552">
        <f>SUM(AM16:AP16)</f>
        <v>1904.2179999999998</v>
      </c>
      <c r="AR16" s="1553"/>
      <c r="AS16" s="1532">
        <f>AS13+AS9</f>
        <v>430.50800000000004</v>
      </c>
      <c r="AT16" s="1533">
        <f>AT13+AT9</f>
        <v>481.80099999999999</v>
      </c>
      <c r="AU16" s="1533">
        <f>AU13+AU9</f>
        <v>493.16500000000002</v>
      </c>
      <c r="AV16" s="1534">
        <f>AV13+AV9</f>
        <v>583.86999999999989</v>
      </c>
      <c r="AW16" s="1552">
        <f>AW13+AW9</f>
        <v>1989.3439999999998</v>
      </c>
      <c r="AX16" s="1553"/>
      <c r="AY16" s="1532">
        <f>AY13+AY9</f>
        <v>460.404</v>
      </c>
      <c r="AZ16" s="1533">
        <f>AZ13+AZ9</f>
        <v>494.74</v>
      </c>
      <c r="BA16" s="1533">
        <f>BA13+BA9</f>
        <v>500.57800000000003</v>
      </c>
      <c r="BB16" s="1534">
        <f>BB13+BB9</f>
        <v>586.61</v>
      </c>
      <c r="BC16" s="1554">
        <f>BC13+BC9</f>
        <v>2042.3320000000001</v>
      </c>
      <c r="BD16" s="1553"/>
      <c r="BE16" s="1532">
        <f>BE13+BE9</f>
        <v>475.24600000000004</v>
      </c>
      <c r="BF16" s="1533">
        <f>BF13+BF9</f>
        <v>536.55999999999995</v>
      </c>
      <c r="BG16" s="1533">
        <f>BG13+BG9</f>
        <v>526.82999999999993</v>
      </c>
      <c r="BH16" s="1534">
        <f>BH13+BH9</f>
        <v>628.78700000000003</v>
      </c>
      <c r="BI16" s="1554">
        <f>BI13+BI9</f>
        <v>2167.4229999999998</v>
      </c>
      <c r="BJ16" s="1553"/>
      <c r="BK16" s="1532">
        <f>BK13+BK9</f>
        <v>497.96899999999999</v>
      </c>
      <c r="BL16" s="1533">
        <f>BL13+BL9</f>
        <v>558.25</v>
      </c>
      <c r="BM16" s="1533">
        <f>BM13+BM9</f>
        <v>565.58400000000006</v>
      </c>
      <c r="BN16" s="1534">
        <f>BN13+BN9</f>
        <v>687.27499999999998</v>
      </c>
      <c r="BO16" s="1554">
        <f>BO13+BO9</f>
        <v>2309.078</v>
      </c>
      <c r="BP16" s="1553"/>
      <c r="BQ16" s="1532">
        <f>BQ13+BQ9</f>
        <v>541.1096557337778</v>
      </c>
      <c r="BR16" s="1533">
        <f>BR13+BR9</f>
        <v>607.36940357463959</v>
      </c>
      <c r="BS16" s="1533">
        <f>BS13+BS9</f>
        <v>601.56211985292123</v>
      </c>
      <c r="BT16" s="1534">
        <f>BT13+BT9</f>
        <v>732.05547214701062</v>
      </c>
      <c r="BU16" s="1554">
        <f>BU13+BU9</f>
        <v>2482.0966513083495</v>
      </c>
      <c r="BV16" s="1921"/>
      <c r="BW16" s="1532">
        <f>BW13+BW9</f>
        <v>576.55947318761059</v>
      </c>
      <c r="BX16" s="1533">
        <f>BX13+BX9</f>
        <v>642.94287128261487</v>
      </c>
      <c r="BY16" s="1533">
        <f>BY13+BY9</f>
        <v>635.17739289131771</v>
      </c>
      <c r="BZ16" s="1534">
        <f>BZ13+BZ9</f>
        <v>768.06896235218198</v>
      </c>
      <c r="CA16" s="1554">
        <f>CA13+CA9</f>
        <v>2622.7486997137253</v>
      </c>
      <c r="CB16" s="1921"/>
      <c r="CC16" s="1532">
        <f>CC13+CC9</f>
        <v>609.76634303680248</v>
      </c>
      <c r="CD16" s="1533">
        <f>CD13+CD9</f>
        <v>675.47609966489892</v>
      </c>
      <c r="CE16" s="1533">
        <f>CE13+CE9</f>
        <v>666.42839152814736</v>
      </c>
      <c r="CF16" s="1534">
        <f>CF13+CF9</f>
        <v>800.644640098124</v>
      </c>
      <c r="CG16" s="1554">
        <f>CG13+CG9</f>
        <v>2752.3154743279729</v>
      </c>
      <c r="CH16" s="1921"/>
      <c r="CI16" s="1532">
        <f>CI13+CI9</f>
        <v>644.90177492360704</v>
      </c>
      <c r="CJ16" s="1533">
        <f>CJ13+CJ9</f>
        <v>709.71254217696151</v>
      </c>
      <c r="CK16" s="1533">
        <f>CK13+CK9</f>
        <v>699.251438459665</v>
      </c>
      <c r="CL16" s="1534">
        <f>CL13+CL9</f>
        <v>834.79537649334588</v>
      </c>
      <c r="CM16" s="1554">
        <f>CM13+CM9</f>
        <v>2888.6611320535794</v>
      </c>
      <c r="CN16" s="2026"/>
      <c r="CO16" s="2026"/>
      <c r="CP16" s="2026"/>
      <c r="CQ16" s="2026"/>
      <c r="CR16" s="2026"/>
      <c r="CS16" s="2026"/>
      <c r="CT16" s="2026"/>
      <c r="CU16" s="2026"/>
      <c r="CV16" s="2026"/>
      <c r="CW16" s="2026"/>
      <c r="CX16" s="2026"/>
      <c r="CY16" s="2026"/>
      <c r="CZ16" s="2026"/>
      <c r="DA16" s="2026"/>
      <c r="DB16" s="2026"/>
      <c r="DC16" s="2026"/>
      <c r="DD16" s="2026"/>
      <c r="DE16" s="2026"/>
      <c r="DF16" s="2026"/>
      <c r="DG16" s="2026"/>
      <c r="DH16" s="2026"/>
      <c r="DI16" s="2026"/>
      <c r="DJ16" s="2026"/>
      <c r="DK16" s="2026"/>
      <c r="DL16" s="2026"/>
      <c r="DM16" s="2026"/>
      <c r="DN16" s="2026"/>
      <c r="DO16" s="2026"/>
      <c r="DP16" s="2026"/>
      <c r="DQ16" s="2026"/>
      <c r="DR16" s="2026"/>
    </row>
    <row r="17" spans="1:91" s="2027" customFormat="1">
      <c r="A17" s="868" t="s">
        <v>114</v>
      </c>
      <c r="B17" s="869"/>
      <c r="C17" s="870"/>
      <c r="D17" s="869"/>
      <c r="E17" s="869"/>
      <c r="F17" s="871"/>
      <c r="G17" s="872"/>
      <c r="H17" s="872"/>
      <c r="I17" s="870"/>
      <c r="J17" s="869"/>
      <c r="K17" s="869"/>
      <c r="L17" s="871"/>
      <c r="M17" s="872">
        <f>M16/G16-1</f>
        <v>6.9295773118051907E-2</v>
      </c>
      <c r="N17" s="870"/>
      <c r="O17" s="869">
        <f>O16/I16-1</f>
        <v>-0.1046941112586629</v>
      </c>
      <c r="P17" s="869">
        <f>P16/J16-1</f>
        <v>-8.9458825300826939E-2</v>
      </c>
      <c r="Q17" s="869">
        <f>Q16/K16-1</f>
        <v>-2.7873987212342355E-2</v>
      </c>
      <c r="R17" s="871">
        <f>R16/L16-1</f>
        <v>2.136585622389986E-2</v>
      </c>
      <c r="S17" s="872">
        <f>S16/M16-1</f>
        <v>-4.8519354666680226E-2</v>
      </c>
      <c r="T17" s="869"/>
      <c r="U17" s="869">
        <f>U16/O16-1</f>
        <v>0.10403180284159852</v>
      </c>
      <c r="V17" s="869">
        <f>V16/P16-1</f>
        <v>7.7770458911301743E-2</v>
      </c>
      <c r="W17" s="869">
        <f>W16/Q16-1</f>
        <v>6.7891207907504469E-2</v>
      </c>
      <c r="X17" s="869">
        <f>X16/R16-1</f>
        <v>0.13178817091808637</v>
      </c>
      <c r="Y17" s="872">
        <f>Y16/S16-1</f>
        <v>9.6530993527723874E-2</v>
      </c>
      <c r="Z17" s="869"/>
      <c r="AA17" s="870">
        <f>AA16/U16-1</f>
        <v>0.16291270057111773</v>
      </c>
      <c r="AB17" s="869">
        <f>AB16/V16-1</f>
        <v>0.14466507268798523</v>
      </c>
      <c r="AC17" s="869">
        <f>AC16/W16-1</f>
        <v>0.13339384297747348</v>
      </c>
      <c r="AD17" s="871">
        <f>AD16/X16-1</f>
        <v>7.8254180297697262E-2</v>
      </c>
      <c r="AE17" s="872">
        <f>AE16/Y16-1</f>
        <v>0.12645531654142617</v>
      </c>
      <c r="AF17" s="495"/>
      <c r="AG17" s="870">
        <f>AG16/AA16-1</f>
        <v>-1.6709424395993544E-2</v>
      </c>
      <c r="AH17" s="869">
        <f>AH16/AB16-1</f>
        <v>8.574102991999899E-3</v>
      </c>
      <c r="AI17" s="869">
        <f>AI16/AC16-1</f>
        <v>-1.0080654032481595E-2</v>
      </c>
      <c r="AJ17" s="869">
        <f>AJ16/AD16-1</f>
        <v>6.6357255187754483E-4</v>
      </c>
      <c r="AK17" s="755">
        <f>AK16/AE16-1</f>
        <v>-4.0746894960198565E-3</v>
      </c>
      <c r="AL17" s="628"/>
      <c r="AM17" s="1424">
        <f>AM16/AG16-1</f>
        <v>2.3498185312207154E-2</v>
      </c>
      <c r="AN17" s="628">
        <f>AN16/AH16-1</f>
        <v>-7.7525389565102909E-4</v>
      </c>
      <c r="AO17" s="628">
        <f>AO16/AI16-1</f>
        <v>1.6368412630680673E-2</v>
      </c>
      <c r="AP17" s="1535">
        <f>AP16/AJ16-1</f>
        <v>8.3719521777961825E-2</v>
      </c>
      <c r="AQ17" s="755">
        <f>AQ16/AK16-1</f>
        <v>3.2857264510824047E-2</v>
      </c>
      <c r="AR17" s="628"/>
      <c r="AS17" s="1424">
        <f>AS16/AM16-1</f>
        <v>3.9503831871701145E-4</v>
      </c>
      <c r="AT17" s="628">
        <f>AT16/AN16-1</f>
        <v>6.8022566307925914E-2</v>
      </c>
      <c r="AU17" s="628">
        <f>AU16/AO16-1</f>
        <v>7.8387639208689075E-2</v>
      </c>
      <c r="AV17" s="1535">
        <f>AV16/AP16-1</f>
        <v>3.2579476804233121E-2</v>
      </c>
      <c r="AW17" s="755">
        <f>AW16/AQ16-1</f>
        <v>4.4703915202986222E-2</v>
      </c>
      <c r="AX17" s="628"/>
      <c r="AY17" s="1424">
        <f>AY16/AS16-1</f>
        <v>6.9443541118864083E-2</v>
      </c>
      <c r="AZ17" s="628">
        <f>AZ16/AT16-1</f>
        <v>2.685548597865095E-2</v>
      </c>
      <c r="BA17" s="628">
        <f>BA16/AU16-1</f>
        <v>1.5031480336195724E-2</v>
      </c>
      <c r="BB17" s="1535">
        <f>BB16/AV16-1</f>
        <v>4.692825457721872E-3</v>
      </c>
      <c r="BC17" s="755">
        <f>BC16/AW16-1</f>
        <v>2.6635916161307671E-2</v>
      </c>
      <c r="BD17" s="628"/>
      <c r="BE17" s="1424">
        <f>BE16/AY16-1</f>
        <v>3.2236904979105363E-2</v>
      </c>
      <c r="BF17" s="628">
        <f>BF16/AZ16-1</f>
        <v>8.4529247685652953E-2</v>
      </c>
      <c r="BG17" s="628">
        <f>BG16/BA16-1</f>
        <v>5.2443375457970287E-2</v>
      </c>
      <c r="BH17" s="1535">
        <f>BH16/BB16-1</f>
        <v>7.1899558480080561E-2</v>
      </c>
      <c r="BI17" s="755">
        <f>BI16/BC16-1</f>
        <v>6.124910151728491E-2</v>
      </c>
      <c r="BJ17" s="628"/>
      <c r="BK17" s="1424">
        <f>BK16/BE16-1</f>
        <v>4.7813132567133598E-2</v>
      </c>
      <c r="BL17" s="628">
        <f>BL16/BF16-1</f>
        <v>4.0424183688683613E-2</v>
      </c>
      <c r="BM17" s="628">
        <f>BM16/BG16-1</f>
        <v>7.3560731165651427E-2</v>
      </c>
      <c r="BN17" s="1535">
        <f>BN16/BH16-1</f>
        <v>9.3017190240892278E-2</v>
      </c>
      <c r="BO17" s="755">
        <f>BO16/BI16-1</f>
        <v>6.5356416352507107E-2</v>
      </c>
      <c r="BP17" s="628"/>
      <c r="BQ17" s="1424">
        <f>BQ16/BK16-1</f>
        <v>8.6633215589279278E-2</v>
      </c>
      <c r="BR17" s="628">
        <f>BR16/BL16-1</f>
        <v>8.7988183743196835E-2</v>
      </c>
      <c r="BS17" s="628">
        <f>BS16/BM16-1</f>
        <v>6.3612336722610907E-2</v>
      </c>
      <c r="BT17" s="1535">
        <f>BT16/BN16-1</f>
        <v>6.5156556177673686E-2</v>
      </c>
      <c r="BU17" s="755">
        <f>BU16/BO16-1</f>
        <v>7.4929756079417542E-2</v>
      </c>
      <c r="BV17" s="707"/>
      <c r="BW17" s="1424">
        <f>BW16/BQ16-1</f>
        <v>6.5513185873130819E-2</v>
      </c>
      <c r="BX17" s="628">
        <f>BX16/BR16-1</f>
        <v>5.856973943469912E-2</v>
      </c>
      <c r="BY17" s="628">
        <f>BY16/BS16-1</f>
        <v>5.5879969713876321E-2</v>
      </c>
      <c r="BZ17" s="1535">
        <f>BZ16/BT16-1</f>
        <v>4.9195029031815274E-2</v>
      </c>
      <c r="CA17" s="755">
        <f>CA16/BU16-1</f>
        <v>5.666662832458047E-2</v>
      </c>
      <c r="CB17" s="707"/>
      <c r="CC17" s="1424">
        <f>CC16/BW16-1</f>
        <v>5.7594873371175082E-2</v>
      </c>
      <c r="CD17" s="628">
        <f>CD16/BX16-1</f>
        <v>5.060049630441199E-2</v>
      </c>
      <c r="CE17" s="628">
        <f>CE16/BY16-1</f>
        <v>4.9200426505382255E-2</v>
      </c>
      <c r="CF17" s="1535">
        <f>CF16/BZ16-1</f>
        <v>4.2412438651576512E-2</v>
      </c>
      <c r="CG17" s="755">
        <f>CG16/CA16-1</f>
        <v>4.9401139586263021E-2</v>
      </c>
      <c r="CH17" s="707"/>
      <c r="CI17" s="1424">
        <f>CI16/CC16-1</f>
        <v>5.7621140110522662E-2</v>
      </c>
      <c r="CJ17" s="628">
        <f>CJ16/CD16-1</f>
        <v>5.0684905844998962E-2</v>
      </c>
      <c r="CK17" s="628">
        <f>CK16/CE16-1</f>
        <v>4.9252173750060413E-2</v>
      </c>
      <c r="CL17" s="1535">
        <f>CL16/CF16-1</f>
        <v>4.2654049855422205E-2</v>
      </c>
      <c r="CM17" s="755">
        <f>CM16/CG16-1</f>
        <v>4.9538528194664089E-2</v>
      </c>
    </row>
    <row r="18" spans="1:91">
      <c r="A18" s="1455" t="s">
        <v>104</v>
      </c>
      <c r="B18" s="873"/>
      <c r="C18" s="874"/>
      <c r="D18" s="875"/>
      <c r="E18" s="875"/>
      <c r="F18" s="876"/>
      <c r="G18" s="877">
        <v>0.03</v>
      </c>
      <c r="H18" s="833"/>
      <c r="I18" s="878">
        <v>0.04</v>
      </c>
      <c r="J18" s="879">
        <v>-0.01</v>
      </c>
      <c r="K18" s="879">
        <v>-0.02</v>
      </c>
      <c r="L18" s="880">
        <v>0</v>
      </c>
      <c r="M18" s="881">
        <v>0.02</v>
      </c>
      <c r="N18" s="833"/>
      <c r="O18" s="879">
        <v>0.04</v>
      </c>
      <c r="P18" s="879">
        <v>-0.01</v>
      </c>
      <c r="Q18" s="879">
        <v>-0.02</v>
      </c>
      <c r="R18" s="880">
        <v>0</v>
      </c>
      <c r="S18" s="194">
        <f>AVERAGE(O18:R18)</f>
        <v>2.4999999999999996E-3</v>
      </c>
      <c r="T18" s="874"/>
      <c r="U18" s="879">
        <v>0.04</v>
      </c>
      <c r="V18" s="879">
        <v>-0.01</v>
      </c>
      <c r="W18" s="879">
        <v>-0.02</v>
      </c>
      <c r="X18" s="880">
        <v>0</v>
      </c>
      <c r="Y18" s="194">
        <f>AVERAGE(U18:X18)</f>
        <v>2.4999999999999996E-3</v>
      </c>
      <c r="Z18" s="874"/>
      <c r="AA18" s="882">
        <v>0.02</v>
      </c>
      <c r="AB18" s="883">
        <v>0.06</v>
      </c>
      <c r="AC18" s="883">
        <v>0.04</v>
      </c>
      <c r="AD18" s="884">
        <v>0</v>
      </c>
      <c r="AE18" s="194">
        <f>AVERAGE(AA18:AD18)</f>
        <v>0.03</v>
      </c>
      <c r="AF18" s="874"/>
      <c r="AG18" s="885">
        <f>OrgRev!AG12</f>
        <v>-0.02</v>
      </c>
      <c r="AH18" s="886">
        <f>OrgRev!AH12</f>
        <v>-0.03</v>
      </c>
      <c r="AI18" s="886">
        <f>OrgRev!AI12</f>
        <v>-0.03</v>
      </c>
      <c r="AJ18" s="1127">
        <f>OrgRev!AJ12</f>
        <v>-1.4E-2</v>
      </c>
      <c r="AK18" s="1427">
        <f>AVERAGE(AG18:AJ18)</f>
        <v>-2.35E-2</v>
      </c>
      <c r="AL18" s="1425"/>
      <c r="AM18" s="1425">
        <f>OrgRev!AM12</f>
        <v>-0.03</v>
      </c>
      <c r="AN18" s="1426">
        <f>OrgRev!AN12</f>
        <v>-0.02</v>
      </c>
      <c r="AO18" s="1426">
        <f>OrgRev!AO12</f>
        <v>-0.02</v>
      </c>
      <c r="AP18" s="1426">
        <f>OrgRev!AP12</f>
        <v>-0.02</v>
      </c>
      <c r="AQ18" s="1427">
        <f>AVERAGE(AM18:AP18)</f>
        <v>-2.2500000000000003E-2</v>
      </c>
      <c r="AR18" s="1425"/>
      <c r="AS18" s="1425">
        <f>OrgRev!AS12</f>
        <v>0</v>
      </c>
      <c r="AT18" s="1426">
        <f>OrgRev!AT12</f>
        <v>8.0000000000000002E-3</v>
      </c>
      <c r="AU18" s="1426">
        <f>OrgRev!AU12</f>
        <v>0</v>
      </c>
      <c r="AV18" s="1426">
        <f>OrgRev!AV12</f>
        <v>-0.05</v>
      </c>
      <c r="AW18" s="1427">
        <f>AVERAGE(AS18:AV18)</f>
        <v>-1.0500000000000001E-2</v>
      </c>
      <c r="AX18" s="1425"/>
      <c r="AY18" s="1425">
        <f>OrgRev!AY12</f>
        <v>-0.08</v>
      </c>
      <c r="AZ18" s="1426">
        <f>OrgRev!AZ12</f>
        <v>-7.0000000000000007E-2</v>
      </c>
      <c r="BA18" s="1426">
        <f>OrgRev!BA12</f>
        <v>-7.3999999999999996E-2</v>
      </c>
      <c r="BB18" s="1426">
        <f>OrgRev!BB12</f>
        <v>-5.4423995046898356E-2</v>
      </c>
      <c r="BC18" s="1427">
        <f>AVERAGE(AY18:BB18)</f>
        <v>-6.9605998761724602E-2</v>
      </c>
      <c r="BD18" s="1425"/>
      <c r="BE18" s="1425">
        <f>OrgRev!BE12</f>
        <v>-1.6875197582601205E-2</v>
      </c>
      <c r="BF18" s="1426">
        <f>OrgRev!BF12</f>
        <v>6.6701701904030406E-4</v>
      </c>
      <c r="BG18" s="1426">
        <f>OrgRev!BG12</f>
        <v>2.7468246706806934E-3</v>
      </c>
      <c r="BH18" s="1426">
        <f>OrgRev!BH12</f>
        <v>-0.02</v>
      </c>
      <c r="BI18" s="1427">
        <f>OrgRev!BI12</f>
        <v>-8.3653389732200531E-3</v>
      </c>
      <c r="BJ18" s="1425"/>
      <c r="BK18" s="1425">
        <f>OrgRev!BK12</f>
        <v>-0.01</v>
      </c>
      <c r="BL18" s="1426">
        <f>OrgRev!BL12</f>
        <v>-0.01</v>
      </c>
      <c r="BM18" s="1426">
        <f>OrgRev!BM12</f>
        <v>0.01</v>
      </c>
      <c r="BN18" s="1426">
        <f>OrgRev!BN12</f>
        <v>0.03</v>
      </c>
      <c r="BO18" s="1427">
        <f>AVERAGE(BK18:BN18)</f>
        <v>4.9999999999999992E-3</v>
      </c>
      <c r="BP18" s="1425"/>
      <c r="BQ18" s="1425">
        <f>OrgRev!BQ13</f>
        <v>-5.0000000000000001E-3</v>
      </c>
      <c r="BR18" s="1426">
        <f>OrgRev!BR13</f>
        <v>0</v>
      </c>
      <c r="BS18" s="1426">
        <f>OrgRev!BS13</f>
        <v>0</v>
      </c>
      <c r="BT18" s="1426">
        <f>OrgRev!BT13</f>
        <v>0</v>
      </c>
      <c r="BU18" s="1427">
        <f>AVERAGE(BQ18:BT18)</f>
        <v>-1.25E-3</v>
      </c>
      <c r="BV18" s="71"/>
      <c r="BW18" s="1425">
        <f>OrgRev!BW13</f>
        <v>0</v>
      </c>
      <c r="BX18" s="1426">
        <f>OrgRev!BX13</f>
        <v>0</v>
      </c>
      <c r="BY18" s="1426">
        <f>OrgRev!BY13</f>
        <v>0</v>
      </c>
      <c r="BZ18" s="1426">
        <f>OrgRev!BZ13</f>
        <v>0</v>
      </c>
      <c r="CA18" s="1427">
        <f>AVERAGE(BW18:BZ18)</f>
        <v>0</v>
      </c>
      <c r="CB18" s="71"/>
      <c r="CC18" s="1425">
        <f>OrgRev!CC13</f>
        <v>0</v>
      </c>
      <c r="CD18" s="1426">
        <f>OrgRev!CD13</f>
        <v>0</v>
      </c>
      <c r="CE18" s="1426">
        <f>OrgRev!CE13</f>
        <v>0</v>
      </c>
      <c r="CF18" s="1426">
        <f>OrgRev!CF13</f>
        <v>0</v>
      </c>
      <c r="CG18" s="1427">
        <f>AVERAGE(CC18:CF18)</f>
        <v>0</v>
      </c>
      <c r="CH18" s="71"/>
      <c r="CI18" s="1425">
        <f>OrgRev!CI13</f>
        <v>0</v>
      </c>
      <c r="CJ18" s="1426">
        <f>OrgRev!CJ13</f>
        <v>0</v>
      </c>
      <c r="CK18" s="1426">
        <f>OrgRev!CK13</f>
        <v>0</v>
      </c>
      <c r="CL18" s="1426">
        <f>OrgRev!CL13</f>
        <v>0</v>
      </c>
      <c r="CM18" s="1427">
        <f>AVERAGE(CI18:CL18)</f>
        <v>0</v>
      </c>
    </row>
    <row r="19" spans="1:91">
      <c r="A19" s="149"/>
      <c r="B19" s="149"/>
      <c r="C19" s="149"/>
      <c r="D19" s="149"/>
      <c r="E19" s="149"/>
      <c r="F19" s="149"/>
      <c r="G19" s="149"/>
      <c r="H19" s="149"/>
      <c r="I19" s="149"/>
      <c r="J19" s="149"/>
      <c r="K19" s="149"/>
      <c r="L19" s="149"/>
      <c r="M19" s="149"/>
      <c r="N19" s="149"/>
      <c r="O19" s="149"/>
      <c r="P19" s="149"/>
      <c r="Q19" s="149"/>
      <c r="R19" s="149"/>
      <c r="S19" s="149"/>
      <c r="T19" s="149"/>
      <c r="U19" s="149"/>
      <c r="V19" s="149"/>
      <c r="W19" s="149"/>
      <c r="X19" s="149"/>
      <c r="Y19" s="149"/>
      <c r="Z19" s="149"/>
      <c r="AA19" s="149"/>
      <c r="AB19" s="149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227"/>
      <c r="AN19" s="1227"/>
      <c r="AO19" s="1227"/>
      <c r="AP19" s="1227"/>
      <c r="AQ19" s="149"/>
      <c r="AR19" s="149"/>
      <c r="AS19" s="1227"/>
      <c r="AT19" s="1227"/>
      <c r="AU19" s="1227"/>
      <c r="AV19" s="1227"/>
      <c r="AW19" s="149"/>
      <c r="AX19" s="149"/>
      <c r="AY19" s="1227"/>
      <c r="AZ19" s="1227"/>
      <c r="BA19" s="1175"/>
      <c r="BB19" s="1203"/>
      <c r="BC19" s="1480"/>
      <c r="BD19" s="149"/>
      <c r="BE19" s="1202"/>
      <c r="BF19" s="1202"/>
      <c r="BG19" s="1202"/>
      <c r="BH19" s="1202"/>
      <c r="BI19" s="1156"/>
      <c r="BJ19" s="149"/>
      <c r="BK19" s="149"/>
      <c r="BL19" s="149"/>
      <c r="BM19" s="149"/>
      <c r="BN19" s="149"/>
      <c r="BO19" s="149"/>
      <c r="BP19" s="149"/>
      <c r="BQ19" s="149"/>
      <c r="BR19" s="149"/>
      <c r="BS19" s="149"/>
      <c r="BT19" s="149"/>
      <c r="BU19" s="149"/>
      <c r="BV19" s="24"/>
      <c r="BW19" s="149"/>
      <c r="BX19" s="149"/>
      <c r="BY19" s="149"/>
      <c r="BZ19" s="149"/>
      <c r="CA19" s="149"/>
      <c r="CB19" s="24"/>
      <c r="CC19" s="149"/>
      <c r="CD19" s="149"/>
      <c r="CE19" s="149"/>
      <c r="CF19" s="149"/>
      <c r="CG19" s="149"/>
      <c r="CH19" s="24"/>
      <c r="CI19" s="149"/>
      <c r="CJ19" s="149"/>
      <c r="CK19" s="149"/>
      <c r="CL19" s="149"/>
      <c r="CM19" s="149"/>
    </row>
    <row r="20" spans="1:91" ht="13.5" customHeight="1">
      <c r="A20" s="12" t="s">
        <v>512</v>
      </c>
      <c r="B20" s="10"/>
      <c r="C20" s="10"/>
      <c r="D20" s="10"/>
      <c r="E20" s="10"/>
      <c r="F20" s="10"/>
      <c r="G20" s="11"/>
      <c r="H20" s="10"/>
      <c r="I20" s="10"/>
      <c r="J20" s="10"/>
      <c r="K20" s="10"/>
      <c r="L20" s="10"/>
      <c r="M20" s="11"/>
      <c r="N20" s="10"/>
      <c r="O20" s="10"/>
      <c r="P20" s="10"/>
      <c r="Q20" s="10"/>
      <c r="R20" s="10"/>
      <c r="S20" s="11"/>
      <c r="T20" s="10"/>
      <c r="U20" s="10"/>
      <c r="V20" s="10"/>
      <c r="W20" s="10"/>
      <c r="X20" s="10"/>
      <c r="Y20" s="11"/>
      <c r="Z20" s="10"/>
      <c r="AA20" s="10"/>
      <c r="AB20" s="10"/>
      <c r="AC20" s="10"/>
      <c r="AD20" s="10"/>
      <c r="AE20" s="11"/>
      <c r="AF20" s="10"/>
      <c r="AG20" s="10"/>
      <c r="AH20" s="10"/>
      <c r="AI20" s="10"/>
      <c r="AJ20" s="10"/>
      <c r="AK20" s="11"/>
      <c r="AL20" s="10"/>
      <c r="AM20" s="10"/>
      <c r="AN20" s="10"/>
      <c r="AO20" s="10"/>
      <c r="AP20" s="10"/>
      <c r="AQ20" s="11"/>
      <c r="AR20" s="10"/>
      <c r="AS20" s="10"/>
      <c r="AT20" s="10"/>
      <c r="AU20" s="10"/>
      <c r="AV20" s="10"/>
      <c r="AW20" s="11"/>
      <c r="AX20" s="10"/>
      <c r="AY20" s="10"/>
      <c r="AZ20" s="10"/>
      <c r="BA20" s="10"/>
      <c r="BB20" s="10"/>
      <c r="BC20" s="11"/>
      <c r="BD20" s="10"/>
      <c r="BE20" s="10"/>
      <c r="BF20" s="10"/>
      <c r="BG20" s="10"/>
      <c r="BH20" s="10"/>
      <c r="BI20" s="11"/>
      <c r="BJ20" s="10"/>
      <c r="BK20" s="10"/>
      <c r="BL20" s="10"/>
      <c r="BM20" s="10"/>
      <c r="BN20" s="10"/>
      <c r="BO20" s="11"/>
      <c r="BP20" s="10"/>
      <c r="BQ20" s="10"/>
      <c r="BR20" s="10"/>
      <c r="BS20" s="10"/>
      <c r="BT20" s="10"/>
      <c r="BU20" s="11"/>
      <c r="BV20" s="1919"/>
      <c r="BW20" s="10"/>
      <c r="BX20" s="10"/>
      <c r="BY20" s="10"/>
      <c r="BZ20" s="10"/>
      <c r="CA20" s="11"/>
      <c r="CB20" s="1919"/>
      <c r="CC20" s="10"/>
      <c r="CD20" s="10"/>
      <c r="CE20" s="10"/>
      <c r="CF20" s="10"/>
      <c r="CG20" s="11"/>
      <c r="CH20" s="1919"/>
      <c r="CI20" s="10"/>
      <c r="CJ20" s="10"/>
      <c r="CK20" s="10"/>
      <c r="CL20" s="10"/>
      <c r="CM20" s="11"/>
    </row>
    <row r="21" spans="1:91" s="2024" customFormat="1">
      <c r="A21" s="887" t="s">
        <v>110</v>
      </c>
      <c r="B21" s="888"/>
      <c r="C21" s="889">
        <v>76.890500000000003</v>
      </c>
      <c r="D21" s="889">
        <v>80.290500000000009</v>
      </c>
      <c r="E21" s="889">
        <v>81.090500000000006</v>
      </c>
      <c r="F21" s="890">
        <v>85.890500000000003</v>
      </c>
      <c r="G21" s="891">
        <v>324.16200000000003</v>
      </c>
      <c r="H21" s="891">
        <v>0</v>
      </c>
      <c r="I21" s="889">
        <v>78</v>
      </c>
      <c r="J21" s="889">
        <v>85</v>
      </c>
      <c r="K21" s="889">
        <v>83.571155000000005</v>
      </c>
      <c r="L21" s="890">
        <v>90</v>
      </c>
      <c r="M21" s="890">
        <v>336.57115499999998</v>
      </c>
      <c r="N21" s="892"/>
      <c r="O21" s="893">
        <v>75</v>
      </c>
      <c r="P21" s="894">
        <v>82</v>
      </c>
      <c r="Q21" s="889">
        <v>75</v>
      </c>
      <c r="R21" s="890">
        <v>90</v>
      </c>
      <c r="S21" s="895">
        <f>SUM(O21:R21)</f>
        <v>322</v>
      </c>
      <c r="T21" s="892"/>
      <c r="U21" s="888">
        <f>O21*(1+U22)</f>
        <v>86.25</v>
      </c>
      <c r="V21" s="896">
        <f>P21*(1+V22)</f>
        <v>89.38000000000001</v>
      </c>
      <c r="W21" s="896">
        <f>Q21*(1+W22)</f>
        <v>82.5</v>
      </c>
      <c r="X21" s="895">
        <f>R21*(1+X22)</f>
        <v>102.60000000000001</v>
      </c>
      <c r="Y21" s="897">
        <f>SUM(U21:X21)</f>
        <v>360.73</v>
      </c>
      <c r="Z21" s="892"/>
      <c r="AA21" s="888">
        <f>U21*(1+AA22)</f>
        <v>100.91249999999999</v>
      </c>
      <c r="AB21" s="896">
        <f>V21*(1+AB22)</f>
        <v>100.99939999999999</v>
      </c>
      <c r="AC21" s="896">
        <f>W21*(1+AC22)</f>
        <v>93.224999999999994</v>
      </c>
      <c r="AD21" s="895">
        <f>X21*(1+AD22)</f>
        <v>109.78200000000001</v>
      </c>
      <c r="AE21" s="897">
        <f>SUM(AA21:AD21)</f>
        <v>404.91890000000001</v>
      </c>
      <c r="AF21" s="896"/>
      <c r="AG21" s="888">
        <f>AA21*(1+AG22)</f>
        <v>88.096612499999992</v>
      </c>
      <c r="AH21" s="896">
        <f>AB21*(1+AH22)</f>
        <v>91.909453999999997</v>
      </c>
      <c r="AI21" s="896">
        <f>AC21*(1+AI22)</f>
        <v>90.428249999999991</v>
      </c>
      <c r="AJ21" s="895">
        <f>AD21*(1+AJ22)</f>
        <v>102.75595200000001</v>
      </c>
      <c r="AK21" s="897">
        <f>SUM(AG21:AJ21)</f>
        <v>373.1902685</v>
      </c>
      <c r="AL21" s="896"/>
      <c r="AM21" s="888">
        <f>AG21*(1+AM22)</f>
        <v>96.086975253749998</v>
      </c>
      <c r="AN21" s="896">
        <f>AH21*(1+AN22)</f>
        <v>96.137288884</v>
      </c>
      <c r="AO21" s="896">
        <f>AI21*(1+AO22)</f>
        <v>84.098272499999993</v>
      </c>
      <c r="AP21" s="895">
        <f>AJ21*(1+AP22)</f>
        <v>108.92130912000002</v>
      </c>
      <c r="AQ21" s="897">
        <f>SUM(AM21:AP21)</f>
        <v>385.24384575775002</v>
      </c>
      <c r="AR21" s="896"/>
      <c r="AS21" s="888">
        <f>AM21*(1+AS22)</f>
        <v>87.439147480912496</v>
      </c>
      <c r="AT21" s="896">
        <f>AN21*(1+AT22)</f>
        <v>94.983641417391993</v>
      </c>
      <c r="AU21" s="896">
        <f>AO21*(1+AU22)</f>
        <v>88.996201447077667</v>
      </c>
      <c r="AV21" s="895">
        <f>AP21*(1+AV22)</f>
        <v>111.55511351376269</v>
      </c>
      <c r="AW21" s="895">
        <f>SUM(AS21:AV21)</f>
        <v>382.97410385914486</v>
      </c>
      <c r="AX21" s="892"/>
      <c r="AY21" s="888">
        <f>AS21*(1+AY22)</f>
        <v>93.122692067171798</v>
      </c>
      <c r="AZ21" s="896">
        <f>AT21*(1+AZ22)</f>
        <v>100.24478531550135</v>
      </c>
      <c r="BA21" s="896">
        <f>AU21*(1+BA22)</f>
        <v>91.532593188319382</v>
      </c>
      <c r="BB21" s="895">
        <f>AV21*(1+BB22)</f>
        <v>108.83049197384636</v>
      </c>
      <c r="BC21" s="895">
        <f>SUM(AY21:BB21)</f>
        <v>393.7305625448389</v>
      </c>
      <c r="BD21" s="892"/>
      <c r="BE21" s="888">
        <f>AY21*(1+BE22)</f>
        <v>89.223160937435253</v>
      </c>
      <c r="BF21" s="896">
        <f>AZ21*(1+BF22)</f>
        <v>106.82756133888442</v>
      </c>
      <c r="BG21" s="896">
        <f>BA21*(1+BG22)</f>
        <v>94.758826452080825</v>
      </c>
      <c r="BH21" s="895">
        <f>BB21*(1+BH22)</f>
        <v>119.71354117123101</v>
      </c>
      <c r="BI21" s="895">
        <f>SUM(BE21:BH21)</f>
        <v>410.52308989963149</v>
      </c>
      <c r="BJ21" s="892"/>
      <c r="BK21" s="888">
        <f>BE21*(1+BK22)</f>
        <v>93.684318984307026</v>
      </c>
      <c r="BL21" s="896">
        <f>BF21*(1+BL22)</f>
        <v>108.96411256566211</v>
      </c>
      <c r="BM21" s="896">
        <f>BG21*(1+BM22)</f>
        <v>99.022973642424461</v>
      </c>
      <c r="BN21" s="895">
        <f>BH21*(1+BN22)</f>
        <v>127.37520780618981</v>
      </c>
      <c r="BO21" s="895">
        <f>SUM(BK21:BN21)</f>
        <v>429.04661299858338</v>
      </c>
      <c r="BP21" s="892"/>
      <c r="BQ21" s="888">
        <f>BK21*(1+BQ22)</f>
        <v>98.836956528443906</v>
      </c>
      <c r="BR21" s="896">
        <f>BL21*(1+BR22)</f>
        <v>114.41231819394521</v>
      </c>
      <c r="BS21" s="896">
        <f>BM21*(1+BS22)</f>
        <v>102.98389258812145</v>
      </c>
      <c r="BT21" s="895">
        <f>BN21*(1+BT22)</f>
        <v>132.47021611843741</v>
      </c>
      <c r="BU21" s="895">
        <f>SUM(BQ21:BT21)</f>
        <v>448.70338342894797</v>
      </c>
      <c r="BV21" s="566"/>
      <c r="BW21" s="888">
        <f>BQ21*(1+BW22)</f>
        <v>103.77880435486611</v>
      </c>
      <c r="BX21" s="896">
        <f>BR21*(1+BX22)</f>
        <v>118.98881092170302</v>
      </c>
      <c r="BY21" s="896">
        <f>BS21*(1+BY22)</f>
        <v>106.5883288287057</v>
      </c>
      <c r="BZ21" s="895">
        <f>BT21*(1+BZ22)</f>
        <v>137.10667368258271</v>
      </c>
      <c r="CA21" s="895">
        <f>SUM(BW21:BZ21)</f>
        <v>466.46261778785754</v>
      </c>
      <c r="CB21" s="566"/>
      <c r="CC21" s="888">
        <f>BW21*(1+CC22)</f>
        <v>108.96774457260942</v>
      </c>
      <c r="CD21" s="896">
        <f>BX21*(1+CD22)</f>
        <v>123.74836335857114</v>
      </c>
      <c r="CE21" s="896">
        <f>BY21*(1+CE22)</f>
        <v>110.3189203377104</v>
      </c>
      <c r="CF21" s="895">
        <f>BZ21*(1+CF22)</f>
        <v>141.9054072614731</v>
      </c>
      <c r="CG21" s="895">
        <f>SUM(CC21:CF21)</f>
        <v>484.94043553036403</v>
      </c>
      <c r="CH21" s="566"/>
      <c r="CI21" s="888">
        <f>CC21*(1+CI22)</f>
        <v>114.4161318012399</v>
      </c>
      <c r="CJ21" s="896">
        <f>CD21*(1+CJ22)</f>
        <v>128.69829789291398</v>
      </c>
      <c r="CK21" s="896">
        <f>CE21*(1+CK22)</f>
        <v>114.18008254953025</v>
      </c>
      <c r="CL21" s="895">
        <f>CF21*(1+CL22)</f>
        <v>146.87209651562466</v>
      </c>
      <c r="CM21" s="895">
        <f>SUM(CI21:CL21)</f>
        <v>504.16660875930882</v>
      </c>
    </row>
    <row r="22" spans="1:91" hidden="1" outlineLevel="1">
      <c r="A22" s="445" t="s">
        <v>291</v>
      </c>
      <c r="B22" s="898"/>
      <c r="C22" s="899"/>
      <c r="D22" s="475"/>
      <c r="E22" s="475"/>
      <c r="F22" s="475"/>
      <c r="G22" s="899"/>
      <c r="H22" s="900"/>
      <c r="I22" s="899">
        <f>I21/C21-1</f>
        <v>1.4429610940233095E-2</v>
      </c>
      <c r="J22" s="475">
        <f>J21/D21-1</f>
        <v>5.865575628499009E-2</v>
      </c>
      <c r="K22" s="475">
        <f>K21/E21-1</f>
        <v>3.0591191323274591E-2</v>
      </c>
      <c r="L22" s="475">
        <f>L21/F21-1</f>
        <v>4.7845803668624454E-2</v>
      </c>
      <c r="M22" s="476">
        <f>+M21/G21-1</f>
        <v>3.8280720750735631E-2</v>
      </c>
      <c r="N22" s="390"/>
      <c r="O22" s="478">
        <f>O21/I21-1</f>
        <v>-3.8461538461538436E-2</v>
      </c>
      <c r="P22" s="475">
        <f>P21/J21-1</f>
        <v>-3.5294117647058809E-2</v>
      </c>
      <c r="Q22" s="475">
        <f>Q21/K21-1</f>
        <v>-0.10256116479424038</v>
      </c>
      <c r="R22" s="901">
        <f>R21/L21-1</f>
        <v>0</v>
      </c>
      <c r="S22" s="902">
        <f>S21/M21-1</f>
        <v>-4.3292940537343338E-2</v>
      </c>
      <c r="T22" s="390"/>
      <c r="U22" s="903">
        <v>0.15</v>
      </c>
      <c r="V22" s="904">
        <v>0.09</v>
      </c>
      <c r="W22" s="904">
        <v>0.1</v>
      </c>
      <c r="X22" s="905">
        <v>0.14000000000000001</v>
      </c>
      <c r="Y22" s="906">
        <f>+Y21/S21-1</f>
        <v>0.1202795031055901</v>
      </c>
      <c r="Z22" s="828"/>
      <c r="AA22" s="907">
        <v>0.17</v>
      </c>
      <c r="AB22" s="480">
        <v>0.13</v>
      </c>
      <c r="AC22" s="480">
        <v>0.13</v>
      </c>
      <c r="AD22" s="482">
        <f>AD23+AD$18</f>
        <v>7.0000000000000007E-2</v>
      </c>
      <c r="AE22" s="476">
        <f>+AE21/Y21-1</f>
        <v>0.12249854461785814</v>
      </c>
      <c r="AF22" s="908"/>
      <c r="AG22" s="478">
        <f>AG23+AG$18</f>
        <v>-0.127</v>
      </c>
      <c r="AH22" s="475">
        <f>AH23+AH$18</f>
        <v>-0.09</v>
      </c>
      <c r="AI22" s="475">
        <f>AI23+AI$18</f>
        <v>-0.03</v>
      </c>
      <c r="AJ22" s="482">
        <f>AJ23+AJ$18</f>
        <v>-6.4000000000000001E-2</v>
      </c>
      <c r="AK22" s="476">
        <f>+AK21/AE21-1</f>
        <v>-7.8357990945841283E-2</v>
      </c>
      <c r="AL22" s="908"/>
      <c r="AM22" s="478">
        <f>AM23+AM$18</f>
        <v>9.0700000000000003E-2</v>
      </c>
      <c r="AN22" s="475">
        <f>AN23+AN$18</f>
        <v>4.5999999999999999E-2</v>
      </c>
      <c r="AO22" s="475">
        <f>AO23+AO$18</f>
        <v>-7.0000000000000007E-2</v>
      </c>
      <c r="AP22" s="482">
        <f>AP23+AP$18</f>
        <v>0.06</v>
      </c>
      <c r="AQ22" s="476">
        <f>+AQ21/AK21-1</f>
        <v>3.2298744836509741E-2</v>
      </c>
      <c r="AR22" s="908"/>
      <c r="AS22" s="478">
        <f>AS23+AS$18</f>
        <v>-0.09</v>
      </c>
      <c r="AT22" s="475">
        <f>AT23+AT$18</f>
        <v>-1.2E-2</v>
      </c>
      <c r="AU22" s="475">
        <f>AU23+AU$18</f>
        <v>5.8240541707651215E-2</v>
      </c>
      <c r="AV22" s="482">
        <f>AV23+AV$18</f>
        <v>2.4180800020140975E-2</v>
      </c>
      <c r="AW22" s="902">
        <f>+AW21/AQ21-1</f>
        <v>-5.8917019015338745E-3</v>
      </c>
      <c r="AX22" s="908"/>
      <c r="AY22" s="478">
        <f>AY23+AY$18</f>
        <v>6.4999999999999988E-2</v>
      </c>
      <c r="AZ22" s="475">
        <f>AZ23+AZ$18</f>
        <v>5.5389999999999995E-2</v>
      </c>
      <c r="BA22" s="475">
        <f>BA23+BA$18</f>
        <v>2.8499999999999998E-2</v>
      </c>
      <c r="BB22" s="482">
        <f>BB23+BB$18</f>
        <v>-2.4423995046898357E-2</v>
      </c>
      <c r="BC22" s="902">
        <f>+BC21/AW21-1</f>
        <v>2.8086647575654933E-2</v>
      </c>
      <c r="BD22" s="908"/>
      <c r="BE22" s="478">
        <f>BE23+BE$18</f>
        <v>-4.1875197582601206E-2</v>
      </c>
      <c r="BF22" s="475">
        <f>BF23+BF$18</f>
        <v>6.5667017019040305E-2</v>
      </c>
      <c r="BG22" s="475">
        <f>BG23+BG$18</f>
        <v>3.5246824670680695E-2</v>
      </c>
      <c r="BH22" s="482">
        <f>BH23+BH$18</f>
        <v>9.9999999999999992E-2</v>
      </c>
      <c r="BI22" s="902">
        <f>+BI21/BC21-1</f>
        <v>4.2649793925713331E-2</v>
      </c>
      <c r="BJ22" s="908"/>
      <c r="BK22" s="478">
        <f>BK23+BK$18</f>
        <v>4.9999999999999996E-2</v>
      </c>
      <c r="BL22" s="475">
        <f>BL23+BL$18</f>
        <v>1.9999999999999997E-2</v>
      </c>
      <c r="BM22" s="475">
        <f>BM23+BM$18</f>
        <v>4.5000000000000005E-2</v>
      </c>
      <c r="BN22" s="482">
        <f>BN23+BN$18</f>
        <v>6.4000000000000001E-2</v>
      </c>
      <c r="BO22" s="902">
        <f>+BO21/BI21-1</f>
        <v>4.5121756984438433E-2</v>
      </c>
      <c r="BP22" s="908"/>
      <c r="BQ22" s="478">
        <f>BQ23+BQ$18</f>
        <v>5.5E-2</v>
      </c>
      <c r="BR22" s="475">
        <f>BR23+BR$18</f>
        <v>0.05</v>
      </c>
      <c r="BS22" s="475">
        <f>BS23+BS$18</f>
        <v>0.04</v>
      </c>
      <c r="BT22" s="482">
        <f>BT23+BT$18</f>
        <v>0.04</v>
      </c>
      <c r="BU22" s="902">
        <f>+BU21/BO21-1</f>
        <v>4.5814999663986278E-2</v>
      </c>
      <c r="BV22" s="24"/>
      <c r="BW22" s="478">
        <f>BW23+BW$18</f>
        <v>0.05</v>
      </c>
      <c r="BX22" s="475">
        <f>BX23+BX$18</f>
        <v>0.04</v>
      </c>
      <c r="BY22" s="475">
        <f>BY23+BY$18</f>
        <v>3.5000000000000003E-2</v>
      </c>
      <c r="BZ22" s="482">
        <f>BZ23+BZ$18</f>
        <v>3.5000000000000003E-2</v>
      </c>
      <c r="CA22" s="902">
        <f>+CA21/BU21-1</f>
        <v>3.9579007011703915E-2</v>
      </c>
      <c r="CB22" s="24"/>
      <c r="CC22" s="478">
        <f>CC23+CC$18</f>
        <v>0.05</v>
      </c>
      <c r="CD22" s="475">
        <f>CD23+CD$18</f>
        <v>0.04</v>
      </c>
      <c r="CE22" s="475">
        <f>CE23+CE$18</f>
        <v>3.5000000000000003E-2</v>
      </c>
      <c r="CF22" s="482">
        <f>CF23+CF$18</f>
        <v>3.5000000000000003E-2</v>
      </c>
      <c r="CG22" s="902">
        <f>+CG21/CA21-1</f>
        <v>3.9612644267476904E-2</v>
      </c>
      <c r="CH22" s="24"/>
      <c r="CI22" s="478">
        <f>CI23+CI$18</f>
        <v>0.05</v>
      </c>
      <c r="CJ22" s="475">
        <f>CJ23+CJ$18</f>
        <v>0.04</v>
      </c>
      <c r="CK22" s="475">
        <f>CK23+CK$18</f>
        <v>3.5000000000000003E-2</v>
      </c>
      <c r="CL22" s="482">
        <f>CL23+CL$18</f>
        <v>3.5000000000000003E-2</v>
      </c>
      <c r="CM22" s="902">
        <f>+CM21/CG21-1</f>
        <v>3.9646463401052046E-2</v>
      </c>
    </row>
    <row r="23" spans="1:91" hidden="1" outlineLevel="1">
      <c r="A23" s="909" t="s">
        <v>89</v>
      </c>
      <c r="B23" s="910"/>
      <c r="C23" s="911"/>
      <c r="D23" s="912"/>
      <c r="E23" s="912"/>
      <c r="F23" s="913"/>
      <c r="G23" s="911"/>
      <c r="H23" s="914"/>
      <c r="I23" s="911">
        <f>I22-I18</f>
        <v>-2.5570389059766906E-2</v>
      </c>
      <c r="J23" s="912">
        <f>J22-J18</f>
        <v>6.8655756284990085E-2</v>
      </c>
      <c r="K23" s="912">
        <f>K22-K18</f>
        <v>5.0591191323274595E-2</v>
      </c>
      <c r="L23" s="913">
        <f>L22-L18</f>
        <v>4.7845803668624454E-2</v>
      </c>
      <c r="M23" s="915">
        <f>M22-M$18</f>
        <v>1.828072075073563E-2</v>
      </c>
      <c r="N23" s="916"/>
      <c r="O23" s="911">
        <f>O22-O18</f>
        <v>-7.8461538461538444E-2</v>
      </c>
      <c r="P23" s="912">
        <f>P22-P18</f>
        <v>-2.5294117647058807E-2</v>
      </c>
      <c r="Q23" s="912">
        <f>Q22-Q18</f>
        <v>-8.2561164794240374E-2</v>
      </c>
      <c r="R23" s="913">
        <f>R22-R18</f>
        <v>0</v>
      </c>
      <c r="S23" s="915">
        <f>S22-S18</f>
        <v>-4.5792940537343341E-2</v>
      </c>
      <c r="T23" s="916"/>
      <c r="U23" s="911">
        <f>U22-U18</f>
        <v>0.10999999999999999</v>
      </c>
      <c r="V23" s="916">
        <f>V22-V18</f>
        <v>9.9999999999999992E-2</v>
      </c>
      <c r="W23" s="916">
        <f>W22-W18</f>
        <v>0.12000000000000001</v>
      </c>
      <c r="X23" s="917">
        <f>X22-X18</f>
        <v>0.14000000000000001</v>
      </c>
      <c r="Y23" s="918">
        <f>Y22-Y18</f>
        <v>0.1177795031055901</v>
      </c>
      <c r="Z23" s="916"/>
      <c r="AA23" s="911">
        <f>AA22-AA18</f>
        <v>0.15000000000000002</v>
      </c>
      <c r="AB23" s="912">
        <f>AB22-AB18</f>
        <v>7.0000000000000007E-2</v>
      </c>
      <c r="AC23" s="912">
        <f>AC22-AC18</f>
        <v>0.09</v>
      </c>
      <c r="AD23" s="919">
        <v>7.0000000000000007E-2</v>
      </c>
      <c r="AE23" s="915">
        <f>AE22-AE18</f>
        <v>9.2498544617858142E-2</v>
      </c>
      <c r="AF23" s="920"/>
      <c r="AG23" s="921">
        <v>-0.107</v>
      </c>
      <c r="AH23" s="922">
        <v>-0.06</v>
      </c>
      <c r="AI23" s="922">
        <v>0</v>
      </c>
      <c r="AJ23" s="922">
        <v>-0.05</v>
      </c>
      <c r="AK23" s="915">
        <f>AK22-AK18</f>
        <v>-5.4857990945841283E-2</v>
      </c>
      <c r="AL23" s="920"/>
      <c r="AM23" s="921">
        <v>0.1207</v>
      </c>
      <c r="AN23" s="922">
        <v>6.6000000000000003E-2</v>
      </c>
      <c r="AO23" s="922">
        <v>-0.05</v>
      </c>
      <c r="AP23" s="922">
        <v>0.08</v>
      </c>
      <c r="AQ23" s="915">
        <f>AQ22-AQ18</f>
        <v>5.4798744836509747E-2</v>
      </c>
      <c r="AR23" s="920"/>
      <c r="AS23" s="921">
        <v>-0.09</v>
      </c>
      <c r="AT23" s="922">
        <v>-0.02</v>
      </c>
      <c r="AU23" s="922">
        <v>5.8240541707651215E-2</v>
      </c>
      <c r="AV23" s="922">
        <v>7.4180800020140977E-2</v>
      </c>
      <c r="AW23" s="915">
        <f>AW22-AW18</f>
        <v>4.6082980984661261E-3</v>
      </c>
      <c r="AX23" s="920"/>
      <c r="AY23" s="921">
        <v>0.14499999999999999</v>
      </c>
      <c r="AZ23" s="922">
        <v>0.12539</v>
      </c>
      <c r="BA23" s="922">
        <v>0.10249999999999999</v>
      </c>
      <c r="BB23" s="922">
        <v>0.03</v>
      </c>
      <c r="BC23" s="915">
        <f>BC22-BC18</f>
        <v>9.7692646337379535E-2</v>
      </c>
      <c r="BD23" s="920"/>
      <c r="BE23" s="1668">
        <v>-2.5000000000000001E-2</v>
      </c>
      <c r="BF23" s="1682">
        <v>6.5000000000000002E-2</v>
      </c>
      <c r="BG23" s="922">
        <v>3.2500000000000001E-2</v>
      </c>
      <c r="BH23" s="922">
        <v>0.12</v>
      </c>
      <c r="BI23" s="915">
        <f>BI22-BI18</f>
        <v>5.1015132898933384E-2</v>
      </c>
      <c r="BJ23" s="920"/>
      <c r="BK23" s="1668">
        <v>0.06</v>
      </c>
      <c r="BL23" s="1682">
        <v>0.03</v>
      </c>
      <c r="BM23" s="1682">
        <v>3.5000000000000003E-2</v>
      </c>
      <c r="BN23" s="1682">
        <v>3.4000000000000002E-2</v>
      </c>
      <c r="BO23" s="915">
        <f>BO22-BO18</f>
        <v>4.0121756984438435E-2</v>
      </c>
      <c r="BP23" s="920"/>
      <c r="BQ23" s="1759">
        <v>0.06</v>
      </c>
      <c r="BR23" s="1758">
        <v>0.05</v>
      </c>
      <c r="BS23" s="1758">
        <v>0.04</v>
      </c>
      <c r="BT23" s="1758">
        <v>0.04</v>
      </c>
      <c r="BU23" s="915">
        <f>BU22-BU18</f>
        <v>4.7064999663986279E-2</v>
      </c>
      <c r="BV23" s="920"/>
      <c r="BW23" s="1759">
        <v>0.05</v>
      </c>
      <c r="BX23" s="1758">
        <v>0.04</v>
      </c>
      <c r="BY23" s="1758">
        <v>3.5000000000000003E-2</v>
      </c>
      <c r="BZ23" s="1758">
        <v>3.5000000000000003E-2</v>
      </c>
      <c r="CA23" s="915">
        <f t="shared" ref="CA23" si="13">CA22-CA18</f>
        <v>3.9579007011703915E-2</v>
      </c>
      <c r="CB23" s="920"/>
      <c r="CC23" s="1759">
        <v>0.05</v>
      </c>
      <c r="CD23" s="1758">
        <v>0.04</v>
      </c>
      <c r="CE23" s="1758">
        <v>3.5000000000000003E-2</v>
      </c>
      <c r="CF23" s="1758">
        <v>3.5000000000000003E-2</v>
      </c>
      <c r="CG23" s="915">
        <f t="shared" ref="CG23" si="14">CG22-CG18</f>
        <v>3.9612644267476904E-2</v>
      </c>
      <c r="CH23" s="920"/>
      <c r="CI23" s="1759">
        <v>0.05</v>
      </c>
      <c r="CJ23" s="1758">
        <v>0.04</v>
      </c>
      <c r="CK23" s="1758">
        <v>3.5000000000000003E-2</v>
      </c>
      <c r="CL23" s="1758">
        <v>3.5000000000000003E-2</v>
      </c>
      <c r="CM23" s="915">
        <f t="shared" ref="CM23" si="15">CM22-CM18</f>
        <v>3.9646463401052046E-2</v>
      </c>
    </row>
    <row r="24" spans="1:91" collapsed="1">
      <c r="A24" s="97"/>
      <c r="B24" s="97"/>
      <c r="C24" s="97"/>
      <c r="D24" s="97"/>
      <c r="E24" s="97"/>
      <c r="F24" s="97"/>
      <c r="G24" s="923" t="s">
        <v>6</v>
      </c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24"/>
      <c r="AE24" s="97"/>
      <c r="AF24" s="97"/>
      <c r="AG24" s="97"/>
      <c r="AH24" s="97"/>
      <c r="AI24" s="97"/>
      <c r="AJ24" s="97"/>
      <c r="AK24" s="97"/>
      <c r="AL24" s="97"/>
      <c r="AM24" s="925"/>
      <c r="AN24" s="925"/>
      <c r="AO24" s="925"/>
      <c r="AP24" s="925"/>
      <c r="AQ24" s="97"/>
      <c r="AR24" s="97"/>
      <c r="AS24" s="925"/>
      <c r="AT24" s="925"/>
      <c r="AU24" s="925"/>
      <c r="AV24" s="925"/>
      <c r="AW24" s="97"/>
      <c r="AX24" s="97"/>
      <c r="AY24" s="925"/>
      <c r="AZ24" s="925"/>
      <c r="BA24" s="925"/>
      <c r="BB24" s="925"/>
      <c r="BC24" s="925"/>
      <c r="BD24" s="97"/>
      <c r="BE24" s="97"/>
      <c r="BF24" s="97"/>
      <c r="BG24" s="97"/>
      <c r="BH24" s="97"/>
      <c r="BI24" s="97"/>
      <c r="BJ24" s="97"/>
      <c r="BK24" s="97"/>
      <c r="BL24" s="97"/>
      <c r="BM24" s="97"/>
      <c r="BN24" s="97"/>
      <c r="BO24" s="97"/>
      <c r="BP24" s="97"/>
      <c r="BQ24" s="97"/>
      <c r="BR24" s="97"/>
      <c r="BS24" s="97"/>
      <c r="BT24" s="97"/>
      <c r="BU24" s="97"/>
      <c r="BV24" s="24"/>
      <c r="BW24" s="97"/>
      <c r="BX24" s="97"/>
      <c r="BY24" s="97"/>
      <c r="BZ24" s="97"/>
      <c r="CA24" s="97"/>
      <c r="CB24" s="24"/>
      <c r="CC24" s="97"/>
      <c r="CD24" s="97"/>
      <c r="CE24" s="97"/>
      <c r="CF24" s="97"/>
      <c r="CG24" s="97"/>
      <c r="CH24" s="24"/>
      <c r="CI24" s="97"/>
      <c r="CJ24" s="97"/>
      <c r="CK24" s="97"/>
      <c r="CL24" s="97"/>
      <c r="CM24" s="97"/>
    </row>
    <row r="25" spans="1:91" ht="13.5" customHeight="1">
      <c r="A25" s="12" t="s">
        <v>511</v>
      </c>
      <c r="B25" s="13"/>
      <c r="C25" s="13"/>
      <c r="D25" s="13"/>
      <c r="E25" s="13"/>
      <c r="F25" s="13"/>
      <c r="G25" s="14"/>
      <c r="H25" s="13"/>
      <c r="I25" s="13"/>
      <c r="J25" s="13"/>
      <c r="K25" s="13"/>
      <c r="L25" s="13"/>
      <c r="M25" s="14"/>
      <c r="N25" s="13"/>
      <c r="O25" s="13"/>
      <c r="P25" s="13"/>
      <c r="Q25" s="13"/>
      <c r="R25" s="13"/>
      <c r="S25" s="14"/>
      <c r="T25" s="13"/>
      <c r="U25" s="13"/>
      <c r="V25" s="13"/>
      <c r="W25" s="13"/>
      <c r="X25" s="13"/>
      <c r="Y25" s="14"/>
      <c r="Z25" s="13"/>
      <c r="AA25" s="13"/>
      <c r="AB25" s="13"/>
      <c r="AC25" s="13"/>
      <c r="AD25" s="13" t="s">
        <v>83</v>
      </c>
      <c r="AE25" s="14"/>
      <c r="AF25" s="13"/>
      <c r="AG25" s="13"/>
      <c r="AH25" s="13"/>
      <c r="AI25" s="13"/>
      <c r="AJ25" s="13"/>
      <c r="AK25" s="14"/>
      <c r="AL25" s="13"/>
      <c r="AM25" s="13"/>
      <c r="AN25" s="13"/>
      <c r="AO25" s="13"/>
      <c r="AP25" s="13"/>
      <c r="AQ25" s="14"/>
      <c r="AR25" s="13"/>
      <c r="AS25" s="13"/>
      <c r="AT25" s="13"/>
      <c r="AU25" s="13"/>
      <c r="AV25" s="13"/>
      <c r="AW25" s="14"/>
      <c r="AX25" s="13"/>
      <c r="AY25" s="13"/>
      <c r="AZ25" s="13"/>
      <c r="BA25" s="13"/>
      <c r="BB25" s="13"/>
      <c r="BC25" s="14"/>
      <c r="BD25" s="13"/>
      <c r="BE25" s="13"/>
      <c r="BF25" s="13"/>
      <c r="BG25" s="13"/>
      <c r="BH25" s="13"/>
      <c r="BI25" s="14"/>
      <c r="BJ25" s="13"/>
      <c r="BK25" s="13"/>
      <c r="BL25" s="13"/>
      <c r="BM25" s="13"/>
      <c r="BN25" s="13"/>
      <c r="BO25" s="14"/>
      <c r="BP25" s="13"/>
      <c r="BQ25" s="13"/>
      <c r="BR25" s="13"/>
      <c r="BS25" s="13"/>
      <c r="BT25" s="13"/>
      <c r="BU25" s="14"/>
      <c r="BV25" s="1919"/>
      <c r="BW25" s="13"/>
      <c r="BX25" s="13"/>
      <c r="BY25" s="13"/>
      <c r="BZ25" s="13"/>
      <c r="CA25" s="14"/>
      <c r="CB25" s="1919"/>
      <c r="CC25" s="13"/>
      <c r="CD25" s="13"/>
      <c r="CE25" s="13"/>
      <c r="CF25" s="13"/>
      <c r="CG25" s="14"/>
      <c r="CH25" s="1919"/>
      <c r="CI25" s="13"/>
      <c r="CJ25" s="13"/>
      <c r="CK25" s="13"/>
      <c r="CL25" s="13"/>
      <c r="CM25" s="14"/>
    </row>
    <row r="26" spans="1:91" s="2024" customFormat="1">
      <c r="A26" s="926" t="s">
        <v>292</v>
      </c>
      <c r="B26" s="927"/>
      <c r="C26" s="928"/>
      <c r="D26" s="928"/>
      <c r="E26" s="928"/>
      <c r="F26" s="928"/>
      <c r="G26" s="929">
        <v>154.61500000000001</v>
      </c>
      <c r="H26" s="927"/>
      <c r="I26" s="930">
        <v>37.4</v>
      </c>
      <c r="J26" s="930">
        <v>40.375</v>
      </c>
      <c r="K26" s="930">
        <v>34.85</v>
      </c>
      <c r="L26" s="930">
        <v>40.375</v>
      </c>
      <c r="M26" s="927">
        <f>SUM(I26:L26)</f>
        <v>153</v>
      </c>
      <c r="N26" s="927"/>
      <c r="O26" s="930">
        <v>25.635999999999999</v>
      </c>
      <c r="P26" s="931">
        <v>30.294</v>
      </c>
      <c r="Q26" s="930">
        <v>29.988</v>
      </c>
      <c r="R26" s="930">
        <v>36.975000000000001</v>
      </c>
      <c r="S26" s="927">
        <f>SUM(O26:R26)</f>
        <v>122.893</v>
      </c>
      <c r="T26" s="932"/>
      <c r="U26" s="930">
        <v>21.145280000000003</v>
      </c>
      <c r="V26" s="930">
        <v>30.824145000000001</v>
      </c>
      <c r="W26" s="930">
        <v>31.837260000000001</v>
      </c>
      <c r="X26" s="930">
        <v>44.8</v>
      </c>
      <c r="Y26" s="927">
        <f>SUM(U26:X26)</f>
        <v>128.606685</v>
      </c>
      <c r="Z26" s="928"/>
      <c r="AA26" s="933">
        <v>22.413996800000003</v>
      </c>
      <c r="AB26" s="930">
        <v>33.906559500000007</v>
      </c>
      <c r="AC26" s="930">
        <v>34.384240800000001</v>
      </c>
      <c r="AD26" s="930">
        <v>46.592000000000006</v>
      </c>
      <c r="AE26" s="929">
        <v>137.29679710000002</v>
      </c>
      <c r="AF26" s="928"/>
      <c r="AG26" s="934">
        <f>AA26*(1+AG27)</f>
        <v>17.482917504000003</v>
      </c>
      <c r="AH26" s="928">
        <f>AB26*(1+AH27)</f>
        <v>32.889362715000004</v>
      </c>
      <c r="AI26" s="928">
        <f>AC26*(1+AI27)</f>
        <v>33.008871167999999</v>
      </c>
      <c r="AJ26" s="928">
        <f>AD26*(1+AJ27)</f>
        <v>43.889664000000003</v>
      </c>
      <c r="AK26" s="927">
        <f>SUM(AG26:AJ26)</f>
        <v>127.270815387</v>
      </c>
      <c r="AL26" s="928"/>
      <c r="AM26" s="934">
        <f>AG26*(1+AM27)</f>
        <v>17.308088328960004</v>
      </c>
      <c r="AN26" s="928">
        <f>AH26*(1+AN27)</f>
        <v>28.942639189200005</v>
      </c>
      <c r="AO26" s="928">
        <f>AI26*(1+AO27)</f>
        <v>32.018605032959996</v>
      </c>
      <c r="AP26" s="928">
        <f>AJ26*(1+AP27)</f>
        <v>47.400837120000006</v>
      </c>
      <c r="AQ26" s="934">
        <f>SUM(AM26:AP26)</f>
        <v>125.67016967112001</v>
      </c>
      <c r="AR26" s="934"/>
      <c r="AS26" s="934">
        <f>AM26*(1+AS27)</f>
        <v>17.481169212249604</v>
      </c>
      <c r="AT26" s="928">
        <f>AN26*(1+AT27)</f>
        <v>30.621312262173607</v>
      </c>
      <c r="AU26" s="928">
        <f>AO26*(1+AU27)</f>
        <v>34.580093435596801</v>
      </c>
      <c r="AV26" s="928">
        <f>AP26*(1+AV27)</f>
        <v>49.296870604800006</v>
      </c>
      <c r="AW26" s="934">
        <f>SUM(AS26:AV26)</f>
        <v>131.97944551482001</v>
      </c>
      <c r="AX26" s="934"/>
      <c r="AY26" s="934">
        <f>AS26*(1+AY27)</f>
        <v>18.648911315627878</v>
      </c>
      <c r="AZ26" s="928">
        <f>AT26*(1+AZ27)</f>
        <v>32.320795092724239</v>
      </c>
      <c r="BA26" s="928">
        <f>AU26*(1+BA27)</f>
        <v>35.96156816834889</v>
      </c>
      <c r="BB26" s="928">
        <f>AV26*(1+BB27)</f>
        <v>51.445031282447175</v>
      </c>
      <c r="BC26" s="927">
        <f>SUM(AY26:BB26)</f>
        <v>138.3763058591482</v>
      </c>
      <c r="BD26" s="934"/>
      <c r="BE26" s="934">
        <f>AY26*(1+BE27)</f>
        <v>19.453141931413921</v>
      </c>
      <c r="BF26" s="928">
        <f>AZ26*(1+BF27)</f>
        <v>34.443205294147077</v>
      </c>
      <c r="BG26" s="928">
        <f>BA26*(1+BG27)</f>
        <v>37.231940220346715</v>
      </c>
      <c r="BH26" s="928">
        <f>BB26*(1+BH27)</f>
        <v>56.412297980338167</v>
      </c>
      <c r="BI26" s="927">
        <f>SUM(BE26:BH26)</f>
        <v>147.54058542624588</v>
      </c>
      <c r="BJ26" s="934"/>
      <c r="BK26" s="934">
        <f>BE26*(1+BK27)</f>
        <v>20.425799027984617</v>
      </c>
      <c r="BL26" s="928">
        <f>BF26*(1+BL27)</f>
        <v>35.47650145297149</v>
      </c>
      <c r="BM26" s="928">
        <f>BG26*(1+BM27)</f>
        <v>39.465856633567519</v>
      </c>
      <c r="BN26" s="928">
        <f>BH26*(1+BN27)</f>
        <v>60.022685051079812</v>
      </c>
      <c r="BO26" s="927">
        <f>SUM(BK26:BN26)</f>
        <v>155.39084216560343</v>
      </c>
      <c r="BP26" s="934"/>
      <c r="BQ26" s="934">
        <f>BK26*(1+BQ27)</f>
        <v>21.957733955083462</v>
      </c>
      <c r="BR26" s="928">
        <f>BL26*(1+BR27)</f>
        <v>38.669386583738927</v>
      </c>
      <c r="BS26" s="928">
        <f>BM26*(1+BS27)</f>
        <v>41.439149465245897</v>
      </c>
      <c r="BT26" s="928">
        <f>BN26*(1+BT27)</f>
        <v>64.224273004655402</v>
      </c>
      <c r="BU26" s="927">
        <f>SUM(BQ26:BT26)</f>
        <v>166.29054300872369</v>
      </c>
      <c r="BV26" s="566"/>
      <c r="BW26" s="934">
        <f>BQ26*(1+BW27)</f>
        <v>23.494775331939305</v>
      </c>
      <c r="BX26" s="928">
        <f>BR26*(1+BX27)</f>
        <v>40.602855912925875</v>
      </c>
      <c r="BY26" s="928">
        <f>BS26*(1+BY27)</f>
        <v>43.096715443855736</v>
      </c>
      <c r="BZ26" s="928">
        <f>BT26*(1+BZ27)</f>
        <v>66.40789828681369</v>
      </c>
      <c r="CA26" s="927">
        <f>SUM(BW26:BZ26)</f>
        <v>173.6022449755346</v>
      </c>
      <c r="CB26" s="566"/>
      <c r="CC26" s="934">
        <f>BW26*(1+CC27)</f>
        <v>24.904461851855665</v>
      </c>
      <c r="CD26" s="928">
        <f>BX26*(1+CD27)</f>
        <v>42.226970149442913</v>
      </c>
      <c r="CE26" s="928">
        <f>BY26*(1+CE27)</f>
        <v>45.251551216048526</v>
      </c>
      <c r="CF26" s="928">
        <f>BZ26*(1+CF27)</f>
        <v>68.665766828565353</v>
      </c>
      <c r="CG26" s="927">
        <f>SUM(CC26:CF26)</f>
        <v>181.04875004591247</v>
      </c>
      <c r="CH26" s="566"/>
      <c r="CI26" s="934">
        <f>CC26*(1+CI27)</f>
        <v>26.398729562967006</v>
      </c>
      <c r="CJ26" s="928">
        <f>CD26*(1+CJ27)</f>
        <v>43.916048955420628</v>
      </c>
      <c r="CK26" s="928">
        <f>CE26*(1+CK27)</f>
        <v>47.514128776850953</v>
      </c>
      <c r="CL26" s="928">
        <f>CF26*(1+CL27)</f>
        <v>71.000402900736574</v>
      </c>
      <c r="CM26" s="927">
        <f>SUM(CI26:CL26)</f>
        <v>188.82931019597515</v>
      </c>
    </row>
    <row r="27" spans="1:91" hidden="1" outlineLevel="1">
      <c r="A27" s="180" t="s">
        <v>75</v>
      </c>
      <c r="B27" s="935"/>
      <c r="C27" s="936"/>
      <c r="D27" s="936"/>
      <c r="E27" s="936"/>
      <c r="F27" s="936"/>
      <c r="G27" s="937"/>
      <c r="H27" s="935"/>
      <c r="I27" s="936"/>
      <c r="J27" s="936"/>
      <c r="K27" s="936"/>
      <c r="L27" s="936"/>
      <c r="M27" s="505">
        <f>M26/G26-1</f>
        <v>-1.0445299615173265E-2</v>
      </c>
      <c r="N27" s="935"/>
      <c r="O27" s="406">
        <f>O26/I26-1</f>
        <v>-0.31454545454545457</v>
      </c>
      <c r="P27" s="406">
        <f>P26/J26-1</f>
        <v>-0.24968421052631573</v>
      </c>
      <c r="Q27" s="406">
        <f>Q26/K26-1</f>
        <v>-0.13951219512195123</v>
      </c>
      <c r="R27" s="938">
        <f>R26/L26-1</f>
        <v>-8.4210526315789402E-2</v>
      </c>
      <c r="S27" s="505">
        <f>+S26/M26-1</f>
        <v>-0.19677777777777772</v>
      </c>
      <c r="T27" s="939"/>
      <c r="U27" s="406">
        <f>U26/O26-1</f>
        <v>-0.17517241379310333</v>
      </c>
      <c r="V27" s="406">
        <f>V26/P26-1</f>
        <v>1.7500000000000071E-2</v>
      </c>
      <c r="W27" s="406">
        <f>W26/Q26-1</f>
        <v>6.1666666666666758E-2</v>
      </c>
      <c r="X27" s="938">
        <f>X26/R26-1</f>
        <v>0.21162947937795806</v>
      </c>
      <c r="Y27" s="505">
        <f>+Y26/S26-1</f>
        <v>4.6493168854206512E-2</v>
      </c>
      <c r="Z27" s="828"/>
      <c r="AA27" s="411">
        <f>AA28+AA$18</f>
        <v>0.06</v>
      </c>
      <c r="AB27" s="406">
        <f>AB28+AB$18</f>
        <v>0.1</v>
      </c>
      <c r="AC27" s="406">
        <f>AC28+AC$18</f>
        <v>0.08</v>
      </c>
      <c r="AD27" s="938">
        <f>AD28+AD$18</f>
        <v>0.04</v>
      </c>
      <c r="AE27" s="505">
        <f>+AE26/Y26-1</f>
        <v>6.7571231619880656E-2</v>
      </c>
      <c r="AF27" s="828"/>
      <c r="AG27" s="411">
        <f>AG28+AG$18</f>
        <v>-0.22</v>
      </c>
      <c r="AH27" s="406">
        <f>AH28+AH$18</f>
        <v>-0.03</v>
      </c>
      <c r="AI27" s="406">
        <f>AI28+AI$18</f>
        <v>-0.04</v>
      </c>
      <c r="AJ27" s="938">
        <f>AJ28+AJ$18</f>
        <v>-5.7999999999999996E-2</v>
      </c>
      <c r="AK27" s="505">
        <f>+AK26/AE26-1</f>
        <v>-7.3024148594650784E-2</v>
      </c>
      <c r="AL27" s="828"/>
      <c r="AM27" s="411">
        <f>AM28+AM$18</f>
        <v>-9.9999999999999985E-3</v>
      </c>
      <c r="AN27" s="406">
        <f>AN28+AN$18</f>
        <v>-0.12000000000000001</v>
      </c>
      <c r="AO27" s="406">
        <f>AO28+AO$18</f>
        <v>-0.03</v>
      </c>
      <c r="AP27" s="406">
        <f>AP28+AP$18</f>
        <v>0.08</v>
      </c>
      <c r="AQ27" s="411">
        <f>+AQ26/AK26-1</f>
        <v>-1.2576690979882676E-2</v>
      </c>
      <c r="AR27" s="940"/>
      <c r="AS27" s="411">
        <f>AS28+AS$18</f>
        <v>0.01</v>
      </c>
      <c r="AT27" s="406">
        <f>AT28+AT$18</f>
        <v>5.8000000000000003E-2</v>
      </c>
      <c r="AU27" s="406">
        <f>AU28+AU$18</f>
        <v>0.08</v>
      </c>
      <c r="AV27" s="406">
        <f>AV28+AV$18</f>
        <v>3.9999999999999994E-2</v>
      </c>
      <c r="AW27" s="411">
        <f>+AW26/AQ26-1</f>
        <v>5.0205039590631939E-2</v>
      </c>
      <c r="AX27" s="940"/>
      <c r="AY27" s="411">
        <f>AY28+AY$18</f>
        <v>6.6800000000000012E-2</v>
      </c>
      <c r="AZ27" s="406">
        <f>AZ28+AZ$18</f>
        <v>5.5499999999999994E-2</v>
      </c>
      <c r="BA27" s="406">
        <f>BA28+BA$18</f>
        <v>3.9949999999999999E-2</v>
      </c>
      <c r="BB27" s="406">
        <f>BB28+BB$18</f>
        <v>4.3576004953101648E-2</v>
      </c>
      <c r="BC27" s="505">
        <f>+BC26/AW26-1</f>
        <v>4.8468610542918844E-2</v>
      </c>
      <c r="BD27" s="940"/>
      <c r="BE27" s="411">
        <f>BE28+BE$18</f>
        <v>4.3124802417398793E-2</v>
      </c>
      <c r="BF27" s="406">
        <f>BF28+BF$18</f>
        <v>6.5667017019040305E-2</v>
      </c>
      <c r="BG27" s="406">
        <f>BG28+BG$18</f>
        <v>3.532582467068069E-2</v>
      </c>
      <c r="BH27" s="406">
        <f>BH28+BH$18</f>
        <v>9.655483870967739E-2</v>
      </c>
      <c r="BI27" s="505">
        <f>+BI26/BC26-1</f>
        <v>6.6227230956908967E-2</v>
      </c>
      <c r="BJ27" s="940"/>
      <c r="BK27" s="411">
        <f>BK28+BK$18</f>
        <v>4.9999999999999996E-2</v>
      </c>
      <c r="BL27" s="406">
        <f>BL28+BL$18</f>
        <v>0.03</v>
      </c>
      <c r="BM27" s="406">
        <f>BM28+BM$18</f>
        <v>6.0000000000000005E-2</v>
      </c>
      <c r="BN27" s="406">
        <f>BN28+BN$18</f>
        <v>6.4000000000000001E-2</v>
      </c>
      <c r="BO27" s="505">
        <f>+BO26/BI26-1</f>
        <v>5.3207439272916712E-2</v>
      </c>
      <c r="BP27" s="940"/>
      <c r="BQ27" s="411">
        <f>BQ28+BQ$18</f>
        <v>7.4999999999999997E-2</v>
      </c>
      <c r="BR27" s="406">
        <f>BR28+BR$18</f>
        <v>0.09</v>
      </c>
      <c r="BS27" s="406">
        <f>BS28+BS$18</f>
        <v>0.05</v>
      </c>
      <c r="BT27" s="406">
        <f>BT28+BT$18</f>
        <v>7.0000000000000007E-2</v>
      </c>
      <c r="BU27" s="505">
        <f>+BU26/BO26-1</f>
        <v>7.0143778688735114E-2</v>
      </c>
      <c r="BV27" s="24"/>
      <c r="BW27" s="411">
        <f>BW28+BW$18</f>
        <v>7.0000000000000007E-2</v>
      </c>
      <c r="BX27" s="406">
        <f>BX28+BX$18</f>
        <v>0.05</v>
      </c>
      <c r="BY27" s="406">
        <f>BY28+BY$18</f>
        <v>0.04</v>
      </c>
      <c r="BZ27" s="406">
        <f>BZ28+BZ$18</f>
        <v>3.4000000000000002E-2</v>
      </c>
      <c r="CA27" s="505">
        <f>+CA26/BU26-1</f>
        <v>4.39694394793535E-2</v>
      </c>
      <c r="CB27" s="24"/>
      <c r="CC27" s="411">
        <f>CC28+CC$18</f>
        <v>0.06</v>
      </c>
      <c r="CD27" s="406">
        <f>CD28+CD$18</f>
        <v>0.04</v>
      </c>
      <c r="CE27" s="406">
        <f>CE28+CE$18</f>
        <v>0.05</v>
      </c>
      <c r="CF27" s="406">
        <f>CF28+CF$18</f>
        <v>3.4000000000000002E-2</v>
      </c>
      <c r="CG27" s="505">
        <f>+CG26/CA26-1</f>
        <v>4.2894059759580161E-2</v>
      </c>
      <c r="CH27" s="24"/>
      <c r="CI27" s="411">
        <f>CI28+CI$18</f>
        <v>0.06</v>
      </c>
      <c r="CJ27" s="406">
        <f>CJ28+CJ$18</f>
        <v>0.04</v>
      </c>
      <c r="CK27" s="406">
        <f>CK28+CK$18</f>
        <v>0.05</v>
      </c>
      <c r="CL27" s="406">
        <f>CL28+CL$18</f>
        <v>3.4000000000000002E-2</v>
      </c>
      <c r="CM27" s="505">
        <f>+CM26/CG26-1</f>
        <v>4.2974945411606624E-2</v>
      </c>
    </row>
    <row r="28" spans="1:91" hidden="1" outlineLevel="1">
      <c r="A28" s="941" t="s">
        <v>290</v>
      </c>
      <c r="B28" s="935"/>
      <c r="C28" s="942"/>
      <c r="D28" s="942"/>
      <c r="E28" s="942"/>
      <c r="F28" s="942"/>
      <c r="G28" s="943"/>
      <c r="H28" s="935"/>
      <c r="I28" s="942"/>
      <c r="J28" s="942"/>
      <c r="K28" s="942"/>
      <c r="L28" s="942"/>
      <c r="M28" s="505"/>
      <c r="N28" s="935"/>
      <c r="O28" s="406">
        <f>O27-O$18</f>
        <v>-0.35454545454545455</v>
      </c>
      <c r="P28" s="406">
        <f>P27-P$18</f>
        <v>-0.23968421052631572</v>
      </c>
      <c r="Q28" s="406">
        <f>Q27-Q$18</f>
        <v>-0.11951219512195123</v>
      </c>
      <c r="R28" s="406">
        <f>R27-R$18</f>
        <v>-8.4210526315789402E-2</v>
      </c>
      <c r="S28" s="505">
        <f>AVERAGE(O28:R28)</f>
        <v>-0.19948809662737771</v>
      </c>
      <c r="T28" s="939"/>
      <c r="U28" s="406">
        <f>U27-U18</f>
        <v>-0.21517241379310334</v>
      </c>
      <c r="V28" s="406">
        <f>V27-V18</f>
        <v>2.7500000000000073E-2</v>
      </c>
      <c r="W28" s="406">
        <f>W27-W18</f>
        <v>8.1666666666666762E-2</v>
      </c>
      <c r="X28" s="406">
        <f>X27-X18</f>
        <v>0.21162947937795806</v>
      </c>
      <c r="Y28" s="505">
        <f>AVERAGE(U28:X28)</f>
        <v>2.6405933062880391E-2</v>
      </c>
      <c r="Z28" s="828"/>
      <c r="AA28" s="944">
        <v>0.04</v>
      </c>
      <c r="AB28" s="945">
        <v>0.04</v>
      </c>
      <c r="AC28" s="945">
        <v>0.04</v>
      </c>
      <c r="AD28" s="945">
        <v>0.04</v>
      </c>
      <c r="AE28" s="505">
        <f>AVERAGE(AA28:AD28)</f>
        <v>0.04</v>
      </c>
      <c r="AF28" s="828"/>
      <c r="AG28" s="944">
        <v>-0.2</v>
      </c>
      <c r="AH28" s="945">
        <v>0</v>
      </c>
      <c r="AI28" s="945">
        <v>-0.01</v>
      </c>
      <c r="AJ28" s="904">
        <v>-4.3999999999999997E-2</v>
      </c>
      <c r="AK28" s="505">
        <f>AVERAGE(AG28:AJ28)</f>
        <v>-6.3500000000000001E-2</v>
      </c>
      <c r="AL28" s="828"/>
      <c r="AM28" s="903">
        <v>0.02</v>
      </c>
      <c r="AN28" s="904">
        <v>-0.1</v>
      </c>
      <c r="AO28" s="904">
        <v>-0.01</v>
      </c>
      <c r="AP28" s="904">
        <v>0.1</v>
      </c>
      <c r="AQ28" s="505">
        <f>AVERAGE(AM28:AP28)</f>
        <v>2.5000000000000022E-3</v>
      </c>
      <c r="AR28" s="940"/>
      <c r="AS28" s="903">
        <v>0.01</v>
      </c>
      <c r="AT28" s="904">
        <v>0.05</v>
      </c>
      <c r="AU28" s="904">
        <v>0.08</v>
      </c>
      <c r="AV28" s="904">
        <v>0.09</v>
      </c>
      <c r="AW28" s="505">
        <f>AVERAGE(AS28:AV28)</f>
        <v>5.7500000000000002E-2</v>
      </c>
      <c r="AX28" s="940"/>
      <c r="AY28" s="903">
        <v>0.14680000000000001</v>
      </c>
      <c r="AZ28" s="904">
        <v>0.1255</v>
      </c>
      <c r="BA28" s="904">
        <v>0.11395</v>
      </c>
      <c r="BB28" s="904">
        <v>9.8000000000000004E-2</v>
      </c>
      <c r="BC28" s="505">
        <f>AVERAGE(AY28:BB28)</f>
        <v>0.12106249999999999</v>
      </c>
      <c r="BD28" s="940"/>
      <c r="BE28" s="1665">
        <v>0.06</v>
      </c>
      <c r="BF28" s="1680">
        <v>6.5000000000000002E-2</v>
      </c>
      <c r="BG28" s="904">
        <v>3.2578999999999997E-2</v>
      </c>
      <c r="BH28" s="904">
        <v>0.11655483870967739</v>
      </c>
      <c r="BI28" s="505">
        <f>AVERAGE(BE28:BH28)</f>
        <v>6.8533459677419348E-2</v>
      </c>
      <c r="BJ28" s="940"/>
      <c r="BK28" s="1665">
        <v>0.06</v>
      </c>
      <c r="BL28" s="2020">
        <v>0.04</v>
      </c>
      <c r="BM28" s="2020">
        <v>0.05</v>
      </c>
      <c r="BN28" s="1680">
        <v>3.4000000000000002E-2</v>
      </c>
      <c r="BO28" s="505">
        <f>AVERAGE(BK28:BN28)</f>
        <v>4.6000000000000006E-2</v>
      </c>
      <c r="BP28" s="940"/>
      <c r="BQ28" s="1761">
        <v>0.08</v>
      </c>
      <c r="BR28" s="1760">
        <v>0.09</v>
      </c>
      <c r="BS28" s="1760">
        <v>0.05</v>
      </c>
      <c r="BT28" s="1760">
        <v>7.0000000000000007E-2</v>
      </c>
      <c r="BU28" s="505">
        <f>AVERAGE(BQ28:BT28)</f>
        <v>7.2499999999999995E-2</v>
      </c>
      <c r="BV28" s="24"/>
      <c r="BW28" s="1761">
        <v>7.0000000000000007E-2</v>
      </c>
      <c r="BX28" s="1760">
        <v>0.05</v>
      </c>
      <c r="BY28" s="1760">
        <v>0.04</v>
      </c>
      <c r="BZ28" s="1760">
        <v>3.4000000000000002E-2</v>
      </c>
      <c r="CA28" s="505">
        <f t="shared" ref="CA28" si="16">AVERAGE(BW28:BZ28)</f>
        <v>4.8500000000000001E-2</v>
      </c>
      <c r="CB28" s="24"/>
      <c r="CC28" s="1761">
        <v>0.06</v>
      </c>
      <c r="CD28" s="1760">
        <v>0.04</v>
      </c>
      <c r="CE28" s="1760">
        <v>0.05</v>
      </c>
      <c r="CF28" s="1760">
        <v>3.4000000000000002E-2</v>
      </c>
      <c r="CG28" s="505">
        <f t="shared" ref="CG28" si="17">AVERAGE(CC28:CF28)</f>
        <v>4.6000000000000006E-2</v>
      </c>
      <c r="CH28" s="24"/>
      <c r="CI28" s="1761">
        <v>0.06</v>
      </c>
      <c r="CJ28" s="1760">
        <v>0.04</v>
      </c>
      <c r="CK28" s="1760">
        <v>0.05</v>
      </c>
      <c r="CL28" s="1760">
        <v>3.4000000000000002E-2</v>
      </c>
      <c r="CM28" s="505">
        <f t="shared" ref="CM28" si="18">AVERAGE(CI28:CL28)</f>
        <v>4.6000000000000006E-2</v>
      </c>
    </row>
    <row r="29" spans="1:91" s="2025" customFormat="1" collapsed="1">
      <c r="A29" s="946" t="s">
        <v>364</v>
      </c>
      <c r="B29" s="947"/>
      <c r="C29" s="948"/>
      <c r="D29" s="948"/>
      <c r="E29" s="948"/>
      <c r="F29" s="948"/>
      <c r="G29" s="949">
        <v>159.5</v>
      </c>
      <c r="H29" s="947"/>
      <c r="I29" s="950">
        <v>40.15</v>
      </c>
      <c r="J29" s="950">
        <v>44</v>
      </c>
      <c r="K29" s="950">
        <v>40.15</v>
      </c>
      <c r="L29" s="950">
        <v>46.75</v>
      </c>
      <c r="M29" s="947">
        <f>SUM(I29:L29)</f>
        <v>171.05</v>
      </c>
      <c r="N29" s="947"/>
      <c r="O29" s="950">
        <v>24.75</v>
      </c>
      <c r="P29" s="849">
        <v>37.875</v>
      </c>
      <c r="Q29" s="950">
        <v>47.25</v>
      </c>
      <c r="R29" s="950">
        <v>61.524999999999999</v>
      </c>
      <c r="S29" s="947">
        <f>SUM(O29:R29)</f>
        <v>171.4</v>
      </c>
      <c r="T29" s="416"/>
      <c r="U29" s="950">
        <v>35</v>
      </c>
      <c r="V29" s="950">
        <v>41.25</v>
      </c>
      <c r="W29" s="950">
        <v>49.4</v>
      </c>
      <c r="X29" s="950">
        <v>72.8</v>
      </c>
      <c r="Y29" s="947">
        <f>SUM(U29:X29)</f>
        <v>198.45</v>
      </c>
      <c r="Z29" s="948"/>
      <c r="AA29" s="951">
        <v>45.5</v>
      </c>
      <c r="AB29" s="950">
        <v>47.4375</v>
      </c>
      <c r="AC29" s="950">
        <v>57.303999999999995</v>
      </c>
      <c r="AD29" s="950">
        <v>80.808000000000007</v>
      </c>
      <c r="AE29" s="949">
        <v>231.04950000000002</v>
      </c>
      <c r="AF29" s="948"/>
      <c r="AG29" s="952">
        <f>AA29*(1+AG30)</f>
        <v>44.589999999999996</v>
      </c>
      <c r="AH29" s="948">
        <f>AB29*(1+AH30)</f>
        <v>53.13</v>
      </c>
      <c r="AI29" s="948">
        <f>AC29*(1+AI30)</f>
        <v>54.438799999999993</v>
      </c>
      <c r="AJ29" s="948">
        <f>AD29*(1+AJ30)</f>
        <v>76.121136000000007</v>
      </c>
      <c r="AK29" s="947">
        <f>SUM(AG29:AJ29)</f>
        <v>228.27993599999999</v>
      </c>
      <c r="AL29" s="948"/>
      <c r="AM29" s="952">
        <f>AG29*(1+AM30)</f>
        <v>44.367049999999999</v>
      </c>
      <c r="AN29" s="948">
        <f>AH29*(1+AN30)</f>
        <v>47.44509</v>
      </c>
      <c r="AO29" s="948">
        <f>AI29*(1+AO30)</f>
        <v>52.805635999999993</v>
      </c>
      <c r="AP29" s="948">
        <f>AJ29*(1+AP30)</f>
        <v>82.210826880000013</v>
      </c>
      <c r="AQ29" s="952">
        <f>SUM(AM29:AP29)</f>
        <v>226.82860288000001</v>
      </c>
      <c r="AR29" s="952"/>
      <c r="AS29" s="952">
        <f>AM29*(1+AS30)</f>
        <v>44.367049999999999</v>
      </c>
      <c r="AT29" s="948">
        <f>AN29*(1+AT30)</f>
        <v>51.145807020000007</v>
      </c>
      <c r="AU29" s="948">
        <f>AO29*(1+AU30)</f>
        <v>57.030086879999999</v>
      </c>
      <c r="AV29" s="948">
        <f>AP29*(1+AV30)</f>
        <v>86.321368224000011</v>
      </c>
      <c r="AW29" s="952">
        <f>SUM(AS29:AV29)</f>
        <v>238.86431212400004</v>
      </c>
      <c r="AX29" s="952"/>
      <c r="AY29" s="952">
        <f>AS29*(1+AY30)</f>
        <v>45.128388577999999</v>
      </c>
      <c r="AZ29" s="948">
        <f>AT29*(1+AZ30)</f>
        <v>53.958826406100002</v>
      </c>
      <c r="BA29" s="948">
        <f>AU29*(1+BA30)</f>
        <v>58.113658530719995</v>
      </c>
      <c r="BB29" s="948">
        <f>AV29*(1+BB30)</f>
        <v>83.20913804161043</v>
      </c>
      <c r="BC29" s="947">
        <f>SUM(AY29:BB29)</f>
        <v>240.41001155643042</v>
      </c>
      <c r="BD29" s="952"/>
      <c r="BE29" s="952">
        <f>AY29*(1+BE30)</f>
        <v>47.300183361731847</v>
      </c>
      <c r="BF29" s="948">
        <f>AZ29*(1+BF30)</f>
        <v>57.983066912876815</v>
      </c>
      <c r="BG29" s="948">
        <f>BA29*(1+BG30)</f>
        <v>60.016696317597294</v>
      </c>
      <c r="BH29" s="948">
        <f>BB29*(1+BH30)</f>
        <v>92.362143226187584</v>
      </c>
      <c r="BI29" s="947">
        <f>SUM(BE29:BH29)</f>
        <v>257.66208981839355</v>
      </c>
      <c r="BJ29" s="952"/>
      <c r="BK29" s="952">
        <f>BE29*(1+BK30)</f>
        <v>49.665192529818441</v>
      </c>
      <c r="BL29" s="948">
        <f>BF29*(1+BL30)</f>
        <v>60.302389589391886</v>
      </c>
      <c r="BM29" s="948">
        <f>BG29*(1+BM30)</f>
        <v>63.617698096653136</v>
      </c>
      <c r="BN29" s="948">
        <f>BH29*(1+BN30)</f>
        <v>98.273320392663592</v>
      </c>
      <c r="BO29" s="947">
        <f>SUM(BK29:BN29)</f>
        <v>271.85860060852707</v>
      </c>
      <c r="BP29" s="952"/>
      <c r="BQ29" s="952">
        <f>BK29*(1+BQ30)</f>
        <v>53.390081969554821</v>
      </c>
      <c r="BR29" s="948">
        <f>BL29*(1+BR30)</f>
        <v>65.72960465243716</v>
      </c>
      <c r="BS29" s="948">
        <f>BM29*(1+BS30)</f>
        <v>66.798583001485795</v>
      </c>
      <c r="BT29" s="948">
        <f>BN29*(1+BT30)</f>
        <v>105.15245282015005</v>
      </c>
      <c r="BU29" s="947">
        <f>SUM(BQ29:BT29)</f>
        <v>291.0707224436278</v>
      </c>
      <c r="BV29" s="443"/>
      <c r="BW29" s="952">
        <f>BQ29*(1+BW30)</f>
        <v>57.127387707423658</v>
      </c>
      <c r="BX29" s="948">
        <f>BR29*(1+BX30)</f>
        <v>69.016084885059016</v>
      </c>
      <c r="BY29" s="948">
        <f>BS29*(1+BY30)</f>
        <v>70.80649798157495</v>
      </c>
      <c r="BZ29" s="948">
        <f>BT29*(1+BZ30)</f>
        <v>109.35855093295605</v>
      </c>
      <c r="CA29" s="947">
        <f>SUM(BW29:BZ29)</f>
        <v>306.30852150701367</v>
      </c>
      <c r="CB29" s="443"/>
      <c r="CC29" s="952">
        <f>BW29*(1+CC30)</f>
        <v>60.55503096986908</v>
      </c>
      <c r="CD29" s="948">
        <f>BX29*(1+CD30)</f>
        <v>71.776728280461384</v>
      </c>
      <c r="CE29" s="948">
        <f>BY29*(1+CE30)</f>
        <v>74.346822880653704</v>
      </c>
      <c r="CF29" s="948">
        <f>BZ29*(1+CF30)</f>
        <v>113.07674166467656</v>
      </c>
      <c r="CG29" s="947">
        <f>SUM(CC29:CF29)</f>
        <v>319.75532379566073</v>
      </c>
      <c r="CH29" s="443"/>
      <c r="CI29" s="952">
        <f>CC29*(1+CI30)</f>
        <v>64.188332828061235</v>
      </c>
      <c r="CJ29" s="948">
        <f>CD29*(1+CJ30)</f>
        <v>74.647797411679846</v>
      </c>
      <c r="CK29" s="948">
        <f>CE29*(1+CK30)</f>
        <v>78.064164024686391</v>
      </c>
      <c r="CL29" s="948">
        <f>CF29*(1+CL30)</f>
        <v>116.92135088127557</v>
      </c>
      <c r="CM29" s="947">
        <f>SUM(CI29:CL29)</f>
        <v>333.82164514570303</v>
      </c>
    </row>
    <row r="30" spans="1:91" hidden="1" outlineLevel="1">
      <c r="A30" s="180" t="s">
        <v>293</v>
      </c>
      <c r="B30" s="935"/>
      <c r="C30" s="936"/>
      <c r="D30" s="936"/>
      <c r="E30" s="936"/>
      <c r="F30" s="936"/>
      <c r="G30" s="937"/>
      <c r="H30" s="935"/>
      <c r="I30" s="936"/>
      <c r="J30" s="936"/>
      <c r="K30" s="936"/>
      <c r="L30" s="936"/>
      <c r="M30" s="505">
        <f>M29/G29-1</f>
        <v>7.241379310344831E-2</v>
      </c>
      <c r="N30" s="935"/>
      <c r="O30" s="406">
        <f>O29/I29-1</f>
        <v>-0.38356164383561642</v>
      </c>
      <c r="P30" s="406">
        <f>P29/J29-1</f>
        <v>-0.13920454545454541</v>
      </c>
      <c r="Q30" s="406">
        <f>Q29/K29-1</f>
        <v>0.17683686176836866</v>
      </c>
      <c r="R30" s="406">
        <f>R29/L29-1</f>
        <v>0.31604278074866299</v>
      </c>
      <c r="S30" s="505">
        <f>S29/M29-1</f>
        <v>2.0461853259281515E-3</v>
      </c>
      <c r="T30" s="939"/>
      <c r="U30" s="406">
        <f>U29/O29-1</f>
        <v>0.41414141414141414</v>
      </c>
      <c r="V30" s="406">
        <f>V29/P29-1</f>
        <v>8.9108910891089188E-2</v>
      </c>
      <c r="W30" s="406">
        <f>W29/Q29-1</f>
        <v>4.5502645502645489E-2</v>
      </c>
      <c r="X30" s="406">
        <f>X29/R29-1</f>
        <v>0.18325883787078423</v>
      </c>
      <c r="Y30" s="505">
        <f>Y29/S29-1</f>
        <v>0.15781796966161021</v>
      </c>
      <c r="Z30" s="828"/>
      <c r="AA30" s="944">
        <v>0.3</v>
      </c>
      <c r="AB30" s="945">
        <v>0.15</v>
      </c>
      <c r="AC30" s="945">
        <v>0.16</v>
      </c>
      <c r="AD30" s="938">
        <f>AD31+AD$18</f>
        <v>0.11</v>
      </c>
      <c r="AE30" s="505">
        <f>+AE29/Y29-1</f>
        <v>0.16427059712774006</v>
      </c>
      <c r="AF30" s="828"/>
      <c r="AG30" s="411">
        <f>AG31+AG$18</f>
        <v>-0.02</v>
      </c>
      <c r="AH30" s="406">
        <f>AH31+AH$18</f>
        <v>0.12</v>
      </c>
      <c r="AI30" s="406">
        <f>AI31+AI$18</f>
        <v>-0.05</v>
      </c>
      <c r="AJ30" s="406">
        <f>AJ31+AJ$18</f>
        <v>-5.7999999999999996E-2</v>
      </c>
      <c r="AK30" s="505">
        <f>+AK29/AE29-1</f>
        <v>-1.1986885927041779E-2</v>
      </c>
      <c r="AL30" s="828"/>
      <c r="AM30" s="411">
        <f>AM31+AM$18</f>
        <v>-4.9999999999999975E-3</v>
      </c>
      <c r="AN30" s="406">
        <f>AN31+AN$18</f>
        <v>-0.107</v>
      </c>
      <c r="AO30" s="406">
        <f>AO31+AO$18</f>
        <v>-0.03</v>
      </c>
      <c r="AP30" s="406">
        <f>AP31+AP$18</f>
        <v>0.08</v>
      </c>
      <c r="AQ30" s="411">
        <f>+AQ29/AK29-1</f>
        <v>-6.3576902352030507E-3</v>
      </c>
      <c r="AR30" s="940"/>
      <c r="AS30" s="411">
        <f>AS31+AS$18</f>
        <v>0</v>
      </c>
      <c r="AT30" s="406">
        <f>AT31+AT$18</f>
        <v>7.8000000000000014E-2</v>
      </c>
      <c r="AU30" s="406">
        <f>AU31+AU$18</f>
        <v>0.08</v>
      </c>
      <c r="AV30" s="406">
        <f>AV31+AV$18</f>
        <v>0.05</v>
      </c>
      <c r="AW30" s="411">
        <f>+AW29/AQ29-1</f>
        <v>5.3060809312339252E-2</v>
      </c>
      <c r="AX30" s="940"/>
      <c r="AY30" s="411">
        <f>AY31+AY$18</f>
        <v>1.7159999999999995E-2</v>
      </c>
      <c r="AZ30" s="406">
        <f>AZ31+AZ$18</f>
        <v>5.4999999999999993E-2</v>
      </c>
      <c r="BA30" s="406">
        <f>BA31+BA$18</f>
        <v>1.9000000000000003E-2</v>
      </c>
      <c r="BB30" s="406">
        <f>BB31+BB$18</f>
        <v>-3.6053995046898352E-2</v>
      </c>
      <c r="BC30" s="505">
        <f>+BC29/AW29-1</f>
        <v>6.4710354539190273E-3</v>
      </c>
      <c r="BD30" s="940"/>
      <c r="BE30" s="411">
        <f>BE31+BE$18</f>
        <v>4.8124802417398797E-2</v>
      </c>
      <c r="BF30" s="406">
        <f>BF31+BF$18</f>
        <v>7.4579837531860815E-2</v>
      </c>
      <c r="BG30" s="406">
        <f>BG31+BG$18</f>
        <v>3.2746824670680692E-2</v>
      </c>
      <c r="BH30" s="406">
        <f>BH31+BH$18</f>
        <v>0.11</v>
      </c>
      <c r="BI30" s="505">
        <f>+BI29/BC29-1</f>
        <v>7.1761064151496967E-2</v>
      </c>
      <c r="BJ30" s="940"/>
      <c r="BK30" s="411">
        <f>BK31+BK$18</f>
        <v>4.9999999999999996E-2</v>
      </c>
      <c r="BL30" s="406">
        <f>BL31+BL$18</f>
        <v>0.04</v>
      </c>
      <c r="BM30" s="406">
        <f>BM31+BM$18</f>
        <v>6.0000000000000005E-2</v>
      </c>
      <c r="BN30" s="406">
        <f>BN31+BN$18</f>
        <v>6.4000000000000001E-2</v>
      </c>
      <c r="BO30" s="505">
        <f>+BO29/BI29-1</f>
        <v>5.5097398302325074E-2</v>
      </c>
      <c r="BP30" s="940"/>
      <c r="BQ30" s="411">
        <f>BQ31+BQ$18</f>
        <v>7.4999999999999997E-2</v>
      </c>
      <c r="BR30" s="406">
        <f>BR31+BR$18</f>
        <v>0.09</v>
      </c>
      <c r="BS30" s="406">
        <f>BS31+BS$18</f>
        <v>0.05</v>
      </c>
      <c r="BT30" s="406">
        <f>BT31+BT$18</f>
        <v>7.0000000000000007E-2</v>
      </c>
      <c r="BU30" s="505">
        <f>+BU29/BO29-1</f>
        <v>7.0669538473663973E-2</v>
      </c>
      <c r="BV30" s="24"/>
      <c r="BW30" s="411">
        <f>BW31+BW$18</f>
        <v>7.0000000000000007E-2</v>
      </c>
      <c r="BX30" s="406">
        <f>BX31+BX$18</f>
        <v>0.05</v>
      </c>
      <c r="BY30" s="406">
        <f>BY31+BY$18</f>
        <v>0.06</v>
      </c>
      <c r="BZ30" s="406">
        <f>BZ31+BZ$18</f>
        <v>0.04</v>
      </c>
      <c r="CA30" s="505">
        <f>+CA29/BU29-1</f>
        <v>5.2350847709655923E-2</v>
      </c>
      <c r="CB30" s="24"/>
      <c r="CC30" s="411">
        <f>CC31+CC$18</f>
        <v>0.06</v>
      </c>
      <c r="CD30" s="406">
        <f>CD31+CD$18</f>
        <v>0.04</v>
      </c>
      <c r="CE30" s="406">
        <f>CE31+CE$18</f>
        <v>0.05</v>
      </c>
      <c r="CF30" s="406">
        <f>CF31+CF$18</f>
        <v>3.4000000000000002E-2</v>
      </c>
      <c r="CG30" s="505">
        <f>+CG29/CA29-1</f>
        <v>4.3899537050062776E-2</v>
      </c>
      <c r="CH30" s="24"/>
      <c r="CI30" s="411">
        <f>CI31+CI$18</f>
        <v>0.06</v>
      </c>
      <c r="CJ30" s="406">
        <f>CJ31+CJ$18</f>
        <v>0.04</v>
      </c>
      <c r="CK30" s="406">
        <f>CK31+CK$18</f>
        <v>0.05</v>
      </c>
      <c r="CL30" s="406">
        <f>CL31+CL$18</f>
        <v>3.4000000000000002E-2</v>
      </c>
      <c r="CM30" s="505">
        <f>+CM29/CG29-1</f>
        <v>4.3990890231530244E-2</v>
      </c>
    </row>
    <row r="31" spans="1:91" hidden="1" outlineLevel="1">
      <c r="A31" s="941" t="s">
        <v>290</v>
      </c>
      <c r="B31" s="935"/>
      <c r="C31" s="942"/>
      <c r="D31" s="942"/>
      <c r="E31" s="942"/>
      <c r="F31" s="942"/>
      <c r="G31" s="943"/>
      <c r="H31" s="935"/>
      <c r="I31" s="942"/>
      <c r="J31" s="942"/>
      <c r="K31" s="942"/>
      <c r="L31" s="942"/>
      <c r="M31" s="505"/>
      <c r="N31" s="935"/>
      <c r="O31" s="406">
        <f>O30-O$18</f>
        <v>-0.4235616438356164</v>
      </c>
      <c r="P31" s="406">
        <f>P30-P$18</f>
        <v>-0.12920454545454541</v>
      </c>
      <c r="Q31" s="406">
        <f>Q30-Q$18</f>
        <v>0.19683686176836865</v>
      </c>
      <c r="R31" s="406">
        <f>R30-R$18</f>
        <v>0.31604278074866299</v>
      </c>
      <c r="S31" s="505">
        <f>AVERAGE(O31:R31)</f>
        <v>-9.9716366932825484E-3</v>
      </c>
      <c r="T31" s="939"/>
      <c r="U31" s="406">
        <f>U30-U$18</f>
        <v>0.37414141414141416</v>
      </c>
      <c r="V31" s="406">
        <f>V30-V$18</f>
        <v>9.9108910891089183E-2</v>
      </c>
      <c r="W31" s="406">
        <f>W30-W$18</f>
        <v>6.5502645502645493E-2</v>
      </c>
      <c r="X31" s="406">
        <f>X30-X$18</f>
        <v>0.18325883787078423</v>
      </c>
      <c r="Y31" s="505">
        <f>AVERAGE(U31:X31)</f>
        <v>0.18050295210148326</v>
      </c>
      <c r="Z31" s="828"/>
      <c r="AA31" s="411">
        <f>AA30-AA$18</f>
        <v>0.27999999999999997</v>
      </c>
      <c r="AB31" s="406">
        <f>AB30-AB$18</f>
        <v>0.09</v>
      </c>
      <c r="AC31" s="406">
        <f>AC30-AC$18</f>
        <v>0.12</v>
      </c>
      <c r="AD31" s="945">
        <v>0.11</v>
      </c>
      <c r="AE31" s="505">
        <f>AVERAGE(AA31:AD31)</f>
        <v>0.15</v>
      </c>
      <c r="AF31" s="828"/>
      <c r="AG31" s="944">
        <v>0</v>
      </c>
      <c r="AH31" s="945">
        <v>0.15</v>
      </c>
      <c r="AI31" s="945">
        <v>-0.02</v>
      </c>
      <c r="AJ31" s="904">
        <v>-4.3999999999999997E-2</v>
      </c>
      <c r="AK31" s="505">
        <f>AVERAGE(AG31:AJ31)</f>
        <v>2.1500000000000002E-2</v>
      </c>
      <c r="AL31" s="828"/>
      <c r="AM31" s="903">
        <v>2.5000000000000001E-2</v>
      </c>
      <c r="AN31" s="904">
        <v>-8.6999999999999994E-2</v>
      </c>
      <c r="AO31" s="904">
        <v>-0.01</v>
      </c>
      <c r="AP31" s="904">
        <v>0.1</v>
      </c>
      <c r="AQ31" s="505">
        <f>AVERAGE(AM31:AP31)</f>
        <v>7.0000000000000027E-3</v>
      </c>
      <c r="AR31" s="940"/>
      <c r="AS31" s="903">
        <v>0</v>
      </c>
      <c r="AT31" s="904">
        <v>7.0000000000000007E-2</v>
      </c>
      <c r="AU31" s="904">
        <v>0.08</v>
      </c>
      <c r="AV31" s="904">
        <v>0.1</v>
      </c>
      <c r="AW31" s="505">
        <f>AVERAGE(AS31:AV31)</f>
        <v>6.25E-2</v>
      </c>
      <c r="AX31" s="940"/>
      <c r="AY31" s="903">
        <v>9.7159999999999996E-2</v>
      </c>
      <c r="AZ31" s="904">
        <v>0.125</v>
      </c>
      <c r="BA31" s="904">
        <v>9.2999999999999999E-2</v>
      </c>
      <c r="BB31" s="904">
        <v>1.8370000000000001E-2</v>
      </c>
      <c r="BC31" s="505">
        <f>AVERAGE(AY31:BB31)</f>
        <v>8.3382499999999998E-2</v>
      </c>
      <c r="BD31" s="940"/>
      <c r="BE31" s="1665">
        <v>6.5000000000000002E-2</v>
      </c>
      <c r="BF31" s="1680">
        <v>7.3912820512820512E-2</v>
      </c>
      <c r="BG31" s="904">
        <v>0.03</v>
      </c>
      <c r="BH31" s="904">
        <v>0.13</v>
      </c>
      <c r="BI31" s="505">
        <f>AVERAGE(BE31:BH31)</f>
        <v>7.4728205128205133E-2</v>
      </c>
      <c r="BJ31" s="940"/>
      <c r="BK31" s="1665">
        <v>0.06</v>
      </c>
      <c r="BL31" s="2020">
        <v>0.05</v>
      </c>
      <c r="BM31" s="2020">
        <v>0.05</v>
      </c>
      <c r="BN31" s="1680">
        <v>3.4000000000000002E-2</v>
      </c>
      <c r="BO31" s="505">
        <f>AVERAGE(BK31:BN31)</f>
        <v>4.8500000000000001E-2</v>
      </c>
      <c r="BP31" s="940"/>
      <c r="BQ31" s="1761">
        <v>0.08</v>
      </c>
      <c r="BR31" s="1760">
        <v>0.09</v>
      </c>
      <c r="BS31" s="1760">
        <v>0.05</v>
      </c>
      <c r="BT31" s="1760">
        <v>7.0000000000000007E-2</v>
      </c>
      <c r="BU31" s="505">
        <f>AVERAGE(BQ31:BT31)</f>
        <v>7.2499999999999995E-2</v>
      </c>
      <c r="BV31" s="24"/>
      <c r="BW31" s="1761">
        <v>7.0000000000000007E-2</v>
      </c>
      <c r="BX31" s="1760">
        <v>0.05</v>
      </c>
      <c r="BY31" s="1760">
        <v>0.06</v>
      </c>
      <c r="BZ31" s="1760">
        <v>0.04</v>
      </c>
      <c r="CA31" s="505">
        <f t="shared" ref="CA31" si="19">AVERAGE(BW31:BZ31)</f>
        <v>5.5E-2</v>
      </c>
      <c r="CB31" s="24"/>
      <c r="CC31" s="1761">
        <v>0.06</v>
      </c>
      <c r="CD31" s="1760">
        <v>0.04</v>
      </c>
      <c r="CE31" s="1760">
        <v>0.05</v>
      </c>
      <c r="CF31" s="1760">
        <v>3.4000000000000002E-2</v>
      </c>
      <c r="CG31" s="505">
        <f t="shared" ref="CG31" si="20">AVERAGE(CC31:CF31)</f>
        <v>4.6000000000000006E-2</v>
      </c>
      <c r="CH31" s="24"/>
      <c r="CI31" s="1761">
        <v>0.06</v>
      </c>
      <c r="CJ31" s="1760">
        <v>0.04</v>
      </c>
      <c r="CK31" s="1760">
        <v>0.05</v>
      </c>
      <c r="CL31" s="1760">
        <v>3.4000000000000002E-2</v>
      </c>
      <c r="CM31" s="505">
        <f t="shared" ref="CM31" si="21">AVERAGE(CI31:CL31)</f>
        <v>4.6000000000000006E-2</v>
      </c>
    </row>
    <row r="32" spans="1:91" s="2025" customFormat="1" collapsed="1">
      <c r="A32" s="953" t="s">
        <v>102</v>
      </c>
      <c r="B32" s="947"/>
      <c r="C32" s="110"/>
      <c r="D32" s="110"/>
      <c r="E32" s="110"/>
      <c r="F32" s="110"/>
      <c r="G32" s="949">
        <f>105-1.232</f>
        <v>103.768</v>
      </c>
      <c r="H32" s="947"/>
      <c r="I32" s="950">
        <v>25.800999999999998</v>
      </c>
      <c r="J32" s="422">
        <f>I32+0.246</f>
        <v>26.046999999999997</v>
      </c>
      <c r="K32" s="422">
        <f>J32+0.979</f>
        <v>27.025999999999996</v>
      </c>
      <c r="L32" s="422">
        <f>K32+0.601</f>
        <v>27.626999999999995</v>
      </c>
      <c r="M32" s="947">
        <f>SUM(I32:L32)</f>
        <v>106.50099999999999</v>
      </c>
      <c r="N32" s="947"/>
      <c r="O32" s="948">
        <f>I32*(1+O33)</f>
        <v>17.42496336</v>
      </c>
      <c r="P32" s="855">
        <f>J32*(1+P33)</f>
        <v>20.789933989999998</v>
      </c>
      <c r="Q32" s="948">
        <f>K32*(1+Q33)</f>
        <v>20.384630759999997</v>
      </c>
      <c r="R32" s="948">
        <f>L32*(1+R33)</f>
        <v>24.121133699999994</v>
      </c>
      <c r="S32" s="947">
        <f>SUM(O32:R32)</f>
        <v>82.720661809999996</v>
      </c>
      <c r="T32" s="954"/>
      <c r="U32" s="948">
        <f>O32*(1+U33)</f>
        <v>16.171585745515198</v>
      </c>
      <c r="V32" s="948">
        <f>P32*(1+V33)</f>
        <v>21.079953569160494</v>
      </c>
      <c r="W32" s="948">
        <f>Q32*(1+W33)</f>
        <v>21.788316434133595</v>
      </c>
      <c r="X32" s="954">
        <f>R32*(1+X33)</f>
        <v>25.804065198248995</v>
      </c>
      <c r="Y32" s="947">
        <f>SUM(U32:X32)</f>
        <v>84.84392094705828</v>
      </c>
      <c r="Z32" s="952"/>
      <c r="AA32" s="952">
        <f>U32*(1+AA33)</f>
        <v>28.684350216107585</v>
      </c>
      <c r="AB32" s="948">
        <f>V32*(1+AB33)</f>
        <v>24.077522966695113</v>
      </c>
      <c r="AC32" s="948">
        <f>W32*(1+AC33)</f>
        <v>27.750471343169909</v>
      </c>
      <c r="AD32" s="954">
        <f>X32*(1+AD33)</f>
        <v>24.589209808715431</v>
      </c>
      <c r="AE32" s="947">
        <f>SUM(AA32:AD32)</f>
        <v>105.10155433468805</v>
      </c>
      <c r="AF32" s="952"/>
      <c r="AG32" s="952">
        <f>AA32*(1+AG33)</f>
        <v>26.497455355631544</v>
      </c>
      <c r="AH32" s="948">
        <f>AB32*(1+AH33)</f>
        <v>25.762949574363773</v>
      </c>
      <c r="AI32" s="948">
        <f>AC32*(1+AI33)</f>
        <v>29.693004337191805</v>
      </c>
      <c r="AJ32" s="954">
        <f>AD32*(1+AJ33)</f>
        <v>22.720429863253059</v>
      </c>
      <c r="AK32" s="947">
        <f>SUM(AG32:AJ32)</f>
        <v>104.67383913044019</v>
      </c>
      <c r="AL32" s="948"/>
      <c r="AM32" s="952">
        <f>AG32*(1+AM33)</f>
        <v>26.762429909187858</v>
      </c>
      <c r="AN32" s="948">
        <f>AH32*(1+AN33)</f>
        <v>22.929025121183759</v>
      </c>
      <c r="AO32" s="948">
        <f>AI32*(1+AO33)</f>
        <v>29.396074293819886</v>
      </c>
      <c r="AP32" s="948">
        <f>AJ32*(1+AP33)</f>
        <v>24.765268550945837</v>
      </c>
      <c r="AQ32" s="952">
        <f>SUM(AM32:AP32)</f>
        <v>103.85279787513734</v>
      </c>
      <c r="AR32" s="952"/>
      <c r="AS32" s="952">
        <f>AM32*(1+AS33)</f>
        <v>27.076633306837881</v>
      </c>
      <c r="AT32" s="948">
        <f>AN32*(1+AT33)</f>
        <v>29.433239300434444</v>
      </c>
      <c r="AU32" s="948">
        <f>AO32*(1+AU33)</f>
        <v>32.51561823732554</v>
      </c>
      <c r="AV32" s="948">
        <f>AP32*(1+AV33)</f>
        <v>28.204647657437206</v>
      </c>
      <c r="AW32" s="952">
        <f>SUM(AS32:AV32)</f>
        <v>117.23013850203508</v>
      </c>
      <c r="AX32" s="952"/>
      <c r="AY32" s="952">
        <f>AS32*(1+AY33)</f>
        <v>31.603846395741176</v>
      </c>
      <c r="AZ32" s="948">
        <f>AT32*(1+AZ33)</f>
        <v>31.052067461958337</v>
      </c>
      <c r="BA32" s="948">
        <f>AU32*(1+BA33)</f>
        <v>33.58863363915728</v>
      </c>
      <c r="BB32" s="948">
        <f>AV32*(1+BB33)</f>
        <v>26.865193983557116</v>
      </c>
      <c r="BC32" s="947">
        <f>SUM(AY32:BB32)</f>
        <v>123.10974148041392</v>
      </c>
      <c r="BD32" s="952"/>
      <c r="BE32" s="952">
        <f>AY32*(1+BE33)</f>
        <v>32.552909903005286</v>
      </c>
      <c r="BF32" s="948">
        <f>AZ32*(1+BF33)</f>
        <v>32.604670835056254</v>
      </c>
      <c r="BG32" s="948">
        <f>BA32*(1+BG33)</f>
        <v>34.260406311940429</v>
      </c>
      <c r="BH32" s="948">
        <f>BB32*(1+BH33)</f>
        <v>28.208453682734973</v>
      </c>
      <c r="BI32" s="947">
        <f>SUM(BE32:BH32)</f>
        <v>127.62644073273694</v>
      </c>
      <c r="BJ32" s="952"/>
      <c r="BK32" s="952">
        <f>BE32*(1+BK33)</f>
        <v>34.074714211473633</v>
      </c>
      <c r="BL32" s="948">
        <f>BF32*(1+BL33)</f>
        <v>33.801019538035867</v>
      </c>
      <c r="BM32" s="948">
        <f>BG32*(1+BM33)</f>
        <v>35.870645408601625</v>
      </c>
      <c r="BN32" s="948">
        <f>BH32*(1+BN33)</f>
        <v>29.167541107947962</v>
      </c>
      <c r="BO32" s="947">
        <f>SUM(BK32:BN32)</f>
        <v>132.91392026605908</v>
      </c>
      <c r="BP32" s="952"/>
      <c r="BQ32" s="952">
        <f>BK32*(1+BQ33)</f>
        <v>36.459944206276788</v>
      </c>
      <c r="BR32" s="948">
        <f>BL32*(1+BR33)</f>
        <v>36.505101101078736</v>
      </c>
      <c r="BS32" s="948">
        <f>BM32*(1+BS33)</f>
        <v>37.66417767903171</v>
      </c>
      <c r="BT32" s="948">
        <f>BN32*(1+BT33)</f>
        <v>30.917593574424842</v>
      </c>
      <c r="BU32" s="947">
        <f>SUM(BQ32:BT32)</f>
        <v>141.54681656081209</v>
      </c>
      <c r="BV32" s="443"/>
      <c r="BW32" s="952">
        <f>BQ32*(1+BW33)</f>
        <v>39.012140300716162</v>
      </c>
      <c r="BX32" s="948">
        <f>BR32*(1+BX33)</f>
        <v>38.330356156132673</v>
      </c>
      <c r="BY32" s="948">
        <f>BS32*(1+BY33)</f>
        <v>39.924028339773614</v>
      </c>
      <c r="BZ32" s="948">
        <f>BT32*(1+BZ33)</f>
        <v>30.608417638680592</v>
      </c>
      <c r="CA32" s="947">
        <f>SUM(BW32:BZ32)</f>
        <v>147.87494243530304</v>
      </c>
      <c r="CB32" s="443"/>
      <c r="CC32" s="952">
        <f>BW32*(1+CC33)</f>
        <v>41.352868718759133</v>
      </c>
      <c r="CD32" s="948">
        <f>BX32*(1+CD33)</f>
        <v>39.863570402377981</v>
      </c>
      <c r="CE32" s="948">
        <f>BY32*(1+CE33)</f>
        <v>41.920229756762296</v>
      </c>
      <c r="CF32" s="948">
        <f>BZ32*(1+CF33)</f>
        <v>29.99624928590698</v>
      </c>
      <c r="CG32" s="947">
        <f>SUM(CC32:CF32)</f>
        <v>153.13291816380638</v>
      </c>
      <c r="CH32" s="443"/>
      <c r="CI32" s="952">
        <f>CC32*(1+CI33)</f>
        <v>43.834040841884686</v>
      </c>
      <c r="CJ32" s="948">
        <f>CD32*(1+CJ33)</f>
        <v>41.458113218473102</v>
      </c>
      <c r="CK32" s="948">
        <f>CE32*(1+CK33)</f>
        <v>44.016241244600415</v>
      </c>
      <c r="CL32" s="948">
        <f>CF32*(1+CL33)</f>
        <v>29.396324300188841</v>
      </c>
      <c r="CM32" s="947">
        <f>SUM(CI32:CL32)</f>
        <v>158.70471960514703</v>
      </c>
    </row>
    <row r="33" spans="1:122" hidden="1" outlineLevel="1">
      <c r="A33" s="180" t="s">
        <v>293</v>
      </c>
      <c r="B33" s="935"/>
      <c r="C33" s="955"/>
      <c r="D33" s="955"/>
      <c r="E33" s="955"/>
      <c r="F33" s="955"/>
      <c r="G33" s="937"/>
      <c r="H33" s="935"/>
      <c r="I33" s="955"/>
      <c r="J33" s="955"/>
      <c r="K33" s="955"/>
      <c r="L33" s="955"/>
      <c r="M33" s="505">
        <f>M32/G32-1</f>
        <v>2.6337599259887323E-2</v>
      </c>
      <c r="N33" s="935"/>
      <c r="O33" s="945">
        <v>-0.32463999999999998</v>
      </c>
      <c r="P33" s="945">
        <v>-0.20183000000000001</v>
      </c>
      <c r="Q33" s="945">
        <v>-0.24573999999999999</v>
      </c>
      <c r="R33" s="945">
        <v>-0.12690000000000001</v>
      </c>
      <c r="S33" s="505">
        <f>S32/M32-1</f>
        <v>-0.22328746387357867</v>
      </c>
      <c r="T33" s="939"/>
      <c r="U33" s="945">
        <v>-7.1929999999999994E-2</v>
      </c>
      <c r="V33" s="945">
        <v>1.3950000000000001E-2</v>
      </c>
      <c r="W33" s="945">
        <v>6.8860000000000005E-2</v>
      </c>
      <c r="X33" s="945">
        <v>6.9769999999999999E-2</v>
      </c>
      <c r="Y33" s="505">
        <f>Y32/S32-1</f>
        <v>2.5667820960320276E-2</v>
      </c>
      <c r="Z33" s="940"/>
      <c r="AA33" s="944">
        <v>0.77375000000000005</v>
      </c>
      <c r="AB33" s="945">
        <v>0.14219999999999999</v>
      </c>
      <c r="AC33" s="945">
        <v>0.27363999999999999</v>
      </c>
      <c r="AD33" s="945">
        <v>-4.7079999999999997E-2</v>
      </c>
      <c r="AE33" s="505">
        <f>AE32/Y32-1</f>
        <v>0.2387635220238149</v>
      </c>
      <c r="AF33" s="940"/>
      <c r="AG33" s="944">
        <v>-7.6240000000000002E-2</v>
      </c>
      <c r="AH33" s="945">
        <v>7.0000000000000007E-2</v>
      </c>
      <c r="AI33" s="945">
        <v>7.0000000000000007E-2</v>
      </c>
      <c r="AJ33" s="904">
        <v>-7.5999999999999998E-2</v>
      </c>
      <c r="AK33" s="505">
        <f>AK32/AE32-1</f>
        <v>-4.0695421390803954E-3</v>
      </c>
      <c r="AL33" s="828"/>
      <c r="AM33" s="903">
        <v>0.01</v>
      </c>
      <c r="AN33" s="904">
        <v>-0.11</v>
      </c>
      <c r="AO33" s="904">
        <v>-0.01</v>
      </c>
      <c r="AP33" s="904">
        <v>0.09</v>
      </c>
      <c r="AQ33" s="411">
        <f>AQ32/AK32-1</f>
        <v>-7.8438056932228495E-3</v>
      </c>
      <c r="AR33" s="940"/>
      <c r="AS33" s="903">
        <v>1.1740465970997326E-2</v>
      </c>
      <c r="AT33" s="904">
        <v>0.2836672795670474</v>
      </c>
      <c r="AU33" s="904">
        <v>0.10612110693166597</v>
      </c>
      <c r="AV33" s="904">
        <v>0.13887913629589979</v>
      </c>
      <c r="AW33" s="411">
        <f>AW32/AQ32-1</f>
        <v>0.12881059442405562</v>
      </c>
      <c r="AX33" s="940"/>
      <c r="AY33" s="903">
        <v>0.16719999999999999</v>
      </c>
      <c r="AZ33" s="904">
        <v>5.5E-2</v>
      </c>
      <c r="BA33" s="904">
        <v>3.3000000000000002E-2</v>
      </c>
      <c r="BB33" s="904">
        <v>-4.7490530289496229E-2</v>
      </c>
      <c r="BC33" s="505">
        <f>BC32/AW32-1</f>
        <v>5.0154363489699039E-2</v>
      </c>
      <c r="BD33" s="940"/>
      <c r="BE33" s="1665">
        <v>3.0030000000000001E-2</v>
      </c>
      <c r="BF33" s="1680">
        <v>0.05</v>
      </c>
      <c r="BG33" s="904">
        <v>0.02</v>
      </c>
      <c r="BH33" s="1680">
        <v>0.05</v>
      </c>
      <c r="BI33" s="505">
        <f>AVERAGE(BE33:BH33)</f>
        <v>3.7507499999999999E-2</v>
      </c>
      <c r="BJ33" s="940"/>
      <c r="BK33" s="1665">
        <v>4.6748641304347825E-2</v>
      </c>
      <c r="BL33" s="2020">
        <v>3.6692555770055778E-2</v>
      </c>
      <c r="BM33" s="2020">
        <v>4.7E-2</v>
      </c>
      <c r="BN33" s="1680">
        <v>3.4000000000000002E-2</v>
      </c>
      <c r="BO33" s="505">
        <f>AVERAGE(BK33:BN33)</f>
        <v>4.1110299268600901E-2</v>
      </c>
      <c r="BP33" s="940"/>
      <c r="BQ33" s="1761">
        <v>7.0000000000000007E-2</v>
      </c>
      <c r="BR33" s="1760">
        <v>0.08</v>
      </c>
      <c r="BS33" s="1760">
        <v>0.05</v>
      </c>
      <c r="BT33" s="1760">
        <v>0.06</v>
      </c>
      <c r="BU33" s="505">
        <f>AVERAGE(BQ33:BT33)</f>
        <v>6.5000000000000002E-2</v>
      </c>
      <c r="BV33" s="71"/>
      <c r="BW33" s="1761">
        <v>7.0000000000000007E-2</v>
      </c>
      <c r="BX33" s="1760">
        <v>0.05</v>
      </c>
      <c r="BY33" s="1760">
        <v>0.06</v>
      </c>
      <c r="BZ33" s="1760">
        <v>-0.01</v>
      </c>
      <c r="CA33" s="505">
        <f>AVERAGE(BW33:BZ33)</f>
        <v>4.2499999999999996E-2</v>
      </c>
      <c r="CB33" s="71"/>
      <c r="CC33" s="1761">
        <v>0.06</v>
      </c>
      <c r="CD33" s="1760">
        <v>0.04</v>
      </c>
      <c r="CE33" s="1760">
        <v>0.05</v>
      </c>
      <c r="CF33" s="1760">
        <v>-0.02</v>
      </c>
      <c r="CG33" s="505">
        <f>AVERAGE(CC33:CF33)</f>
        <v>3.2500000000000008E-2</v>
      </c>
      <c r="CH33" s="71"/>
      <c r="CI33" s="1761">
        <v>0.06</v>
      </c>
      <c r="CJ33" s="1760">
        <v>0.04</v>
      </c>
      <c r="CK33" s="1760">
        <v>0.05</v>
      </c>
      <c r="CL33" s="1760">
        <v>-0.02</v>
      </c>
      <c r="CM33" s="505">
        <f>AVERAGE(CI33:CL33)</f>
        <v>3.2500000000000008E-2</v>
      </c>
    </row>
    <row r="34" spans="1:122" s="68" customFormat="1" hidden="1" outlineLevel="1">
      <c r="A34" s="941" t="s">
        <v>290</v>
      </c>
      <c r="B34" s="956"/>
      <c r="C34" s="955"/>
      <c r="D34" s="955"/>
      <c r="E34" s="955"/>
      <c r="F34" s="955"/>
      <c r="G34" s="957"/>
      <c r="H34" s="956"/>
      <c r="I34" s="955"/>
      <c r="J34" s="955"/>
      <c r="K34" s="955"/>
      <c r="L34" s="955"/>
      <c r="M34" s="505"/>
      <c r="N34" s="956"/>
      <c r="O34" s="406">
        <f>O33-O$18</f>
        <v>-0.36463999999999996</v>
      </c>
      <c r="P34" s="406">
        <f>P33-P$18</f>
        <v>-0.19183</v>
      </c>
      <c r="Q34" s="406">
        <f>Q33-Q$18</f>
        <v>-0.22574</v>
      </c>
      <c r="R34" s="406">
        <f>R33-R$18</f>
        <v>-0.12690000000000001</v>
      </c>
      <c r="S34" s="505">
        <f>AVERAGE(O34:R34)</f>
        <v>-0.22727750000000002</v>
      </c>
      <c r="T34" s="958"/>
      <c r="U34" s="406">
        <f>U33-U$18</f>
        <v>-0.11193</v>
      </c>
      <c r="V34" s="406">
        <f>V33-V$18</f>
        <v>2.3949999999999999E-2</v>
      </c>
      <c r="W34" s="406">
        <f>W33-W$18</f>
        <v>8.8860000000000008E-2</v>
      </c>
      <c r="X34" s="406">
        <f>X33-X$18</f>
        <v>6.9769999999999999E-2</v>
      </c>
      <c r="Y34" s="505">
        <f>AVERAGE(U34:X34)</f>
        <v>1.7662500000000001E-2</v>
      </c>
      <c r="Z34" s="959"/>
      <c r="AA34" s="960">
        <f>AA33-AA$18</f>
        <v>0.75375000000000003</v>
      </c>
      <c r="AB34" s="406">
        <f>AB33-AB$18</f>
        <v>8.2199999999999995E-2</v>
      </c>
      <c r="AC34" s="406">
        <f>AC33-AC$18</f>
        <v>0.23363999999999999</v>
      </c>
      <c r="AD34" s="406">
        <f>AD33-AD$18</f>
        <v>-4.7079999999999997E-2</v>
      </c>
      <c r="AE34" s="505">
        <f>AVERAGE(AA34:AD34)</f>
        <v>0.25562750000000001</v>
      </c>
      <c r="AF34" s="959"/>
      <c r="AG34" s="960">
        <f>AG33-AG$18</f>
        <v>-5.6239999999999998E-2</v>
      </c>
      <c r="AH34" s="406">
        <f>AH33-AH$18</f>
        <v>0.1</v>
      </c>
      <c r="AI34" s="406">
        <f>AI33-AI$18</f>
        <v>0.1</v>
      </c>
      <c r="AJ34" s="406">
        <f>AJ33-AJ$18</f>
        <v>-6.2E-2</v>
      </c>
      <c r="AK34" s="505">
        <f>AVERAGE(AG34:AJ34)</f>
        <v>2.044E-2</v>
      </c>
      <c r="AL34" s="346"/>
      <c r="AM34" s="411">
        <f>AM33-AM$18</f>
        <v>0.04</v>
      </c>
      <c r="AN34" s="406">
        <f>AN33-AN$18</f>
        <v>-0.09</v>
      </c>
      <c r="AO34" s="406">
        <f>AO33-AO$18</f>
        <v>0.01</v>
      </c>
      <c r="AP34" s="406">
        <f>AP33-AP$18</f>
        <v>0.11</v>
      </c>
      <c r="AQ34" s="505">
        <f>AVERAGE(AM34:AP34)</f>
        <v>1.7500000000000002E-2</v>
      </c>
      <c r="AR34" s="961"/>
      <c r="AS34" s="411">
        <f>AS33-AS$18</f>
        <v>1.1740465970997326E-2</v>
      </c>
      <c r="AT34" s="406">
        <f>AT33-AT$18</f>
        <v>0.2756672795670474</v>
      </c>
      <c r="AU34" s="406">
        <f>AU33-AU$18</f>
        <v>0.10612110693166597</v>
      </c>
      <c r="AV34" s="406">
        <f>AV33-AV$18</f>
        <v>0.18887913629589981</v>
      </c>
      <c r="AW34" s="505">
        <f>AVERAGE(AS34:AV34)</f>
        <v>0.14560199719140263</v>
      </c>
      <c r="AX34" s="406"/>
      <c r="AY34" s="411">
        <f>AY33-AY$18</f>
        <v>0.24719999999999998</v>
      </c>
      <c r="AZ34" s="406">
        <f>AZ33-AZ$18</f>
        <v>0.125</v>
      </c>
      <c r="BA34" s="406">
        <f>BA33-BA$18</f>
        <v>0.107</v>
      </c>
      <c r="BB34" s="406">
        <f>BB33-BB$18</f>
        <v>6.9334647574021274E-3</v>
      </c>
      <c r="BC34" s="505">
        <f>AVERAGE(AY34:BB34)</f>
        <v>0.12153336618935053</v>
      </c>
      <c r="BD34" s="961"/>
      <c r="BE34" s="411">
        <f>BE33-BE$18</f>
        <v>4.6905197582601206E-2</v>
      </c>
      <c r="BF34" s="406">
        <f>BF33-BF$18</f>
        <v>4.93329829809597E-2</v>
      </c>
      <c r="BG34" s="406">
        <f>BG33-BG$18</f>
        <v>1.7253175329319307E-2</v>
      </c>
      <c r="BH34" s="406">
        <f>BH33-BH$18</f>
        <v>7.0000000000000007E-2</v>
      </c>
      <c r="BI34" s="505">
        <f>AVERAGE(BE34:BH34)</f>
        <v>4.5872838973220052E-2</v>
      </c>
      <c r="BJ34" s="961"/>
      <c r="BK34" s="411">
        <f>BK33-BK$18</f>
        <v>5.6748641304347827E-2</v>
      </c>
      <c r="BL34" s="406">
        <f>BL33-BL$18</f>
        <v>4.669255577005578E-2</v>
      </c>
      <c r="BM34" s="406">
        <f>BM33-BM$18</f>
        <v>3.6999999999999998E-2</v>
      </c>
      <c r="BN34" s="406">
        <f>BN33-BN$18</f>
        <v>4.0000000000000036E-3</v>
      </c>
      <c r="BO34" s="505">
        <f>AVERAGE(BK34:BN34)</f>
        <v>3.6110299268600904E-2</v>
      </c>
      <c r="BP34" s="961"/>
      <c r="BQ34" s="411">
        <f>BQ33-BQ$18</f>
        <v>7.5000000000000011E-2</v>
      </c>
      <c r="BR34" s="406">
        <f>BR33-BR$18</f>
        <v>0.08</v>
      </c>
      <c r="BS34" s="406">
        <f>BS33-BS$18</f>
        <v>0.05</v>
      </c>
      <c r="BT34" s="406">
        <f>BT33-BT$18</f>
        <v>0.06</v>
      </c>
      <c r="BU34" s="505">
        <f>AVERAGE(BQ34:BT34)</f>
        <v>6.6250000000000003E-2</v>
      </c>
      <c r="BV34" s="358"/>
      <c r="BW34" s="411">
        <f>BW33-BW$18</f>
        <v>7.0000000000000007E-2</v>
      </c>
      <c r="BX34" s="406">
        <f>BX33-BX$18</f>
        <v>0.05</v>
      </c>
      <c r="BY34" s="406">
        <f>BY33-BY$18</f>
        <v>0.06</v>
      </c>
      <c r="BZ34" s="406">
        <f>BZ33-BZ$18</f>
        <v>-0.01</v>
      </c>
      <c r="CA34" s="505">
        <f>AVERAGE(BW34:BZ34)</f>
        <v>4.2499999999999996E-2</v>
      </c>
      <c r="CB34" s="358"/>
      <c r="CC34" s="411">
        <f>CC33-CC$18</f>
        <v>0.06</v>
      </c>
      <c r="CD34" s="406">
        <f>CD33-CD$18</f>
        <v>0.04</v>
      </c>
      <c r="CE34" s="406">
        <f>CE33-CE$18</f>
        <v>0.05</v>
      </c>
      <c r="CF34" s="406">
        <f>CF33-CF$18</f>
        <v>-0.02</v>
      </c>
      <c r="CG34" s="505">
        <f>AVERAGE(CC34:CF34)</f>
        <v>3.2500000000000008E-2</v>
      </c>
      <c r="CH34" s="358"/>
      <c r="CI34" s="411">
        <f>CI33-CI$18</f>
        <v>0.06</v>
      </c>
      <c r="CJ34" s="406">
        <f>CJ33-CJ$18</f>
        <v>0.04</v>
      </c>
      <c r="CK34" s="406">
        <f>CK33-CK$18</f>
        <v>0.05</v>
      </c>
      <c r="CL34" s="406">
        <f>CL33-CL$18</f>
        <v>-0.02</v>
      </c>
      <c r="CM34" s="505">
        <f>AVERAGE(CI34:CL34)</f>
        <v>3.2500000000000008E-2</v>
      </c>
    </row>
    <row r="35" spans="1:122" s="2024" customFormat="1" collapsed="1">
      <c r="A35" s="887" t="s">
        <v>103</v>
      </c>
      <c r="B35" s="897"/>
      <c r="C35" s="896"/>
      <c r="D35" s="896"/>
      <c r="E35" s="896"/>
      <c r="F35" s="896"/>
      <c r="G35" s="897">
        <f>SUM(G32,G26,G29)</f>
        <v>417.88300000000004</v>
      </c>
      <c r="H35" s="897"/>
      <c r="I35" s="896">
        <f>SUM(I32,I26,I29)</f>
        <v>103.351</v>
      </c>
      <c r="J35" s="896">
        <f>SUM(J32,J26,J29)</f>
        <v>110.422</v>
      </c>
      <c r="K35" s="896">
        <f>SUM(K32,K26,K29)</f>
        <v>102.026</v>
      </c>
      <c r="L35" s="896">
        <f>SUM(L32,L26,L29)</f>
        <v>114.752</v>
      </c>
      <c r="M35" s="897">
        <f>SUM(M32,M26,M29)</f>
        <v>430.55099999999999</v>
      </c>
      <c r="N35" s="897"/>
      <c r="O35" s="896">
        <f>SUM(O32,O26,O29)</f>
        <v>67.810963360000002</v>
      </c>
      <c r="P35" s="963">
        <f>SUM(P32,P26,P29)</f>
        <v>88.958933989999991</v>
      </c>
      <c r="Q35" s="896">
        <f>SUM(Q32,Q26,Q29)</f>
        <v>97.622630759999993</v>
      </c>
      <c r="R35" s="895">
        <f>SUM(R32,R26,R29)</f>
        <v>122.6211337</v>
      </c>
      <c r="S35" s="897">
        <f>S26+S29+S32</f>
        <v>377.01366181000003</v>
      </c>
      <c r="T35" s="895"/>
      <c r="U35" s="896">
        <f>U26+U29+U32</f>
        <v>72.316865745515202</v>
      </c>
      <c r="V35" s="896">
        <f>V26+V29+V32</f>
        <v>93.154098569160496</v>
      </c>
      <c r="W35" s="896">
        <f>W26+W29+W32</f>
        <v>103.02557643413358</v>
      </c>
      <c r="X35" s="895">
        <f>X26+X29+X32</f>
        <v>143.40406519824899</v>
      </c>
      <c r="Y35" s="895">
        <f>Y26+Y29+Y32</f>
        <v>411.9006059470583</v>
      </c>
      <c r="Z35" s="896"/>
      <c r="AA35" s="892">
        <f>AA26+AA29+AA32</f>
        <v>96.598347016107596</v>
      </c>
      <c r="AB35" s="896">
        <f>AB26+AB29+AB32</f>
        <v>105.42158246669513</v>
      </c>
      <c r="AC35" s="896">
        <f>AC26+AC29+AC32</f>
        <v>119.43871214316989</v>
      </c>
      <c r="AD35" s="895">
        <f>AD26+AD29+AD32</f>
        <v>151.98920980871543</v>
      </c>
      <c r="AE35" s="897">
        <f>AE26+AE29+AE32</f>
        <v>473.44785143468806</v>
      </c>
      <c r="AF35" s="896"/>
      <c r="AG35" s="892">
        <f>AG26+AG29+AG32</f>
        <v>88.570372859631547</v>
      </c>
      <c r="AH35" s="896">
        <f>AH26+AH29+AH32</f>
        <v>111.78231228936377</v>
      </c>
      <c r="AI35" s="896">
        <f>AI26+AI29+AI32</f>
        <v>117.14067550519181</v>
      </c>
      <c r="AJ35" s="895">
        <f>AJ26+AJ29+AJ32</f>
        <v>142.73122986325308</v>
      </c>
      <c r="AK35" s="897">
        <f>AK26+AK29+AK32</f>
        <v>460.22459051744016</v>
      </c>
      <c r="AL35" s="896"/>
      <c r="AM35" s="892">
        <f>AM26+AM29+AM32</f>
        <v>88.437568238147861</v>
      </c>
      <c r="AN35" s="896">
        <f>AN26+AN29+AN32</f>
        <v>99.316754310383757</v>
      </c>
      <c r="AO35" s="896">
        <f>AO26+AO29+AO32</f>
        <v>114.22031532677988</v>
      </c>
      <c r="AP35" s="895">
        <f>AP26+AP29+AP32</f>
        <v>154.37693255094587</v>
      </c>
      <c r="AQ35" s="892">
        <f>AQ26+AQ29+AQ32</f>
        <v>456.35157042625735</v>
      </c>
      <c r="AR35" s="892"/>
      <c r="AS35" s="892">
        <f>AS26+AS29+AS32</f>
        <v>88.92485251908748</v>
      </c>
      <c r="AT35" s="896">
        <f>AT26+AT29+AT32</f>
        <v>111.20035858260806</v>
      </c>
      <c r="AU35" s="896">
        <f>AU26+AU29+AU32</f>
        <v>124.12579855292235</v>
      </c>
      <c r="AV35" s="896">
        <f>AV26+AV29+AV32</f>
        <v>163.82288648623722</v>
      </c>
      <c r="AW35" s="892">
        <f>AW26+AW29+AW32</f>
        <v>488.07389614085514</v>
      </c>
      <c r="AX35" s="892"/>
      <c r="AY35" s="892">
        <f>AY26+AY29+AY32</f>
        <v>95.381146289369056</v>
      </c>
      <c r="AZ35" s="896">
        <f>AZ26+AZ29+AZ32</f>
        <v>117.33168896078257</v>
      </c>
      <c r="BA35" s="896">
        <f>BA26+BA29+BA32</f>
        <v>127.66386033822616</v>
      </c>
      <c r="BB35" s="896">
        <f>BB26+BB29+BB32</f>
        <v>161.5193633076147</v>
      </c>
      <c r="BC35" s="897">
        <f>BC26+BC29+BC32</f>
        <v>501.89605889599255</v>
      </c>
      <c r="BD35" s="892"/>
      <c r="BE35" s="892">
        <f>BE26+BE29+BE32</f>
        <v>99.30623519615105</v>
      </c>
      <c r="BF35" s="896">
        <f>BF26+BF29+BF32</f>
        <v>125.03094304208014</v>
      </c>
      <c r="BG35" s="896">
        <f>BG26+BG29+BG32</f>
        <v>131.50904284988445</v>
      </c>
      <c r="BH35" s="896">
        <f>BH26+BH29+BH32</f>
        <v>176.98289488926073</v>
      </c>
      <c r="BI35" s="897">
        <f>BI26+BI29+BI32</f>
        <v>532.82911597737632</v>
      </c>
      <c r="BJ35" s="892"/>
      <c r="BK35" s="892">
        <f>BK26+BK29+BK32</f>
        <v>104.16570576927668</v>
      </c>
      <c r="BL35" s="896">
        <f>BL26+BL29+BL32</f>
        <v>129.57991058039923</v>
      </c>
      <c r="BM35" s="896">
        <f>BM26+BM29+BM32</f>
        <v>138.95420013882227</v>
      </c>
      <c r="BN35" s="896">
        <f>BN26+BN29+BN32</f>
        <v>187.46354655169137</v>
      </c>
      <c r="BO35" s="897">
        <f>BO26+BO29+BO32</f>
        <v>560.16336304018955</v>
      </c>
      <c r="BP35" s="892"/>
      <c r="BQ35" s="892">
        <f>BQ26+BQ29+BQ32</f>
        <v>111.80776013091507</v>
      </c>
      <c r="BR35" s="896">
        <f>BR26+BR29+BR32</f>
        <v>140.90409233725484</v>
      </c>
      <c r="BS35" s="896">
        <f>BS26+BS29+BS32</f>
        <v>145.9019101457634</v>
      </c>
      <c r="BT35" s="896">
        <f>BT26+BT29+BT32</f>
        <v>200.29431939923029</v>
      </c>
      <c r="BU35" s="897">
        <f>BU26+BU29+BU32</f>
        <v>598.90808201316361</v>
      </c>
      <c r="BV35" s="566"/>
      <c r="BW35" s="892">
        <f>BW26+BW29+BW32</f>
        <v>119.63430334007913</v>
      </c>
      <c r="BX35" s="896">
        <f>BX26+BX29+BX32</f>
        <v>147.94929695411756</v>
      </c>
      <c r="BY35" s="896">
        <f>BY26+BY29+BY32</f>
        <v>153.82724176520429</v>
      </c>
      <c r="BZ35" s="896">
        <f>BZ26+BZ29+BZ32</f>
        <v>206.37486685845033</v>
      </c>
      <c r="CA35" s="897">
        <f>CA26+CA29+CA32</f>
        <v>627.78570891785137</v>
      </c>
      <c r="CB35" s="566"/>
      <c r="CC35" s="892">
        <f>CC26+CC29+CC32</f>
        <v>126.81236154048389</v>
      </c>
      <c r="CD35" s="896">
        <f>CD26+CD29+CD32</f>
        <v>153.86726883228226</v>
      </c>
      <c r="CE35" s="896">
        <f>CE26+CE29+CE32</f>
        <v>161.51860385346453</v>
      </c>
      <c r="CF35" s="896">
        <f>CF26+CF29+CF32</f>
        <v>211.7387577791489</v>
      </c>
      <c r="CG35" s="897">
        <f>CG26+CG29+CG32</f>
        <v>653.93699200537958</v>
      </c>
      <c r="CH35" s="566"/>
      <c r="CI35" s="892">
        <f>CI26+CI29+CI32</f>
        <v>134.42110323291291</v>
      </c>
      <c r="CJ35" s="896">
        <f>CJ26+CJ29+CJ32</f>
        <v>160.02195958557357</v>
      </c>
      <c r="CK35" s="896">
        <f>CK26+CK29+CK32</f>
        <v>169.59453404613777</v>
      </c>
      <c r="CL35" s="896">
        <f>CL26+CL29+CL32</f>
        <v>217.318078082201</v>
      </c>
      <c r="CM35" s="897">
        <f>CM26+CM29+CM32</f>
        <v>681.35567494682516</v>
      </c>
    </row>
    <row r="36" spans="1:122">
      <c r="A36" s="1530" t="s">
        <v>297</v>
      </c>
      <c r="B36" s="390"/>
      <c r="C36" s="475"/>
      <c r="D36" s="475"/>
      <c r="E36" s="475"/>
      <c r="F36" s="475"/>
      <c r="G36" s="476"/>
      <c r="H36" s="390"/>
      <c r="I36" s="475"/>
      <c r="J36" s="475"/>
      <c r="K36" s="475"/>
      <c r="L36" s="475"/>
      <c r="M36" s="476">
        <f>M35/G35-1</f>
        <v>3.0314705312252332E-2</v>
      </c>
      <c r="N36" s="390"/>
      <c r="O36" s="475">
        <f>O35/I35-1</f>
        <v>-0.3438770465694575</v>
      </c>
      <c r="P36" s="475">
        <f>P35/J35-1</f>
        <v>-0.19437309603158792</v>
      </c>
      <c r="Q36" s="475">
        <f>Q35/K35-1</f>
        <v>-4.3159285280222726E-2</v>
      </c>
      <c r="R36" s="901">
        <f>R35/L35-1</f>
        <v>6.8575133331009619E-2</v>
      </c>
      <c r="S36" s="902">
        <f>S35/M35-1</f>
        <v>-0.12434610113552158</v>
      </c>
      <c r="T36" s="390"/>
      <c r="U36" s="406">
        <f>U35/O35-1</f>
        <v>6.644799251109168E-2</v>
      </c>
      <c r="V36" s="406">
        <f>V35/P35-1</f>
        <v>4.7158440316203531E-2</v>
      </c>
      <c r="W36" s="406">
        <f>W35/Q35-1</f>
        <v>5.5345216903818661E-2</v>
      </c>
      <c r="X36" s="964">
        <f>X35/R35-1</f>
        <v>0.16948898506431753</v>
      </c>
      <c r="Y36" s="906">
        <f>Y35/S35-1</f>
        <v>9.2534960058396676E-2</v>
      </c>
      <c r="Z36" s="828"/>
      <c r="AA36" s="475">
        <f>AA35/U35-1</f>
        <v>0.33576512228889333</v>
      </c>
      <c r="AB36" s="475">
        <f>AB35/V35-1</f>
        <v>0.13169022175043499</v>
      </c>
      <c r="AC36" s="475">
        <f>AC35/W35-1</f>
        <v>0.15931127276467683</v>
      </c>
      <c r="AD36" s="482">
        <f>AD35/X35-1</f>
        <v>5.9866814783792188E-2</v>
      </c>
      <c r="AE36" s="476">
        <f>AE35/Y35-1</f>
        <v>0.1494225660244366</v>
      </c>
      <c r="AF36" s="908"/>
      <c r="AG36" s="475">
        <f>AG35/AA35-1</f>
        <v>-8.3106744623046125E-2</v>
      </c>
      <c r="AH36" s="475">
        <f>AH35/AB35-1</f>
        <v>6.033612542932687E-2</v>
      </c>
      <c r="AI36" s="475">
        <f>AI35/AC35-1</f>
        <v>-1.9240299872150812E-2</v>
      </c>
      <c r="AJ36" s="482">
        <f>AJ35/AD35-1</f>
        <v>-6.0912086832439538E-2</v>
      </c>
      <c r="AK36" s="476">
        <f>AK35/AE35-1</f>
        <v>-2.7929709422436888E-2</v>
      </c>
      <c r="AL36" s="908"/>
      <c r="AM36" s="475">
        <f>AM35/AG35-1</f>
        <v>-1.4994248888864359E-3</v>
      </c>
      <c r="AN36" s="475">
        <f>AN35/AH35-1</f>
        <v>-0.11151637252512026</v>
      </c>
      <c r="AO36" s="475">
        <f>AO35/AI35-1</f>
        <v>-2.4930368258654023E-2</v>
      </c>
      <c r="AP36" s="482">
        <f>AP35/AJ35-1</f>
        <v>8.1591833117743207E-2</v>
      </c>
      <c r="AQ36" s="476">
        <f>AQ35/AK35-1</f>
        <v>-8.4155001079544434E-3</v>
      </c>
      <c r="AR36" s="908"/>
      <c r="AS36" s="478">
        <f>AS35/AM35-1</f>
        <v>5.5099240135985106E-3</v>
      </c>
      <c r="AT36" s="475">
        <f>AT35/AN35-1</f>
        <v>0.119653570585742</v>
      </c>
      <c r="AU36" s="475">
        <f>AU35/AO35-1</f>
        <v>8.6722604449158247E-2</v>
      </c>
      <c r="AV36" s="482">
        <f>AV35/AP35-1</f>
        <v>6.118759959279596E-2</v>
      </c>
      <c r="AW36" s="902">
        <f>AW35/AQ35-1</f>
        <v>6.9512910156017238E-2</v>
      </c>
      <c r="AX36" s="908"/>
      <c r="AY36" s="478">
        <f>AY35/AS35-1</f>
        <v>7.2603930030648689E-2</v>
      </c>
      <c r="AZ36" s="475">
        <f>AZ35/AT35-1</f>
        <v>5.513768531258556E-2</v>
      </c>
      <c r="BA36" s="475">
        <f>BA35/AU35-1</f>
        <v>2.8503839061267522E-2</v>
      </c>
      <c r="BB36" s="482">
        <f>BB35/AV35-1</f>
        <v>-1.4061058427364714E-2</v>
      </c>
      <c r="BC36" s="902">
        <f>BC35/AW35-1</f>
        <v>2.8319815635353018E-2</v>
      </c>
      <c r="BD36" s="908"/>
      <c r="BE36" s="899">
        <f>BE35/AY35-1</f>
        <v>4.1151622301476509E-2</v>
      </c>
      <c r="BF36" s="475">
        <f>BF35/AZ35-1</f>
        <v>6.5619562366233453E-2</v>
      </c>
      <c r="BG36" s="475">
        <f>BG35/BA35-1</f>
        <v>3.0119585147049932E-2</v>
      </c>
      <c r="BH36" s="482">
        <f>BH35/BB35-1</f>
        <v>9.5737942900354644E-2</v>
      </c>
      <c r="BI36" s="902">
        <f>BI35/BC35-1</f>
        <v>6.1632396854094385E-2</v>
      </c>
      <c r="BJ36" s="908"/>
      <c r="BK36" s="478">
        <f>BK35/BE35-1</f>
        <v>4.8934193945900262E-2</v>
      </c>
      <c r="BL36" s="475">
        <f>BL35/BF35-1</f>
        <v>3.638273396680769E-2</v>
      </c>
      <c r="BM36" s="475">
        <f>BM35/BG35-1</f>
        <v>5.6613272574999707E-2</v>
      </c>
      <c r="BN36" s="482">
        <f>BN35/BH35-1</f>
        <v>5.9218444070476162E-2</v>
      </c>
      <c r="BO36" s="902">
        <f>BO35/BI35-1</f>
        <v>5.1300212850931892E-2</v>
      </c>
      <c r="BP36" s="908"/>
      <c r="BQ36" s="478">
        <f>BQ35/BK35-1</f>
        <v>7.3364398630056504E-2</v>
      </c>
      <c r="BR36" s="475">
        <f>BR35/BL35-1</f>
        <v>8.7391492293316553E-2</v>
      </c>
      <c r="BS36" s="475">
        <f>BS35/BM35-1</f>
        <v>5.0000000000000044E-2</v>
      </c>
      <c r="BT36" s="482">
        <f>BT35/BN35-1</f>
        <v>6.8444095311090081E-2</v>
      </c>
      <c r="BU36" s="902">
        <f>BU35/BO35-1</f>
        <v>6.9166820840788068E-2</v>
      </c>
      <c r="BV36" s="24"/>
      <c r="BW36" s="478">
        <f>BW35/BQ35-1</f>
        <v>7.0000000000000062E-2</v>
      </c>
      <c r="BX36" s="475">
        <f>BX35/BR35-1</f>
        <v>4.9999999999999822E-2</v>
      </c>
      <c r="BY36" s="475">
        <f>BY35/BS35-1</f>
        <v>5.4319587807473368E-2</v>
      </c>
      <c r="BZ36" s="482">
        <f>BZ35/BT35-1</f>
        <v>3.0358062462571223E-2</v>
      </c>
      <c r="CA36" s="902">
        <f>CA35/BU35-1</f>
        <v>4.8217126754440898E-2</v>
      </c>
      <c r="CB36" s="24"/>
      <c r="CC36" s="478">
        <f>CC35/BW35-1</f>
        <v>6.0000000000000053E-2</v>
      </c>
      <c r="CD36" s="475">
        <f>CD35/BX35-1</f>
        <v>4.0000000000000036E-2</v>
      </c>
      <c r="CE36" s="475">
        <f>CE35/BY35-1</f>
        <v>5.0000000000000044E-2</v>
      </c>
      <c r="CF36" s="482">
        <f>CF35/BZ35-1</f>
        <v>2.5991008509663072E-2</v>
      </c>
      <c r="CG36" s="902">
        <f>CG35/CA35-1</f>
        <v>4.1656384839671823E-2</v>
      </c>
      <c r="CH36" s="24"/>
      <c r="CI36" s="478">
        <f>CI35/CC35-1</f>
        <v>5.9999999999999831E-2</v>
      </c>
      <c r="CJ36" s="475">
        <f>CJ35/CD35-1</f>
        <v>4.0000000000000036E-2</v>
      </c>
      <c r="CK36" s="475">
        <f>CK35/CE35-1</f>
        <v>5.0000000000000044E-2</v>
      </c>
      <c r="CL36" s="482">
        <f>CL35/CF35-1</f>
        <v>2.635001905920098E-2</v>
      </c>
      <c r="CM36" s="902">
        <f>CM35/CG35-1</f>
        <v>4.1928631162710062E-2</v>
      </c>
    </row>
    <row r="37" spans="1:122">
      <c r="A37" s="1531" t="s">
        <v>89</v>
      </c>
      <c r="B37" s="1498"/>
      <c r="C37" s="912"/>
      <c r="D37" s="912"/>
      <c r="E37" s="912"/>
      <c r="F37" s="913"/>
      <c r="G37" s="912"/>
      <c r="H37" s="1498"/>
      <c r="I37" s="912"/>
      <c r="J37" s="912"/>
      <c r="K37" s="912"/>
      <c r="L37" s="913"/>
      <c r="M37" s="915">
        <f t="shared" ref="M37:AQ37" si="22">M36-M$18</f>
        <v>1.0314705312252332E-2</v>
      </c>
      <c r="N37" s="916">
        <f t="shared" si="22"/>
        <v>0</v>
      </c>
      <c r="O37" s="912">
        <f t="shared" si="22"/>
        <v>-0.38387704656945748</v>
      </c>
      <c r="P37" s="912">
        <f t="shared" si="22"/>
        <v>-0.18437309603158791</v>
      </c>
      <c r="Q37" s="912">
        <f t="shared" si="22"/>
        <v>-2.3159285280222725E-2</v>
      </c>
      <c r="R37" s="913">
        <f t="shared" si="22"/>
        <v>6.8575133331009619E-2</v>
      </c>
      <c r="S37" s="915">
        <f t="shared" si="22"/>
        <v>-0.12684610113552158</v>
      </c>
      <c r="T37" s="916">
        <f t="shared" si="22"/>
        <v>0</v>
      </c>
      <c r="U37" s="912">
        <f t="shared" si="22"/>
        <v>2.6447992511091679E-2</v>
      </c>
      <c r="V37" s="916">
        <f t="shared" si="22"/>
        <v>5.7158440316203533E-2</v>
      </c>
      <c r="W37" s="916">
        <f t="shared" si="22"/>
        <v>7.5345216903818665E-2</v>
      </c>
      <c r="X37" s="917">
        <f t="shared" si="22"/>
        <v>0.16948898506431753</v>
      </c>
      <c r="Y37" s="918">
        <f t="shared" si="22"/>
        <v>9.0034960058396674E-2</v>
      </c>
      <c r="Z37" s="916">
        <f t="shared" si="22"/>
        <v>0</v>
      </c>
      <c r="AA37" s="912">
        <f t="shared" si="22"/>
        <v>0.31576512228889331</v>
      </c>
      <c r="AB37" s="912">
        <f t="shared" si="22"/>
        <v>7.169022175043499E-2</v>
      </c>
      <c r="AC37" s="912">
        <f t="shared" si="22"/>
        <v>0.11931127276467682</v>
      </c>
      <c r="AD37" s="912">
        <f t="shared" si="22"/>
        <v>5.9866814783792188E-2</v>
      </c>
      <c r="AE37" s="915">
        <f t="shared" si="22"/>
        <v>0.1194225660244366</v>
      </c>
      <c r="AF37" s="920"/>
      <c r="AG37" s="912">
        <f t="shared" si="22"/>
        <v>-6.3106744623046121E-2</v>
      </c>
      <c r="AH37" s="912">
        <f t="shared" si="22"/>
        <v>9.0336125429326869E-2</v>
      </c>
      <c r="AI37" s="912">
        <f t="shared" si="22"/>
        <v>1.0759700127849187E-2</v>
      </c>
      <c r="AJ37" s="912">
        <f t="shared" si="22"/>
        <v>-4.691208683243954E-2</v>
      </c>
      <c r="AK37" s="915">
        <f t="shared" si="22"/>
        <v>-4.429709422436888E-3</v>
      </c>
      <c r="AL37" s="920"/>
      <c r="AM37" s="912">
        <f t="shared" si="22"/>
        <v>2.8500575111113563E-2</v>
      </c>
      <c r="AN37" s="912">
        <f>AN36-AN$18</f>
        <v>-9.1516372525120251E-2</v>
      </c>
      <c r="AO37" s="912">
        <f t="shared" si="22"/>
        <v>-4.9303682586540228E-3</v>
      </c>
      <c r="AP37" s="912">
        <f t="shared" si="22"/>
        <v>0.10159183311774321</v>
      </c>
      <c r="AQ37" s="915">
        <f t="shared" si="22"/>
        <v>1.4084499892045559E-2</v>
      </c>
      <c r="AR37" s="920"/>
      <c r="AS37" s="911">
        <f>AS36-AS$18</f>
        <v>5.5099240135985106E-3</v>
      </c>
      <c r="AT37" s="912">
        <f t="shared" ref="AT37:BO37" si="23">AT36-AT$18</f>
        <v>0.11165357058574199</v>
      </c>
      <c r="AU37" s="912">
        <f t="shared" si="23"/>
        <v>8.6722604449158247E-2</v>
      </c>
      <c r="AV37" s="912">
        <f t="shared" si="23"/>
        <v>0.11118759959279596</v>
      </c>
      <c r="AW37" s="915">
        <f t="shared" si="23"/>
        <v>8.0012910156017233E-2</v>
      </c>
      <c r="AX37" s="920"/>
      <c r="AY37" s="911">
        <f t="shared" si="23"/>
        <v>0.1526039300306487</v>
      </c>
      <c r="AZ37" s="912">
        <f t="shared" si="23"/>
        <v>0.12513768531258557</v>
      </c>
      <c r="BA37" s="912">
        <f t="shared" si="23"/>
        <v>0.10250383906126752</v>
      </c>
      <c r="BB37" s="912">
        <f t="shared" si="23"/>
        <v>4.0362936619533642E-2</v>
      </c>
      <c r="BC37" s="915">
        <f t="shared" si="23"/>
        <v>9.7925814397077621E-2</v>
      </c>
      <c r="BD37" s="920"/>
      <c r="BE37" s="911">
        <f t="shared" si="23"/>
        <v>5.8026819884077714E-2</v>
      </c>
      <c r="BF37" s="912">
        <f t="shared" si="23"/>
        <v>6.495254534719315E-2</v>
      </c>
      <c r="BG37" s="912">
        <f t="shared" si="23"/>
        <v>2.7372760476369239E-2</v>
      </c>
      <c r="BH37" s="912">
        <f t="shared" si="23"/>
        <v>0.11573794290035465</v>
      </c>
      <c r="BI37" s="915">
        <f t="shared" si="23"/>
        <v>6.9997735827314445E-2</v>
      </c>
      <c r="BJ37" s="920"/>
      <c r="BK37" s="911">
        <f t="shared" si="23"/>
        <v>5.8934193945900264E-2</v>
      </c>
      <c r="BL37" s="912">
        <f t="shared" si="23"/>
        <v>4.6382733966807692E-2</v>
      </c>
      <c r="BM37" s="912">
        <f t="shared" si="23"/>
        <v>4.6613272574999705E-2</v>
      </c>
      <c r="BN37" s="912">
        <f t="shared" si="23"/>
        <v>2.9218444070476163E-2</v>
      </c>
      <c r="BO37" s="915">
        <f t="shared" si="23"/>
        <v>4.6300212850931895E-2</v>
      </c>
      <c r="BP37" s="920"/>
      <c r="BQ37" s="911">
        <f>BQ36-BQ$18</f>
        <v>7.8364398630056509E-2</v>
      </c>
      <c r="BR37" s="912">
        <f>BR36-BR$18</f>
        <v>8.7391492293316553E-2</v>
      </c>
      <c r="BS37" s="912">
        <f>BS36-BS$18</f>
        <v>5.0000000000000044E-2</v>
      </c>
      <c r="BT37" s="912">
        <f>BT36-BT$18</f>
        <v>6.8444095311090081E-2</v>
      </c>
      <c r="BU37" s="915">
        <f>BU36-BU$18</f>
        <v>7.0416820840788069E-2</v>
      </c>
      <c r="BV37" s="24"/>
      <c r="BW37" s="911">
        <f>BW36-BW$18</f>
        <v>7.0000000000000062E-2</v>
      </c>
      <c r="BX37" s="912">
        <f>BX36-BX$18</f>
        <v>4.9999999999999822E-2</v>
      </c>
      <c r="BY37" s="912">
        <f>BY36-BY$18</f>
        <v>5.4319587807473368E-2</v>
      </c>
      <c r="BZ37" s="912">
        <f>BZ36-BZ$18</f>
        <v>3.0358062462571223E-2</v>
      </c>
      <c r="CA37" s="915">
        <f>CA36-CA$18</f>
        <v>4.8217126754440898E-2</v>
      </c>
      <c r="CB37" s="24"/>
      <c r="CC37" s="911">
        <f>CC36-CC$18</f>
        <v>6.0000000000000053E-2</v>
      </c>
      <c r="CD37" s="912">
        <f>CD36-CD$18</f>
        <v>4.0000000000000036E-2</v>
      </c>
      <c r="CE37" s="912">
        <f>CE36-CE$18</f>
        <v>5.0000000000000044E-2</v>
      </c>
      <c r="CF37" s="912">
        <f>CF36-CF$18</f>
        <v>2.5991008509663072E-2</v>
      </c>
      <c r="CG37" s="915">
        <f>CG36-CG$18</f>
        <v>4.1656384839671823E-2</v>
      </c>
      <c r="CH37" s="24"/>
      <c r="CI37" s="911">
        <f>CI36-CI$18</f>
        <v>5.9999999999999831E-2</v>
      </c>
      <c r="CJ37" s="912">
        <f>CJ36-CJ$18</f>
        <v>4.0000000000000036E-2</v>
      </c>
      <c r="CK37" s="912">
        <f>CK36-CK$18</f>
        <v>5.0000000000000044E-2</v>
      </c>
      <c r="CL37" s="912">
        <f>CL36-CL$18</f>
        <v>2.635001905920098E-2</v>
      </c>
      <c r="CM37" s="915">
        <f>CM36-CM$18</f>
        <v>4.1928631162710062E-2</v>
      </c>
    </row>
    <row r="38" spans="1:122" s="2028" customFormat="1" ht="12" hidden="1" customHeight="1" outlineLevel="1">
      <c r="A38" s="1456" t="s">
        <v>111</v>
      </c>
      <c r="B38" s="967"/>
      <c r="C38" s="967"/>
      <c r="D38" s="967"/>
      <c r="E38" s="967"/>
      <c r="F38" s="967"/>
      <c r="G38" s="967">
        <f>ROUND((G35+G21)-G10,-3)</f>
        <v>0</v>
      </c>
      <c r="H38" s="967"/>
      <c r="I38" s="967">
        <f>ROUND((I35+I21)-I10,-3)</f>
        <v>0</v>
      </c>
      <c r="J38" s="967">
        <f>ROUND((J35+J21)-J10,-3)</f>
        <v>0</v>
      </c>
      <c r="K38" s="967">
        <f>ROUND((K35+K21)-K10,-3)</f>
        <v>0</v>
      </c>
      <c r="L38" s="967">
        <f>ROUND((L35+L21)-L10,-3)</f>
        <v>0</v>
      </c>
      <c r="M38" s="967">
        <f>ROUND((M35+M21)-M10,-3)</f>
        <v>0</v>
      </c>
      <c r="N38" s="967"/>
      <c r="O38" s="967">
        <f>ROUND((O35+O21)-O10,-3)</f>
        <v>0</v>
      </c>
      <c r="P38" s="967">
        <f>ROUND((P35+P21)-P10,-3)</f>
        <v>0</v>
      </c>
      <c r="Q38" s="967">
        <f>ROUND((Q35+Q21)-Q10,-3)</f>
        <v>0</v>
      </c>
      <c r="R38" s="967">
        <f>ROUND((R35+R21)-R10,-3)</f>
        <v>0</v>
      </c>
      <c r="S38" s="967">
        <f>ROUND((S35+S21)-S10,-3)</f>
        <v>0</v>
      </c>
      <c r="T38" s="967"/>
      <c r="U38" s="967">
        <f>ROUND((U35+U21)-U10,-3)</f>
        <v>0</v>
      </c>
      <c r="V38" s="967">
        <f>ROUND((V35+V21)-V10,-3)</f>
        <v>0</v>
      </c>
      <c r="W38" s="967">
        <f>ROUND((W35+W21)-W10,-3)</f>
        <v>0</v>
      </c>
      <c r="X38" s="967">
        <f>ROUND((X35+X21)-X10,-3)</f>
        <v>0</v>
      </c>
      <c r="Y38" s="967">
        <f>ROUND((Y35+Y21)-Y10,-3)</f>
        <v>0</v>
      </c>
      <c r="Z38" s="967"/>
      <c r="AA38" s="967">
        <f>ROUND((AA35+AA21)-AA10,2)</f>
        <v>0</v>
      </c>
      <c r="AB38" s="967">
        <f>ROUND((AB35+AB21)-AB10,2)</f>
        <v>0</v>
      </c>
      <c r="AC38" s="967">
        <f>ROUND((AC35+AC21)-AC10,2)</f>
        <v>0</v>
      </c>
      <c r="AD38" s="967">
        <f>ROUND((AD35+AD21)-AD10,2)</f>
        <v>0</v>
      </c>
      <c r="AE38" s="967">
        <f>ROUND((AE35+AE21)-AE10,-3)</f>
        <v>0</v>
      </c>
      <c r="AF38" s="967"/>
      <c r="AG38" s="967">
        <f>ROUND((AG35+AG21)-AG10,2)</f>
        <v>0</v>
      </c>
      <c r="AH38" s="967">
        <f>ROUND((AH35+AH21)-AH10,2)</f>
        <v>-0.21</v>
      </c>
      <c r="AI38" s="967">
        <f>ROUND((AI35+AI21)-AI10,2)</f>
        <v>5.0599999999999996</v>
      </c>
      <c r="AJ38" s="967">
        <f>ROUND((AJ35+AJ21)-AJ10,-3)</f>
        <v>0</v>
      </c>
      <c r="AK38" s="967">
        <f>ROUND((AK35+AK21)-AK10,-3)</f>
        <v>0</v>
      </c>
      <c r="AL38" s="967"/>
      <c r="AM38" s="967">
        <f t="shared" ref="AM38:AV38" si="24">ROUND((AM35+AM21)-AM10,3)</f>
        <v>1E-3</v>
      </c>
      <c r="AN38" s="967">
        <f t="shared" si="24"/>
        <v>-1.4E-2</v>
      </c>
      <c r="AO38" s="967">
        <f t="shared" si="24"/>
        <v>1.33</v>
      </c>
      <c r="AP38" s="967">
        <f t="shared" si="24"/>
        <v>-0.32900000000000001</v>
      </c>
      <c r="AQ38" s="967">
        <f>ROUND((AQ35+AQ21)-AQ10,3)</f>
        <v>0.98699999999999999</v>
      </c>
      <c r="AR38" s="967"/>
      <c r="AS38" s="967">
        <f t="shared" si="24"/>
        <v>0</v>
      </c>
      <c r="AT38" s="967">
        <f t="shared" si="24"/>
        <v>0</v>
      </c>
      <c r="AU38" s="967">
        <f t="shared" si="24"/>
        <v>0</v>
      </c>
      <c r="AV38" s="967">
        <f t="shared" si="24"/>
        <v>0</v>
      </c>
      <c r="AW38" s="967">
        <f>ROUND((AW35+AW21)-AW10,3)</f>
        <v>0</v>
      </c>
      <c r="AX38" s="967"/>
      <c r="AY38" s="967">
        <f>ROUND((AY35+AY21)-AY10,3)</f>
        <v>0</v>
      </c>
      <c r="AZ38" s="967">
        <f>ROUND((AZ35+AZ21)-AZ10,3)</f>
        <v>0</v>
      </c>
      <c r="BA38" s="967">
        <f>ROUND((BA35+BA21)-BA10,3)</f>
        <v>0</v>
      </c>
      <c r="BB38" s="967">
        <f>ROUND((BB35+BB21)-BB10,3)</f>
        <v>0</v>
      </c>
      <c r="BC38" s="967">
        <f>ROUND((BC35+BC21)-BC10,2)</f>
        <v>0</v>
      </c>
      <c r="BD38" s="967"/>
      <c r="BE38" s="967">
        <f>ROUND((BE35+BE21)-BE10,3)</f>
        <v>0</v>
      </c>
      <c r="BF38" s="967">
        <f t="shared" ref="BF38:BN38" si="25">ROUND((BF35+BF21)-BF10,3)</f>
        <v>0</v>
      </c>
      <c r="BG38" s="967">
        <f>ROUND((BG35+BG21)-BG10,3)</f>
        <v>0</v>
      </c>
      <c r="BH38" s="967">
        <f t="shared" si="25"/>
        <v>0</v>
      </c>
      <c r="BI38" s="967">
        <f>ROUND((BI35+BI21)-BI10,2)</f>
        <v>0</v>
      </c>
      <c r="BJ38" s="967"/>
      <c r="BK38" s="967">
        <f t="shared" si="25"/>
        <v>0</v>
      </c>
      <c r="BL38" s="967">
        <f t="shared" si="25"/>
        <v>0</v>
      </c>
      <c r="BM38" s="967">
        <f t="shared" si="25"/>
        <v>0</v>
      </c>
      <c r="BN38" s="967">
        <f t="shared" si="25"/>
        <v>0</v>
      </c>
      <c r="BO38" s="967">
        <f>ROUND((BO35+BO21)-BO10,3)</f>
        <v>0</v>
      </c>
      <c r="BP38" s="967"/>
      <c r="BQ38" s="967">
        <f>ROUND((BQ35+BQ21)-BQ10,3)</f>
        <v>0</v>
      </c>
      <c r="BR38" s="967">
        <f>ROUND((BR35+BR21)-BR10,3)</f>
        <v>0</v>
      </c>
      <c r="BS38" s="967">
        <f>ROUND((BS35+BS21)-BS10,3)</f>
        <v>0</v>
      </c>
      <c r="BT38" s="967">
        <f>ROUND((BT35+BT21)-BT10,3)</f>
        <v>0</v>
      </c>
      <c r="BU38" s="967">
        <f>ROUND((BU35+BU21)-BU10,3)</f>
        <v>0</v>
      </c>
      <c r="BV38" s="968"/>
      <c r="BW38" s="967">
        <f>ROUND((BW35+BW21)-BW10,3)</f>
        <v>0</v>
      </c>
      <c r="BX38" s="967">
        <f>ROUND((BX35+BX21)-BX10,3)</f>
        <v>0</v>
      </c>
      <c r="BY38" s="967">
        <f>ROUND((BY35+BY21)-BY10,3)</f>
        <v>0</v>
      </c>
      <c r="BZ38" s="967">
        <f>ROUND((BZ35+BZ21)-BZ10,3)</f>
        <v>0</v>
      </c>
      <c r="CA38" s="967">
        <f>ROUND((CA35+CA21)-CA10,3)</f>
        <v>0</v>
      </c>
      <c r="CB38" s="968"/>
      <c r="CC38" s="967">
        <f>ROUND((CC35+CC21)-CC10,3)</f>
        <v>0</v>
      </c>
      <c r="CD38" s="967">
        <f>ROUND((CD35+CD21)-CD10,3)</f>
        <v>0</v>
      </c>
      <c r="CE38" s="967">
        <f>ROUND((CE35+CE21)-CE10,3)</f>
        <v>0</v>
      </c>
      <c r="CF38" s="967">
        <f>ROUND((CF35+CF21)-CF10,3)</f>
        <v>0</v>
      </c>
      <c r="CG38" s="967">
        <f>ROUND((CG35+CG21)-CG10,3)</f>
        <v>0</v>
      </c>
      <c r="CH38" s="968"/>
      <c r="CI38" s="967">
        <f>ROUND((CI35+CI21)-CI10,3)</f>
        <v>0</v>
      </c>
      <c r="CJ38" s="967">
        <f>ROUND((CJ35+CJ21)-CJ10,3)</f>
        <v>0</v>
      </c>
      <c r="CK38" s="967">
        <f>ROUND((CK35+CK21)-CK10,3)</f>
        <v>0</v>
      </c>
      <c r="CL38" s="967">
        <f>ROUND((CL35+CL21)-CL10,3)</f>
        <v>0</v>
      </c>
      <c r="CM38" s="967">
        <f>ROUND((CM35+CM21)-CM10,3)</f>
        <v>0</v>
      </c>
    </row>
    <row r="39" spans="1:122" s="2028" customFormat="1" ht="12" hidden="1" customHeight="1" outlineLevel="1">
      <c r="A39" s="1456"/>
      <c r="B39" s="967"/>
      <c r="C39" s="967"/>
      <c r="D39" s="967"/>
      <c r="E39" s="967"/>
      <c r="F39" s="967"/>
      <c r="G39" s="967"/>
      <c r="H39" s="967"/>
      <c r="I39" s="967"/>
      <c r="J39" s="967"/>
      <c r="K39" s="967"/>
      <c r="L39" s="967"/>
      <c r="M39" s="967"/>
      <c r="N39" s="967"/>
      <c r="O39" s="967"/>
      <c r="P39" s="967"/>
      <c r="Q39" s="967"/>
      <c r="R39" s="967"/>
      <c r="S39" s="967"/>
      <c r="T39" s="967"/>
      <c r="U39" s="967"/>
      <c r="V39" s="967"/>
      <c r="W39" s="967"/>
      <c r="X39" s="967"/>
      <c r="Y39" s="967"/>
      <c r="Z39" s="967"/>
      <c r="AA39" s="967"/>
      <c r="AB39" s="967"/>
      <c r="AC39" s="967"/>
      <c r="AD39" s="967"/>
      <c r="AE39" s="967"/>
      <c r="AF39" s="967"/>
      <c r="AG39" s="967"/>
      <c r="AH39" s="967"/>
      <c r="AI39" s="967"/>
      <c r="AJ39" s="967"/>
      <c r="AK39" s="967"/>
      <c r="AL39" s="967"/>
      <c r="AM39" s="967"/>
      <c r="AN39" s="967"/>
      <c r="AO39" s="967"/>
      <c r="AP39" s="967"/>
      <c r="AQ39" s="967"/>
      <c r="AR39" s="967"/>
      <c r="AS39" s="1490"/>
      <c r="AT39" s="1490"/>
      <c r="AU39" s="1490"/>
      <c r="AV39" s="1490"/>
      <c r="AW39" s="1490"/>
      <c r="AX39" s="1490"/>
      <c r="AY39" s="1490"/>
      <c r="AZ39" s="1490"/>
      <c r="BA39" s="1490"/>
      <c r="BB39" s="1490"/>
      <c r="BC39" s="967"/>
      <c r="BD39" s="967"/>
      <c r="BE39" s="967"/>
      <c r="BF39" s="967"/>
      <c r="BG39" s="967"/>
      <c r="BH39" s="967"/>
      <c r="BI39" s="967"/>
      <c r="BJ39" s="967"/>
      <c r="BK39" s="967"/>
      <c r="BL39" s="967"/>
      <c r="BM39" s="967"/>
      <c r="BN39" s="967"/>
      <c r="BO39" s="967"/>
      <c r="BP39" s="967"/>
      <c r="BQ39" s="967"/>
      <c r="BR39" s="967"/>
      <c r="BS39" s="967"/>
      <c r="BT39" s="967"/>
      <c r="BU39" s="967"/>
      <c r="BV39" s="968"/>
      <c r="BW39" s="967"/>
      <c r="BX39" s="967"/>
      <c r="BY39" s="967"/>
      <c r="BZ39" s="967"/>
      <c r="CA39" s="967"/>
      <c r="CB39" s="968"/>
      <c r="CC39" s="967"/>
      <c r="CD39" s="967"/>
      <c r="CE39" s="967"/>
      <c r="CF39" s="967"/>
      <c r="CG39" s="967"/>
      <c r="CH39" s="968"/>
      <c r="CI39" s="967"/>
      <c r="CJ39" s="967"/>
      <c r="CK39" s="967"/>
      <c r="CL39" s="967"/>
      <c r="CM39" s="967"/>
    </row>
    <row r="40" spans="1:122" ht="13.5" hidden="1" customHeight="1" outlineLevel="1">
      <c r="A40" s="1457" t="s">
        <v>15</v>
      </c>
      <c r="B40" s="13"/>
      <c r="C40" s="13"/>
      <c r="D40" s="13"/>
      <c r="E40" s="13"/>
      <c r="F40" s="13"/>
      <c r="G40" s="14"/>
      <c r="H40" s="13"/>
      <c r="I40" s="13"/>
      <c r="J40" s="13"/>
      <c r="K40" s="13"/>
      <c r="L40" s="13"/>
      <c r="M40" s="14"/>
      <c r="N40" s="13"/>
      <c r="O40" s="13"/>
      <c r="P40" s="13"/>
      <c r="Q40" s="13"/>
      <c r="R40" s="13"/>
      <c r="S40" s="14"/>
      <c r="T40" s="13"/>
      <c r="U40" s="13"/>
      <c r="V40" s="13"/>
      <c r="W40" s="13"/>
      <c r="X40" s="13"/>
      <c r="Y40" s="14"/>
      <c r="Z40" s="13"/>
      <c r="AA40" s="13"/>
      <c r="AB40" s="13"/>
      <c r="AC40" s="13"/>
      <c r="AD40" s="13" t="s">
        <v>83</v>
      </c>
      <c r="AE40" s="14"/>
      <c r="AF40" s="13"/>
      <c r="AG40" s="13"/>
      <c r="AH40" s="13"/>
      <c r="AI40" s="13"/>
      <c r="AJ40" s="13"/>
      <c r="AK40" s="14"/>
      <c r="AL40" s="13"/>
      <c r="AM40" s="13"/>
      <c r="AN40" s="13"/>
      <c r="AO40" s="13"/>
      <c r="AP40" s="13"/>
      <c r="AQ40" s="14"/>
      <c r="AR40" s="13"/>
      <c r="AS40" s="13"/>
      <c r="AT40" s="13"/>
      <c r="AU40" s="13"/>
      <c r="AV40" s="13"/>
      <c r="AW40" s="14"/>
      <c r="AX40" s="13"/>
      <c r="AY40" s="13"/>
      <c r="AZ40" s="13"/>
      <c r="BA40" s="13"/>
      <c r="BB40" s="13"/>
      <c r="BC40" s="14"/>
      <c r="BD40" s="13"/>
      <c r="BE40" s="13"/>
      <c r="BF40" s="13"/>
      <c r="BG40" s="13"/>
      <c r="BH40" s="13"/>
      <c r="BI40" s="14"/>
      <c r="BJ40" s="13"/>
      <c r="BK40" s="13"/>
      <c r="BL40" s="13"/>
      <c r="BM40" s="13"/>
      <c r="BN40" s="13"/>
      <c r="BO40" s="14"/>
      <c r="BP40" s="13"/>
      <c r="BQ40" s="13"/>
      <c r="BR40" s="13"/>
      <c r="BS40" s="13"/>
      <c r="BT40" s="13"/>
      <c r="BU40" s="14"/>
      <c r="BV40" s="1919"/>
      <c r="BW40" s="13"/>
      <c r="BX40" s="13"/>
      <c r="BY40" s="13"/>
      <c r="BZ40" s="13"/>
      <c r="CA40" s="14"/>
      <c r="CB40" s="1919"/>
      <c r="CC40" s="13"/>
      <c r="CD40" s="13"/>
      <c r="CE40" s="13"/>
      <c r="CF40" s="13"/>
      <c r="CG40" s="14"/>
      <c r="CH40" s="1919"/>
      <c r="CI40" s="13"/>
      <c r="CJ40" s="13"/>
      <c r="CK40" s="13"/>
      <c r="CL40" s="13"/>
      <c r="CM40" s="14"/>
    </row>
    <row r="41" spans="1:122" s="2024" customFormat="1" hidden="1" outlineLevel="1">
      <c r="A41" s="1458" t="s">
        <v>16</v>
      </c>
      <c r="B41" s="840"/>
      <c r="C41" s="841"/>
      <c r="D41" s="842"/>
      <c r="E41" s="842"/>
      <c r="F41" s="842"/>
      <c r="G41" s="1205">
        <f>G21+G35</f>
        <v>742.04500000000007</v>
      </c>
      <c r="H41" s="840"/>
      <c r="I41" s="841">
        <f>I21+I35</f>
        <v>181.351</v>
      </c>
      <c r="J41" s="842">
        <f>J21+J35</f>
        <v>195.422</v>
      </c>
      <c r="K41" s="842">
        <f>K21+K35</f>
        <v>185.59715499999999</v>
      </c>
      <c r="L41" s="842">
        <f>L21+L35</f>
        <v>204.75200000000001</v>
      </c>
      <c r="M41" s="1205">
        <f>M21+M35</f>
        <v>767.12215500000002</v>
      </c>
      <c r="N41" s="840"/>
      <c r="O41" s="841">
        <f>O21+O35</f>
        <v>142.81096336000002</v>
      </c>
      <c r="P41" s="842">
        <f>P21+P35</f>
        <v>170.95893398999999</v>
      </c>
      <c r="Q41" s="842">
        <f>Q21+Q35</f>
        <v>172.62263075999999</v>
      </c>
      <c r="R41" s="842">
        <f>R21+R35</f>
        <v>212.6211337</v>
      </c>
      <c r="S41" s="1205">
        <f>S21+S35</f>
        <v>699.01366181000003</v>
      </c>
      <c r="T41" s="840"/>
      <c r="U41" s="841">
        <f>U21+U35</f>
        <v>158.5668657455152</v>
      </c>
      <c r="V41" s="842">
        <f>V21+V35</f>
        <v>182.53409856916051</v>
      </c>
      <c r="W41" s="842">
        <f>W21+W35</f>
        <v>185.5255764341336</v>
      </c>
      <c r="X41" s="842">
        <f>X21+X35</f>
        <v>246.00406519824901</v>
      </c>
      <c r="Y41" s="1205">
        <f>Y21+Y35</f>
        <v>772.63060594705826</v>
      </c>
      <c r="Z41" s="840"/>
      <c r="AA41" s="841">
        <f>AA21+AA35</f>
        <v>197.51084701610759</v>
      </c>
      <c r="AB41" s="842">
        <f>AB21+AB35</f>
        <v>206.42098246669514</v>
      </c>
      <c r="AC41" s="842">
        <f>AC21+AC35</f>
        <v>212.6637121431699</v>
      </c>
      <c r="AD41" s="842">
        <f>AD21+AD35</f>
        <v>261.77120980871541</v>
      </c>
      <c r="AE41" s="1205">
        <f>AE21+AE35</f>
        <v>878.36675143468801</v>
      </c>
      <c r="AF41" s="845"/>
      <c r="AG41" s="841">
        <f>AG21+AG35</f>
        <v>176.66698535963155</v>
      </c>
      <c r="AH41" s="842">
        <f>AH21+AH35</f>
        <v>203.69176628936378</v>
      </c>
      <c r="AI41" s="842">
        <f>AI21+AI35</f>
        <v>207.5689255051918</v>
      </c>
      <c r="AJ41" s="842">
        <f>AJ21+AJ35</f>
        <v>245.48718186325308</v>
      </c>
      <c r="AK41" s="1205">
        <f>AK21+AK35</f>
        <v>833.41485901744022</v>
      </c>
      <c r="AL41" s="845"/>
      <c r="AM41" s="841">
        <f>AM21+AM35</f>
        <v>184.52454349189787</v>
      </c>
      <c r="AN41" s="842">
        <f>AN21+AN35</f>
        <v>195.45404319438376</v>
      </c>
      <c r="AO41" s="842">
        <f>AO21+AO35</f>
        <v>198.31858782677989</v>
      </c>
      <c r="AP41" s="842">
        <f>AP21+AP35</f>
        <v>263.29824167094591</v>
      </c>
      <c r="AQ41" s="1205">
        <f>AQ21+AQ35</f>
        <v>841.59541618400738</v>
      </c>
      <c r="AR41" s="845"/>
      <c r="AS41" s="841">
        <f>AS21+AS35</f>
        <v>176.36399999999998</v>
      </c>
      <c r="AT41" s="842">
        <f>AT21+AT35</f>
        <v>206.18400000000005</v>
      </c>
      <c r="AU41" s="842">
        <f>AU21+AU35</f>
        <v>213.12200000000001</v>
      </c>
      <c r="AV41" s="842">
        <f>AV21+AV35</f>
        <v>275.37799999999993</v>
      </c>
      <c r="AW41" s="1205">
        <f>AW21+AW35</f>
        <v>871.048</v>
      </c>
      <c r="AX41" s="845"/>
      <c r="AY41" s="841">
        <f>AY21+AY35</f>
        <v>188.50383835654085</v>
      </c>
      <c r="AZ41" s="842">
        <f>AZ21+AZ35</f>
        <v>217.57647427628393</v>
      </c>
      <c r="BA41" s="842">
        <f>BA21+BA35</f>
        <v>219.19645352654555</v>
      </c>
      <c r="BB41" s="842">
        <f>BB21+BB35</f>
        <v>270.34985528146103</v>
      </c>
      <c r="BC41" s="1205">
        <f>BC21+BC35</f>
        <v>895.62662144083151</v>
      </c>
      <c r="BD41" s="845"/>
      <c r="BE41" s="841">
        <f>BE21+BE35</f>
        <v>188.52939613358632</v>
      </c>
      <c r="BF41" s="842">
        <f>BF21+BF35</f>
        <v>231.85850438096458</v>
      </c>
      <c r="BG41" s="842">
        <f>BG21+BG35</f>
        <v>226.26786930196528</v>
      </c>
      <c r="BH41" s="842">
        <f>BH21+BH35</f>
        <v>296.69643606049175</v>
      </c>
      <c r="BI41" s="1205">
        <f>BI21+BI35</f>
        <v>943.3522058770078</v>
      </c>
      <c r="BJ41" s="845"/>
      <c r="BK41" s="841">
        <f>BK21+BK35</f>
        <v>197.85002475358371</v>
      </c>
      <c r="BL41" s="842">
        <f>BL21+BL35</f>
        <v>238.54402314606133</v>
      </c>
      <c r="BM41" s="842">
        <f>BM21+BM35</f>
        <v>237.97717378124673</v>
      </c>
      <c r="BN41" s="842">
        <f>BN21+BN35</f>
        <v>314.83875435788116</v>
      </c>
      <c r="BO41" s="1205">
        <f>BO21+BO35</f>
        <v>989.20997603877299</v>
      </c>
      <c r="BP41" s="845"/>
      <c r="BQ41" s="841">
        <f>BQ21+BQ35</f>
        <v>210.64471665935898</v>
      </c>
      <c r="BR41" s="842">
        <f>BR21+BR35</f>
        <v>255.31641053120006</v>
      </c>
      <c r="BS41" s="842">
        <f>BS21+BS35</f>
        <v>248.88580273388484</v>
      </c>
      <c r="BT41" s="842">
        <f>BT21+BT35</f>
        <v>332.7645355176677</v>
      </c>
      <c r="BU41" s="1205">
        <f>BU21+BU35</f>
        <v>1047.6114654421117</v>
      </c>
      <c r="BV41" s="566"/>
      <c r="BW41" s="841">
        <f>BW21+BW35</f>
        <v>223.41310769494524</v>
      </c>
      <c r="BX41" s="842">
        <f>BX21+BX35</f>
        <v>266.93810787582061</v>
      </c>
      <c r="BY41" s="842">
        <f>BY21+BY35</f>
        <v>260.41557059390999</v>
      </c>
      <c r="BZ41" s="842">
        <f>BZ21+BZ35</f>
        <v>343.48154054103304</v>
      </c>
      <c r="CA41" s="1205">
        <f>CA21+CA35</f>
        <v>1094.2483267057089</v>
      </c>
      <c r="CB41" s="566"/>
      <c r="CC41" s="841">
        <f>CC21+CC35</f>
        <v>235.78010611309332</v>
      </c>
      <c r="CD41" s="842">
        <f>CD21+CD35</f>
        <v>277.61563219085338</v>
      </c>
      <c r="CE41" s="842">
        <f>CE21+CE35</f>
        <v>271.83752419117491</v>
      </c>
      <c r="CF41" s="842">
        <f>CF21+CF35</f>
        <v>353.644165040622</v>
      </c>
      <c r="CG41" s="1205">
        <f>CG21+CG35</f>
        <v>1138.8774275357437</v>
      </c>
      <c r="CH41" s="566"/>
      <c r="CI41" s="841">
        <f>CI21+CI35</f>
        <v>248.8372350341528</v>
      </c>
      <c r="CJ41" s="842">
        <f>CJ21+CJ35</f>
        <v>288.72025747848755</v>
      </c>
      <c r="CK41" s="842">
        <f>CK21+CK35</f>
        <v>283.77461659566802</v>
      </c>
      <c r="CL41" s="842">
        <f>CL21+CL35</f>
        <v>364.19017459782566</v>
      </c>
      <c r="CM41" s="1205">
        <f>CM21+CM35</f>
        <v>1185.522283706134</v>
      </c>
    </row>
    <row r="42" spans="1:122" hidden="1" outlineLevel="1">
      <c r="A42" s="343" t="s">
        <v>293</v>
      </c>
      <c r="B42" s="935"/>
      <c r="C42" s="955"/>
      <c r="D42" s="955"/>
      <c r="E42" s="955"/>
      <c r="F42" s="955"/>
      <c r="G42" s="937"/>
      <c r="H42" s="935"/>
      <c r="I42" s="1031"/>
      <c r="J42" s="1031"/>
      <c r="K42" s="1031"/>
      <c r="L42" s="1031"/>
      <c r="M42" s="1206">
        <f>+M41/G41-1</f>
        <v>3.3794655310661614E-2</v>
      </c>
      <c r="N42" s="1207"/>
      <c r="O42" s="1208">
        <f>O41/I41-1</f>
        <v>-0.21251626205535112</v>
      </c>
      <c r="P42" s="1208">
        <f>P41/J41-1</f>
        <v>-0.12518071665421504</v>
      </c>
      <c r="Q42" s="1208">
        <f>Q41/K41-1</f>
        <v>-6.9906913389916947E-2</v>
      </c>
      <c r="R42" s="1208">
        <f>R41/L41-1</f>
        <v>3.843251201453457E-2</v>
      </c>
      <c r="S42" s="1206">
        <f>+S41/M41-1</f>
        <v>-8.8784416857312642E-2</v>
      </c>
      <c r="T42" s="939"/>
      <c r="U42" s="1208">
        <f>U41/O41-1</f>
        <v>0.11032698061000734</v>
      </c>
      <c r="V42" s="1208">
        <f>V41/P41-1</f>
        <v>6.7707280976831541E-2</v>
      </c>
      <c r="W42" s="1208">
        <f>W41/Q41-1</f>
        <v>7.4746547525815332E-2</v>
      </c>
      <c r="X42" s="1208">
        <f>X41/R41-1</f>
        <v>0.15700664800965169</v>
      </c>
      <c r="Y42" s="1206">
        <f>+Y41/S41-1</f>
        <v>0.1053154582793665</v>
      </c>
      <c r="Z42" s="940"/>
      <c r="AA42" s="1209">
        <f>AA41/U41-1</f>
        <v>0.24559974170829468</v>
      </c>
      <c r="AB42" s="1208">
        <f>AB41/V41-1</f>
        <v>0.13086258449669397</v>
      </c>
      <c r="AC42" s="1208">
        <f>AC41/W41-1</f>
        <v>0.14627705910225841</v>
      </c>
      <c r="AD42" s="1208">
        <f>AD41/X41-1</f>
        <v>6.4093024632580819E-2</v>
      </c>
      <c r="AE42" s="1206">
        <f>+AE41/Y41-1</f>
        <v>0.13685213176097633</v>
      </c>
      <c r="AF42" s="940"/>
      <c r="AG42" s="1209">
        <f>AG41/AA41-1</f>
        <v>-0.10553274400557944</v>
      </c>
      <c r="AH42" s="1208">
        <f>AH41/AB41-1</f>
        <v>-1.3221602497564433E-2</v>
      </c>
      <c r="AI42" s="1208">
        <f>AI41/AC41-1</f>
        <v>-2.3957009809685736E-2</v>
      </c>
      <c r="AJ42" s="1208">
        <f>AJ41/AD41-1</f>
        <v>-6.2207100457539188E-2</v>
      </c>
      <c r="AK42" s="1206">
        <f>+AK41/AE41-1</f>
        <v>-5.1176678014992261E-2</v>
      </c>
      <c r="AL42" s="828"/>
      <c r="AM42" s="1209">
        <f>AM41/AG41-1</f>
        <v>4.447666391245142E-2</v>
      </c>
      <c r="AN42" s="1208">
        <f>AN41/AH41-1</f>
        <v>-4.0442101539232334E-2</v>
      </c>
      <c r="AO42" s="1208">
        <f>AO41/AI41-1</f>
        <v>-4.4565137367734486E-2</v>
      </c>
      <c r="AP42" s="1208">
        <f>AP41/AJ41-1</f>
        <v>7.255392999547472E-2</v>
      </c>
      <c r="AQ42" s="1206">
        <f>+AQ41/AK41-1</f>
        <v>9.8157083210774765E-3</v>
      </c>
      <c r="AR42" s="940"/>
      <c r="AS42" s="1209">
        <f>AS41/AM41-1</f>
        <v>-4.4224704949649252E-2</v>
      </c>
      <c r="AT42" s="1208">
        <f>AT41/AN41-1</f>
        <v>5.4897594494605073E-2</v>
      </c>
      <c r="AU42" s="1208">
        <f>AU41/AO41-1</f>
        <v>7.464460258334471E-2</v>
      </c>
      <c r="AV42" s="1208">
        <f>AV41/AP41-1</f>
        <v>4.5878613743841612E-2</v>
      </c>
      <c r="AW42" s="1206">
        <f>+AW41/AQ41-1</f>
        <v>3.4996131454158252E-2</v>
      </c>
      <c r="AX42" s="940"/>
      <c r="AY42" s="1209">
        <f>AY41/AS41-1</f>
        <v>6.8833993085555267E-2</v>
      </c>
      <c r="AZ42" s="1208">
        <f>AZ41/AT41-1</f>
        <v>5.5253920169770154E-2</v>
      </c>
      <c r="BA42" s="1208">
        <f>BA41/AU41-1</f>
        <v>2.8502235933153486E-2</v>
      </c>
      <c r="BB42" s="1208">
        <f>BB41/AV41-1</f>
        <v>-1.8259064698483152E-2</v>
      </c>
      <c r="BC42" s="1206">
        <f>+BC41/AW41-1</f>
        <v>2.8217298519520817E-2</v>
      </c>
      <c r="BD42" s="940"/>
      <c r="BE42" s="1209">
        <f>BE41/AY41-1</f>
        <v>1.3558226330179224E-4</v>
      </c>
      <c r="BF42" s="1208">
        <f>BF41/AZ41-1</f>
        <v>6.5641426317741391E-2</v>
      </c>
      <c r="BG42" s="1208">
        <f>BG41/BA41-1</f>
        <v>3.2260630414640001E-2</v>
      </c>
      <c r="BH42" s="1208">
        <f>BH41/BB41-1</f>
        <v>9.7453652237399213E-2</v>
      </c>
      <c r="BI42" s="1206">
        <f>+BI41/BC41-1</f>
        <v>5.3287366960350191E-2</v>
      </c>
      <c r="BJ42" s="940"/>
      <c r="BK42" s="1209">
        <f>BK41/BE41-1</f>
        <v>4.9438595843128263E-2</v>
      </c>
      <c r="BL42" s="1208">
        <f>BL41/BF41-1</f>
        <v>2.8834477229749744E-2</v>
      </c>
      <c r="BM42" s="1208">
        <f>BM41/BG41-1</f>
        <v>5.1749744740181569E-2</v>
      </c>
      <c r="BN42" s="1208">
        <f>BN41/BH41-1</f>
        <v>6.1147745953006538E-2</v>
      </c>
      <c r="BO42" s="1206">
        <f>+BO41/BI41-1</f>
        <v>4.8611504670339478E-2</v>
      </c>
      <c r="BP42" s="940"/>
      <c r="BQ42" s="1209">
        <f>BQ41/BK41-1</f>
        <v>6.4668639398507421E-2</v>
      </c>
      <c r="BR42" s="1208">
        <f>BR41/BL41-1</f>
        <v>7.0311497072676366E-2</v>
      </c>
      <c r="BS42" s="1208">
        <f>BS41/BM41-1</f>
        <v>4.5838971777459436E-2</v>
      </c>
      <c r="BT42" s="1208">
        <f>BT41/BN41-1</f>
        <v>5.6936386997040733E-2</v>
      </c>
      <c r="BU42" s="1206">
        <f>+BU41/BO41-1</f>
        <v>5.9038516410038211E-2</v>
      </c>
      <c r="BV42" s="71"/>
      <c r="BW42" s="1209">
        <f>BW41/BQ41-1</f>
        <v>6.0615766861290332E-2</v>
      </c>
      <c r="BX42" s="1208">
        <f>BX41/BR41-1</f>
        <v>4.5518802808017567E-2</v>
      </c>
      <c r="BY42" s="1208">
        <f>BY41/BS41-1</f>
        <v>4.6325534576004301E-2</v>
      </c>
      <c r="BZ42" s="1208">
        <f>BZ41/BT41-1</f>
        <v>3.2205971128183242E-2</v>
      </c>
      <c r="CA42" s="1206">
        <f>+CA41/BU41-1</f>
        <v>4.45173261290297E-2</v>
      </c>
      <c r="CB42" s="71"/>
      <c r="CC42" s="1209">
        <f>CC41/BW41-1</f>
        <v>5.5354847106976024E-2</v>
      </c>
      <c r="CD42" s="1208">
        <f>CD41/BX41-1</f>
        <v>3.9999999999999813E-2</v>
      </c>
      <c r="CE42" s="1208">
        <f>CE41/BY41-1</f>
        <v>4.3860486418748845E-2</v>
      </c>
      <c r="CF42" s="1208">
        <f>CF41/BZ41-1</f>
        <v>2.958710527378372E-2</v>
      </c>
      <c r="CG42" s="1206">
        <f>+CG41/CA41-1</f>
        <v>4.078516707847557E-2</v>
      </c>
      <c r="CH42" s="71"/>
      <c r="CI42" s="1209">
        <f>CI41/CC41-1</f>
        <v>5.5378416509815898E-2</v>
      </c>
      <c r="CJ42" s="1208">
        <f>CJ41/CD41-1</f>
        <v>4.0000000000000258E-2</v>
      </c>
      <c r="CK42" s="1208">
        <f>CK41/CE41-1</f>
        <v>4.3912599778160644E-2</v>
      </c>
      <c r="CL42" s="1208">
        <f>CL41/CF41-1</f>
        <v>2.9820962989711042E-2</v>
      </c>
      <c r="CM42" s="1206">
        <f>+CM41/CG41-1</f>
        <v>4.0956871251121907E-2</v>
      </c>
    </row>
    <row r="43" spans="1:122" s="68" customFormat="1" hidden="1" outlineLevel="1">
      <c r="A43" s="1459" t="s">
        <v>290</v>
      </c>
      <c r="B43" s="1193"/>
      <c r="C43" s="1210"/>
      <c r="D43" s="1210"/>
      <c r="E43" s="1210"/>
      <c r="F43" s="1210"/>
      <c r="G43" s="1211"/>
      <c r="H43" s="1193"/>
      <c r="I43" s="1003"/>
      <c r="J43" s="1003"/>
      <c r="K43" s="1003"/>
      <c r="L43" s="1003"/>
      <c r="M43" s="1027">
        <f>M42-M$18</f>
        <v>1.3794655310661614E-2</v>
      </c>
      <c r="N43" s="1212"/>
      <c r="O43" s="1000">
        <f>O42-O$18</f>
        <v>-0.2525162620553511</v>
      </c>
      <c r="P43" s="1000">
        <f>P42-P$18</f>
        <v>-0.11518071665421505</v>
      </c>
      <c r="Q43" s="1000">
        <f>Q42-Q$18</f>
        <v>-4.9906913389916943E-2</v>
      </c>
      <c r="R43" s="1000">
        <f>R42-R$18</f>
        <v>3.843251201453457E-2</v>
      </c>
      <c r="S43" s="1027">
        <f>AVERAGE(O43:R43)</f>
        <v>-9.4792845021237124E-2</v>
      </c>
      <c r="T43" s="1213"/>
      <c r="U43" s="1000">
        <f>U42-U$18</f>
        <v>7.0326980610007334E-2</v>
      </c>
      <c r="V43" s="1000">
        <f>V42-V$18</f>
        <v>7.7707280976831536E-2</v>
      </c>
      <c r="W43" s="1000">
        <f>W42-W$18</f>
        <v>9.4746547525815336E-2</v>
      </c>
      <c r="X43" s="1000">
        <f>X42-X$18</f>
        <v>0.15700664800965169</v>
      </c>
      <c r="Y43" s="1027">
        <f>AVERAGE(U43:X43)</f>
        <v>9.9946864280576475E-2</v>
      </c>
      <c r="Z43" s="959"/>
      <c r="AA43" s="1001">
        <f>AA42-AA$18</f>
        <v>0.22559974170829469</v>
      </c>
      <c r="AB43" s="1000">
        <f>AB42-AB$18</f>
        <v>7.086258449669397E-2</v>
      </c>
      <c r="AC43" s="1000">
        <f>AC42-AC$18</f>
        <v>0.1062770591022584</v>
      </c>
      <c r="AD43" s="1000">
        <f>AD42-AD$18</f>
        <v>6.4093024632580819E-2</v>
      </c>
      <c r="AE43" s="1027">
        <f>AVERAGE(AA43:AD43)</f>
        <v>0.11670810248495697</v>
      </c>
      <c r="AF43" s="959"/>
      <c r="AG43" s="1001">
        <f>AG42-AG$18</f>
        <v>-8.5532744005579434E-2</v>
      </c>
      <c r="AH43" s="1000">
        <f>AH42-AH$18</f>
        <v>1.6778397502435566E-2</v>
      </c>
      <c r="AI43" s="1000">
        <f>AI42-AI$18</f>
        <v>6.0429901903142624E-3</v>
      </c>
      <c r="AJ43" s="1000">
        <f>AJ42-AJ$18</f>
        <v>-4.820710045753919E-2</v>
      </c>
      <c r="AK43" s="1027">
        <f>AVERAGE(AG43:AJ43)</f>
        <v>-2.7729614192592199E-2</v>
      </c>
      <c r="AL43" s="959"/>
      <c r="AM43" s="1001">
        <f>AM42-AM$18</f>
        <v>7.4476663912451418E-2</v>
      </c>
      <c r="AN43" s="1000">
        <f>AN42-AN$18</f>
        <v>-2.0442101539232333E-2</v>
      </c>
      <c r="AO43" s="1000">
        <f>AO42-AO$18</f>
        <v>-2.4565137367734486E-2</v>
      </c>
      <c r="AP43" s="1000">
        <f>AP42-AP$18</f>
        <v>9.2553929995474724E-2</v>
      </c>
      <c r="AQ43" s="1027">
        <f>AVERAGE(AM43:AP43)</f>
        <v>3.0505838750239832E-2</v>
      </c>
      <c r="AR43" s="1214"/>
      <c r="AS43" s="1001">
        <f>AS42-AS$18</f>
        <v>-4.4224704949649252E-2</v>
      </c>
      <c r="AT43" s="1000">
        <f>AT42-AT$18</f>
        <v>4.6897594494605073E-2</v>
      </c>
      <c r="AU43" s="1000">
        <f>AU42-AU$18</f>
        <v>7.464460258334471E-2</v>
      </c>
      <c r="AV43" s="1000">
        <f>AV42-AV$18</f>
        <v>9.5878613743841615E-2</v>
      </c>
      <c r="AW43" s="1027">
        <f>AW42-AW18</f>
        <v>4.5496131454158255E-2</v>
      </c>
      <c r="AX43" s="1003"/>
      <c r="AY43" s="1001">
        <f>AY42-AY$18</f>
        <v>0.14883399308555528</v>
      </c>
      <c r="AZ43" s="1000">
        <f>AZ42-AZ$18</f>
        <v>0.12525392016977016</v>
      </c>
      <c r="BA43" s="1000">
        <f>BA42-BA$18</f>
        <v>0.10250223593315348</v>
      </c>
      <c r="BB43" s="1000">
        <f>BB42-BB$18</f>
        <v>3.6164930348415204E-2</v>
      </c>
      <c r="BC43" s="1027">
        <f>AVERAGE(AY43:BB43)</f>
        <v>0.10318876988422354</v>
      </c>
      <c r="BD43" s="1214"/>
      <c r="BE43" s="1001">
        <f>BE42-BE$18</f>
        <v>1.7010779845902997E-2</v>
      </c>
      <c r="BF43" s="1000">
        <f>BF42-BF$18</f>
        <v>6.4974409298701088E-2</v>
      </c>
      <c r="BG43" s="1000">
        <f>BG42-BG$18</f>
        <v>2.9513805743959308E-2</v>
      </c>
      <c r="BH43" s="1000">
        <f>BH42-BH$18</f>
        <v>0.11745365223739922</v>
      </c>
      <c r="BI43" s="1027">
        <f>AVERAGE(BE43:BH43)</f>
        <v>5.723816178149066E-2</v>
      </c>
      <c r="BJ43" s="1214"/>
      <c r="BK43" s="1001">
        <f>BK42-BK$18</f>
        <v>5.9438595843128265E-2</v>
      </c>
      <c r="BL43" s="1000">
        <f>BL42-BL$18</f>
        <v>3.8834477229749746E-2</v>
      </c>
      <c r="BM43" s="1000">
        <f>BM42-BM$18</f>
        <v>4.1749744740181567E-2</v>
      </c>
      <c r="BN43" s="1000">
        <f>BN42-BN$18</f>
        <v>3.1147745953006539E-2</v>
      </c>
      <c r="BO43" s="1027">
        <f>AVERAGE(BK43:BN43)</f>
        <v>4.2792640941516531E-2</v>
      </c>
      <c r="BP43" s="1214"/>
      <c r="BQ43" s="1001">
        <f>BQ42-BQ$18</f>
        <v>6.9668639398507426E-2</v>
      </c>
      <c r="BR43" s="1000">
        <f>BR42-BR$18</f>
        <v>7.0311497072676366E-2</v>
      </c>
      <c r="BS43" s="1000">
        <f>BS42-BS$18</f>
        <v>4.5838971777459436E-2</v>
      </c>
      <c r="BT43" s="1000">
        <f>BT42-BT$18</f>
        <v>5.6936386997040733E-2</v>
      </c>
      <c r="BU43" s="1027">
        <f>AVERAGE(BQ43:BT43)</f>
        <v>6.068887381142099E-2</v>
      </c>
      <c r="BV43" s="358"/>
      <c r="BW43" s="1001">
        <f>BW42-BW$18</f>
        <v>6.0615766861290332E-2</v>
      </c>
      <c r="BX43" s="1000">
        <f>BX42-BX$18</f>
        <v>4.5518802808017567E-2</v>
      </c>
      <c r="BY43" s="1000">
        <f>BY42-BY$18</f>
        <v>4.6325534576004301E-2</v>
      </c>
      <c r="BZ43" s="1000">
        <f>BZ42-BZ$18</f>
        <v>3.2205971128183242E-2</v>
      </c>
      <c r="CA43" s="1027">
        <f>AVERAGE(BW43:BZ43)</f>
        <v>4.616651884337386E-2</v>
      </c>
      <c r="CB43" s="358"/>
      <c r="CC43" s="1001">
        <f>CC42-CC$18</f>
        <v>5.5354847106976024E-2</v>
      </c>
      <c r="CD43" s="1000">
        <f>CD42-CD$18</f>
        <v>3.9999999999999813E-2</v>
      </c>
      <c r="CE43" s="1000">
        <f>CE42-CE$18</f>
        <v>4.3860486418748845E-2</v>
      </c>
      <c r="CF43" s="1000">
        <f>CF42-CF$18</f>
        <v>2.958710527378372E-2</v>
      </c>
      <c r="CG43" s="1027">
        <f>AVERAGE(CC43:CF43)</f>
        <v>4.2200609699877101E-2</v>
      </c>
      <c r="CH43" s="358"/>
      <c r="CI43" s="1001">
        <f>CI42-CI$18</f>
        <v>5.5378416509815898E-2</v>
      </c>
      <c r="CJ43" s="1000">
        <f>CJ42-CJ$18</f>
        <v>4.0000000000000258E-2</v>
      </c>
      <c r="CK43" s="1000">
        <f>CK42-CK$18</f>
        <v>4.3912599778160644E-2</v>
      </c>
      <c r="CL43" s="1000">
        <f>CL42-CL$18</f>
        <v>2.9820962989711042E-2</v>
      </c>
      <c r="CM43" s="1027">
        <f>AVERAGE(CI43:CL43)</f>
        <v>4.227799481942196E-2</v>
      </c>
    </row>
    <row r="44" spans="1:122" ht="12" customHeight="1" collapsed="1">
      <c r="A44" s="1460"/>
      <c r="B44" s="969"/>
      <c r="C44" s="970"/>
      <c r="D44" s="970"/>
      <c r="E44" s="970"/>
      <c r="F44" s="970"/>
      <c r="G44" s="970"/>
      <c r="H44" s="970"/>
      <c r="I44" s="970"/>
      <c r="J44" s="970"/>
      <c r="K44" s="970"/>
      <c r="L44" s="970"/>
      <c r="M44" s="970"/>
      <c r="N44" s="970"/>
      <c r="O44" s="970"/>
      <c r="P44" s="970"/>
      <c r="Q44" s="970"/>
      <c r="R44" s="970"/>
      <c r="S44" s="970"/>
      <c r="T44" s="970"/>
      <c r="U44" s="970"/>
      <c r="V44" s="970"/>
      <c r="W44" s="970"/>
      <c r="X44" s="971"/>
      <c r="Y44" s="970"/>
      <c r="Z44" s="970"/>
      <c r="AA44" s="970"/>
      <c r="AB44" s="970"/>
      <c r="AC44" s="970"/>
      <c r="AD44" s="970"/>
      <c r="AE44" s="970"/>
      <c r="AF44" s="970"/>
      <c r="AG44" s="1226"/>
      <c r="AH44" s="1226"/>
      <c r="AI44" s="1226"/>
      <c r="AJ44" s="1226"/>
      <c r="AK44" s="970"/>
      <c r="AL44" s="970"/>
      <c r="AM44" s="1226"/>
      <c r="AN44" s="1226"/>
      <c r="AO44" s="1157"/>
      <c r="AP44" s="1157"/>
      <c r="AQ44" s="970"/>
      <c r="AR44" s="970"/>
      <c r="AS44" s="970"/>
      <c r="AT44" s="970"/>
      <c r="AU44" s="970"/>
      <c r="AV44" s="970"/>
      <c r="AW44" s="970"/>
      <c r="AX44" s="972"/>
      <c r="AY44" s="972"/>
      <c r="AZ44" s="972"/>
      <c r="BA44" s="972"/>
      <c r="BB44" s="970"/>
      <c r="BC44" s="1557"/>
      <c r="BD44" s="972"/>
      <c r="BE44" s="1240"/>
      <c r="BF44" s="972"/>
      <c r="BG44" s="972"/>
      <c r="BH44" s="972"/>
      <c r="BI44" s="1557"/>
      <c r="BJ44" s="972"/>
      <c r="BK44" s="972"/>
      <c r="BL44" s="972"/>
      <c r="BM44" s="972"/>
      <c r="BN44" s="972"/>
      <c r="BO44" s="972"/>
      <c r="BP44" s="972"/>
      <c r="BQ44" s="972"/>
      <c r="BR44" s="972"/>
      <c r="BS44" s="972"/>
      <c r="BT44" s="972"/>
      <c r="BU44" s="972"/>
      <c r="BV44" s="24"/>
      <c r="BW44" s="972"/>
      <c r="BX44" s="972"/>
      <c r="BY44" s="972"/>
      <c r="BZ44" s="972"/>
      <c r="CA44" s="972"/>
      <c r="CB44" s="24"/>
      <c r="CC44" s="972"/>
      <c r="CD44" s="972"/>
      <c r="CE44" s="972"/>
      <c r="CF44" s="972"/>
      <c r="CG44" s="972"/>
      <c r="CH44" s="24"/>
      <c r="CI44" s="972"/>
      <c r="CJ44" s="972"/>
      <c r="CK44" s="972"/>
      <c r="CL44" s="972"/>
      <c r="CM44" s="972"/>
      <c r="CN44" s="1679"/>
      <c r="CO44" s="1679"/>
      <c r="CP44" s="1679"/>
      <c r="CQ44" s="1679"/>
      <c r="CR44" s="1679"/>
      <c r="CS44" s="1679"/>
      <c r="CT44" s="1679"/>
      <c r="CU44" s="1679"/>
      <c r="CV44" s="1679"/>
      <c r="CW44" s="1679"/>
      <c r="CX44" s="1679"/>
      <c r="CY44" s="1679"/>
      <c r="CZ44" s="1679"/>
      <c r="DA44" s="1679"/>
      <c r="DB44" s="1679"/>
      <c r="DC44" s="1679"/>
      <c r="DD44" s="1679"/>
      <c r="DE44" s="1679"/>
      <c r="DF44" s="1679"/>
      <c r="DG44" s="1679"/>
      <c r="DH44" s="1679"/>
      <c r="DI44" s="1679"/>
      <c r="DJ44" s="1679"/>
      <c r="DK44" s="1679"/>
      <c r="DL44" s="1679"/>
      <c r="DM44" s="1679"/>
      <c r="DN44" s="1679"/>
      <c r="DO44" s="1679"/>
      <c r="DP44" s="1679"/>
      <c r="DQ44" s="1679"/>
      <c r="DR44" s="1679"/>
    </row>
    <row r="45" spans="1:122">
      <c r="A45" s="1461" t="s">
        <v>294</v>
      </c>
      <c r="B45" s="75"/>
      <c r="C45" s="82"/>
      <c r="D45" s="82"/>
      <c r="E45" s="82"/>
      <c r="F45" s="82"/>
      <c r="G45" s="81"/>
      <c r="H45" s="81"/>
      <c r="I45" s="82"/>
      <c r="J45" s="82"/>
      <c r="K45" s="82"/>
      <c r="L45" s="82"/>
      <c r="M45" s="81"/>
      <c r="N45" s="81"/>
      <c r="O45" s="82"/>
      <c r="P45" s="82"/>
      <c r="Q45" s="82"/>
      <c r="R45" s="82"/>
      <c r="S45" s="81"/>
      <c r="T45" s="83"/>
      <c r="U45" s="76"/>
      <c r="V45" s="76"/>
      <c r="W45" s="76"/>
      <c r="X45" s="76"/>
      <c r="Y45" s="77"/>
      <c r="Z45" s="76"/>
      <c r="AA45" s="76"/>
      <c r="AB45" s="76"/>
      <c r="AC45" s="76"/>
      <c r="AD45" s="76"/>
      <c r="AE45" s="77"/>
      <c r="AF45" s="75"/>
      <c r="AG45" s="76"/>
      <c r="AH45" s="76"/>
      <c r="AI45" s="76"/>
      <c r="AJ45" s="82"/>
      <c r="AK45" s="77"/>
      <c r="AL45" s="75"/>
      <c r="AM45" s="76"/>
      <c r="AN45" s="76"/>
      <c r="AO45" s="76"/>
      <c r="AP45" s="76"/>
      <c r="AQ45" s="77"/>
      <c r="AR45" s="75"/>
      <c r="AS45" s="76"/>
      <c r="AT45" s="76"/>
      <c r="AU45" s="76"/>
      <c r="AV45" s="76"/>
      <c r="AW45" s="77"/>
      <c r="AX45" s="75"/>
      <c r="AY45" s="76"/>
      <c r="AZ45" s="76"/>
      <c r="BA45" s="76"/>
      <c r="BB45" s="76"/>
      <c r="BC45" s="77"/>
      <c r="BD45" s="75"/>
      <c r="BE45" s="76"/>
      <c r="BF45" s="76"/>
      <c r="BG45" s="76"/>
      <c r="BH45" s="76"/>
      <c r="BI45" s="77"/>
      <c r="BJ45" s="75"/>
      <c r="BK45" s="76"/>
      <c r="BL45" s="76"/>
      <c r="BM45" s="76"/>
      <c r="BN45" s="76"/>
      <c r="BO45" s="77"/>
      <c r="BP45" s="75"/>
      <c r="BQ45" s="76"/>
      <c r="BR45" s="76"/>
      <c r="BS45" s="76"/>
      <c r="BT45" s="76"/>
      <c r="BU45" s="77"/>
      <c r="BV45" s="1919"/>
      <c r="BW45" s="76"/>
      <c r="BX45" s="76"/>
      <c r="BY45" s="76"/>
      <c r="BZ45" s="76"/>
      <c r="CA45" s="77"/>
      <c r="CB45" s="1919"/>
      <c r="CC45" s="76"/>
      <c r="CD45" s="76"/>
      <c r="CE45" s="76"/>
      <c r="CF45" s="76"/>
      <c r="CG45" s="77"/>
      <c r="CH45" s="1919"/>
      <c r="CI45" s="76"/>
      <c r="CJ45" s="76"/>
      <c r="CK45" s="76"/>
      <c r="CL45" s="76"/>
      <c r="CM45" s="77"/>
      <c r="CN45" s="1679"/>
      <c r="CO45" s="1679"/>
      <c r="CP45" s="1679"/>
      <c r="CQ45" s="1679"/>
      <c r="CR45" s="1679"/>
      <c r="CS45" s="1679"/>
      <c r="CT45" s="1679"/>
      <c r="CU45" s="1679"/>
      <c r="CV45" s="1679"/>
      <c r="CW45" s="1679"/>
      <c r="CX45" s="1679"/>
      <c r="CY45" s="1679"/>
      <c r="CZ45" s="1679"/>
      <c r="DA45" s="1679"/>
      <c r="DB45" s="1679"/>
      <c r="DC45" s="1679"/>
      <c r="DD45" s="1679"/>
      <c r="DE45" s="1679"/>
      <c r="DF45" s="1679"/>
      <c r="DG45" s="1679"/>
      <c r="DH45" s="1679"/>
      <c r="DI45" s="1679"/>
      <c r="DJ45" s="1679"/>
      <c r="DK45" s="1679"/>
      <c r="DL45" s="1679"/>
      <c r="DM45" s="1679"/>
      <c r="DN45" s="1679"/>
      <c r="DO45" s="1679"/>
      <c r="DP45" s="1679"/>
      <c r="DQ45" s="1679"/>
      <c r="DR45" s="1679"/>
    </row>
    <row r="46" spans="1:122" s="2024" customFormat="1">
      <c r="A46" s="973" t="s">
        <v>17</v>
      </c>
      <c r="B46" s="928"/>
      <c r="C46" s="928"/>
      <c r="D46" s="928"/>
      <c r="E46" s="928"/>
      <c r="F46" s="932"/>
      <c r="G46" s="929">
        <v>17.5</v>
      </c>
      <c r="H46" s="927"/>
      <c r="I46" s="930">
        <v>5.569375</v>
      </c>
      <c r="J46" s="930">
        <v>6.2387499999999996</v>
      </c>
      <c r="K46" s="930">
        <v>6.9081250000000001</v>
      </c>
      <c r="L46" s="974">
        <v>7.5993750000000002</v>
      </c>
      <c r="M46" s="974">
        <v>26.315625000000001</v>
      </c>
      <c r="N46" s="927"/>
      <c r="O46" s="930">
        <v>8.19</v>
      </c>
      <c r="P46" s="931">
        <v>8.7368749999999995</v>
      </c>
      <c r="Q46" s="930">
        <v>9.4587500000000002</v>
      </c>
      <c r="R46" s="974">
        <v>8.8762500000000006</v>
      </c>
      <c r="S46" s="974">
        <v>35.261875000000003</v>
      </c>
      <c r="T46" s="932"/>
      <c r="U46" s="930">
        <v>11.356400000000001</v>
      </c>
      <c r="V46" s="930">
        <v>12.035024999999999</v>
      </c>
      <c r="W46" s="930">
        <v>12.8249</v>
      </c>
      <c r="X46" s="974">
        <v>13.247249999999998</v>
      </c>
      <c r="Y46" s="929">
        <v>49.463574999999992</v>
      </c>
      <c r="Z46" s="928"/>
      <c r="AA46" s="933">
        <v>15.07435714285714</v>
      </c>
      <c r="AB46" s="930">
        <v>15.927864795918364</v>
      </c>
      <c r="AC46" s="930">
        <v>16.869138835534212</v>
      </c>
      <c r="AD46" s="974">
        <v>16.287461748286088</v>
      </c>
      <c r="AE46" s="929">
        <v>64.158822522595813</v>
      </c>
      <c r="AF46" s="934"/>
      <c r="AG46" s="933">
        <v>17.975722770000026</v>
      </c>
      <c r="AH46" s="930">
        <v>15.15</v>
      </c>
      <c r="AI46" s="928">
        <f>AC46*(1+AI47)</f>
        <v>16.266910579105641</v>
      </c>
      <c r="AJ46" s="932">
        <f>AD46*(1+AJ47)</f>
        <v>17.427584070666114</v>
      </c>
      <c r="AK46" s="975">
        <f>SUM(AG46:AJ46)</f>
        <v>66.82021741977178</v>
      </c>
      <c r="AL46" s="927"/>
      <c r="AM46" s="934">
        <f>AG46*(1+AM47)</f>
        <v>18.155479997700027</v>
      </c>
      <c r="AN46" s="928">
        <f>AH46*(1+AN47)</f>
        <v>15.907500000000001</v>
      </c>
      <c r="AO46" s="928">
        <f>AI46*(1+AO47)</f>
        <v>16.998921555165392</v>
      </c>
      <c r="AP46" s="932">
        <f>AJ46*(1+AP47)</f>
        <v>18.996066637026065</v>
      </c>
      <c r="AQ46" s="389">
        <f>SUM(AM46:AP46)</f>
        <v>70.057968189891483</v>
      </c>
      <c r="AR46" s="928"/>
      <c r="AS46" s="934">
        <f>AM46*(1+AS47)</f>
        <v>18.881699197608029</v>
      </c>
      <c r="AT46" s="928">
        <f>AN46*(1+AT47)</f>
        <v>16.543800000000001</v>
      </c>
      <c r="AU46" s="928">
        <f>AO46*(1+AU47)</f>
        <v>17.593883809596178</v>
      </c>
      <c r="AV46" s="928">
        <f>AP46*(1+AV47)</f>
        <v>20.135830635247629</v>
      </c>
      <c r="AW46" s="975">
        <f>SUM(AS46:AV46)</f>
        <v>73.155213642451841</v>
      </c>
      <c r="AX46" s="928"/>
      <c r="AY46" s="934">
        <f>AS46*(1+AY47)</f>
        <v>19.60884716551233</v>
      </c>
      <c r="AZ46" s="928">
        <f>AT46*(1+AZ47)</f>
        <v>16.80530200000004</v>
      </c>
      <c r="BA46" s="928">
        <f>AU46*(1+BA47)</f>
        <v>18.757511436261893</v>
      </c>
      <c r="BB46" s="928">
        <f>AV46*(1+BB47)</f>
        <v>21.370217319971839</v>
      </c>
      <c r="BC46" s="975">
        <f>SUM(AY46:BB46)</f>
        <v>76.541877921746106</v>
      </c>
      <c r="BD46" s="928"/>
      <c r="BE46" s="934">
        <f>AY46*(1+BE47)</f>
        <v>21.292749391525625</v>
      </c>
      <c r="BF46" s="928">
        <f>AZ46*(1+BF47)</f>
        <v>18.872354146000045</v>
      </c>
      <c r="BG46" s="928">
        <f>BA46*(1+BG47)</f>
        <v>20.970710210626436</v>
      </c>
      <c r="BH46" s="928">
        <f>BB46*(1+BH47)</f>
        <v>23.507239051969027</v>
      </c>
      <c r="BI46" s="975">
        <f>SUM(BE46:BH46)</f>
        <v>84.643052800121126</v>
      </c>
      <c r="BJ46" s="928"/>
      <c r="BK46" s="934">
        <f>BE46*(1+BK47)</f>
        <v>22.463850608059534</v>
      </c>
      <c r="BL46" s="928">
        <f>BF46*(1+BL47)</f>
        <v>20.193418936220048</v>
      </c>
      <c r="BM46" s="928">
        <f>BG46*(1+BM47)</f>
        <v>22.438659925370288</v>
      </c>
      <c r="BN46" s="928">
        <f>BH46*(1+BN47)</f>
        <v>25.966384553132979</v>
      </c>
      <c r="BO46" s="975">
        <f>SUM(BK46:BN46)</f>
        <v>91.062314022782857</v>
      </c>
      <c r="BP46" s="928"/>
      <c r="BQ46" s="934">
        <f>BK46*(1+BQ47)</f>
        <v>25.15951268102668</v>
      </c>
      <c r="BR46" s="928">
        <f>BL46*(1+BR47)</f>
        <v>22.616629208566458</v>
      </c>
      <c r="BS46" s="928">
        <f>BM46*(1+BS47)</f>
        <v>24.233752719399913</v>
      </c>
      <c r="BT46" s="928">
        <f>BN46*(1+BT47)</f>
        <v>28.303359162914948</v>
      </c>
      <c r="BU46" s="975">
        <f>SUM(BQ46:BT46)</f>
        <v>100.31325377190799</v>
      </c>
      <c r="BV46" s="566"/>
      <c r="BW46" s="934">
        <f>BQ46*(1+BW47)</f>
        <v>27.423868822319083</v>
      </c>
      <c r="BX46" s="928">
        <f>BR46*(1+BX47)</f>
        <v>24.425959545251775</v>
      </c>
      <c r="BY46" s="928">
        <f>BS46*(1+BY47)</f>
        <v>26.172452936951906</v>
      </c>
      <c r="BZ46" s="928">
        <f>BT46*(1+BZ47)</f>
        <v>30.567627895948146</v>
      </c>
      <c r="CA46" s="975">
        <f>SUM(BW46:BZ46)</f>
        <v>108.58990920047091</v>
      </c>
      <c r="CB46" s="566"/>
      <c r="CC46" s="934">
        <f>BW46*(1+CC47)</f>
        <v>29.343539639881421</v>
      </c>
      <c r="CD46" s="928">
        <f>BX46*(1+CD47)</f>
        <v>25.891517117966885</v>
      </c>
      <c r="CE46" s="928">
        <f>BY46*(1+CE47)</f>
        <v>27.742800113169022</v>
      </c>
      <c r="CF46" s="928">
        <f>BZ46*(1+CF47)</f>
        <v>32.401685569705037</v>
      </c>
      <c r="CG46" s="975">
        <f>SUM(CC46:CF46)</f>
        <v>115.37954244072236</v>
      </c>
      <c r="CH46" s="566"/>
      <c r="CI46" s="934">
        <f>CC46*(1+CI47)</f>
        <v>31.397587414673122</v>
      </c>
      <c r="CJ46" s="928">
        <f>CD46*(1+CJ47)</f>
        <v>27.445008145044898</v>
      </c>
      <c r="CK46" s="928">
        <f>CE46*(1+CK47)</f>
        <v>29.407368119959166</v>
      </c>
      <c r="CL46" s="928">
        <f>CF46*(1+CL47)</f>
        <v>34.345786703887342</v>
      </c>
      <c r="CM46" s="975">
        <f>SUM(CI46:CL46)</f>
        <v>122.59575038356454</v>
      </c>
    </row>
    <row r="47" spans="1:122" hidden="1" outlineLevel="1">
      <c r="A47" s="976" t="s">
        <v>74</v>
      </c>
      <c r="B47" s="828"/>
      <c r="C47" s="977"/>
      <c r="D47" s="977"/>
      <c r="E47" s="977"/>
      <c r="F47" s="978"/>
      <c r="G47" s="937"/>
      <c r="H47" s="935"/>
      <c r="I47" s="977"/>
      <c r="J47" s="977"/>
      <c r="K47" s="977"/>
      <c r="L47" s="978"/>
      <c r="M47" s="91">
        <f>M46/G46-1</f>
        <v>0.50375000000000014</v>
      </c>
      <c r="N47" s="935"/>
      <c r="O47" s="979">
        <f>O46/I46-1</f>
        <v>0.47054202670856227</v>
      </c>
      <c r="P47" s="979">
        <f>P46/J46-1</f>
        <v>0.40042075736325389</v>
      </c>
      <c r="Q47" s="979">
        <f>Q46/K46-1</f>
        <v>0.36922102596580109</v>
      </c>
      <c r="R47" s="980">
        <f>R46/L46-1</f>
        <v>0.16802368615840124</v>
      </c>
      <c r="S47" s="91">
        <f>S46/M46-1</f>
        <v>0.33995962474765484</v>
      </c>
      <c r="T47" s="828"/>
      <c r="U47" s="411">
        <f>U46/O46-1</f>
        <v>0.38661782661782684</v>
      </c>
      <c r="V47" s="406">
        <f>V46/P46-1</f>
        <v>0.37749767508405463</v>
      </c>
      <c r="W47" s="406">
        <f>W46/Q46-1</f>
        <v>0.35587683361966427</v>
      </c>
      <c r="X47" s="938">
        <f>X46/R46-1</f>
        <v>0.49243768483312178</v>
      </c>
      <c r="Y47" s="505">
        <f>+Y46/S46-1</f>
        <v>0.4027494283840547</v>
      </c>
      <c r="Z47" s="828"/>
      <c r="AA47" s="411">
        <f>AA46/U46-1</f>
        <v>0.32738870970176626</v>
      </c>
      <c r="AB47" s="406">
        <f>AB46/V46-1</f>
        <v>0.32345921972894653</v>
      </c>
      <c r="AC47" s="406">
        <f>AC46/W46-1</f>
        <v>0.31534271889326337</v>
      </c>
      <c r="AD47" s="938">
        <f>AD46/X46-1</f>
        <v>0.22949757483901112</v>
      </c>
      <c r="AE47" s="505">
        <f>+AE46/Y46-1</f>
        <v>0.29709230524877794</v>
      </c>
      <c r="AF47" s="940"/>
      <c r="AG47" s="1032">
        <f>AG46/AA46-1</f>
        <v>0.19247027250629212</v>
      </c>
      <c r="AH47" s="406">
        <f>AH46/AB46-1</f>
        <v>-4.8836727702365801E-2</v>
      </c>
      <c r="AI47" s="945">
        <v>-3.570000000000001E-2</v>
      </c>
      <c r="AJ47" s="904">
        <v>7.0000000000000007E-2</v>
      </c>
      <c r="AK47" s="505">
        <f>+AK46/AE46-1</f>
        <v>4.1481355058202052E-2</v>
      </c>
      <c r="AL47" s="935"/>
      <c r="AM47" s="903">
        <v>0.01</v>
      </c>
      <c r="AN47" s="904">
        <v>0.05</v>
      </c>
      <c r="AO47" s="904">
        <v>4.4999999999999998E-2</v>
      </c>
      <c r="AP47" s="981">
        <v>0.09</v>
      </c>
      <c r="AQ47" s="938">
        <f>+AQ46/AK46-1</f>
        <v>4.8454657813814084E-2</v>
      </c>
      <c r="AR47" s="828"/>
      <c r="AS47" s="903">
        <v>0.04</v>
      </c>
      <c r="AT47" s="904">
        <v>0.04</v>
      </c>
      <c r="AU47" s="904">
        <v>3.5000000000000003E-2</v>
      </c>
      <c r="AV47" s="904">
        <v>0.06</v>
      </c>
      <c r="AW47" s="505">
        <f>+AW46/AQ46-1</f>
        <v>4.420975276024719E-2</v>
      </c>
      <c r="AX47" s="940"/>
      <c r="AY47" s="903">
        <v>3.85107272546963E-2</v>
      </c>
      <c r="AZ47" s="904">
        <v>1.5806646598728189E-2</v>
      </c>
      <c r="BA47" s="904">
        <v>6.6138189797015703E-2</v>
      </c>
      <c r="BB47" s="904">
        <v>6.1302993012040223E-2</v>
      </c>
      <c r="BC47" s="505">
        <f>+BC46/AW46-1</f>
        <v>4.6294229907477114E-2</v>
      </c>
      <c r="BD47" s="940"/>
      <c r="BE47" s="1665">
        <v>8.5874616279069768E-2</v>
      </c>
      <c r="BF47" s="1680">
        <v>0.123</v>
      </c>
      <c r="BG47" s="904">
        <v>0.11799</v>
      </c>
      <c r="BH47" s="1680">
        <v>0.1</v>
      </c>
      <c r="BI47" s="505">
        <f>+BI46/BC46-1</f>
        <v>0.10583977161701452</v>
      </c>
      <c r="BJ47" s="940"/>
      <c r="BK47" s="1665">
        <v>5.5E-2</v>
      </c>
      <c r="BL47" s="2020">
        <v>7.0000000000000007E-2</v>
      </c>
      <c r="BM47" s="2020">
        <v>7.0000000000000007E-2</v>
      </c>
      <c r="BN47" s="1680">
        <v>0.10461226415094338</v>
      </c>
      <c r="BO47" s="505">
        <f>+BO46/BI46-1</f>
        <v>7.5839197787683554E-2</v>
      </c>
      <c r="BP47" s="940"/>
      <c r="BQ47" s="1761">
        <v>0.12</v>
      </c>
      <c r="BR47" s="1760">
        <v>0.12</v>
      </c>
      <c r="BS47" s="1760">
        <v>0.08</v>
      </c>
      <c r="BT47" s="1760">
        <v>0.09</v>
      </c>
      <c r="BU47" s="505">
        <f>+BU46/BO46-1</f>
        <v>0.10158911343731769</v>
      </c>
      <c r="BV47" s="24"/>
      <c r="BW47" s="1761">
        <v>0.09</v>
      </c>
      <c r="BX47" s="1760">
        <v>0.08</v>
      </c>
      <c r="BY47" s="1760">
        <v>0.08</v>
      </c>
      <c r="BZ47" s="1760">
        <v>0.08</v>
      </c>
      <c r="CA47" s="505">
        <f>+CA46/BU46-1</f>
        <v>8.250809456726782E-2</v>
      </c>
      <c r="CB47" s="24"/>
      <c r="CC47" s="1761">
        <v>7.0000000000000007E-2</v>
      </c>
      <c r="CD47" s="1760">
        <v>0.06</v>
      </c>
      <c r="CE47" s="1760">
        <v>0.06</v>
      </c>
      <c r="CF47" s="1760">
        <v>0.06</v>
      </c>
      <c r="CG47" s="505">
        <f>+CG46/CA46-1</f>
        <v>6.2525452781408086E-2</v>
      </c>
      <c r="CH47" s="24"/>
      <c r="CI47" s="1761">
        <v>7.0000000000000007E-2</v>
      </c>
      <c r="CJ47" s="1760">
        <v>0.06</v>
      </c>
      <c r="CK47" s="1760">
        <v>0.06</v>
      </c>
      <c r="CL47" s="1760">
        <v>0.06</v>
      </c>
      <c r="CM47" s="505">
        <f>+CM46/CG46-1</f>
        <v>6.254321858270151E-2</v>
      </c>
      <c r="CO47" s="1159"/>
      <c r="CP47" s="1159"/>
    </row>
    <row r="48" spans="1:122" hidden="1" outlineLevel="1">
      <c r="A48" s="976" t="s">
        <v>290</v>
      </c>
      <c r="B48" s="828"/>
      <c r="C48" s="977"/>
      <c r="D48" s="977"/>
      <c r="E48" s="977"/>
      <c r="F48" s="978"/>
      <c r="G48" s="937"/>
      <c r="H48" s="935"/>
      <c r="I48" s="977"/>
      <c r="J48" s="977"/>
      <c r="K48" s="977"/>
      <c r="L48" s="978"/>
      <c r="M48" s="602">
        <f>M47-M$18</f>
        <v>0.48375000000000012</v>
      </c>
      <c r="N48" s="935"/>
      <c r="O48" s="979">
        <f>O47-O$18</f>
        <v>0.43054202670856229</v>
      </c>
      <c r="P48" s="979">
        <f>P47-P$18</f>
        <v>0.4104207573632539</v>
      </c>
      <c r="Q48" s="979">
        <f>Q47-Q$18</f>
        <v>0.3892210259658011</v>
      </c>
      <c r="R48" s="980">
        <f>R47-R$18</f>
        <v>0.16802368615840124</v>
      </c>
      <c r="S48" s="602">
        <f>S47-S$18</f>
        <v>0.33745962474765484</v>
      </c>
      <c r="T48" s="828"/>
      <c r="U48" s="982">
        <f>U47-U$18</f>
        <v>0.34661782661782686</v>
      </c>
      <c r="V48" s="979">
        <f>V47-V$18</f>
        <v>0.38749767508405464</v>
      </c>
      <c r="W48" s="979">
        <f>W47-W$18</f>
        <v>0.37587683361966429</v>
      </c>
      <c r="X48" s="980">
        <f>X47-X$18</f>
        <v>0.49243768483312178</v>
      </c>
      <c r="Y48" s="602">
        <f>Y47-Y$18</f>
        <v>0.4002494283840547</v>
      </c>
      <c r="Z48" s="828"/>
      <c r="AA48" s="982">
        <f>AA47-AA18</f>
        <v>0.30738870970176624</v>
      </c>
      <c r="AB48" s="979">
        <f>AB47-AB18</f>
        <v>0.26345921972894654</v>
      </c>
      <c r="AC48" s="979">
        <f>AC47-AC18</f>
        <v>0.27534271889326339</v>
      </c>
      <c r="AD48" s="979">
        <f>AD47-AD18</f>
        <v>0.22949757483901112</v>
      </c>
      <c r="AE48" s="602">
        <f>AE47-AE$18</f>
        <v>0.26709230524877792</v>
      </c>
      <c r="AF48" s="940"/>
      <c r="AG48" s="982">
        <f>AG47-AG18</f>
        <v>0.21247027250629211</v>
      </c>
      <c r="AH48" s="979">
        <f>AH47-AH18</f>
        <v>-1.8836727702365802E-2</v>
      </c>
      <c r="AI48" s="979">
        <f>AI47-AI18</f>
        <v>-5.7000000000000106E-3</v>
      </c>
      <c r="AJ48" s="406">
        <f>AJ47-AJ18</f>
        <v>8.4000000000000005E-2</v>
      </c>
      <c r="AK48" s="602">
        <f>AK47-AK$18</f>
        <v>6.4981355058202045E-2</v>
      </c>
      <c r="AL48" s="935"/>
      <c r="AM48" s="982">
        <f>AM47-AM18</f>
        <v>0.04</v>
      </c>
      <c r="AN48" s="979">
        <f>AN47-AN18</f>
        <v>7.0000000000000007E-2</v>
      </c>
      <c r="AO48" s="979">
        <f>AO47-AO18</f>
        <v>6.5000000000000002E-2</v>
      </c>
      <c r="AP48" s="979">
        <f>AP47-AP18</f>
        <v>0.11</v>
      </c>
      <c r="AQ48" s="602">
        <f>AQ47-AQ$18</f>
        <v>7.095465781381409E-2</v>
      </c>
      <c r="AR48" s="828"/>
      <c r="AS48" s="982">
        <f>AS47-AS18</f>
        <v>0.04</v>
      </c>
      <c r="AT48" s="979">
        <f>AT47-AT18</f>
        <v>3.2000000000000001E-2</v>
      </c>
      <c r="AU48" s="979">
        <f>AU47-AU18</f>
        <v>3.5000000000000003E-2</v>
      </c>
      <c r="AV48" s="979">
        <f>AV47-AV18</f>
        <v>0.11</v>
      </c>
      <c r="AW48" s="602">
        <f>AW47-AW$18</f>
        <v>5.4709752760247192E-2</v>
      </c>
      <c r="AX48" s="828"/>
      <c r="AY48" s="982">
        <f>AY47-AY18</f>
        <v>0.1185107272546963</v>
      </c>
      <c r="AZ48" s="979">
        <f>AZ47-AZ18</f>
        <v>8.5806646598728192E-2</v>
      </c>
      <c r="BA48" s="979">
        <f>BA47-BA18</f>
        <v>0.1401381897970157</v>
      </c>
      <c r="BB48" s="979">
        <v>-0.06</v>
      </c>
      <c r="BC48" s="602">
        <f>BC47-BC$18</f>
        <v>0.11590022866920172</v>
      </c>
      <c r="BD48" s="828"/>
      <c r="BE48" s="982">
        <f>BE47-BE18</f>
        <v>0.10274981386167098</v>
      </c>
      <c r="BF48" s="979">
        <f>BF47-BF18</f>
        <v>0.1223329829809597</v>
      </c>
      <c r="BG48" s="979">
        <f>BG47-BG18</f>
        <v>0.1152431753293193</v>
      </c>
      <c r="BH48" s="979">
        <f>BH47-BH18</f>
        <v>0.12000000000000001</v>
      </c>
      <c r="BI48" s="602">
        <f>BI47-BI$18</f>
        <v>0.11420511059023458</v>
      </c>
      <c r="BJ48" s="828"/>
      <c r="BK48" s="982">
        <f>BK47-BK18</f>
        <v>6.5000000000000002E-2</v>
      </c>
      <c r="BL48" s="979">
        <f>BL47-BL18</f>
        <v>0.08</v>
      </c>
      <c r="BM48" s="979">
        <f>BM47-BM18</f>
        <v>6.0000000000000005E-2</v>
      </c>
      <c r="BN48" s="979">
        <f>BN47-BN18</f>
        <v>7.461226415094338E-2</v>
      </c>
      <c r="BO48" s="602">
        <f>BO47-BO$18</f>
        <v>7.083919778768355E-2</v>
      </c>
      <c r="BP48" s="828"/>
      <c r="BQ48" s="982">
        <f>BQ47-BQ18</f>
        <v>0.125</v>
      </c>
      <c r="BR48" s="979">
        <f>BR47-BR18</f>
        <v>0.12</v>
      </c>
      <c r="BS48" s="979">
        <f>BS47-BS18</f>
        <v>0.08</v>
      </c>
      <c r="BT48" s="979">
        <f>BT47-BT18</f>
        <v>0.09</v>
      </c>
      <c r="BU48" s="602">
        <f>BU47-BU$18</f>
        <v>0.10283911343731769</v>
      </c>
      <c r="BV48" s="24"/>
      <c r="BW48" s="982">
        <f>BW47-BW18</f>
        <v>0.09</v>
      </c>
      <c r="BX48" s="979">
        <f>BX47-BX18</f>
        <v>0.08</v>
      </c>
      <c r="BY48" s="979">
        <f>BY47-BY18</f>
        <v>0.08</v>
      </c>
      <c r="BZ48" s="979">
        <f>BZ47-BZ18</f>
        <v>0.08</v>
      </c>
      <c r="CA48" s="602">
        <f>CA47-CA$18</f>
        <v>8.250809456726782E-2</v>
      </c>
      <c r="CB48" s="24"/>
      <c r="CC48" s="982">
        <f>CC47-CC18</f>
        <v>7.0000000000000007E-2</v>
      </c>
      <c r="CD48" s="979">
        <f>CD47-CD18</f>
        <v>0.06</v>
      </c>
      <c r="CE48" s="979">
        <f>CE47-CE18</f>
        <v>0.06</v>
      </c>
      <c r="CF48" s="979">
        <f>CF47-CF18</f>
        <v>0.06</v>
      </c>
      <c r="CG48" s="602">
        <f>CG47-CG$18</f>
        <v>6.2525452781408086E-2</v>
      </c>
      <c r="CH48" s="24"/>
      <c r="CI48" s="982">
        <f>CI47-CI18</f>
        <v>7.0000000000000007E-2</v>
      </c>
      <c r="CJ48" s="979">
        <f>CJ47-CJ18</f>
        <v>0.06</v>
      </c>
      <c r="CK48" s="979">
        <f>CK47-CK18</f>
        <v>0.06</v>
      </c>
      <c r="CL48" s="979">
        <f>CL47-CL18</f>
        <v>0.06</v>
      </c>
      <c r="CM48" s="602">
        <f>CM47-CM$18</f>
        <v>6.254321858270151E-2</v>
      </c>
      <c r="CO48" s="1159"/>
      <c r="CP48" s="1159"/>
    </row>
    <row r="49" spans="1:91" s="2025" customFormat="1" collapsed="1">
      <c r="A49" s="983" t="s">
        <v>224</v>
      </c>
      <c r="B49" s="948"/>
      <c r="C49" s="948"/>
      <c r="D49" s="948"/>
      <c r="E49" s="948"/>
      <c r="F49" s="948"/>
      <c r="G49" s="949">
        <v>206.09299999999999</v>
      </c>
      <c r="H49" s="947"/>
      <c r="I49" s="948">
        <f>I52-I46</f>
        <v>53.694625000000002</v>
      </c>
      <c r="J49" s="948">
        <f>J52-J46</f>
        <v>57.036249999999995</v>
      </c>
      <c r="K49" s="948">
        <f>K52-K46</f>
        <v>52.330874999999999</v>
      </c>
      <c r="L49" s="948">
        <f>L52-L46</f>
        <v>54.477624999999996</v>
      </c>
      <c r="M49" s="947">
        <f>M52-M46</f>
        <v>217.53937499999998</v>
      </c>
      <c r="N49" s="947"/>
      <c r="O49" s="948">
        <f>O52-O46</f>
        <v>51.022000000000006</v>
      </c>
      <c r="P49" s="855">
        <f>P52-P46</f>
        <v>50.423124999999999</v>
      </c>
      <c r="Q49" s="948">
        <f>Q52-Q46</f>
        <v>52.460249999999995</v>
      </c>
      <c r="R49" s="948">
        <f>R52-R46</f>
        <v>54.461749999999995</v>
      </c>
      <c r="S49" s="947">
        <f>SUM(O49:R49)</f>
        <v>208.36712499999999</v>
      </c>
      <c r="T49" s="948"/>
      <c r="U49" s="952">
        <f>+O49*(1+U50)</f>
        <v>55.358870000000003</v>
      </c>
      <c r="V49" s="948">
        <f>+P49*(1+V50)</f>
        <v>50.927356250000003</v>
      </c>
      <c r="W49" s="948">
        <f>+Q49*(1+W50)</f>
        <v>52.984852499999995</v>
      </c>
      <c r="X49" s="948">
        <f>+R49*(1+X50)</f>
        <v>56.095602499999998</v>
      </c>
      <c r="Y49" s="947">
        <f>SUM(U49:X49)</f>
        <v>215.36668125</v>
      </c>
      <c r="Z49" s="948"/>
      <c r="AA49" s="952">
        <f>+U49*(1+AA50)</f>
        <v>58.126813500000004</v>
      </c>
      <c r="AB49" s="948">
        <f>+V49*(1+AB50)</f>
        <v>58.5664596875</v>
      </c>
      <c r="AC49" s="948">
        <f>+W49*(1+AC50)</f>
        <v>54.706860206249992</v>
      </c>
      <c r="AD49" s="948">
        <f>+X49*(1+AD50)</f>
        <v>56.095602499999998</v>
      </c>
      <c r="AE49" s="947">
        <f>SUM(AA49:AD49)</f>
        <v>227.49573589375001</v>
      </c>
      <c r="AF49" s="952"/>
      <c r="AG49" s="952">
        <f>AA49*(1+AG50)</f>
        <v>56.96427723</v>
      </c>
      <c r="AH49" s="948">
        <f>AB49*(1+AH50)</f>
        <v>56.809465896874997</v>
      </c>
      <c r="AI49" s="948">
        <f>AC49*(1+AI50)</f>
        <v>55.80099741037499</v>
      </c>
      <c r="AJ49" s="948">
        <f>AD49*(1+AJ50)</f>
        <v>59.236956239999998</v>
      </c>
      <c r="AK49" s="947">
        <f>SUM(AG49:AJ49)</f>
        <v>228.81169677724995</v>
      </c>
      <c r="AL49" s="947"/>
      <c r="AM49" s="952">
        <f>AG49*(1+AM50)</f>
        <v>56.3946344577</v>
      </c>
      <c r="AN49" s="948">
        <f>AH49*(1+AN50)</f>
        <v>57.832036283018745</v>
      </c>
      <c r="AO49" s="948">
        <f>AI49*(1+AO50)</f>
        <v>58.414078444834608</v>
      </c>
      <c r="AP49" s="948">
        <f>AJ49*(1+AP50)</f>
        <v>63.383543176800003</v>
      </c>
      <c r="AQ49" s="947">
        <f>SUM(AM49:AP49)</f>
        <v>236.02429236235335</v>
      </c>
      <c r="AR49" s="948"/>
      <c r="AS49" s="952">
        <f>AM49*(1+AS50)</f>
        <v>56.321300802392003</v>
      </c>
      <c r="AT49" s="948">
        <f>AN49*(1+AT50)</f>
        <v>60.033200000000001</v>
      </c>
      <c r="AU49" s="948">
        <f>AO49*(1+AU50)</f>
        <v>60.259116190403752</v>
      </c>
      <c r="AV49" s="948">
        <f>AP49*(1+AV50)</f>
        <v>63.121169364752348</v>
      </c>
      <c r="AW49" s="947">
        <f>SUM(AS49:AV49)</f>
        <v>239.7347863575481</v>
      </c>
      <c r="AX49" s="948"/>
      <c r="AY49" s="952">
        <f>AS49*(1+AY50)</f>
        <v>58.574152834487684</v>
      </c>
      <c r="AZ49" s="948">
        <f>AT49*(1+AZ50)</f>
        <v>60.933697999999993</v>
      </c>
      <c r="BA49" s="948">
        <f>AU49*(1+BA50)</f>
        <v>59.415488563738101</v>
      </c>
      <c r="BB49" s="948">
        <f>AV49*(1+BB50)</f>
        <v>62.475818841812689</v>
      </c>
      <c r="BC49" s="947">
        <f>SUM(AY49:BB49)</f>
        <v>241.39915824003847</v>
      </c>
      <c r="BD49" s="948"/>
      <c r="BE49" s="952">
        <f>AY49*(1+BE50)</f>
        <v>62.85737618727611</v>
      </c>
      <c r="BF49" s="948">
        <f>AZ49*(1+BF50)</f>
        <v>68.175645853999924</v>
      </c>
      <c r="BG49" s="948">
        <f>BA49*(1+BG50)</f>
        <v>63.143621807369804</v>
      </c>
      <c r="BH49" s="948">
        <f>BB49*(1+BH50)</f>
        <v>66.593086867450353</v>
      </c>
      <c r="BI49" s="947">
        <f>SUM(BE49:BH49)</f>
        <v>260.76973071609621</v>
      </c>
      <c r="BJ49" s="948"/>
      <c r="BK49" s="952">
        <f>BE49*(1+BK50)</f>
        <v>65.438975888472655</v>
      </c>
      <c r="BL49" s="948">
        <f>BF49*(1+BL50)</f>
        <v>70.630402495157668</v>
      </c>
      <c r="BM49" s="948">
        <f>BG49*(1+BM50)</f>
        <v>70.440825290919548</v>
      </c>
      <c r="BN49" s="948">
        <f>BH49*(1+BN50)</f>
        <v>74.584257291544404</v>
      </c>
      <c r="BO49" s="947">
        <f>SUM(BK49:BN49)</f>
        <v>281.09446096609429</v>
      </c>
      <c r="BP49" s="948"/>
      <c r="BQ49" s="952">
        <f>BK49*(1+BQ50)</f>
        <v>73.618847874531738</v>
      </c>
      <c r="BR49" s="948">
        <f>BL49*(1+BR50)</f>
        <v>81.931266894382887</v>
      </c>
      <c r="BS49" s="948">
        <f>BM49*(1+BS50)</f>
        <v>76.780499567102311</v>
      </c>
      <c r="BT49" s="948">
        <f>BN49*(1+BT50)</f>
        <v>81.29684044778341</v>
      </c>
      <c r="BU49" s="947">
        <f>SUM(BQ49:BT49)</f>
        <v>313.62745478380032</v>
      </c>
      <c r="BV49" s="443"/>
      <c r="BW49" s="952">
        <f>BQ49*(1+BW50)</f>
        <v>79.508355704494278</v>
      </c>
      <c r="BX49" s="948">
        <f>BR49*(1+BX50)</f>
        <v>88.485768245933528</v>
      </c>
      <c r="BY49" s="948">
        <f>BS49*(1+BY50)</f>
        <v>82.922939532470508</v>
      </c>
      <c r="BZ49" s="948">
        <f>BT49*(1+BZ50)</f>
        <v>87.800587683606082</v>
      </c>
      <c r="CA49" s="947">
        <f>SUM(BW49:BZ49)</f>
        <v>338.71765116650442</v>
      </c>
      <c r="CB49" s="443"/>
      <c r="CC49" s="952">
        <f>BW49*(1+CC50)</f>
        <v>84.278857046763932</v>
      </c>
      <c r="CD49" s="948">
        <f>BX49*(1+CD50)</f>
        <v>93.794914340689544</v>
      </c>
      <c r="CE49" s="948">
        <f>BY49*(1+CE50)</f>
        <v>87.898315904418737</v>
      </c>
      <c r="CF49" s="948">
        <f>BZ49*(1+CF50)</f>
        <v>93.068622944622447</v>
      </c>
      <c r="CG49" s="947">
        <f>SUM(CC49:CF49)</f>
        <v>359.04071023649465</v>
      </c>
      <c r="CH49" s="443"/>
      <c r="CI49" s="952">
        <f>CC49*(1+CI50)</f>
        <v>89.335588469569771</v>
      </c>
      <c r="CJ49" s="948">
        <f>CD49*(1+CJ50)</f>
        <v>99.422609201130925</v>
      </c>
      <c r="CK49" s="948">
        <f>CE49*(1+CK50)</f>
        <v>93.172214858683873</v>
      </c>
      <c r="CL49" s="948">
        <f>CF49*(1+CL50)</f>
        <v>98.652740321299802</v>
      </c>
      <c r="CM49" s="947">
        <f>SUM(CI49:CL49)</f>
        <v>380.58315285068437</v>
      </c>
    </row>
    <row r="50" spans="1:91" hidden="1" outlineLevel="1">
      <c r="A50" s="976" t="s">
        <v>74</v>
      </c>
      <c r="B50" s="828"/>
      <c r="C50" s="984"/>
      <c r="D50" s="977"/>
      <c r="E50" s="977"/>
      <c r="F50" s="977"/>
      <c r="G50" s="937"/>
      <c r="H50" s="828"/>
      <c r="I50" s="984"/>
      <c r="J50" s="977"/>
      <c r="K50" s="977"/>
      <c r="L50" s="977"/>
      <c r="M50" s="505">
        <f>M49/G49-1</f>
        <v>5.5539853367169156E-2</v>
      </c>
      <c r="N50" s="935"/>
      <c r="O50" s="406">
        <f>+O49/I49-1</f>
        <v>-4.977453516064223E-2</v>
      </c>
      <c r="P50" s="406">
        <f>+P49/J49-1</f>
        <v>-0.11594599925485982</v>
      </c>
      <c r="Q50" s="406">
        <f>+Q49/K49-1</f>
        <v>2.472249890719258E-3</v>
      </c>
      <c r="R50" s="406">
        <f>+R49/L49-1</f>
        <v>-2.9140403973193507E-4</v>
      </c>
      <c r="S50" s="505">
        <f>S49/M49-1</f>
        <v>-4.2163631296633031E-2</v>
      </c>
      <c r="T50" s="828"/>
      <c r="U50" s="411">
        <f>+U51+U18</f>
        <v>8.4999999999999992E-2</v>
      </c>
      <c r="V50" s="406">
        <f>+V51+V18</f>
        <v>0.01</v>
      </c>
      <c r="W50" s="406">
        <f>+W51+W18</f>
        <v>9.9999999999999985E-3</v>
      </c>
      <c r="X50" s="406">
        <f>+X51+X18</f>
        <v>0.03</v>
      </c>
      <c r="Y50" s="505">
        <f>+Y49/S49-1</f>
        <v>3.3592421309263765E-2</v>
      </c>
      <c r="Z50" s="828"/>
      <c r="AA50" s="411">
        <f>+AA51+AA18</f>
        <v>0.05</v>
      </c>
      <c r="AB50" s="406">
        <f>+AB51+AB18</f>
        <v>0.15</v>
      </c>
      <c r="AC50" s="406">
        <f>+AC51+AC18</f>
        <v>3.2500000000000001E-2</v>
      </c>
      <c r="AD50" s="406">
        <f>+AD51+AD18</f>
        <v>0</v>
      </c>
      <c r="AE50" s="505">
        <f>+AE51+AE18</f>
        <v>5.7148311590328696E-2</v>
      </c>
      <c r="AF50" s="940"/>
      <c r="AG50" s="411">
        <f>+AG51+AG18</f>
        <v>-0.02</v>
      </c>
      <c r="AH50" s="406">
        <f>+AH51+AH18</f>
        <v>-0.03</v>
      </c>
      <c r="AI50" s="406">
        <f>+AI51+AI18</f>
        <v>2.0000000000000004E-2</v>
      </c>
      <c r="AJ50" s="406">
        <f>+AJ51+AJ18</f>
        <v>5.6000000000000008E-2</v>
      </c>
      <c r="AK50" s="505">
        <f>+AK51+AK18</f>
        <v>5.7842200278599848E-3</v>
      </c>
      <c r="AL50" s="935"/>
      <c r="AM50" s="411">
        <f>+AM51+AM18</f>
        <v>-9.9999999999999985E-3</v>
      </c>
      <c r="AN50" s="406">
        <f>+AN51+AN18</f>
        <v>1.7999999999999999E-2</v>
      </c>
      <c r="AO50" s="406">
        <f>+AO51+AO18</f>
        <v>4.6828572171252428E-2</v>
      </c>
      <c r="AP50" s="406">
        <f>+AP51+AP18</f>
        <v>6.9999999999999993E-2</v>
      </c>
      <c r="AQ50" s="505">
        <f>+AQ51+AQ18</f>
        <v>3.1511540786655828E-2</v>
      </c>
      <c r="AR50" s="828"/>
      <c r="AS50" s="411">
        <f>+AS51+AS18</f>
        <v>-1.3003658240395522E-3</v>
      </c>
      <c r="AT50" s="406">
        <f>+AT51+AT18</f>
        <v>3.8061321344612292E-2</v>
      </c>
      <c r="AU50" s="406">
        <f>+AU51+AU18</f>
        <v>3.1585497789057254E-2</v>
      </c>
      <c r="AV50" s="406">
        <f>+AV51+AV18</f>
        <v>-4.1394626885372654E-3</v>
      </c>
      <c r="AW50" s="505">
        <f>+AW51+AW18</f>
        <v>1.6687942391620234E-2</v>
      </c>
      <c r="AX50" s="828"/>
      <c r="AY50" s="411">
        <f>+AY51+AY18</f>
        <v>3.9999999999999994E-2</v>
      </c>
      <c r="AZ50" s="406">
        <f>+AZ51+AZ18</f>
        <v>1.4999999999999999E-2</v>
      </c>
      <c r="BA50" s="406">
        <f>+BA51+BA18</f>
        <v>-1.3999999999999999E-2</v>
      </c>
      <c r="BB50" s="406">
        <f>+BB51+BB18</f>
        <v>-1.0223995046898353E-2</v>
      </c>
      <c r="BC50" s="505">
        <f>+BC51+BC18</f>
        <v>6.5902055154031663E-3</v>
      </c>
      <c r="BD50" s="828"/>
      <c r="BE50" s="411">
        <f>+BE51+BE18</f>
        <v>7.3124802417398799E-2</v>
      </c>
      <c r="BF50" s="406">
        <f>+BF51+BF18</f>
        <v>0.11884963643598215</v>
      </c>
      <c r="BG50" s="406">
        <f>+BG51+BG18</f>
        <v>6.2746824670680684E-2</v>
      </c>
      <c r="BH50" s="406">
        <f>+BH51+BH18</f>
        <v>6.5901785714285718E-2</v>
      </c>
      <c r="BI50" s="505">
        <f>+BI51+BI18</f>
        <v>8.0303949138045588E-2</v>
      </c>
      <c r="BJ50" s="828"/>
      <c r="BK50" s="411">
        <f>+BK51+BK18</f>
        <v>4.1070751879699233E-2</v>
      </c>
      <c r="BL50" s="406">
        <f>+BL51+BL18</f>
        <v>3.6006356968215157E-2</v>
      </c>
      <c r="BM50" s="406">
        <f>+BM51+BM18</f>
        <v>0.11556517150395777</v>
      </c>
      <c r="BN50" s="406">
        <f>+BN51+BN18</f>
        <v>0.12</v>
      </c>
      <c r="BO50" s="505">
        <f>+BO51+BO18</f>
        <v>7.7883580445176487E-2</v>
      </c>
      <c r="BP50" s="828"/>
      <c r="BQ50" s="411">
        <f>+BQ51+BQ18</f>
        <v>0.125</v>
      </c>
      <c r="BR50" s="406">
        <f>+BR51+BR18</f>
        <v>0.16</v>
      </c>
      <c r="BS50" s="406">
        <f>+BS51+BS18</f>
        <v>0.09</v>
      </c>
      <c r="BT50" s="406">
        <f>+BT51+BT18</f>
        <v>0.09</v>
      </c>
      <c r="BU50" s="505">
        <f>+BU51+BU18</f>
        <v>0.11565087589848325</v>
      </c>
      <c r="BV50" s="24"/>
      <c r="BW50" s="411">
        <f>+BW51+BW18</f>
        <v>0.08</v>
      </c>
      <c r="BX50" s="406">
        <f>+BX51+BX18</f>
        <v>0.08</v>
      </c>
      <c r="BY50" s="406">
        <f>+BY51+BY18</f>
        <v>0.08</v>
      </c>
      <c r="BZ50" s="406">
        <f>+BZ51+BZ18</f>
        <v>0.08</v>
      </c>
      <c r="CA50" s="505">
        <f>+CA51+CA18</f>
        <v>8.0000000000000016E-2</v>
      </c>
      <c r="CB50" s="24"/>
      <c r="CC50" s="411">
        <f>+CC51+CC18</f>
        <v>0.06</v>
      </c>
      <c r="CD50" s="406">
        <f>+CD51+CD18</f>
        <v>0.06</v>
      </c>
      <c r="CE50" s="406">
        <f>+CE51+CE18</f>
        <v>0.06</v>
      </c>
      <c r="CF50" s="406">
        <f>+CF51+CF18</f>
        <v>0.06</v>
      </c>
      <c r="CG50" s="505">
        <f>+CG51+CG18</f>
        <v>5.9999999999999991E-2</v>
      </c>
      <c r="CH50" s="24"/>
      <c r="CI50" s="411">
        <f>+CI51+CI18</f>
        <v>0.06</v>
      </c>
      <c r="CJ50" s="406">
        <f>+CJ51+CJ18</f>
        <v>0.06</v>
      </c>
      <c r="CK50" s="406">
        <f>+CK51+CK18</f>
        <v>0.06</v>
      </c>
      <c r="CL50" s="406">
        <f>+CL51+CL18</f>
        <v>0.06</v>
      </c>
      <c r="CM50" s="505">
        <f>+CM51+CM18</f>
        <v>6.0000000000000005E-2</v>
      </c>
    </row>
    <row r="51" spans="1:91" hidden="1" outlineLevel="1">
      <c r="A51" s="976" t="s">
        <v>290</v>
      </c>
      <c r="B51" s="828"/>
      <c r="C51" s="406"/>
      <c r="D51" s="406"/>
      <c r="E51" s="406"/>
      <c r="F51" s="406"/>
      <c r="G51" s="937"/>
      <c r="H51" s="985"/>
      <c r="I51" s="406">
        <f>+I50-I18</f>
        <v>-0.04</v>
      </c>
      <c r="J51" s="406">
        <f>+J50-J18</f>
        <v>0.01</v>
      </c>
      <c r="K51" s="406">
        <f>+K50-K18</f>
        <v>0.02</v>
      </c>
      <c r="L51" s="406">
        <f>+L50-L18</f>
        <v>0</v>
      </c>
      <c r="M51" s="505">
        <f>AVERAGE(I51:L51)</f>
        <v>-2.4999999999999996E-3</v>
      </c>
      <c r="N51" s="935"/>
      <c r="O51" s="406">
        <f>+O50-O18</f>
        <v>-8.9774535160642238E-2</v>
      </c>
      <c r="P51" s="406">
        <f>+P50-P18</f>
        <v>-0.10594599925485983</v>
      </c>
      <c r="Q51" s="406">
        <f>+Q50-Q18</f>
        <v>2.2472249890719258E-2</v>
      </c>
      <c r="R51" s="406">
        <f>+R50-R18</f>
        <v>-2.9140403973193507E-4</v>
      </c>
      <c r="S51" s="505">
        <f>AVERAGE(O51:R51)</f>
        <v>-4.3384922141128691E-2</v>
      </c>
      <c r="T51" s="828"/>
      <c r="U51" s="944">
        <v>4.4999999999999998E-2</v>
      </c>
      <c r="V51" s="945">
        <v>0.02</v>
      </c>
      <c r="W51" s="945">
        <v>0.03</v>
      </c>
      <c r="X51" s="945">
        <v>0.03</v>
      </c>
      <c r="Y51" s="505">
        <f>AVERAGE(U51:X51)</f>
        <v>3.125E-2</v>
      </c>
      <c r="Z51" s="986"/>
      <c r="AA51" s="944">
        <v>0.03</v>
      </c>
      <c r="AB51" s="945">
        <v>0.09</v>
      </c>
      <c r="AC51" s="945">
        <v>-7.4999999999999997E-3</v>
      </c>
      <c r="AD51" s="945">
        <v>0</v>
      </c>
      <c r="AE51" s="505">
        <f>SUMPRODUCT(U49:X49,AA51:AD51)/SUM(U49:X49)</f>
        <v>2.7148311590328694E-2</v>
      </c>
      <c r="AF51" s="987"/>
      <c r="AG51" s="944">
        <v>0</v>
      </c>
      <c r="AH51" s="945">
        <v>0</v>
      </c>
      <c r="AI51" s="945">
        <v>0.05</v>
      </c>
      <c r="AJ51" s="904">
        <v>7.0000000000000007E-2</v>
      </c>
      <c r="AK51" s="505">
        <f>SUMPRODUCT(AA49:AD49,AG51:AJ51)/SUM(AA49:AD49)</f>
        <v>2.9284220027859985E-2</v>
      </c>
      <c r="AL51" s="988"/>
      <c r="AM51" s="903">
        <v>0.02</v>
      </c>
      <c r="AN51" s="904">
        <v>3.7999999999999999E-2</v>
      </c>
      <c r="AO51" s="904">
        <v>6.6828572171252432E-2</v>
      </c>
      <c r="AP51" s="904">
        <v>0.09</v>
      </c>
      <c r="AQ51" s="505">
        <f>SUMPRODUCT(AG49:AJ49,AM51:AP51)/SUM(AG49:AJ49)</f>
        <v>5.4011540786655834E-2</v>
      </c>
      <c r="AR51" s="986"/>
      <c r="AS51" s="903">
        <v>-1.3003658240395522E-3</v>
      </c>
      <c r="AT51" s="904">
        <v>3.0061321344612296E-2</v>
      </c>
      <c r="AU51" s="904">
        <v>3.1585497789057254E-2</v>
      </c>
      <c r="AV51" s="904">
        <v>4.5860537311462737E-2</v>
      </c>
      <c r="AW51" s="505">
        <f>SUMPRODUCT(AM49:AP49,AS51:AV51)/SUM(AM49:AP49)</f>
        <v>2.7187942391620236E-2</v>
      </c>
      <c r="AX51" s="986"/>
      <c r="AY51" s="903">
        <v>0.12</v>
      </c>
      <c r="AZ51" s="904">
        <v>8.5000000000000006E-2</v>
      </c>
      <c r="BA51" s="904">
        <v>0.06</v>
      </c>
      <c r="BB51" s="904">
        <v>4.4200000000000003E-2</v>
      </c>
      <c r="BC51" s="505">
        <f>SUMPRODUCT(AS49:AV49,AY51:BB51)/SUM(AS49:AV49)</f>
        <v>7.6196204277127769E-2</v>
      </c>
      <c r="BD51" s="986"/>
      <c r="BE51" s="1665">
        <v>0.09</v>
      </c>
      <c r="BF51" s="1680">
        <v>0.11818261941694184</v>
      </c>
      <c r="BG51" s="904">
        <v>0.06</v>
      </c>
      <c r="BH51" s="1680">
        <v>8.5901785714285722E-2</v>
      </c>
      <c r="BI51" s="505">
        <f>SUMPRODUCT(AY49:BB49,BE51:BH51)/SUM(AY49:BB49)</f>
        <v>8.8669288111265634E-2</v>
      </c>
      <c r="BJ51" s="986"/>
      <c r="BK51" s="1665">
        <v>5.1070751879699235E-2</v>
      </c>
      <c r="BL51" s="2020">
        <v>4.6006356968215159E-2</v>
      </c>
      <c r="BM51" s="2020">
        <v>0.10556517150395778</v>
      </c>
      <c r="BN51" s="1680">
        <v>0.09</v>
      </c>
      <c r="BO51" s="505">
        <f>SUMPRODUCT(BE49:BH49,BK51:BN51)/SUM(BE49:BH49)</f>
        <v>7.2883580445176482E-2</v>
      </c>
      <c r="BP51" s="986"/>
      <c r="BQ51" s="1761">
        <v>0.13</v>
      </c>
      <c r="BR51" s="1760">
        <v>0.16</v>
      </c>
      <c r="BS51" s="1760">
        <v>0.09</v>
      </c>
      <c r="BT51" s="1760">
        <v>0.09</v>
      </c>
      <c r="BU51" s="505">
        <f>SUMPRODUCT(BK49:BN49,BQ51:BT51)/SUM(BK49:BN49)</f>
        <v>0.11690087589848325</v>
      </c>
      <c r="BV51" s="24"/>
      <c r="BW51" s="1761">
        <v>0.08</v>
      </c>
      <c r="BX51" s="1760">
        <f>+BW51</f>
        <v>0.08</v>
      </c>
      <c r="BY51" s="1760">
        <f>+BX51</f>
        <v>0.08</v>
      </c>
      <c r="BZ51" s="1760">
        <f>+BY51</f>
        <v>0.08</v>
      </c>
      <c r="CA51" s="505">
        <f>SUMPRODUCT(BQ49:BT49,BW51:BZ51)/SUM(BQ49:BT49)</f>
        <v>8.0000000000000016E-2</v>
      </c>
      <c r="CB51" s="24"/>
      <c r="CC51" s="1761">
        <v>0.06</v>
      </c>
      <c r="CD51" s="1760">
        <f>+CC51</f>
        <v>0.06</v>
      </c>
      <c r="CE51" s="1760">
        <f>+CD51</f>
        <v>0.06</v>
      </c>
      <c r="CF51" s="1760">
        <f>+CE51</f>
        <v>0.06</v>
      </c>
      <c r="CG51" s="505">
        <f>SUMPRODUCT(BW49:BZ49,CC51:CF51)/SUM(BW49:BZ49)</f>
        <v>5.9999999999999991E-2</v>
      </c>
      <c r="CH51" s="24"/>
      <c r="CI51" s="1761">
        <v>0.06</v>
      </c>
      <c r="CJ51" s="1760">
        <f>+CI51</f>
        <v>0.06</v>
      </c>
      <c r="CK51" s="1760">
        <f>+CJ51</f>
        <v>0.06</v>
      </c>
      <c r="CL51" s="1760">
        <f>+CK51</f>
        <v>0.06</v>
      </c>
      <c r="CM51" s="505">
        <f>SUMPRODUCT(CC49:CF49,CI51:CL51)/SUM(CC49:CF49)</f>
        <v>6.0000000000000005E-2</v>
      </c>
    </row>
    <row r="52" spans="1:91" s="2024" customFormat="1" collapsed="1">
      <c r="A52" s="989" t="s">
        <v>296</v>
      </c>
      <c r="B52" s="990"/>
      <c r="C52" s="896"/>
      <c r="D52" s="896"/>
      <c r="E52" s="896"/>
      <c r="F52" s="895"/>
      <c r="G52" s="991">
        <v>223.59299999999999</v>
      </c>
      <c r="H52" s="895">
        <f t="shared" ref="H52:S52" si="26">H11</f>
        <v>0</v>
      </c>
      <c r="I52" s="896">
        <f t="shared" si="26"/>
        <v>59.264000000000003</v>
      </c>
      <c r="J52" s="896">
        <f t="shared" si="26"/>
        <v>63.274999999999999</v>
      </c>
      <c r="K52" s="896">
        <f t="shared" si="26"/>
        <v>59.238999999999997</v>
      </c>
      <c r="L52" s="895">
        <f t="shared" si="26"/>
        <v>62.076999999999998</v>
      </c>
      <c r="M52" s="895">
        <f t="shared" si="26"/>
        <v>243.85499999999999</v>
      </c>
      <c r="N52" s="895"/>
      <c r="O52" s="896">
        <f t="shared" si="26"/>
        <v>59.212000000000003</v>
      </c>
      <c r="P52" s="963">
        <f t="shared" si="26"/>
        <v>59.16</v>
      </c>
      <c r="Q52" s="896">
        <f t="shared" si="26"/>
        <v>61.918999999999997</v>
      </c>
      <c r="R52" s="896">
        <f t="shared" si="26"/>
        <v>63.337999999999994</v>
      </c>
      <c r="S52" s="895">
        <f t="shared" si="26"/>
        <v>243.62899999999999</v>
      </c>
      <c r="T52" s="896"/>
      <c r="U52" s="892">
        <f>U49+U46</f>
        <v>66.715270000000004</v>
      </c>
      <c r="V52" s="896">
        <f>V49+V46</f>
        <v>62.96238125</v>
      </c>
      <c r="W52" s="896">
        <f>W49+W46</f>
        <v>65.809752500000002</v>
      </c>
      <c r="X52" s="896">
        <f>X49+X46</f>
        <v>69.342852499999992</v>
      </c>
      <c r="Y52" s="895">
        <f>Y11</f>
        <v>264.36799999999999</v>
      </c>
      <c r="Z52" s="896"/>
      <c r="AA52" s="892">
        <f>AA49+AA46</f>
        <v>73.20117064285715</v>
      </c>
      <c r="AB52" s="896">
        <f>AB49+AB46</f>
        <v>74.494324483418367</v>
      </c>
      <c r="AC52" s="896">
        <f>AC49+AC46</f>
        <v>71.5759990417842</v>
      </c>
      <c r="AD52" s="896">
        <f>AD49+AD46</f>
        <v>72.38306424828609</v>
      </c>
      <c r="AE52" s="897">
        <f>SUM(AA52:AD52)</f>
        <v>291.65455841634582</v>
      </c>
      <c r="AF52" s="892"/>
      <c r="AG52" s="892">
        <f>AG49+AG46</f>
        <v>74.940000000000026</v>
      </c>
      <c r="AH52" s="896">
        <f>AH49+AH46</f>
        <v>71.959465896875002</v>
      </c>
      <c r="AI52" s="896">
        <f>AI49+AI46</f>
        <v>72.067907989480631</v>
      </c>
      <c r="AJ52" s="896">
        <f>AJ49+AJ46</f>
        <v>76.664540310666112</v>
      </c>
      <c r="AK52" s="897">
        <f>SUM(AG52:AJ52)</f>
        <v>295.63191419702179</v>
      </c>
      <c r="AL52" s="897"/>
      <c r="AM52" s="892">
        <f>AM49+AM46</f>
        <v>74.550114455400035</v>
      </c>
      <c r="AN52" s="896">
        <f>AN49+AN46</f>
        <v>73.739536283018751</v>
      </c>
      <c r="AO52" s="896">
        <f>AO49+AO46</f>
        <v>75.412999999999997</v>
      </c>
      <c r="AP52" s="895">
        <f>AP49+AP46</f>
        <v>82.379609813826065</v>
      </c>
      <c r="AQ52" s="897">
        <f>SUM(AM52:AP52)</f>
        <v>306.08226055224486</v>
      </c>
      <c r="AR52" s="896"/>
      <c r="AS52" s="892">
        <f>AS49+AS46</f>
        <v>75.203000000000031</v>
      </c>
      <c r="AT52" s="896">
        <f>AT49+AT46</f>
        <v>76.576999999999998</v>
      </c>
      <c r="AU52" s="896">
        <f>AU49+AU46</f>
        <v>77.852999999999923</v>
      </c>
      <c r="AV52" s="896">
        <f>AV49+AV46</f>
        <v>83.256999999999977</v>
      </c>
      <c r="AW52" s="897">
        <f>SUM(AS52:AV52)</f>
        <v>312.88999999999993</v>
      </c>
      <c r="AX52" s="896"/>
      <c r="AY52" s="892">
        <f>AY49+AY46</f>
        <v>78.183000000000021</v>
      </c>
      <c r="AZ52" s="896">
        <f>AZ49+AZ46</f>
        <v>77.739000000000033</v>
      </c>
      <c r="BA52" s="896">
        <f>BA49+BA46</f>
        <v>78.173000000000002</v>
      </c>
      <c r="BB52" s="896">
        <f>BB49+BB46</f>
        <v>83.846036161784525</v>
      </c>
      <c r="BC52" s="897">
        <f>SUM(AY52:BB52)</f>
        <v>317.94103616178461</v>
      </c>
      <c r="BD52" s="896"/>
      <c r="BE52" s="892">
        <f>BE49+BE46</f>
        <v>84.150125578801735</v>
      </c>
      <c r="BF52" s="896">
        <f>BF49+BF46</f>
        <v>87.047999999999973</v>
      </c>
      <c r="BG52" s="896">
        <f>BG49+BG46</f>
        <v>84.114332017996247</v>
      </c>
      <c r="BH52" s="896">
        <f>BH49+BH46</f>
        <v>90.100325919419376</v>
      </c>
      <c r="BI52" s="897">
        <f>SUM(BE52:BH52)</f>
        <v>345.4127835162173</v>
      </c>
      <c r="BJ52" s="896"/>
      <c r="BK52" s="892">
        <f>BK49+BK46</f>
        <v>87.902826496532185</v>
      </c>
      <c r="BL52" s="896">
        <f>BL49+BL46</f>
        <v>90.823821431377723</v>
      </c>
      <c r="BM52" s="896">
        <f>BM49+BM46</f>
        <v>92.879485216289837</v>
      </c>
      <c r="BN52" s="896">
        <f>BN49+BN46</f>
        <v>100.55064184467739</v>
      </c>
      <c r="BO52" s="897">
        <f>SUM(BK52:BN52)</f>
        <v>372.15677498887715</v>
      </c>
      <c r="BP52" s="896"/>
      <c r="BQ52" s="892">
        <f>BQ49+BQ46</f>
        <v>98.778360555558422</v>
      </c>
      <c r="BR52" s="896">
        <f>BR49+BR46</f>
        <v>104.54789610294935</v>
      </c>
      <c r="BS52" s="896">
        <f>BS49+BS46</f>
        <v>101.01425228650223</v>
      </c>
      <c r="BT52" s="896">
        <f>BT49+BT46</f>
        <v>109.60019961069835</v>
      </c>
      <c r="BU52" s="897">
        <f>SUM(BQ52:BT52)</f>
        <v>413.9407085557084</v>
      </c>
      <c r="BV52" s="566"/>
      <c r="BW52" s="892">
        <f>BW49+BW46</f>
        <v>106.93222452681336</v>
      </c>
      <c r="BX52" s="896">
        <f>BX49+BX46</f>
        <v>112.9117277911853</v>
      </c>
      <c r="BY52" s="896">
        <f>BY49+BY46</f>
        <v>109.09539246942242</v>
      </c>
      <c r="BZ52" s="896">
        <f>BZ49+BZ46</f>
        <v>118.36821557955423</v>
      </c>
      <c r="CA52" s="897">
        <f>SUM(BW52:BZ52)</f>
        <v>447.30756036697528</v>
      </c>
      <c r="CB52" s="566"/>
      <c r="CC52" s="892">
        <f>CC49+CC46</f>
        <v>113.62239668664535</v>
      </c>
      <c r="CD52" s="896">
        <f>CD49+CD46</f>
        <v>119.68643145865643</v>
      </c>
      <c r="CE52" s="896">
        <f>CE49+CE46</f>
        <v>115.64111601758776</v>
      </c>
      <c r="CF52" s="896">
        <f>CF49+CF46</f>
        <v>125.47030851432748</v>
      </c>
      <c r="CG52" s="897">
        <f>SUM(CC52:CF52)</f>
        <v>474.42025267721704</v>
      </c>
      <c r="CH52" s="566"/>
      <c r="CI52" s="892">
        <f>CI49+CI46</f>
        <v>120.7331758842429</v>
      </c>
      <c r="CJ52" s="896">
        <f>CJ49+CJ46</f>
        <v>126.86761734617582</v>
      </c>
      <c r="CK52" s="896">
        <f>CK49+CK46</f>
        <v>122.57958297864303</v>
      </c>
      <c r="CL52" s="896">
        <f>CL49+CL46</f>
        <v>132.99852702518714</v>
      </c>
      <c r="CM52" s="897">
        <f>SUM(CI52:CL52)</f>
        <v>503.17890323424888</v>
      </c>
    </row>
    <row r="53" spans="1:91" ht="12" customHeight="1">
      <c r="A53" s="941" t="s">
        <v>74</v>
      </c>
      <c r="B53" s="940"/>
      <c r="C53" s="928"/>
      <c r="D53" s="928"/>
      <c r="E53" s="928"/>
      <c r="F53" s="928"/>
      <c r="G53" s="927"/>
      <c r="H53" s="990"/>
      <c r="I53" s="928"/>
      <c r="J53" s="928"/>
      <c r="K53" s="928"/>
      <c r="L53" s="928"/>
      <c r="M53" s="505">
        <f>M52/G52-1</f>
        <v>9.062001046544399E-2</v>
      </c>
      <c r="N53" s="990"/>
      <c r="O53" s="475">
        <f>O52/I52-1</f>
        <v>-8.7742980561555939E-4</v>
      </c>
      <c r="P53" s="475">
        <f>P52/J52-1</f>
        <v>-6.5033583563808839E-2</v>
      </c>
      <c r="Q53" s="475">
        <f>Q52/K52-1</f>
        <v>4.5240466584513639E-2</v>
      </c>
      <c r="R53" s="475">
        <f>R52/L52-1</f>
        <v>2.0313481643764897E-2</v>
      </c>
      <c r="S53" s="505">
        <f>S52/M52-1</f>
        <v>-9.2678025876036241E-4</v>
      </c>
      <c r="T53" s="928"/>
      <c r="U53" s="478">
        <f>U52/O52-1</f>
        <v>0.12671873944470713</v>
      </c>
      <c r="V53" s="475">
        <f>V52/P52-1</f>
        <v>6.4272840601758086E-2</v>
      </c>
      <c r="W53" s="475">
        <f>W52/Q52-1</f>
        <v>6.2836164989744647E-2</v>
      </c>
      <c r="X53" s="475">
        <f>X52/R52-1</f>
        <v>9.4806474786068407E-2</v>
      </c>
      <c r="Y53" s="505">
        <f>Y52/S52-1</f>
        <v>8.5125334011960874E-2</v>
      </c>
      <c r="Z53" s="928"/>
      <c r="AA53" s="899">
        <f>AA52/U52-1</f>
        <v>9.7217633127425707E-2</v>
      </c>
      <c r="AB53" s="475">
        <f>AB52/V52-1</f>
        <v>0.183156084704442</v>
      </c>
      <c r="AC53" s="475">
        <f>AC52/W52-1</f>
        <v>8.7619939640164901E-2</v>
      </c>
      <c r="AD53" s="475">
        <f>AD52/X52-1</f>
        <v>4.3843188427907576E-2</v>
      </c>
      <c r="AE53" s="505">
        <f>AE52/Y52-1</f>
        <v>0.10321430133883758</v>
      </c>
      <c r="AF53" s="928"/>
      <c r="AG53" s="899">
        <f>AG52/AA52-1</f>
        <v>2.3754119529405981E-2</v>
      </c>
      <c r="AH53" s="475">
        <f>AH52/AB52-1</f>
        <v>-3.4027539737038537E-2</v>
      </c>
      <c r="AI53" s="475">
        <f>AI52/AC52-1</f>
        <v>6.8725404364844422E-3</v>
      </c>
      <c r="AJ53" s="475">
        <f>AJ52/AD52-1</f>
        <v>5.9150246080959423E-2</v>
      </c>
      <c r="AK53" s="505">
        <f>AK52/AE52-1</f>
        <v>1.3637214526227792E-2</v>
      </c>
      <c r="AL53" s="992"/>
      <c r="AM53" s="993">
        <f>AM52/AG52-1</f>
        <v>-5.2026360368293556E-3</v>
      </c>
      <c r="AN53" s="994">
        <f>AN52/AH52-1</f>
        <v>2.4737126157867273E-2</v>
      </c>
      <c r="AO53" s="994">
        <f>AO52/AI52-1</f>
        <v>4.641583339712918E-2</v>
      </c>
      <c r="AP53" s="964">
        <f>AP52/AJ52-1</f>
        <v>7.4546452375516603E-2</v>
      </c>
      <c r="AQ53" s="938">
        <f>AQ52/AK52-1</f>
        <v>3.5349182051632289E-2</v>
      </c>
      <c r="AR53" s="829"/>
      <c r="AS53" s="993">
        <f>AS52/AM52-1</f>
        <v>8.7576732694432113E-3</v>
      </c>
      <c r="AT53" s="994">
        <f>AT52/AN52-1</f>
        <v>3.8479543810674643E-2</v>
      </c>
      <c r="AU53" s="994">
        <f>AU52/AO52-1</f>
        <v>3.2355164228978106E-2</v>
      </c>
      <c r="AV53" s="964">
        <f>AV52/AP52-1</f>
        <v>1.0650574676874136E-2</v>
      </c>
      <c r="AW53" s="906">
        <f>AW52/AQ52-1</f>
        <v>2.2241535446949179E-2</v>
      </c>
      <c r="AX53" s="829"/>
      <c r="AY53" s="993">
        <f>AY52/AS52-1</f>
        <v>3.9626078746858306E-2</v>
      </c>
      <c r="AZ53" s="994">
        <f>AZ52/AT52-1</f>
        <v>1.5174269036395183E-2</v>
      </c>
      <c r="BA53" s="994">
        <f>BA52/AU52-1</f>
        <v>4.1103104568878113E-3</v>
      </c>
      <c r="BB53" s="964">
        <f>BB52/AV52-1</f>
        <v>7.0749145631543442E-3</v>
      </c>
      <c r="BC53" s="505">
        <f>BC52/AW52-1</f>
        <v>1.6143169042745598E-2</v>
      </c>
      <c r="BD53" s="829"/>
      <c r="BE53" s="993">
        <f>BE52/AY52-1</f>
        <v>7.6322545550844945E-2</v>
      </c>
      <c r="BF53" s="994">
        <f>BF52/AZ52-1</f>
        <v>0.11974684521282675</v>
      </c>
      <c r="BG53" s="994">
        <f>BG52/BA52-1</f>
        <v>7.6002353984064186E-2</v>
      </c>
      <c r="BH53" s="964">
        <f>BH52/BB52-1</f>
        <v>7.4592551346934544E-2</v>
      </c>
      <c r="BI53" s="505">
        <f>BI52/BC52-1</f>
        <v>8.6405163945096009E-2</v>
      </c>
      <c r="BJ53" s="829"/>
      <c r="BK53" s="993">
        <f>BK52/BE52-1</f>
        <v>4.4595309774270842E-2</v>
      </c>
      <c r="BL53" s="994">
        <f>BL52/BF52-1</f>
        <v>4.3376314577908248E-2</v>
      </c>
      <c r="BM53" s="994">
        <f>BM52/BG52-1</f>
        <v>0.10420522862166082</v>
      </c>
      <c r="BN53" s="964">
        <f>BN52/BH52-1</f>
        <v>0.1159853287834296</v>
      </c>
      <c r="BO53" s="505">
        <f>BO52/BI52-1</f>
        <v>7.742617745762792E-2</v>
      </c>
      <c r="BP53" s="829"/>
      <c r="BQ53" s="993">
        <f>BQ52/BK52-1</f>
        <v>0.12372223388579306</v>
      </c>
      <c r="BR53" s="994">
        <f>BR52/BL52-1</f>
        <v>0.15110655393355032</v>
      </c>
      <c r="BS53" s="994">
        <f>BS52/BM52-1</f>
        <v>8.7584110218406508E-2</v>
      </c>
      <c r="BT53" s="964">
        <f>BT52/BN52-1</f>
        <v>9.000000000000008E-2</v>
      </c>
      <c r="BU53" s="505">
        <f>BU52/BO52-1</f>
        <v>0.11227508505811845</v>
      </c>
      <c r="BV53" s="71"/>
      <c r="BW53" s="993">
        <f>BW52/BQ52-1</f>
        <v>8.2547067246259376E-2</v>
      </c>
      <c r="BX53" s="994">
        <f>BX52/BR52-1</f>
        <v>8.0000000000000071E-2</v>
      </c>
      <c r="BY53" s="994">
        <f>BY52/BS52-1</f>
        <v>8.0000000000000071E-2</v>
      </c>
      <c r="BZ53" s="964">
        <f>BZ52/BT52-1</f>
        <v>8.0000000000000071E-2</v>
      </c>
      <c r="CA53" s="505">
        <f>CA52/BU52-1</f>
        <v>8.0607804745003397E-2</v>
      </c>
      <c r="CB53" s="71"/>
      <c r="CC53" s="993">
        <f>CC52/BW52-1</f>
        <v>6.2564602854160434E-2</v>
      </c>
      <c r="CD53" s="994">
        <f>CD52/BX52-1</f>
        <v>6.0000000000000053E-2</v>
      </c>
      <c r="CE53" s="994">
        <f>CE52/BY52-1</f>
        <v>6.0000000000000053E-2</v>
      </c>
      <c r="CF53" s="964">
        <f>CF52/BZ52-1</f>
        <v>6.0000000000000053E-2</v>
      </c>
      <c r="CG53" s="505">
        <f>CG52/CA52-1</f>
        <v>6.0613087531984133E-2</v>
      </c>
      <c r="CH53" s="71"/>
      <c r="CI53" s="993">
        <f>CI52/CC52-1</f>
        <v>6.2582548907220259E-2</v>
      </c>
      <c r="CJ53" s="994">
        <f>CJ52/CD52-1</f>
        <v>6.0000000000000053E-2</v>
      </c>
      <c r="CK53" s="994">
        <f>CK52/CE52-1</f>
        <v>6.0000000000000053E-2</v>
      </c>
      <c r="CL53" s="964">
        <f>CL52/CF52-1</f>
        <v>6.0000000000000053E-2</v>
      </c>
      <c r="CM53" s="505">
        <f>CM52/CG52-1</f>
        <v>6.0618513637946458E-2</v>
      </c>
    </row>
    <row r="54" spans="1:91" ht="12" customHeight="1">
      <c r="A54" s="995" t="s">
        <v>290</v>
      </c>
      <c r="B54" s="996"/>
      <c r="C54" s="997"/>
      <c r="D54" s="997"/>
      <c r="E54" s="997"/>
      <c r="F54" s="997"/>
      <c r="G54" s="998"/>
      <c r="H54" s="998"/>
      <c r="I54" s="997"/>
      <c r="J54" s="997"/>
      <c r="K54" s="997"/>
      <c r="L54" s="997"/>
      <c r="M54" s="999"/>
      <c r="N54" s="998"/>
      <c r="O54" s="1000">
        <f>O53-O$18</f>
        <v>-4.087742980561556E-2</v>
      </c>
      <c r="P54" s="1000">
        <f>P53-P$18</f>
        <v>-5.5033583563808837E-2</v>
      </c>
      <c r="Q54" s="1000">
        <f>Q53-Q$18</f>
        <v>6.5240466584513643E-2</v>
      </c>
      <c r="R54" s="1000">
        <f>R53-R$18</f>
        <v>2.0313481643764897E-2</v>
      </c>
      <c r="S54" s="999">
        <f>AVERAGE(O54:R54)</f>
        <v>-2.5892662852864644E-3</v>
      </c>
      <c r="T54" s="997"/>
      <c r="U54" s="1001">
        <f>U53-U$18</f>
        <v>8.6718739444707121E-2</v>
      </c>
      <c r="V54" s="1000">
        <f>V53-V$18</f>
        <v>7.4272840601758081E-2</v>
      </c>
      <c r="W54" s="1000">
        <f>W53-W$18</f>
        <v>8.2836164989744651E-2</v>
      </c>
      <c r="X54" s="1000">
        <f>X53-X$18</f>
        <v>9.4806474786068407E-2</v>
      </c>
      <c r="Y54" s="999">
        <f>AVERAGE(U54:X54)</f>
        <v>8.4658554955569565E-2</v>
      </c>
      <c r="Z54" s="997"/>
      <c r="AA54" s="1001">
        <f>AA53-AA$18</f>
        <v>7.7217633127425703E-2</v>
      </c>
      <c r="AB54" s="1000">
        <f>AB53-AB$18</f>
        <v>0.123156084704442</v>
      </c>
      <c r="AC54" s="1000">
        <f>AC53-AC$18</f>
        <v>4.76199396401649E-2</v>
      </c>
      <c r="AD54" s="1000">
        <f>AD53-AD$18</f>
        <v>4.3843188427907576E-2</v>
      </c>
      <c r="AE54" s="999">
        <f>AVERAGE(AA54:AD54)</f>
        <v>7.2959211474985047E-2</v>
      </c>
      <c r="AF54" s="997"/>
      <c r="AG54" s="1001">
        <f>AG53-AG$18</f>
        <v>4.3754119529405985E-2</v>
      </c>
      <c r="AH54" s="1000">
        <f>AH53-AH$18</f>
        <v>-4.027539737038538E-3</v>
      </c>
      <c r="AI54" s="1000">
        <f>AI53-AI$18</f>
        <v>3.6872540436484441E-2</v>
      </c>
      <c r="AJ54" s="1000">
        <f>AJ53-AJ$18</f>
        <v>7.3150246080959422E-2</v>
      </c>
      <c r="AK54" s="999">
        <f>AVERAGE(AG54:AJ54)</f>
        <v>3.7437341577452828E-2</v>
      </c>
      <c r="AL54" s="1002"/>
      <c r="AM54" s="960">
        <f>AM53-AM$18</f>
        <v>2.4797363963170643E-2</v>
      </c>
      <c r="AN54" s="1003">
        <f>AN53-AN$18</f>
        <v>4.4737126157867277E-2</v>
      </c>
      <c r="AO54" s="1003">
        <f>AO53-AO$18</f>
        <v>6.6415833397129184E-2</v>
      </c>
      <c r="AP54" s="962">
        <f>AP53-AP$18</f>
        <v>9.4546452375516607E-2</v>
      </c>
      <c r="AQ54" s="1222">
        <f>AVERAGE(AM54:AP54)</f>
        <v>5.7624193973420931E-2</v>
      </c>
      <c r="AR54" s="834"/>
      <c r="AS54" s="1004">
        <f>AS53-AS$18</f>
        <v>8.7576732694432113E-3</v>
      </c>
      <c r="AT54" s="834">
        <f>AT53-AT$18</f>
        <v>3.0479543810674643E-2</v>
      </c>
      <c r="AU54" s="834">
        <f>AU53-AU$18</f>
        <v>3.2355164228978106E-2</v>
      </c>
      <c r="AV54" s="834">
        <f>AV53-AV$18</f>
        <v>6.0650574676874139E-2</v>
      </c>
      <c r="AW54" s="999">
        <f>AVERAGE(AS54:AV54)</f>
        <v>3.306073899649252E-2</v>
      </c>
      <c r="AX54" s="834"/>
      <c r="AY54" s="1004">
        <f>AY53-AY$18</f>
        <v>0.11962607874685831</v>
      </c>
      <c r="AZ54" s="834">
        <f>AZ53-AZ$18</f>
        <v>8.5174269036395189E-2</v>
      </c>
      <c r="BA54" s="834">
        <f>BA53-BA$18</f>
        <v>7.8110310456887808E-2</v>
      </c>
      <c r="BB54" s="834">
        <f>BB53-BB$18</f>
        <v>6.14989096100527E-2</v>
      </c>
      <c r="BC54" s="999">
        <f>AVERAGE(AY54:BB54)</f>
        <v>8.6102391962548513E-2</v>
      </c>
      <c r="BD54" s="834"/>
      <c r="BE54" s="1004">
        <f>BE53-BE$18</f>
        <v>9.3197743133446143E-2</v>
      </c>
      <c r="BF54" s="834">
        <f>BF53-BF$18</f>
        <v>0.11907982819378644</v>
      </c>
      <c r="BG54" s="834">
        <f>BG53-BG$18</f>
        <v>7.3255529313383499E-2</v>
      </c>
      <c r="BH54" s="834">
        <f>BH53-BH$18</f>
        <v>9.4592551346934547E-2</v>
      </c>
      <c r="BI54" s="999">
        <f>AVERAGE(BE54:BH54)</f>
        <v>9.5031412996887665E-2</v>
      </c>
      <c r="BJ54" s="834"/>
      <c r="BK54" s="1004">
        <f>BK53-BK$18</f>
        <v>5.4595309774270843E-2</v>
      </c>
      <c r="BL54" s="834">
        <f>BL53-BL$18</f>
        <v>5.337631457790825E-2</v>
      </c>
      <c r="BM54" s="834">
        <f>BM53-BM$18</f>
        <v>9.4205228621660822E-2</v>
      </c>
      <c r="BN54" s="834">
        <f>BN53-BN$18</f>
        <v>8.5985328783429599E-2</v>
      </c>
      <c r="BO54" s="999">
        <f>AVERAGE(BK54:BN54)</f>
        <v>7.2040545439317372E-2</v>
      </c>
      <c r="BP54" s="834"/>
      <c r="BQ54" s="1004">
        <f>BQ53-BQ$18</f>
        <v>0.12872223388579307</v>
      </c>
      <c r="BR54" s="834">
        <f>BR53-BR$18</f>
        <v>0.15110655393355032</v>
      </c>
      <c r="BS54" s="834">
        <f>BS53-BS$18</f>
        <v>8.7584110218406508E-2</v>
      </c>
      <c r="BT54" s="834">
        <f>BT53-BT$18</f>
        <v>9.000000000000008E-2</v>
      </c>
      <c r="BU54" s="999">
        <f>AVERAGE(BQ54:BT54)</f>
        <v>0.1143532245094375</v>
      </c>
      <c r="BV54" s="24"/>
      <c r="BW54" s="1004">
        <f>BW53-BW$18</f>
        <v>8.2547067246259376E-2</v>
      </c>
      <c r="BX54" s="834">
        <f>BX53-BX$18</f>
        <v>8.0000000000000071E-2</v>
      </c>
      <c r="BY54" s="834">
        <f>BY53-BY$18</f>
        <v>8.0000000000000071E-2</v>
      </c>
      <c r="BZ54" s="834">
        <f>BZ53-BZ$18</f>
        <v>8.0000000000000071E-2</v>
      </c>
      <c r="CA54" s="999">
        <f>AVERAGE(BW54:BZ54)</f>
        <v>8.0636766811564897E-2</v>
      </c>
      <c r="CB54" s="24"/>
      <c r="CC54" s="1004">
        <f>CC53-CC$18</f>
        <v>6.2564602854160434E-2</v>
      </c>
      <c r="CD54" s="834">
        <f>CD53-CD$18</f>
        <v>6.0000000000000053E-2</v>
      </c>
      <c r="CE54" s="834">
        <f>CE53-CE$18</f>
        <v>6.0000000000000053E-2</v>
      </c>
      <c r="CF54" s="834">
        <f>CF53-CF$18</f>
        <v>6.0000000000000053E-2</v>
      </c>
      <c r="CG54" s="999">
        <f>AVERAGE(CC54:CF54)</f>
        <v>6.0641150713540148E-2</v>
      </c>
      <c r="CH54" s="24"/>
      <c r="CI54" s="1004">
        <f>CI53-CI$18</f>
        <v>6.2582548907220259E-2</v>
      </c>
      <c r="CJ54" s="834">
        <f>CJ53-CJ$18</f>
        <v>6.0000000000000053E-2</v>
      </c>
      <c r="CK54" s="834">
        <f>CK53-CK$18</f>
        <v>6.0000000000000053E-2</v>
      </c>
      <c r="CL54" s="834">
        <f>CL53-CL$18</f>
        <v>6.0000000000000053E-2</v>
      </c>
      <c r="CM54" s="999">
        <f>AVERAGE(CI54:CL54)</f>
        <v>6.0645637226805105E-2</v>
      </c>
    </row>
    <row r="55" spans="1:91" s="2029" customFormat="1" hidden="1" outlineLevel="1">
      <c r="A55" s="1005" t="s">
        <v>116</v>
      </c>
      <c r="B55" s="1006"/>
      <c r="C55" s="1006"/>
      <c r="D55" s="1006"/>
      <c r="E55" s="1006"/>
      <c r="F55" s="1006"/>
      <c r="G55" s="1006">
        <f>G52-G11</f>
        <v>0</v>
      </c>
      <c r="H55" s="1006"/>
      <c r="I55" s="1006">
        <f>I52-I11</f>
        <v>0</v>
      </c>
      <c r="J55" s="1006">
        <f>J52-J11</f>
        <v>0</v>
      </c>
      <c r="K55" s="1006">
        <f>K52-K11</f>
        <v>0</v>
      </c>
      <c r="L55" s="1006">
        <f>L52-L11</f>
        <v>0</v>
      </c>
      <c r="M55" s="1006">
        <f>M52-M11</f>
        <v>0</v>
      </c>
      <c r="N55" s="1006"/>
      <c r="O55" s="1006">
        <f>O52-O11</f>
        <v>0</v>
      </c>
      <c r="P55" s="1006">
        <f>P52-P11</f>
        <v>0</v>
      </c>
      <c r="Q55" s="1006">
        <f>Q52-Q11</f>
        <v>0</v>
      </c>
      <c r="R55" s="1006">
        <f>R52-R11</f>
        <v>0</v>
      </c>
      <c r="S55" s="1006">
        <f>S52-S11</f>
        <v>0</v>
      </c>
      <c r="T55" s="1006"/>
      <c r="U55" s="1006">
        <f>U52-U11</f>
        <v>3.7270000000006576E-2</v>
      </c>
      <c r="V55" s="1006">
        <f>V52-V11</f>
        <v>9.1381249999997749E-2</v>
      </c>
      <c r="W55" s="1006">
        <f>W52-W11</f>
        <v>0.21475250000000301</v>
      </c>
      <c r="X55" s="1006">
        <f>X52-X11</f>
        <v>0.11885250000000269</v>
      </c>
      <c r="Y55" s="1006">
        <f>Y52-Y11</f>
        <v>0</v>
      </c>
      <c r="Z55" s="1006"/>
      <c r="AA55" s="1006">
        <f>AA52-AA11</f>
        <v>-0.52082935714284417</v>
      </c>
      <c r="AB55" s="1006">
        <f>AB52-AB11</f>
        <v>0.19532448341836073</v>
      </c>
      <c r="AC55" s="1006">
        <f>AC52-AC11</f>
        <v>-0.52800095821579873</v>
      </c>
      <c r="AD55" s="1006">
        <f>AD52-AD11</f>
        <v>2.0642482861177314E-3</v>
      </c>
      <c r="AE55" s="1006">
        <f>AE52-AE11</f>
        <v>-0.85144158365415024</v>
      </c>
      <c r="AF55" s="1006"/>
      <c r="AG55" s="1006">
        <f>AG52-AG11</f>
        <v>0</v>
      </c>
      <c r="AH55" s="1006">
        <f>AH52-AH11</f>
        <v>-5.3410312499124757E-4</v>
      </c>
      <c r="AI55" s="1006">
        <v>0</v>
      </c>
      <c r="AJ55" s="1216">
        <f>AJ52-AJ11</f>
        <v>1.9035403106661164</v>
      </c>
      <c r="AK55" s="1006"/>
      <c r="AL55" s="1006"/>
      <c r="AM55" s="967">
        <f>ROUND(AM52-AM11,3)</f>
        <v>1.417</v>
      </c>
      <c r="AN55" s="967">
        <f>ROUND(AN52-AN11,3)</f>
        <v>-0.71399999999999997</v>
      </c>
      <c r="AO55" s="967">
        <f>ROUND(AO52-AO11,3)</f>
        <v>0</v>
      </c>
      <c r="AP55" s="967">
        <f>ROUND(AP52-AP11,3)</f>
        <v>1.25</v>
      </c>
      <c r="AQ55" s="967">
        <f>ROUND(AQ52-AQ11,3)</f>
        <v>1.952</v>
      </c>
      <c r="AR55" s="1006"/>
      <c r="AS55" s="967">
        <f>ROUND(AS52-AS11,3)</f>
        <v>0</v>
      </c>
      <c r="AT55" s="967">
        <f>ROUND(AT52-AT11,3)</f>
        <v>0</v>
      </c>
      <c r="AU55" s="967">
        <f>ROUND(AU52-AU11,3)</f>
        <v>0</v>
      </c>
      <c r="AV55" s="967">
        <f>ROUND(AV52-AV11,3)</f>
        <v>0</v>
      </c>
      <c r="AW55" s="967">
        <f>ROUND(AW52-AW11,3)</f>
        <v>0</v>
      </c>
      <c r="AX55" s="1006"/>
      <c r="AY55" s="967">
        <f>ROUND(AY52-AY11,3)</f>
        <v>0</v>
      </c>
      <c r="AZ55" s="967">
        <f>ROUND(AZ52-AZ11,3)</f>
        <v>0</v>
      </c>
      <c r="BA55" s="967">
        <f>ROUND(BA52-BA11,3)</f>
        <v>0</v>
      </c>
      <c r="BB55" s="967">
        <f>ROUND(BB52-BB11,3)</f>
        <v>0</v>
      </c>
      <c r="BC55" s="967">
        <f>ROUND(BC52-BC11,3)</f>
        <v>0</v>
      </c>
      <c r="BD55" s="1006"/>
      <c r="BE55" s="967">
        <f>ROUND(BE52-BE11,3)</f>
        <v>0</v>
      </c>
      <c r="BF55" s="967">
        <f>ROUND(BF52-BF11,3)</f>
        <v>0</v>
      </c>
      <c r="BG55" s="967">
        <f>ROUND(BG52-BG11,2)</f>
        <v>0</v>
      </c>
      <c r="BH55" s="967">
        <f>ROUND(BH52-BH11,2)</f>
        <v>0</v>
      </c>
      <c r="BI55" s="967">
        <f>ROUND(BI52-BI11,3)</f>
        <v>0</v>
      </c>
      <c r="BJ55" s="1006"/>
      <c r="BK55" s="967">
        <f>ROUND(BK52-BK11,3)</f>
        <v>0</v>
      </c>
      <c r="BL55" s="967">
        <f>ROUND(BL52-BL11,3)</f>
        <v>0</v>
      </c>
      <c r="BM55" s="967">
        <f>ROUND(BM52-BM11,3)</f>
        <v>0</v>
      </c>
      <c r="BN55" s="967">
        <f>ROUND(BN52-BN11,3)</f>
        <v>0</v>
      </c>
      <c r="BO55" s="967">
        <f>ROUND(BO52-BO11,3)</f>
        <v>0</v>
      </c>
      <c r="BP55" s="1006"/>
      <c r="BQ55" s="967">
        <f>ROUND(BQ52-BQ11,3)</f>
        <v>0</v>
      </c>
      <c r="BR55" s="967">
        <f>ROUND(BR52-BR11,3)</f>
        <v>0</v>
      </c>
      <c r="BS55" s="967">
        <f>ROUND(BS52-BS11,3)</f>
        <v>0</v>
      </c>
      <c r="BT55" s="967">
        <f>ROUND(BT52-BT11,3)</f>
        <v>0</v>
      </c>
      <c r="BU55" s="967">
        <f>ROUND(BU52-BU11,3)</f>
        <v>0</v>
      </c>
      <c r="BV55" s="1007"/>
      <c r="BW55" s="967">
        <f>ROUND(BW52-BW11,3)</f>
        <v>0</v>
      </c>
      <c r="BX55" s="967">
        <f>ROUND(BX52-BX11,3)</f>
        <v>0</v>
      </c>
      <c r="BY55" s="967">
        <f>ROUND(BY52-BY11,3)</f>
        <v>0</v>
      </c>
      <c r="BZ55" s="967">
        <f>ROUND(BZ52-BZ11,3)</f>
        <v>0</v>
      </c>
      <c r="CA55" s="967">
        <f>ROUND(CA52-CA11,3)</f>
        <v>0</v>
      </c>
      <c r="CB55" s="1007"/>
      <c r="CC55" s="967">
        <f>ROUND(CC52-CC11,3)</f>
        <v>0</v>
      </c>
      <c r="CD55" s="967">
        <f>ROUND(CD52-CD11,3)</f>
        <v>0</v>
      </c>
      <c r="CE55" s="967">
        <f>ROUND(CE52-CE11,3)</f>
        <v>0</v>
      </c>
      <c r="CF55" s="967">
        <f>ROUND(CF52-CF11,3)</f>
        <v>0</v>
      </c>
      <c r="CG55" s="967">
        <f>ROUND(CG52-CG11,3)</f>
        <v>0</v>
      </c>
      <c r="CH55" s="1007"/>
      <c r="CI55" s="967">
        <f>ROUND(CI52-CI11,3)</f>
        <v>0</v>
      </c>
      <c r="CJ55" s="967">
        <f>ROUND(CJ52-CJ11,3)</f>
        <v>0</v>
      </c>
      <c r="CK55" s="967">
        <f>ROUND(CK52-CK11,3)</f>
        <v>0</v>
      </c>
      <c r="CL55" s="967">
        <f>ROUND(CL52-CL11,3)</f>
        <v>0</v>
      </c>
      <c r="CM55" s="967">
        <f>ROUND(CM52-CM11,3)</f>
        <v>0</v>
      </c>
    </row>
    <row r="56" spans="1:91" collapsed="1">
      <c r="A56" s="1008"/>
      <c r="B56" s="1009"/>
      <c r="C56" s="972"/>
      <c r="D56" s="972"/>
      <c r="E56" s="972"/>
      <c r="F56" s="972"/>
      <c r="G56" s="972"/>
      <c r="H56" s="972"/>
      <c r="I56" s="972"/>
      <c r="J56" s="972"/>
      <c r="K56" s="972"/>
      <c r="L56" s="972"/>
      <c r="M56" s="972"/>
      <c r="N56" s="972"/>
      <c r="O56" s="972"/>
      <c r="P56" s="972"/>
      <c r="Q56" s="972"/>
      <c r="R56" s="972"/>
      <c r="S56" s="972"/>
      <c r="T56" s="972"/>
      <c r="U56" s="972"/>
      <c r="V56" s="972"/>
      <c r="W56" s="972"/>
      <c r="X56" s="972"/>
      <c r="Y56" s="972"/>
      <c r="Z56" s="972"/>
      <c r="AA56" s="972"/>
      <c r="AB56" s="972"/>
      <c r="AC56" s="972"/>
      <c r="AD56" s="972"/>
      <c r="AE56" s="972"/>
      <c r="AF56" s="972"/>
      <c r="AG56" s="972"/>
      <c r="AH56" s="972"/>
      <c r="AI56" s="972"/>
      <c r="AJ56" s="972"/>
      <c r="AK56" s="972"/>
      <c r="AL56" s="972"/>
      <c r="AM56" s="1158"/>
      <c r="AN56" s="1158"/>
      <c r="AO56" s="1158"/>
      <c r="AP56" s="1158"/>
      <c r="AQ56" s="972"/>
      <c r="AR56" s="972"/>
      <c r="AS56" s="972"/>
      <c r="AT56" s="972"/>
      <c r="AU56" s="972"/>
      <c r="AV56" s="972"/>
      <c r="AW56" s="972"/>
      <c r="AX56" s="972"/>
      <c r="AY56" s="1491"/>
      <c r="AZ56" s="1491"/>
      <c r="BA56" s="1491"/>
      <c r="BB56" s="972"/>
      <c r="BC56" s="1491"/>
      <c r="BD56" s="972"/>
      <c r="BE56" s="972"/>
      <c r="BF56" s="972"/>
      <c r="BG56" s="972"/>
      <c r="BH56" s="972"/>
      <c r="BI56" s="972"/>
      <c r="BJ56" s="972"/>
      <c r="BK56" s="972"/>
      <c r="BL56" s="972"/>
      <c r="BM56" s="972"/>
      <c r="BN56" s="972"/>
      <c r="BO56" s="972"/>
      <c r="BP56" s="972"/>
      <c r="BQ56" s="972"/>
      <c r="BR56" s="972"/>
      <c r="BS56" s="972"/>
      <c r="BT56" s="972"/>
      <c r="BU56" s="972"/>
      <c r="BV56" s="24"/>
      <c r="BW56" s="972"/>
      <c r="BX56" s="972"/>
      <c r="BY56" s="972"/>
      <c r="BZ56" s="972"/>
      <c r="CA56" s="972"/>
      <c r="CB56" s="24"/>
      <c r="CC56" s="972"/>
      <c r="CD56" s="972"/>
      <c r="CE56" s="972"/>
      <c r="CF56" s="972"/>
      <c r="CG56" s="972"/>
      <c r="CH56" s="24"/>
      <c r="CI56" s="972"/>
      <c r="CJ56" s="972"/>
      <c r="CK56" s="972"/>
      <c r="CL56" s="972"/>
      <c r="CM56" s="972"/>
    </row>
    <row r="57" spans="1:91">
      <c r="A57" s="12" t="s">
        <v>298</v>
      </c>
      <c r="B57" s="16"/>
      <c r="C57" s="16"/>
      <c r="D57" s="16"/>
      <c r="E57" s="16"/>
      <c r="F57" s="16"/>
      <c r="G57" s="17"/>
      <c r="H57" s="16"/>
      <c r="I57" s="16"/>
      <c r="J57" s="16"/>
      <c r="K57" s="16"/>
      <c r="L57" s="16"/>
      <c r="M57" s="17"/>
      <c r="N57" s="16"/>
      <c r="O57" s="16"/>
      <c r="P57" s="16"/>
      <c r="Q57" s="16"/>
      <c r="R57" s="16"/>
      <c r="S57" s="17"/>
      <c r="T57" s="16"/>
      <c r="U57" s="16"/>
      <c r="V57" s="16"/>
      <c r="W57" s="16"/>
      <c r="X57" s="16"/>
      <c r="Y57" s="17"/>
      <c r="Z57" s="16"/>
      <c r="AA57" s="16"/>
      <c r="AB57" s="16"/>
      <c r="AC57" s="16"/>
      <c r="AD57" s="16"/>
      <c r="AE57" s="17"/>
      <c r="AF57" s="16"/>
      <c r="AG57" s="16"/>
      <c r="AH57" s="16"/>
      <c r="AI57" s="16"/>
      <c r="AJ57" s="16"/>
      <c r="AK57" s="17"/>
      <c r="AL57" s="16"/>
      <c r="AM57" s="16"/>
      <c r="AN57" s="16"/>
      <c r="AO57" s="16"/>
      <c r="AP57" s="16"/>
      <c r="AQ57" s="17"/>
      <c r="AR57" s="16"/>
      <c r="AS57" s="16"/>
      <c r="AT57" s="16"/>
      <c r="AU57" s="16"/>
      <c r="AV57" s="16"/>
      <c r="AW57" s="17"/>
      <c r="AX57" s="16"/>
      <c r="AY57" s="16"/>
      <c r="AZ57" s="16"/>
      <c r="BA57" s="16"/>
      <c r="BB57" s="16"/>
      <c r="BC57" s="17"/>
      <c r="BD57" s="16"/>
      <c r="BE57" s="16"/>
      <c r="BF57" s="16"/>
      <c r="BG57" s="16"/>
      <c r="BH57" s="16"/>
      <c r="BI57" s="17"/>
      <c r="BJ57" s="16"/>
      <c r="BK57" s="16"/>
      <c r="BL57" s="16"/>
      <c r="BM57" s="16"/>
      <c r="BN57" s="16"/>
      <c r="BO57" s="17"/>
      <c r="BP57" s="16"/>
      <c r="BQ57" s="16"/>
      <c r="BR57" s="16"/>
      <c r="BS57" s="16"/>
      <c r="BT57" s="16"/>
      <c r="BU57" s="17"/>
      <c r="BV57" s="1919"/>
      <c r="BW57" s="16"/>
      <c r="BX57" s="16"/>
      <c r="BY57" s="16"/>
      <c r="BZ57" s="16"/>
      <c r="CA57" s="17"/>
      <c r="CB57" s="1919"/>
      <c r="CC57" s="16"/>
      <c r="CD57" s="16"/>
      <c r="CE57" s="16"/>
      <c r="CF57" s="16"/>
      <c r="CG57" s="17"/>
      <c r="CH57" s="1919"/>
      <c r="CI57" s="16"/>
      <c r="CJ57" s="16"/>
      <c r="CK57" s="16"/>
      <c r="CL57" s="16"/>
      <c r="CM57" s="17"/>
    </row>
    <row r="58" spans="1:91" s="2024" customFormat="1">
      <c r="A58" s="1010" t="s">
        <v>299</v>
      </c>
      <c r="B58" s="934"/>
      <c r="C58" s="1011"/>
      <c r="D58" s="1011"/>
      <c r="E58" s="1011"/>
      <c r="F58" s="1011"/>
      <c r="G58" s="1012">
        <v>107.636</v>
      </c>
      <c r="H58" s="1011"/>
      <c r="I58" s="1013">
        <v>29.85</v>
      </c>
      <c r="J58" s="1014">
        <v>28.42</v>
      </c>
      <c r="K58" s="1014">
        <v>32.881</v>
      </c>
      <c r="L58" s="1014">
        <v>37.757999999999981</v>
      </c>
      <c r="M58" s="1012">
        <v>128.90899999999999</v>
      </c>
      <c r="N58" s="1011"/>
      <c r="O58" s="1013">
        <v>25.425000000000001</v>
      </c>
      <c r="P58" s="1015">
        <v>23.402000000000001</v>
      </c>
      <c r="Q58" s="1014">
        <v>24.99</v>
      </c>
      <c r="R58" s="1014">
        <v>35.518000000000001</v>
      </c>
      <c r="S58" s="1012">
        <v>109.33499999999999</v>
      </c>
      <c r="T58" s="1011"/>
      <c r="U58" s="1013">
        <v>27.797000000000001</v>
      </c>
      <c r="V58" s="1014">
        <v>30.02</v>
      </c>
      <c r="W58" s="1014">
        <v>31.812999999999999</v>
      </c>
      <c r="X58" s="1014">
        <v>39.99799999999999</v>
      </c>
      <c r="Y58" s="1016">
        <f>SUM(U58:X58)</f>
        <v>129.62799999999999</v>
      </c>
      <c r="Z58" s="1011"/>
      <c r="AA58" s="1013">
        <v>32.103000000000002</v>
      </c>
      <c r="AB58" s="1014">
        <v>35.43</v>
      </c>
      <c r="AC58" s="1014">
        <v>36.58</v>
      </c>
      <c r="AD58" s="1014">
        <v>47.150000000000006</v>
      </c>
      <c r="AE58" s="1016">
        <f>SUM(AA58:AD58)</f>
        <v>151.26300000000001</v>
      </c>
      <c r="AF58" s="1011"/>
      <c r="AG58" s="1017">
        <f>+AG12</f>
        <v>34.9</v>
      </c>
      <c r="AH58" s="1011">
        <f>+AH12</f>
        <v>37.994</v>
      </c>
      <c r="AI58" s="1011">
        <f>+AI12</f>
        <v>35.183999999999997</v>
      </c>
      <c r="AJ58" s="1011">
        <f>+AJ12</f>
        <v>49.183999999999997</v>
      </c>
      <c r="AK58" s="1016">
        <f>SUM(AG58:AJ58)</f>
        <v>157.262</v>
      </c>
      <c r="AL58" s="1011"/>
      <c r="AM58" s="1017">
        <f>+AM12</f>
        <v>36.057000000000002</v>
      </c>
      <c r="AN58" s="1011">
        <f>+AN12</f>
        <v>35.289000000000001</v>
      </c>
      <c r="AO58" s="1011">
        <f>+AO12</f>
        <v>40.540999999999997</v>
      </c>
      <c r="AP58" s="1018">
        <f>+AP12</f>
        <v>55.877999999999986</v>
      </c>
      <c r="AQ58" s="1016">
        <f>SUM(AM58:AP58)</f>
        <v>167.76499999999999</v>
      </c>
      <c r="AR58" s="1011"/>
      <c r="AS58" s="1017">
        <f>+AS12</f>
        <v>33.228000000000002</v>
      </c>
      <c r="AT58" s="1011">
        <f>+AT12</f>
        <v>38.503999999999998</v>
      </c>
      <c r="AU58" s="1011">
        <f>+AU12</f>
        <v>40.19</v>
      </c>
      <c r="AV58" s="1011">
        <f>+AV12</f>
        <v>50.869</v>
      </c>
      <c r="AW58" s="1016">
        <f>SUM(AS58:AV58)</f>
        <v>162.791</v>
      </c>
      <c r="AX58" s="1011"/>
      <c r="AY58" s="1017">
        <f>+AY12</f>
        <v>36.186</v>
      </c>
      <c r="AZ58" s="1011">
        <f>+AZ12</f>
        <v>36.720999999999997</v>
      </c>
      <c r="BA58" s="1011">
        <f>+BA12</f>
        <v>39.564</v>
      </c>
      <c r="BB58" s="1011">
        <f>+BB12</f>
        <v>59.217999999999989</v>
      </c>
      <c r="BC58" s="1016">
        <f>SUM(AY58:BB58)</f>
        <v>171.68899999999999</v>
      </c>
      <c r="BD58" s="1011"/>
      <c r="BE58" s="1017">
        <f>+(1+BE59)*AY58</f>
        <v>35.177560466138473</v>
      </c>
      <c r="BF58" s="1011">
        <f>+AZ58*(1+BF59)</f>
        <v>40.78103675672488</v>
      </c>
      <c r="BG58" s="1011">
        <f>+BA58*(1+BG59)</f>
        <v>39.552005171270807</v>
      </c>
      <c r="BH58" s="1011">
        <f>+BB58*(1+BH59)</f>
        <v>56.021833911864391</v>
      </c>
      <c r="BI58" s="1016">
        <f>SUM(BE58:BH58)</f>
        <v>171.53243630599854</v>
      </c>
      <c r="BJ58" s="1011"/>
      <c r="BK58" s="1017">
        <f>+BE58*(1+BK59)</f>
        <v>38.543387481333703</v>
      </c>
      <c r="BL58" s="1011">
        <f>+BF58*(1+BL59)</f>
        <v>43.469589101874377</v>
      </c>
      <c r="BM58" s="1011">
        <f>+BG58*(1+BM59)</f>
        <v>44.693765843536006</v>
      </c>
      <c r="BN58" s="1011">
        <f>+BH58*(1+BN59)</f>
        <v>64.274602579179344</v>
      </c>
      <c r="BO58" s="1016">
        <f>SUM(BK58:BN58)</f>
        <v>190.98134500592343</v>
      </c>
      <c r="BP58" s="1011"/>
      <c r="BQ58" s="1017">
        <f>+BK58*(1+BQ59)</f>
        <v>40.277839917993717</v>
      </c>
      <c r="BR58" s="1011">
        <f>+BL58*(1+BR59)</f>
        <v>46.512460339005585</v>
      </c>
      <c r="BS58" s="1011">
        <f>+BM58*(1+BS59)</f>
        <v>47.375391794148172</v>
      </c>
      <c r="BT58" s="1011">
        <f>+BN58*(1+BT59)</f>
        <v>68.13107873393011</v>
      </c>
      <c r="BU58" s="1016">
        <f>SUM(BQ58:BT58)</f>
        <v>202.29677078507757</v>
      </c>
      <c r="BV58" s="566"/>
      <c r="BW58" s="1017">
        <f>+BQ58*(1+BW59)</f>
        <v>43.500067111433218</v>
      </c>
      <c r="BX58" s="1011">
        <f>+BR58*(1+BX59)</f>
        <v>50.233457166126037</v>
      </c>
      <c r="BY58" s="1011">
        <f>+BS58*(1+BY59)</f>
        <v>51.16542313768003</v>
      </c>
      <c r="BZ58" s="1011">
        <f>+BT58*(1+BZ59)</f>
        <v>73.581565032644519</v>
      </c>
      <c r="CA58" s="1016">
        <f>SUM(BW58:BZ58)</f>
        <v>218.48051244788383</v>
      </c>
      <c r="CB58" s="566"/>
      <c r="CC58" s="1017">
        <f>+BW58*(1+CC59)</f>
        <v>45.675070467004879</v>
      </c>
      <c r="CD58" s="1011">
        <f>+BX58*(1+CD59)</f>
        <v>52.745130024432342</v>
      </c>
      <c r="CE58" s="1011">
        <f>+BY58*(1+CE59)</f>
        <v>53.723694294564034</v>
      </c>
      <c r="CF58" s="1011">
        <f>+BZ58*(1+CF59)</f>
        <v>77.260643284276753</v>
      </c>
      <c r="CG58" s="1016">
        <f>SUM(CC58:CF58)</f>
        <v>229.40453807027802</v>
      </c>
      <c r="CH58" s="566"/>
      <c r="CI58" s="1017">
        <f>+CC58*(1+CI59)</f>
        <v>47.958823990355128</v>
      </c>
      <c r="CJ58" s="1011">
        <f>+CD58*(1+CJ59)</f>
        <v>55.382386525653963</v>
      </c>
      <c r="CK58" s="1011">
        <f>+CE58*(1+CK59)</f>
        <v>56.40987900929224</v>
      </c>
      <c r="CL58" s="1011">
        <f>+CF58*(1+CL59)</f>
        <v>81.123675448490587</v>
      </c>
      <c r="CM58" s="1016">
        <f>SUM(CI58:CL58)</f>
        <v>240.87476497379191</v>
      </c>
    </row>
    <row r="59" spans="1:91" hidden="1" outlineLevel="2">
      <c r="A59" s="1019" t="s">
        <v>289</v>
      </c>
      <c r="B59" s="940"/>
      <c r="C59" s="936"/>
      <c r="D59" s="936"/>
      <c r="E59" s="936"/>
      <c r="F59" s="936"/>
      <c r="G59" s="937"/>
      <c r="H59" s="828"/>
      <c r="I59" s="1020"/>
      <c r="J59" s="936"/>
      <c r="K59" s="936"/>
      <c r="L59" s="936"/>
      <c r="M59" s="937"/>
      <c r="N59" s="828"/>
      <c r="O59" s="411">
        <f>+O58/I58-1</f>
        <v>-0.14824120603015079</v>
      </c>
      <c r="P59" s="406">
        <f>+P58/J58-1</f>
        <v>-0.17656579873328648</v>
      </c>
      <c r="Q59" s="406">
        <f>+Q58/K58-1</f>
        <v>-0.23998661841184887</v>
      </c>
      <c r="R59" s="406">
        <f>+R58/L58-1</f>
        <v>-5.9325176121616141E-2</v>
      </c>
      <c r="S59" s="505">
        <f>S58/M58-1</f>
        <v>-0.15184354854975213</v>
      </c>
      <c r="T59" s="828"/>
      <c r="U59" s="411">
        <f>U58/O58-1</f>
        <v>9.329400196656823E-2</v>
      </c>
      <c r="V59" s="406">
        <f>V58/P58-1</f>
        <v>0.28279634219297489</v>
      </c>
      <c r="W59" s="406">
        <f>W58/Q58-1</f>
        <v>0.27302921168467398</v>
      </c>
      <c r="X59" s="406">
        <f>X58/R58-1</f>
        <v>0.12613322822230955</v>
      </c>
      <c r="Y59" s="505">
        <f>Y58/S58-1</f>
        <v>0.18560387798966471</v>
      </c>
      <c r="Z59" s="828"/>
      <c r="AA59" s="411">
        <f>AA58/U58-1</f>
        <v>0.15490880310824906</v>
      </c>
      <c r="AB59" s="406">
        <f>AB58/V58-1</f>
        <v>0.18021319120586266</v>
      </c>
      <c r="AC59" s="406">
        <f>AC58/W58-1</f>
        <v>0.14984440323138348</v>
      </c>
      <c r="AD59" s="406">
        <f>AD58/X58-1</f>
        <v>0.17880894044702278</v>
      </c>
      <c r="AE59" s="505">
        <f>AE58/Y58-1</f>
        <v>0.1669006696084181</v>
      </c>
      <c r="AF59" s="828"/>
      <c r="AG59" s="411">
        <f>AG58/AA58-1</f>
        <v>8.7125813786873341E-2</v>
      </c>
      <c r="AH59" s="406">
        <f>AH58/AB58-1</f>
        <v>7.2368049675416213E-2</v>
      </c>
      <c r="AI59" s="406">
        <f>AI58/AC58-1</f>
        <v>-3.8162930563149233E-2</v>
      </c>
      <c r="AJ59" s="406">
        <f>AJ58/AD58-1</f>
        <v>4.3138918345704935E-2</v>
      </c>
      <c r="AK59" s="505">
        <f>AK58/AE58-1</f>
        <v>3.9659401175436093E-2</v>
      </c>
      <c r="AL59" s="828"/>
      <c r="AM59" s="411">
        <f>AM58/AG58-1</f>
        <v>3.3151862464183557E-2</v>
      </c>
      <c r="AN59" s="406">
        <f>AN58/AH58-1</f>
        <v>-7.1195451913459995E-2</v>
      </c>
      <c r="AO59" s="406">
        <f>AO58/AI58-1</f>
        <v>0.15225670759436105</v>
      </c>
      <c r="AP59" s="406">
        <f>AP58/AJ58-1</f>
        <v>0.1361011711125566</v>
      </c>
      <c r="AQ59" s="505">
        <f>AQ58/AK58-1</f>
        <v>6.678663631392201E-2</v>
      </c>
      <c r="AR59" s="828"/>
      <c r="AS59" s="411">
        <f>AS58/AM58-1</f>
        <v>-7.8459106414843216E-2</v>
      </c>
      <c r="AT59" s="406">
        <f>AT58/AN58-1</f>
        <v>9.110487687381319E-2</v>
      </c>
      <c r="AU59" s="406">
        <f>AU58/AO58-1</f>
        <v>-8.6579018771120175E-3</v>
      </c>
      <c r="AV59" s="406">
        <f>AV58/AP58-1</f>
        <v>-8.9641719460252456E-2</v>
      </c>
      <c r="AW59" s="505">
        <f>AW58/AQ58-1</f>
        <v>-2.9648615623044106E-2</v>
      </c>
      <c r="AX59" s="828"/>
      <c r="AY59" s="411">
        <f>AY58/AS58-1</f>
        <v>8.9021307331166533E-2</v>
      </c>
      <c r="AZ59" s="406">
        <f>AZ58/AT58-1</f>
        <v>-4.630687720756288E-2</v>
      </c>
      <c r="BA59" s="406">
        <f>BA58/AU58-1</f>
        <v>-1.5576013933814359E-2</v>
      </c>
      <c r="BB59" s="406">
        <f>BB58/AV58-1</f>
        <v>0.16412746466413708</v>
      </c>
      <c r="BC59" s="505">
        <f>BC58/AW58-1</f>
        <v>5.4659041347494552E-2</v>
      </c>
      <c r="BD59" s="828"/>
      <c r="BE59" s="411">
        <f>+BE60+BE18</f>
        <v>-2.7868223452758665E-2</v>
      </c>
      <c r="BF59" s="406">
        <f>+BF60+BF18</f>
        <v>0.1105644387877478</v>
      </c>
      <c r="BG59" s="406">
        <f>+BG60+BG18</f>
        <v>-3.0317532931930678E-4</v>
      </c>
      <c r="BH59" s="406">
        <f>+BH60+BH18</f>
        <v>-5.3972881355932298E-2</v>
      </c>
      <c r="BI59" s="505">
        <f>BI58/BC58-1</f>
        <v>-9.1190288254605623E-4</v>
      </c>
      <c r="BJ59" s="828"/>
      <c r="BK59" s="411">
        <f>+BK60+BK18</f>
        <v>9.5681081081081074E-2</v>
      </c>
      <c r="BL59" s="406">
        <f>+BL60+BL18</f>
        <v>6.5926532500578325E-2</v>
      </c>
      <c r="BM59" s="406">
        <f>+BM60+BM18</f>
        <v>0.13</v>
      </c>
      <c r="BN59" s="406">
        <f>+BN60+BN18</f>
        <v>0.14731343283582088</v>
      </c>
      <c r="BO59" s="505">
        <f>BO58/BI58-1</f>
        <v>0.1133832709355902</v>
      </c>
      <c r="BP59" s="828"/>
      <c r="BQ59" s="411">
        <f>+BQ60+BQ18</f>
        <v>4.5000000000000005E-2</v>
      </c>
      <c r="BR59" s="406">
        <f>+BR60+BR18</f>
        <v>7.0000000000000007E-2</v>
      </c>
      <c r="BS59" s="406">
        <f>+BS60+BS18</f>
        <v>0.06</v>
      </c>
      <c r="BT59" s="406">
        <f>+BT60+BT18</f>
        <v>0.06</v>
      </c>
      <c r="BU59" s="505">
        <f>BU58/BO58-1</f>
        <v>5.9248853749580555E-2</v>
      </c>
      <c r="BV59" s="24"/>
      <c r="BW59" s="411">
        <f>+BW60+BW18</f>
        <v>0.08</v>
      </c>
      <c r="BX59" s="406">
        <f>+BX60+BX18</f>
        <v>0.08</v>
      </c>
      <c r="BY59" s="406">
        <f>+BY60+BY18</f>
        <v>0.08</v>
      </c>
      <c r="BZ59" s="406">
        <f>+BZ60+BZ18</f>
        <v>0.08</v>
      </c>
      <c r="CA59" s="505">
        <f>CA58/BU58-1</f>
        <v>8.0000000000000293E-2</v>
      </c>
      <c r="CB59" s="24"/>
      <c r="CC59" s="411">
        <f>+CC60+CC18</f>
        <v>0.05</v>
      </c>
      <c r="CD59" s="406">
        <f>+CD60+CD18</f>
        <v>0.05</v>
      </c>
      <c r="CE59" s="406">
        <f>+CE60+CE18</f>
        <v>0.05</v>
      </c>
      <c r="CF59" s="406">
        <f>+CF60+CF18</f>
        <v>0.05</v>
      </c>
      <c r="CG59" s="505">
        <f>CG58/CA58-1</f>
        <v>5.0000000000000044E-2</v>
      </c>
      <c r="CH59" s="24"/>
      <c r="CI59" s="411">
        <f>+CI60+CI18</f>
        <v>0.05</v>
      </c>
      <c r="CJ59" s="406">
        <f>+CJ60+CJ18</f>
        <v>0.05</v>
      </c>
      <c r="CK59" s="406">
        <f>+CK60+CK18</f>
        <v>0.05</v>
      </c>
      <c r="CL59" s="406">
        <f>+CL60+CL18</f>
        <v>0.05</v>
      </c>
      <c r="CM59" s="505">
        <f>CM58/CG58-1</f>
        <v>5.0000000000000044E-2</v>
      </c>
    </row>
    <row r="60" spans="1:91" ht="13.5" hidden="1" customHeight="1" outlineLevel="2">
      <c r="A60" s="1021" t="s">
        <v>290</v>
      </c>
      <c r="B60" s="996"/>
      <c r="C60" s="1003"/>
      <c r="D60" s="1003"/>
      <c r="E60" s="1003"/>
      <c r="F60" s="1003"/>
      <c r="G60" s="999"/>
      <c r="H60" s="833"/>
      <c r="I60" s="960"/>
      <c r="J60" s="1003"/>
      <c r="K60" s="1003"/>
      <c r="L60" s="1003"/>
      <c r="M60" s="1022">
        <v>0.21</v>
      </c>
      <c r="N60" s="833"/>
      <c r="O60" s="960">
        <f>+O59-O18</f>
        <v>-0.18824120603015079</v>
      </c>
      <c r="P60" s="1003">
        <f>+P59-P18</f>
        <v>-0.16656579873328647</v>
      </c>
      <c r="Q60" s="1003">
        <f>+Q59-Q18</f>
        <v>-0.21998661841184888</v>
      </c>
      <c r="R60" s="1003">
        <f>+R59-R18</f>
        <v>-5.9325176121616141E-2</v>
      </c>
      <c r="S60" s="1027">
        <f>+SUMPRODUCT(O58:R58,O60:R60)/S58</f>
        <v>-0.14897866817462499</v>
      </c>
      <c r="T60" s="833"/>
      <c r="U60" s="960">
        <f>+U59-U18</f>
        <v>5.3294001966568229E-2</v>
      </c>
      <c r="V60" s="1003">
        <f>+V59-V18</f>
        <v>0.2927963421929749</v>
      </c>
      <c r="W60" s="1003">
        <f>+W59-W18</f>
        <v>0.293029211684674</v>
      </c>
      <c r="X60" s="1003">
        <f>+X59-X18</f>
        <v>0.12613322822230955</v>
      </c>
      <c r="Y60" s="999">
        <f>AVERAGE(U60:X60)</f>
        <v>0.19131319601663166</v>
      </c>
      <c r="Z60" s="1023"/>
      <c r="AA60" s="960">
        <f>AA59-AA18</f>
        <v>0.13490880310824907</v>
      </c>
      <c r="AB60" s="1003">
        <f>AB59-AB18</f>
        <v>0.12021319120586266</v>
      </c>
      <c r="AC60" s="1003">
        <f>AC59-AC18</f>
        <v>0.10984440323138348</v>
      </c>
      <c r="AD60" s="1003">
        <f>AD59-AD18</f>
        <v>0.17880894044702278</v>
      </c>
      <c r="AE60" s="999">
        <f>+SUMPRODUCT(U58:X58,AA60:AD60)/SUM(U58:X58)</f>
        <v>0.13890008331533324</v>
      </c>
      <c r="AF60" s="1023"/>
      <c r="AG60" s="1024">
        <v>0.1</v>
      </c>
      <c r="AH60" s="1025">
        <v>0.11</v>
      </c>
      <c r="AI60" s="1025">
        <v>0.01</v>
      </c>
      <c r="AJ60" s="1026">
        <v>7.0000000000000007E-2</v>
      </c>
      <c r="AK60" s="999">
        <f>+SUMPRODUCT(AA58:AD58,AG60:AJ60)/SUM(AA58:AD58)</f>
        <v>7.1226274766466355E-2</v>
      </c>
      <c r="AL60" s="1023"/>
      <c r="AM60" s="1028">
        <v>0.06</v>
      </c>
      <c r="AN60" s="1026">
        <v>-0.03</v>
      </c>
      <c r="AO60" s="1026">
        <v>0.15</v>
      </c>
      <c r="AP60" s="1029">
        <v>0.16</v>
      </c>
      <c r="AQ60" s="999">
        <f>+SUMPRODUCT(AG58:AJ58,AM60:AP60)/SUM(AG58:AJ58)</f>
        <v>8.9667052434790354E-2</v>
      </c>
      <c r="AR60" s="1023"/>
      <c r="AS60" s="1028">
        <v>0.06</v>
      </c>
      <c r="AT60" s="1026">
        <v>0.16</v>
      </c>
      <c r="AU60" s="1026">
        <v>0.03</v>
      </c>
      <c r="AV60" s="1026">
        <v>-0.05</v>
      </c>
      <c r="AW60" s="999">
        <f>+SUMPRODUCT(AM58:AP58,AS60:AV60)/SUM(AM58:AP58)</f>
        <v>3.7147140345125632E-2</v>
      </c>
      <c r="AX60" s="1023"/>
      <c r="AY60" s="1028">
        <v>0.14000000000000001</v>
      </c>
      <c r="AZ60" s="1026">
        <v>-0.08</v>
      </c>
      <c r="BA60" s="1026">
        <v>0.02</v>
      </c>
      <c r="BB60" s="1026">
        <v>0.16200000000000001</v>
      </c>
      <c r="BC60" s="999">
        <f>+SUMPRODUCT(AS58:AV58,AY60:BB60)/SUM(AS58:AV58)</f>
        <v>6.5213543746275915E-2</v>
      </c>
      <c r="BD60" s="1023"/>
      <c r="BE60" s="1028">
        <v>-1.099302587015746E-2</v>
      </c>
      <c r="BF60" s="1026">
        <v>0.1098974217687075</v>
      </c>
      <c r="BG60" s="1026">
        <v>-3.0500000000000002E-3</v>
      </c>
      <c r="BH60" s="1845">
        <v>-3.3972881355932301E-2</v>
      </c>
      <c r="BI60" s="999">
        <f>+SUMPRODUCT(AY58:BB58,BE60:BH60)/SUM(AY58:BB58)</f>
        <v>8.7674417260021949E-3</v>
      </c>
      <c r="BJ60" s="1023"/>
      <c r="BK60" s="1935">
        <v>0.10568108108108107</v>
      </c>
      <c r="BL60" s="2021">
        <v>7.592653250057832E-2</v>
      </c>
      <c r="BM60" s="2021">
        <v>0.12</v>
      </c>
      <c r="BN60" s="1845">
        <v>0.11731343283582088</v>
      </c>
      <c r="BO60" s="999">
        <f>+SUMPRODUCT(BE58:BH58,BK60:BN60)/SUM(BE58:BH58)</f>
        <v>0.10570781826207164</v>
      </c>
      <c r="BP60" s="1023"/>
      <c r="BQ60" s="1763">
        <v>0.05</v>
      </c>
      <c r="BR60" s="1764">
        <v>7.0000000000000007E-2</v>
      </c>
      <c r="BS60" s="1764">
        <v>0.06</v>
      </c>
      <c r="BT60" s="1762">
        <v>0.06</v>
      </c>
      <c r="BU60" s="999">
        <f>+SUMPRODUCT(BK58:BN58,BQ60:BT60)/SUM(BK58:BN58)</f>
        <v>6.0257941508391193E-2</v>
      </c>
      <c r="BV60" s="1023"/>
      <c r="BW60" s="1763">
        <v>0.08</v>
      </c>
      <c r="BX60" s="1764">
        <f>+BW60</f>
        <v>0.08</v>
      </c>
      <c r="BY60" s="1764">
        <f>+BX60</f>
        <v>0.08</v>
      </c>
      <c r="BZ60" s="1762">
        <f>+BY60</f>
        <v>0.08</v>
      </c>
      <c r="CA60" s="999">
        <f>+SUMPRODUCT(BQ58:BT58,BW60:BZ60)/SUM(BQ58:BT58)</f>
        <v>0.08</v>
      </c>
      <c r="CB60" s="1023"/>
      <c r="CC60" s="1763">
        <v>0.05</v>
      </c>
      <c r="CD60" s="1764">
        <f>+CC60</f>
        <v>0.05</v>
      </c>
      <c r="CE60" s="1764">
        <f>+CD60</f>
        <v>0.05</v>
      </c>
      <c r="CF60" s="1762">
        <f>+CE60</f>
        <v>0.05</v>
      </c>
      <c r="CG60" s="999">
        <f>+SUMPRODUCT(BW58:BZ58,CC60:CF60)/SUM(BW58:BZ58)</f>
        <v>0.05</v>
      </c>
      <c r="CH60" s="1023"/>
      <c r="CI60" s="1763">
        <v>0.05</v>
      </c>
      <c r="CJ60" s="1764">
        <f>+CI60</f>
        <v>0.05</v>
      </c>
      <c r="CK60" s="1764">
        <f>+CJ60</f>
        <v>0.05</v>
      </c>
      <c r="CL60" s="1762">
        <f>+CK60</f>
        <v>0.05</v>
      </c>
      <c r="CM60" s="999">
        <f>+SUMPRODUCT(CC58:CF58,CI60:CL60)/SUM(CC58:CF58)</f>
        <v>4.9999999999999996E-2</v>
      </c>
    </row>
    <row r="61" spans="1:91" ht="13.5" hidden="1" customHeight="1" outlineLevel="1">
      <c r="A61" s="1005" t="s">
        <v>116</v>
      </c>
      <c r="B61" s="1006"/>
      <c r="C61" s="1006"/>
      <c r="D61" s="1006"/>
      <c r="E61" s="1006"/>
      <c r="F61" s="1006"/>
      <c r="G61" s="1006"/>
      <c r="H61" s="1006"/>
      <c r="I61" s="1006">
        <f>+I12-I58</f>
        <v>0</v>
      </c>
      <c r="J61" s="1006">
        <f>+J12-J58</f>
        <v>3.9999999999977831E-3</v>
      </c>
      <c r="K61" s="1006">
        <f>+K12-K58</f>
        <v>0</v>
      </c>
      <c r="L61" s="1006">
        <f>+L12-L58</f>
        <v>-3.9999999999906777E-3</v>
      </c>
      <c r="M61" s="1006">
        <f>+M12-M58</f>
        <v>0</v>
      </c>
      <c r="N61" s="1006"/>
      <c r="O61" s="1006">
        <f>+O12-O58</f>
        <v>0</v>
      </c>
      <c r="P61" s="1006">
        <f>+P12-P58</f>
        <v>0</v>
      </c>
      <c r="Q61" s="1006">
        <f>+Q12-Q58</f>
        <v>0</v>
      </c>
      <c r="R61" s="1006">
        <f>+R12-R58</f>
        <v>0</v>
      </c>
      <c r="S61" s="1006">
        <f>+S12-S58</f>
        <v>0</v>
      </c>
      <c r="T61" s="1006"/>
      <c r="U61" s="1006">
        <f>+U12-U58</f>
        <v>0</v>
      </c>
      <c r="V61" s="1006">
        <f>+V12-V58</f>
        <v>0</v>
      </c>
      <c r="W61" s="1006">
        <f>+W12-W58</f>
        <v>0</v>
      </c>
      <c r="X61" s="1006">
        <f>+X12-X58</f>
        <v>0</v>
      </c>
      <c r="Y61" s="1006">
        <f>+Y12-Y58</f>
        <v>0</v>
      </c>
      <c r="Z61" s="1006"/>
      <c r="AA61" s="1006">
        <f>+AA12-AA58</f>
        <v>0</v>
      </c>
      <c r="AB61" s="1006">
        <f>+AB12-AB58</f>
        <v>0</v>
      </c>
      <c r="AC61" s="1006">
        <f>+AC12-AC58</f>
        <v>0</v>
      </c>
      <c r="AD61" s="1006">
        <f>+AD12-AD58</f>
        <v>0</v>
      </c>
      <c r="AE61" s="1006">
        <f>+AE12-AE58</f>
        <v>0</v>
      </c>
      <c r="AF61" s="1006"/>
      <c r="AG61" s="1006">
        <f>+AG12-AG58</f>
        <v>0</v>
      </c>
      <c r="AH61" s="1006">
        <f>+AH12-AH58</f>
        <v>0</v>
      </c>
      <c r="AI61" s="1006">
        <f>+AI12-AI58</f>
        <v>0</v>
      </c>
      <c r="AJ61" s="1006">
        <f>+AJ12-AJ58</f>
        <v>0</v>
      </c>
      <c r="AK61" s="1006">
        <f>+AK12-AK58</f>
        <v>0</v>
      </c>
      <c r="AL61" s="1006"/>
      <c r="AM61" s="1006">
        <f>+ROUND(AM12-AM58,3)</f>
        <v>0</v>
      </c>
      <c r="AN61" s="1006">
        <f>+ROUND(AN12-AN58,3)</f>
        <v>0</v>
      </c>
      <c r="AO61" s="1006">
        <f>+ROUND(AO12-AO58,3)</f>
        <v>0</v>
      </c>
      <c r="AP61" s="1006">
        <f>+ROUND(AP12-AP58,3)</f>
        <v>0</v>
      </c>
      <c r="AQ61" s="1006">
        <f>+ROUND(AQ12-AQ58,3)</f>
        <v>0</v>
      </c>
      <c r="AR61" s="1006"/>
      <c r="AS61" s="1006">
        <f>+ROUND(AS12-AS58,3)</f>
        <v>0</v>
      </c>
      <c r="AT61" s="1006">
        <f>+ROUND(AT12-AT58,3)</f>
        <v>0</v>
      </c>
      <c r="AU61" s="1006">
        <f>+ROUND(AU12-AU58,3)</f>
        <v>0</v>
      </c>
      <c r="AV61" s="1006">
        <f>+ROUND(AV12-AV58,3)</f>
        <v>0</v>
      </c>
      <c r="AW61" s="1006">
        <f>+ROUND(AW12-AW58,3)</f>
        <v>0</v>
      </c>
      <c r="AX61" s="1006"/>
      <c r="AY61" s="1006">
        <f>+ROUND(AY12-AY58,3)</f>
        <v>0</v>
      </c>
      <c r="AZ61" s="1006">
        <f>+ROUND(AZ12-AZ58,3)</f>
        <v>0</v>
      </c>
      <c r="BA61" s="1006">
        <f>+ROUND(BA12-BA58,3)</f>
        <v>0</v>
      </c>
      <c r="BB61" s="1006">
        <f>+ROUND(BB12-BB58,3)</f>
        <v>0</v>
      </c>
      <c r="BC61" s="1006">
        <f>+ROUND(BC12-BC58,3)</f>
        <v>0</v>
      </c>
      <c r="BD61" s="1006"/>
      <c r="BE61" s="967">
        <f>+ROUND(BE12-BE58,3)</f>
        <v>0</v>
      </c>
      <c r="BF61" s="967">
        <f>+ROUND(BF12-BF58,3)</f>
        <v>0</v>
      </c>
      <c r="BG61" s="967">
        <f>+ROUND(BG12-BG58,3)</f>
        <v>0</v>
      </c>
      <c r="BH61" s="967">
        <f>+ROUND(BH12-BH58,2)</f>
        <v>0</v>
      </c>
      <c r="BI61" s="967">
        <f>+ROUND(BI12-BI58,2)</f>
        <v>0</v>
      </c>
      <c r="BJ61" s="1006"/>
      <c r="BK61" s="1006">
        <f>+ROUND(BK12-BK58,3)</f>
        <v>0</v>
      </c>
      <c r="BL61" s="1006">
        <f>+ROUND(BL12-BL58,3)</f>
        <v>0</v>
      </c>
      <c r="BM61" s="1006">
        <f>+ROUND(BM12-BM58,3)</f>
        <v>0</v>
      </c>
      <c r="BN61" s="1006">
        <f>+ROUND(BN12-BN58,3)</f>
        <v>1E-3</v>
      </c>
      <c r="BO61" s="1006">
        <f>+ROUND(BO12-BO58,3)</f>
        <v>0</v>
      </c>
      <c r="BP61" s="1006"/>
      <c r="BQ61" s="1006">
        <f>+ROUND(BQ12-BQ58,3)</f>
        <v>0</v>
      </c>
      <c r="BR61" s="1006">
        <f>+ROUND(BR12-BR58,3)</f>
        <v>0</v>
      </c>
      <c r="BS61" s="1006">
        <f>+ROUND(BS12-BS58,3)</f>
        <v>0</v>
      </c>
      <c r="BT61" s="1006">
        <f>+ROUND(BT12-BT58,3)</f>
        <v>0</v>
      </c>
      <c r="BU61" s="1006">
        <f>+ROUND(BU12-BU58,3)</f>
        <v>0</v>
      </c>
      <c r="BV61" s="24"/>
      <c r="BW61" s="1006">
        <f>+ROUND(BW12-BW58,3)</f>
        <v>0</v>
      </c>
      <c r="BX61" s="1006">
        <f>+ROUND(BX12-BX58,3)</f>
        <v>0</v>
      </c>
      <c r="BY61" s="1006">
        <f>+ROUND(BY12-BY58,3)</f>
        <v>0</v>
      </c>
      <c r="BZ61" s="1006">
        <f>+ROUND(BZ12-BZ58,3)</f>
        <v>0</v>
      </c>
      <c r="CA61" s="1006">
        <f>+ROUND(CA12-CA58,3)</f>
        <v>0</v>
      </c>
      <c r="CB61" s="24"/>
      <c r="CC61" s="1006">
        <f>+ROUND(CC12-CC58,3)</f>
        <v>0</v>
      </c>
      <c r="CD61" s="1006">
        <f>+ROUND(CD12-CD58,3)</f>
        <v>0</v>
      </c>
      <c r="CE61" s="1006">
        <f>+ROUND(CE12-CE58,3)</f>
        <v>0</v>
      </c>
      <c r="CF61" s="1006">
        <f>+ROUND(CF12-CF58,3)</f>
        <v>0</v>
      </c>
      <c r="CG61" s="1006">
        <f>+ROUND(CG12-CG58,3)</f>
        <v>0</v>
      </c>
      <c r="CH61" s="24"/>
      <c r="CI61" s="1006">
        <f>+ROUND(CI12-CI58,3)</f>
        <v>0</v>
      </c>
      <c r="CJ61" s="1006">
        <f>+ROUND(CJ12-CJ58,3)</f>
        <v>0</v>
      </c>
      <c r="CK61" s="1006">
        <f>+ROUND(CK12-CK58,3)</f>
        <v>0</v>
      </c>
      <c r="CL61" s="1006">
        <f>+ROUND(CL12-CL58,3)</f>
        <v>0</v>
      </c>
      <c r="CM61" s="1006">
        <f>+ROUND(CM12-CM58,3)</f>
        <v>0</v>
      </c>
    </row>
    <row r="62" spans="1:91" ht="13.5" customHeight="1" collapsed="1">
      <c r="A62" s="1008"/>
      <c r="B62" s="1009"/>
      <c r="C62" s="972"/>
      <c r="D62" s="972"/>
      <c r="E62" s="972"/>
      <c r="F62" s="972"/>
      <c r="G62" s="972"/>
      <c r="H62" s="972"/>
      <c r="I62" s="972"/>
      <c r="J62" s="972"/>
      <c r="K62" s="972"/>
      <c r="L62" s="972"/>
      <c r="M62" s="972"/>
      <c r="N62" s="972"/>
      <c r="O62" s="972"/>
      <c r="P62" s="972"/>
      <c r="Q62" s="972"/>
      <c r="R62" s="972"/>
      <c r="S62" s="1240"/>
      <c r="T62" s="972"/>
      <c r="U62" s="972"/>
      <c r="V62" s="972"/>
      <c r="W62" s="972"/>
      <c r="X62" s="972"/>
      <c r="Y62" s="972"/>
      <c r="Z62" s="972"/>
      <c r="AA62" s="972"/>
      <c r="AB62" s="972"/>
      <c r="AC62" s="972"/>
      <c r="AD62" s="972"/>
      <c r="AE62" s="972"/>
      <c r="AF62" s="972"/>
      <c r="AG62" s="972"/>
      <c r="AH62" s="972"/>
      <c r="AI62" s="972"/>
      <c r="AJ62" s="972"/>
      <c r="AK62" s="972"/>
      <c r="AL62" s="972"/>
      <c r="AM62" s="972"/>
      <c r="AN62" s="972"/>
      <c r="AO62" s="972"/>
      <c r="AP62" s="972"/>
      <c r="AQ62" s="972"/>
      <c r="AR62" s="972"/>
      <c r="AS62" s="972"/>
      <c r="AT62" s="972"/>
      <c r="AU62" s="1491"/>
      <c r="AV62" s="1491"/>
      <c r="AW62" s="972"/>
      <c r="AX62" s="972"/>
      <c r="AY62" s="972"/>
      <c r="AZ62" s="972"/>
      <c r="BA62" s="972"/>
      <c r="BB62" s="972"/>
      <c r="BC62" s="1491"/>
      <c r="BD62" s="972"/>
      <c r="BE62" s="972"/>
      <c r="BF62" s="972"/>
      <c r="BG62" s="972"/>
      <c r="BH62" s="972"/>
      <c r="BI62" s="972"/>
      <c r="BJ62" s="972"/>
      <c r="BK62" s="972"/>
      <c r="BL62" s="972"/>
      <c r="BM62" s="972"/>
      <c r="BN62" s="972"/>
      <c r="BO62" s="972"/>
      <c r="BP62" s="972"/>
      <c r="BQ62" s="972"/>
      <c r="BR62" s="972"/>
      <c r="BS62" s="972"/>
      <c r="BT62" s="972"/>
      <c r="BU62" s="972"/>
      <c r="BV62" s="24"/>
      <c r="BW62" s="972"/>
      <c r="BX62" s="972"/>
      <c r="BY62" s="972"/>
      <c r="BZ62" s="972"/>
      <c r="CA62" s="972"/>
      <c r="CB62" s="24"/>
      <c r="CC62" s="972"/>
      <c r="CD62" s="972"/>
      <c r="CE62" s="972"/>
      <c r="CF62" s="972"/>
      <c r="CG62" s="972"/>
      <c r="CH62" s="24"/>
      <c r="CI62" s="972"/>
      <c r="CJ62" s="972"/>
      <c r="CK62" s="972"/>
      <c r="CL62" s="972"/>
      <c r="CM62" s="972"/>
    </row>
    <row r="63" spans="1:91">
      <c r="A63" s="105" t="s">
        <v>186</v>
      </c>
      <c r="B63" s="75"/>
      <c r="C63" s="82"/>
      <c r="D63" s="82"/>
      <c r="E63" s="82"/>
      <c r="F63" s="82"/>
      <c r="G63" s="81"/>
      <c r="H63" s="81"/>
      <c r="I63" s="82"/>
      <c r="J63" s="82"/>
      <c r="K63" s="82"/>
      <c r="L63" s="82"/>
      <c r="M63" s="81"/>
      <c r="N63" s="81"/>
      <c r="O63" s="82"/>
      <c r="P63" s="82"/>
      <c r="Q63" s="82"/>
      <c r="R63" s="82"/>
      <c r="S63" s="81"/>
      <c r="T63" s="83"/>
      <c r="U63" s="76"/>
      <c r="V63" s="76"/>
      <c r="W63" s="76"/>
      <c r="X63" s="76"/>
      <c r="Y63" s="77"/>
      <c r="Z63" s="76"/>
      <c r="AA63" s="76"/>
      <c r="AB63" s="76"/>
      <c r="AC63" s="76"/>
      <c r="AD63" s="76"/>
      <c r="AE63" s="77"/>
      <c r="AF63" s="75"/>
      <c r="AG63" s="76"/>
      <c r="AH63" s="76"/>
      <c r="AI63" s="76"/>
      <c r="AJ63" s="82"/>
      <c r="AK63" s="81"/>
      <c r="AL63" s="75"/>
      <c r="AM63" s="76"/>
      <c r="AN63" s="76"/>
      <c r="AO63" s="76"/>
      <c r="AP63" s="76"/>
      <c r="AQ63" s="77"/>
      <c r="AR63" s="75"/>
      <c r="AS63" s="76"/>
      <c r="AT63" s="76"/>
      <c r="AU63" s="76"/>
      <c r="AV63" s="76"/>
      <c r="AW63" s="77"/>
      <c r="AX63" s="75"/>
      <c r="AY63" s="76"/>
      <c r="AZ63" s="76"/>
      <c r="BA63" s="76"/>
      <c r="BB63" s="76"/>
      <c r="BC63" s="77"/>
      <c r="BD63" s="75"/>
      <c r="BE63" s="76"/>
      <c r="BF63" s="76"/>
      <c r="BG63" s="76"/>
      <c r="BH63" s="76"/>
      <c r="BI63" s="77"/>
      <c r="BJ63" s="75"/>
      <c r="BK63" s="76"/>
      <c r="BL63" s="76"/>
      <c r="BM63" s="76"/>
      <c r="BN63" s="76"/>
      <c r="BO63" s="77"/>
      <c r="BP63" s="75"/>
      <c r="BQ63" s="76"/>
      <c r="BR63" s="76"/>
      <c r="BS63" s="76"/>
      <c r="BT63" s="76"/>
      <c r="BU63" s="77"/>
      <c r="BV63" s="1919"/>
      <c r="BW63" s="76"/>
      <c r="BX63" s="76"/>
      <c r="BY63" s="76"/>
      <c r="BZ63" s="76"/>
      <c r="CA63" s="77"/>
      <c r="CB63" s="1919"/>
      <c r="CC63" s="76"/>
      <c r="CD63" s="76"/>
      <c r="CE63" s="76"/>
      <c r="CF63" s="76"/>
      <c r="CG63" s="77"/>
      <c r="CH63" s="1919"/>
      <c r="CI63" s="76"/>
      <c r="CJ63" s="76"/>
      <c r="CK63" s="76"/>
      <c r="CL63" s="76"/>
      <c r="CM63" s="77"/>
    </row>
    <row r="64" spans="1:91" s="2024" customFormat="1">
      <c r="A64" s="973" t="s">
        <v>93</v>
      </c>
      <c r="B64" s="928"/>
      <c r="C64" s="934">
        <f>C14</f>
        <v>82.471999999999994</v>
      </c>
      <c r="D64" s="928">
        <f>D14</f>
        <v>87.025999999999996</v>
      </c>
      <c r="E64" s="928">
        <f>E14</f>
        <v>87.02</v>
      </c>
      <c r="F64" s="932">
        <f>F14</f>
        <v>100.02600000000001</v>
      </c>
      <c r="G64" s="975">
        <f>G14</f>
        <v>356.54399999999998</v>
      </c>
      <c r="H64" s="927"/>
      <c r="I64" s="934">
        <f>I14</f>
        <v>94.033000000000001</v>
      </c>
      <c r="J64" s="928">
        <f>J14</f>
        <v>102.032</v>
      </c>
      <c r="K64" s="928">
        <f>K14</f>
        <v>99.260999999999996</v>
      </c>
      <c r="L64" s="932">
        <f>L14</f>
        <v>103.08299999999997</v>
      </c>
      <c r="M64" s="975">
        <f>M14</f>
        <v>398.40899999999999</v>
      </c>
      <c r="N64" s="927"/>
      <c r="O64" s="934">
        <f>O14</f>
        <v>97.055999999999983</v>
      </c>
      <c r="P64" s="1030">
        <f>P14</f>
        <v>100.453</v>
      </c>
      <c r="Q64" s="928">
        <f>Q14</f>
        <v>104.58</v>
      </c>
      <c r="R64" s="932">
        <f>R14</f>
        <v>106.39300000000003</v>
      </c>
      <c r="S64" s="975">
        <f>S14</f>
        <v>408.48200000000003</v>
      </c>
      <c r="T64" s="932"/>
      <c r="U64" s="934">
        <f>U14</f>
        <v>105.00800000000001</v>
      </c>
      <c r="V64" s="928">
        <f>V14</f>
        <v>104.886</v>
      </c>
      <c r="W64" s="928">
        <f>W14</f>
        <v>107.904</v>
      </c>
      <c r="X64" s="932">
        <f>X14</f>
        <v>116.55399999999997</v>
      </c>
      <c r="Y64" s="975">
        <f>Y14</f>
        <v>434.35199999999998</v>
      </c>
      <c r="Z64" s="928"/>
      <c r="AA64" s="934">
        <f>AA14</f>
        <v>113.407</v>
      </c>
      <c r="AB64" s="928">
        <f>AB14</f>
        <v>119.871</v>
      </c>
      <c r="AC64" s="928">
        <f>AC14</f>
        <v>121.245</v>
      </c>
      <c r="AD64" s="932">
        <f>AD14</f>
        <v>126.02999999999997</v>
      </c>
      <c r="AE64" s="975">
        <f>AE14</f>
        <v>480.553</v>
      </c>
      <c r="AF64" s="934"/>
      <c r="AG64" s="934">
        <f>AG14</f>
        <v>121.64400000000001</v>
      </c>
      <c r="AH64" s="928">
        <f>AH14</f>
        <v>124.63</v>
      </c>
      <c r="AI64" s="928">
        <f>AI14</f>
        <v>126.434</v>
      </c>
      <c r="AJ64" s="932">
        <f>AJ14</f>
        <v>136.70400000000001</v>
      </c>
      <c r="AK64" s="975">
        <f>AK14</f>
        <v>509.41199999999998</v>
      </c>
      <c r="AL64" s="927"/>
      <c r="AM64" s="934">
        <f>AM14</f>
        <v>123.768</v>
      </c>
      <c r="AN64" s="928">
        <f>AN14</f>
        <v>132.256</v>
      </c>
      <c r="AO64" s="928">
        <f>AO14</f>
        <v>130.30799999999999</v>
      </c>
      <c r="AP64" s="928">
        <f>AP14</f>
        <v>145.99099999999999</v>
      </c>
      <c r="AQ64" s="975">
        <f>AQ14</f>
        <v>532.32299999999998</v>
      </c>
      <c r="AR64" s="928"/>
      <c r="AS64" s="934">
        <f>AS14</f>
        <v>132.042</v>
      </c>
      <c r="AT64" s="928">
        <f>AT14</f>
        <v>145.07499999999999</v>
      </c>
      <c r="AU64" s="928">
        <f>AU14</f>
        <v>146.03800000000001</v>
      </c>
      <c r="AV64" s="928">
        <f>AV14</f>
        <v>156.60400000000004</v>
      </c>
      <c r="AW64" s="975">
        <f>AW14</f>
        <v>579.75900000000001</v>
      </c>
      <c r="AX64" s="928"/>
      <c r="AY64" s="934">
        <f>AS64*(1+AY65)</f>
        <v>142.90303</v>
      </c>
      <c r="AZ64" s="928">
        <f>AT64*(1+AZ65)</f>
        <v>147.24299999999999</v>
      </c>
      <c r="BA64" s="928">
        <f>AU64*(1+BA65)</f>
        <v>148.54494799999983</v>
      </c>
      <c r="BB64" s="928">
        <f>AV64*(1+BB65)</f>
        <v>153.38124705967559</v>
      </c>
      <c r="BC64" s="975">
        <f>BC14</f>
        <v>593.30100000000004</v>
      </c>
      <c r="BD64" s="928"/>
      <c r="BE64" s="934">
        <f>AY64*(1+BE65)</f>
        <v>151.51449786232689</v>
      </c>
      <c r="BF64" s="928">
        <f>AZ64*(1+BF65)</f>
        <v>159.82506002938203</v>
      </c>
      <c r="BG64" s="928">
        <f>BA64*(1+BG65)</f>
        <v>160.47115019579121</v>
      </c>
      <c r="BH64" s="932">
        <f>BB64*(1+BH65)</f>
        <v>165.75801095639949</v>
      </c>
      <c r="BI64" s="975">
        <f>BI14</f>
        <v>639.29832524986864</v>
      </c>
      <c r="BJ64" s="928"/>
      <c r="BK64" s="934">
        <f>BE64*(1+BK65)</f>
        <v>157.00437316820521</v>
      </c>
      <c r="BL64" s="928">
        <f>BF64*(1+BL65)</f>
        <v>167.49401086858748</v>
      </c>
      <c r="BM64" s="928">
        <f>BG64*(1+BM65)</f>
        <v>172.29507814972143</v>
      </c>
      <c r="BN64" s="932">
        <f>BH64*(1+BN65)</f>
        <v>184.82018221638543</v>
      </c>
      <c r="BO64" s="975">
        <f>BO14</f>
        <v>686.19562643241079</v>
      </c>
      <c r="BP64" s="928"/>
      <c r="BQ64" s="934">
        <f>BK64*(1+BQ65)</f>
        <v>173.48983235086675</v>
      </c>
      <c r="BR64" s="928">
        <f>BL64*(1+BR65)</f>
        <v>181.7310017924174</v>
      </c>
      <c r="BS64" s="928">
        <f>BM64*(1+BS65)</f>
        <v>185.21720901095054</v>
      </c>
      <c r="BT64" s="932">
        <f>BN64*(1+BT65)</f>
        <v>196.83349406045048</v>
      </c>
      <c r="BU64" s="975">
        <f>BU14</f>
        <v>737.27153721468517</v>
      </c>
      <c r="BV64" s="566"/>
      <c r="BW64" s="934">
        <f>BQ64*(1+BW65)</f>
        <v>183.89922229191876</v>
      </c>
      <c r="BX64" s="928">
        <f>BR64*(1+BX65)</f>
        <v>192.63486189996246</v>
      </c>
      <c r="BY64" s="928">
        <f>BS64*(1+BY65)</f>
        <v>194.47806946149808</v>
      </c>
      <c r="BZ64" s="932">
        <f>BT64*(1+BZ65)</f>
        <v>206.67516876347301</v>
      </c>
      <c r="CA64" s="975">
        <f>CA14</f>
        <v>777.68732241685234</v>
      </c>
      <c r="CB64" s="566"/>
      <c r="CC64" s="934">
        <f>BW64*(1+CC65)</f>
        <v>194.93317562943389</v>
      </c>
      <c r="CD64" s="928">
        <f>BX64*(1+CD65)</f>
        <v>204.19295361396021</v>
      </c>
      <c r="CE64" s="928">
        <f>BY64*(1+CE65)</f>
        <v>204.20197293457301</v>
      </c>
      <c r="CF64" s="932">
        <f>BZ64*(1+CF65)</f>
        <v>217.00892720164666</v>
      </c>
      <c r="CG64" s="975">
        <f>CG14</f>
        <v>820.3370293796138</v>
      </c>
      <c r="CH64" s="566"/>
      <c r="CI64" s="934">
        <f>CC64*(1+CI65)</f>
        <v>206.62916616719994</v>
      </c>
      <c r="CJ64" s="928">
        <f>CD64*(1+CJ65)</f>
        <v>216.44453083079785</v>
      </c>
      <c r="CK64" s="928">
        <f>CE64*(1+CK65)</f>
        <v>214.41207158130166</v>
      </c>
      <c r="CL64" s="932">
        <f>CF64*(1+CL65)</f>
        <v>227.859373561729</v>
      </c>
      <c r="CM64" s="975">
        <f>CM14</f>
        <v>865.34514214102842</v>
      </c>
    </row>
    <row r="65" spans="1:91" hidden="1" outlineLevel="1">
      <c r="A65" s="976" t="s">
        <v>289</v>
      </c>
      <c r="B65" s="828"/>
      <c r="C65" s="411"/>
      <c r="D65" s="406"/>
      <c r="E65" s="406"/>
      <c r="F65" s="938"/>
      <c r="G65" s="505"/>
      <c r="H65" s="935"/>
      <c r="I65" s="411">
        <f>I64/C64-1</f>
        <v>0.140180909884567</v>
      </c>
      <c r="J65" s="406">
        <f>J64/D64-1</f>
        <v>0.17243122744926809</v>
      </c>
      <c r="K65" s="406">
        <f>K64/E64-1</f>
        <v>0.14066881176740975</v>
      </c>
      <c r="L65" s="938">
        <f>L64/F64-1</f>
        <v>3.0562053865994532E-2</v>
      </c>
      <c r="M65" s="505">
        <f>M64/G64-1</f>
        <v>0.117418887991384</v>
      </c>
      <c r="N65" s="935"/>
      <c r="O65" s="411">
        <f>O64/I64-1</f>
        <v>3.2148288366849798E-2</v>
      </c>
      <c r="P65" s="406">
        <f>P64/J64-1</f>
        <v>-1.5475537086404256E-2</v>
      </c>
      <c r="Q65" s="406">
        <f>Q64/K64-1</f>
        <v>5.3586000544020296E-2</v>
      </c>
      <c r="R65" s="938">
        <f>R64/L64-1</f>
        <v>3.2110047243484097E-2</v>
      </c>
      <c r="S65" s="505">
        <f>S64/M64-1</f>
        <v>2.5283063384612392E-2</v>
      </c>
      <c r="T65" s="828"/>
      <c r="U65" s="411">
        <f>U64/O64-1</f>
        <v>8.1932080448401168E-2</v>
      </c>
      <c r="V65" s="406">
        <f>V64/P64-1</f>
        <v>4.4130090689177948E-2</v>
      </c>
      <c r="W65" s="406">
        <f>W64/Q64-1</f>
        <v>3.1784279977051133E-2</v>
      </c>
      <c r="X65" s="938">
        <f>X64/R64-1</f>
        <v>9.5504403485191069E-2</v>
      </c>
      <c r="Y65" s="505">
        <f>Y64/S64-1</f>
        <v>6.3332044006835009E-2</v>
      </c>
      <c r="Z65" s="828"/>
      <c r="AA65" s="411">
        <f>AA64/U64-1</f>
        <v>7.9984382142312738E-2</v>
      </c>
      <c r="AB65" s="406">
        <f>AB64/V64-1</f>
        <v>0.14286940106401236</v>
      </c>
      <c r="AC65" s="406">
        <f>AC64/W64-1</f>
        <v>0.12363767793594316</v>
      </c>
      <c r="AD65" s="938">
        <f>AD64/X64-1</f>
        <v>8.1301371038317027E-2</v>
      </c>
      <c r="AE65" s="505">
        <f>AE64/Y64-1</f>
        <v>0.10636764651711061</v>
      </c>
      <c r="AF65" s="940"/>
      <c r="AG65" s="411">
        <f>AG64/AA64-1</f>
        <v>7.2632200834163774E-2</v>
      </c>
      <c r="AH65" s="406">
        <f>AH64/AB64-1</f>
        <v>3.9701011921148499E-2</v>
      </c>
      <c r="AI65" s="406">
        <f>AI64/AC64-1</f>
        <v>4.2797641139840747E-2</v>
      </c>
      <c r="AJ65" s="1031">
        <f>AJ64/AD64-1</f>
        <v>8.4694120447512899E-2</v>
      </c>
      <c r="AK65" s="505">
        <f>AK64/AE64-1</f>
        <v>6.0053729765499275E-2</v>
      </c>
      <c r="AL65" s="935"/>
      <c r="AM65" s="1032">
        <f>AM64/AG64-1</f>
        <v>1.7460787215152429E-2</v>
      </c>
      <c r="AN65" s="406">
        <f>AN64/AH64-1</f>
        <v>6.1189119794591962E-2</v>
      </c>
      <c r="AO65" s="406">
        <f>AO64/AI64-1</f>
        <v>3.0640492272648201E-2</v>
      </c>
      <c r="AP65" s="406">
        <f>AP64/AJ64-1</f>
        <v>6.7935100655430514E-2</v>
      </c>
      <c r="AQ65" s="505">
        <f>AQ64/AK64-1</f>
        <v>4.4975383383194734E-2</v>
      </c>
      <c r="AR65" s="828"/>
      <c r="AS65" s="1032">
        <f>AS64/AM64-1</f>
        <v>6.6850882295908409E-2</v>
      </c>
      <c r="AT65" s="406">
        <f>AT64/AN64-1</f>
        <v>9.6925659327365077E-2</v>
      </c>
      <c r="AU65" s="406">
        <f>AU64/AO64-1</f>
        <v>0.12071400067532312</v>
      </c>
      <c r="AV65" s="406">
        <f>AV64/AP64-1</f>
        <v>7.2696262098348896E-2</v>
      </c>
      <c r="AW65" s="505">
        <f>AW64/AQ64-1</f>
        <v>8.9111310238332742E-2</v>
      </c>
      <c r="AX65" s="940"/>
      <c r="AY65" s="1032">
        <f>AY66+AY18</f>
        <v>8.2254358461701552E-2</v>
      </c>
      <c r="AZ65" s="1031">
        <f>AZ66+AZ18</f>
        <v>1.4943994485610887E-2</v>
      </c>
      <c r="BA65" s="1031">
        <f>BA66+BA18</f>
        <v>1.7166408742928588E-2</v>
      </c>
      <c r="BB65" s="406">
        <f>BB66+BB18</f>
        <v>-2.0578995046898356E-2</v>
      </c>
      <c r="BC65" s="505">
        <f>BC64/AW64-1</f>
        <v>2.3357981506108683E-2</v>
      </c>
      <c r="BD65" s="940"/>
      <c r="BE65" s="1032">
        <f>BE66+BE18</f>
        <v>6.0260918626616027E-2</v>
      </c>
      <c r="BF65" s="1031">
        <f>BF66+BF18</f>
        <v>8.5450989380697492E-2</v>
      </c>
      <c r="BG65" s="1031">
        <f>BG66+BG18</f>
        <v>8.0286824670680684E-2</v>
      </c>
      <c r="BH65" s="1031">
        <f>BH66+BH18</f>
        <v>8.0692810457516348E-2</v>
      </c>
      <c r="BI65" s="505">
        <f>BI64/BC64-1</f>
        <v>7.7527806711717329E-2</v>
      </c>
      <c r="BJ65" s="940"/>
      <c r="BK65" s="1032">
        <f>BK66+BK18</f>
        <v>3.6233333333333326E-2</v>
      </c>
      <c r="BL65" s="1031">
        <f>BL66+BL18</f>
        <v>4.7983406593406594E-2</v>
      </c>
      <c r="BM65" s="1031">
        <f>BM66+BM18</f>
        <v>7.3682577457093265E-2</v>
      </c>
      <c r="BN65" s="1031">
        <f>BN66+BN18</f>
        <v>0.115</v>
      </c>
      <c r="BO65" s="505">
        <f>BO64/BI64-1</f>
        <v>7.3357459780944101E-2</v>
      </c>
      <c r="BP65" s="940"/>
      <c r="BQ65" s="1032">
        <f>BQ66+BQ18</f>
        <v>0.105</v>
      </c>
      <c r="BR65" s="1031">
        <f>BR66+BR18</f>
        <v>8.5000000000000006E-2</v>
      </c>
      <c r="BS65" s="1031">
        <f>BS66+BS18</f>
        <v>7.4999999999999997E-2</v>
      </c>
      <c r="BT65" s="1031">
        <f>BT66+BT18</f>
        <v>6.5000000000000002E-2</v>
      </c>
      <c r="BU65" s="505">
        <f>BU64/BO64-1</f>
        <v>7.4433454272832211E-2</v>
      </c>
      <c r="BV65" s="24"/>
      <c r="BW65" s="1032">
        <f>BW66+BW18</f>
        <v>0.06</v>
      </c>
      <c r="BX65" s="1031">
        <f>BX66+BX18</f>
        <v>0.06</v>
      </c>
      <c r="BY65" s="1031">
        <f>BY66+BY18</f>
        <v>0.05</v>
      </c>
      <c r="BZ65" s="1031">
        <f>BZ66+BZ18</f>
        <v>0.05</v>
      </c>
      <c r="CA65" s="505">
        <f>CA64/BU64-1</f>
        <v>5.4818046217886884E-2</v>
      </c>
      <c r="CB65" s="24"/>
      <c r="CC65" s="1032">
        <f>CC66+CC18</f>
        <v>0.06</v>
      </c>
      <c r="CD65" s="1031">
        <f>CD66+CD18</f>
        <v>0.06</v>
      </c>
      <c r="CE65" s="1031">
        <f>CE66+CE18</f>
        <v>0.05</v>
      </c>
      <c r="CF65" s="1031">
        <f>CF66+CF18</f>
        <v>0.05</v>
      </c>
      <c r="CG65" s="505">
        <f>CG64/CA64-1</f>
        <v>5.4841715601351426E-2</v>
      </c>
      <c r="CH65" s="24"/>
      <c r="CI65" s="1032">
        <f>CI66+CI18</f>
        <v>0.06</v>
      </c>
      <c r="CJ65" s="1031">
        <f>CJ66+CJ18</f>
        <v>0.06</v>
      </c>
      <c r="CK65" s="1031">
        <f>CK66+CK18</f>
        <v>0.05</v>
      </c>
      <c r="CL65" s="1031">
        <f>CL66+CL18</f>
        <v>0.05</v>
      </c>
      <c r="CM65" s="505">
        <f>CM64/CG64-1</f>
        <v>5.4865392088240039E-2</v>
      </c>
    </row>
    <row r="66" spans="1:91" s="2030" customFormat="1" hidden="1" outlineLevel="1">
      <c r="A66" s="976" t="s">
        <v>290</v>
      </c>
      <c r="B66" s="1033"/>
      <c r="C66" s="1034"/>
      <c r="D66" s="544"/>
      <c r="E66" s="544"/>
      <c r="F66" s="544"/>
      <c r="G66" s="966"/>
      <c r="H66" s="1035"/>
      <c r="I66" s="1034">
        <f>I65-I$18</f>
        <v>0.10018090988456699</v>
      </c>
      <c r="J66" s="544">
        <f>J65-J$18</f>
        <v>0.1824312274492681</v>
      </c>
      <c r="K66" s="544">
        <f>K65-K$18</f>
        <v>0.16066881176740974</v>
      </c>
      <c r="L66" s="544">
        <f>L65-L$18</f>
        <v>3.0562053865994532E-2</v>
      </c>
      <c r="M66" s="966">
        <f>AVERAGE(I66:L66)</f>
        <v>0.11846075074180984</v>
      </c>
      <c r="N66" s="1035"/>
      <c r="O66" s="1034">
        <f>O65-O$18</f>
        <v>-7.8517116331502032E-3</v>
      </c>
      <c r="P66" s="544">
        <f>P65-P$18</f>
        <v>-5.4755370864042561E-3</v>
      </c>
      <c r="Q66" s="544">
        <f>Q65-Q$18</f>
        <v>7.35860005440203E-2</v>
      </c>
      <c r="R66" s="544">
        <f>R65-R$18</f>
        <v>3.2110047243484097E-2</v>
      </c>
      <c r="S66" s="966">
        <f>AVERAGE(O66:R66)</f>
        <v>2.3092199766987485E-2</v>
      </c>
      <c r="T66" s="1033"/>
      <c r="U66" s="1034">
        <f>U65-U$18</f>
        <v>4.1932080448401167E-2</v>
      </c>
      <c r="V66" s="544">
        <f>V65-V$18</f>
        <v>5.413009068917795E-2</v>
      </c>
      <c r="W66" s="544">
        <f>W65-W$18</f>
        <v>5.1784279977051137E-2</v>
      </c>
      <c r="X66" s="544">
        <f>X65-X$18</f>
        <v>9.5504403485191069E-2</v>
      </c>
      <c r="Y66" s="966">
        <f>AVERAGE(U66:X66)</f>
        <v>6.0837713649955327E-2</v>
      </c>
      <c r="Z66" s="1033"/>
      <c r="AA66" s="1034">
        <f>AA65-AA$18</f>
        <v>5.9984382142312734E-2</v>
      </c>
      <c r="AB66" s="544">
        <f>AB65-AB$18</f>
        <v>8.286940106401236E-2</v>
      </c>
      <c r="AC66" s="544">
        <f>AC65-AC$18</f>
        <v>8.363767793594315E-2</v>
      </c>
      <c r="AD66" s="544">
        <f>AD65-AD$18</f>
        <v>8.1301371038317027E-2</v>
      </c>
      <c r="AE66" s="966">
        <f>AVERAGE(AA66:AD66)</f>
        <v>7.6948208045146321E-2</v>
      </c>
      <c r="AF66" s="1036"/>
      <c r="AG66" s="1034">
        <f>AG65-AG$18</f>
        <v>9.2632200834163778E-2</v>
      </c>
      <c r="AH66" s="544">
        <f>AH65-AH$18</f>
        <v>6.9701011921148498E-2</v>
      </c>
      <c r="AI66" s="544">
        <f>AI65-AI$18</f>
        <v>7.2797641139840746E-2</v>
      </c>
      <c r="AJ66" s="1217">
        <f>AJ65-AJ$18</f>
        <v>9.8694120447512898E-2</v>
      </c>
      <c r="AK66" s="966">
        <f>AVERAGE(AG66:AJ66)</f>
        <v>8.3456243585666473E-2</v>
      </c>
      <c r="AL66" s="1035"/>
      <c r="AM66" s="1034">
        <f>AM65-AM$18</f>
        <v>4.7460787215152428E-2</v>
      </c>
      <c r="AN66" s="544">
        <f>AN65-AN$18</f>
        <v>8.1189119794591966E-2</v>
      </c>
      <c r="AO66" s="544">
        <f>AO65-AO$18</f>
        <v>5.0640492272648205E-2</v>
      </c>
      <c r="AP66" s="544">
        <f>AP65-AP$18</f>
        <v>8.7935100655430518E-2</v>
      </c>
      <c r="AQ66" s="965">
        <f>AVERAGE(AM66:AP66)</f>
        <v>6.6806374984455782E-2</v>
      </c>
      <c r="AR66" s="1033"/>
      <c r="AS66" s="1034">
        <f>AS65-AS$18</f>
        <v>6.6850882295908409E-2</v>
      </c>
      <c r="AT66" s="544">
        <f>AT65-AT$18</f>
        <v>8.892565932736507E-2</v>
      </c>
      <c r="AU66" s="544">
        <f>AU65-AU$18</f>
        <v>0.12071400067532312</v>
      </c>
      <c r="AV66" s="544">
        <f>AV65-AV$18</f>
        <v>0.1226962620983489</v>
      </c>
      <c r="AW66" s="965">
        <f>AVERAGE(AS66:AV66)</f>
        <v>9.9796701099236371E-2</v>
      </c>
      <c r="AX66" s="1033"/>
      <c r="AY66" s="903">
        <v>0.16225435846170155</v>
      </c>
      <c r="AZ66" s="904">
        <v>8.4943994485610894E-2</v>
      </c>
      <c r="BA66" s="904">
        <v>9.1166408742928584E-2</v>
      </c>
      <c r="BB66" s="904">
        <v>3.3845E-2</v>
      </c>
      <c r="BC66" s="966">
        <f>AVERAGE(AY66:BB66)</f>
        <v>9.3052440422560265E-2</v>
      </c>
      <c r="BD66" s="1033"/>
      <c r="BE66" s="1666">
        <v>7.7136116209217231E-2</v>
      </c>
      <c r="BF66" s="1132">
        <v>8.4783972361657189E-2</v>
      </c>
      <c r="BG66" s="1132">
        <v>7.7539999999999998E-2</v>
      </c>
      <c r="BH66" s="1846">
        <v>0.10069281045751635</v>
      </c>
      <c r="BI66" s="966">
        <f>AVERAGE(BE66:BH66)</f>
        <v>8.5038224757097686E-2</v>
      </c>
      <c r="BJ66" s="1033"/>
      <c r="BK66" s="1666">
        <v>4.6233333333333328E-2</v>
      </c>
      <c r="BL66" s="2022">
        <v>5.7983406593406596E-2</v>
      </c>
      <c r="BM66" s="2022">
        <v>6.368257745709327E-2</v>
      </c>
      <c r="BN66" s="1846">
        <v>8.5000000000000006E-2</v>
      </c>
      <c r="BO66" s="966">
        <f>AVERAGE(BK66:BN66)</f>
        <v>6.32248293459583E-2</v>
      </c>
      <c r="BP66" s="1033"/>
      <c r="BQ66" s="1766">
        <v>0.11</v>
      </c>
      <c r="BR66" s="1765">
        <v>8.5000000000000006E-2</v>
      </c>
      <c r="BS66" s="1765">
        <v>7.4999999999999997E-2</v>
      </c>
      <c r="BT66" s="1765">
        <v>6.5000000000000002E-2</v>
      </c>
      <c r="BU66" s="966">
        <f>AVERAGE(BQ66:BT66)</f>
        <v>8.3750000000000005E-2</v>
      </c>
      <c r="BV66" s="453"/>
      <c r="BW66" s="1766">
        <v>0.06</v>
      </c>
      <c r="BX66" s="1765">
        <v>0.06</v>
      </c>
      <c r="BY66" s="1765">
        <v>0.05</v>
      </c>
      <c r="BZ66" s="1765">
        <v>0.05</v>
      </c>
      <c r="CA66" s="966">
        <f>AVERAGE(BW66:BZ66)</f>
        <v>5.4999999999999993E-2</v>
      </c>
      <c r="CB66" s="453"/>
      <c r="CC66" s="1766">
        <v>0.06</v>
      </c>
      <c r="CD66" s="1765">
        <v>0.06</v>
      </c>
      <c r="CE66" s="1765">
        <v>0.05</v>
      </c>
      <c r="CF66" s="1765">
        <v>0.05</v>
      </c>
      <c r="CG66" s="966">
        <f>AVERAGE(CC66:CF66)</f>
        <v>5.4999999999999993E-2</v>
      </c>
      <c r="CH66" s="453"/>
      <c r="CI66" s="1766">
        <v>0.06</v>
      </c>
      <c r="CJ66" s="1765">
        <v>0.06</v>
      </c>
      <c r="CK66" s="1765">
        <v>0.05</v>
      </c>
      <c r="CL66" s="1765">
        <v>0.05</v>
      </c>
      <c r="CM66" s="966">
        <f>AVERAGE(CI66:CL66)</f>
        <v>5.4999999999999993E-2</v>
      </c>
    </row>
    <row r="67" spans="1:91" s="2025" customFormat="1" collapsed="1">
      <c r="A67" s="983" t="s">
        <v>94</v>
      </c>
      <c r="B67" s="948"/>
      <c r="C67" s="952">
        <f>C15</f>
        <v>6.242</v>
      </c>
      <c r="D67" s="948">
        <f>D15</f>
        <v>6.9630000000000001</v>
      </c>
      <c r="E67" s="948">
        <f>E15</f>
        <v>7.149</v>
      </c>
      <c r="F67" s="948">
        <f>F15</f>
        <v>8.5579999999999998</v>
      </c>
      <c r="G67" s="947">
        <f>G15</f>
        <v>28.911999999999999</v>
      </c>
      <c r="H67" s="947"/>
      <c r="I67" s="952">
        <f>I15</f>
        <v>7.5</v>
      </c>
      <c r="J67" s="948">
        <f>J15</f>
        <v>9.3320000000000007</v>
      </c>
      <c r="K67" s="948">
        <f>K15</f>
        <v>9.3320000000000007</v>
      </c>
      <c r="L67" s="948">
        <f>L15</f>
        <v>10.664999999999999</v>
      </c>
      <c r="M67" s="947">
        <f>M15</f>
        <v>36.829000000000001</v>
      </c>
      <c r="N67" s="947"/>
      <c r="O67" s="952">
        <f>O15</f>
        <v>8.5480000000000018</v>
      </c>
      <c r="P67" s="855">
        <f>P15</f>
        <v>8.8629999999999995</v>
      </c>
      <c r="Q67" s="948">
        <f>Q15</f>
        <v>11.43</v>
      </c>
      <c r="R67" s="948">
        <f>R15</f>
        <v>9.3990000000000009</v>
      </c>
      <c r="S67" s="947">
        <f>S15</f>
        <v>38.24</v>
      </c>
      <c r="T67" s="948"/>
      <c r="U67" s="952">
        <f>U15</f>
        <v>9.6499999999999986</v>
      </c>
      <c r="V67" s="948">
        <f>V15</f>
        <v>10.744</v>
      </c>
      <c r="W67" s="948">
        <f>W15</f>
        <v>10.199999999999999</v>
      </c>
      <c r="X67" s="948">
        <f>X15</f>
        <v>11.798000000000005</v>
      </c>
      <c r="Y67" s="947">
        <f>Y15</f>
        <v>42.392000000000003</v>
      </c>
      <c r="Z67" s="948"/>
      <c r="AA67" s="952">
        <f>AA15</f>
        <v>10.86</v>
      </c>
      <c r="AB67" s="948">
        <f>AB15</f>
        <v>11.606</v>
      </c>
      <c r="AC67" s="948">
        <f>AC15</f>
        <v>11.941000000000001</v>
      </c>
      <c r="AD67" s="948">
        <f>AD15</f>
        <v>14.087999999999994</v>
      </c>
      <c r="AE67" s="947">
        <f>AE15</f>
        <v>48.494999999999997</v>
      </c>
      <c r="AF67" s="952"/>
      <c r="AG67" s="952">
        <f>AG15</f>
        <v>12.307</v>
      </c>
      <c r="AH67" s="948">
        <f>AH15</f>
        <v>12.98</v>
      </c>
      <c r="AI67" s="948">
        <f>AI15</f>
        <v>12.695</v>
      </c>
      <c r="AJ67" s="954">
        <f>AJ15</f>
        <v>15.740000000000002</v>
      </c>
      <c r="AK67" s="947">
        <f>AK15</f>
        <v>53.722000000000001</v>
      </c>
      <c r="AL67" s="947"/>
      <c r="AM67" s="952">
        <f>AM15</f>
        <v>12.856</v>
      </c>
      <c r="AN67" s="948">
        <f>AN15</f>
        <v>13.648</v>
      </c>
      <c r="AO67" s="948">
        <f>AO15</f>
        <v>14.066000000000001</v>
      </c>
      <c r="AP67" s="948">
        <f>AP15</f>
        <v>18.822000000000003</v>
      </c>
      <c r="AQ67" s="947">
        <f>AQ15</f>
        <v>59.392000000000003</v>
      </c>
      <c r="AR67" s="948"/>
      <c r="AS67" s="952">
        <f>AS15</f>
        <v>13.670999999999999</v>
      </c>
      <c r="AT67" s="948">
        <f>AT15</f>
        <v>15.461</v>
      </c>
      <c r="AU67" s="948">
        <f>AU15</f>
        <v>15.962</v>
      </c>
      <c r="AV67" s="948">
        <f>AV15</f>
        <v>17.762000000000008</v>
      </c>
      <c r="AW67" s="947">
        <f>AW15</f>
        <v>62.856000000000002</v>
      </c>
      <c r="AX67" s="948"/>
      <c r="AY67" s="952">
        <f>AS67*(1+AY68)</f>
        <v>14.627969999999999</v>
      </c>
      <c r="AZ67" s="948">
        <f>AT67*(1+AZ68)</f>
        <v>15.461</v>
      </c>
      <c r="BA67" s="948">
        <f>AU67*(1+BA68)</f>
        <v>15.100052</v>
      </c>
      <c r="BB67" s="948">
        <f>AV67*(1+BB68)</f>
        <v>19.814860999977</v>
      </c>
      <c r="BC67" s="947">
        <f>BC15</f>
        <v>63.774999999999999</v>
      </c>
      <c r="BD67" s="948"/>
      <c r="BE67" s="952">
        <f>AY67*(1+BE68)</f>
        <v>15.875000000000004</v>
      </c>
      <c r="BF67" s="948">
        <f>AZ67*(1+BF68)</f>
        <v>17.048334750131382</v>
      </c>
      <c r="BG67" s="948">
        <f>BA67*(1+BG68)</f>
        <v>16.42503361536216</v>
      </c>
      <c r="BH67" s="954">
        <f>BB67*(1+BH68)</f>
        <v>20.211158219976539</v>
      </c>
      <c r="BI67" s="947">
        <f>BI15</f>
        <v>67.82867475013137</v>
      </c>
      <c r="BJ67" s="948"/>
      <c r="BK67" s="952">
        <f>BE67*(1+BK68)</f>
        <v>16.668750000000003</v>
      </c>
      <c r="BL67" s="948">
        <f>BF67*(1+BL68)</f>
        <v>17.91779982238808</v>
      </c>
      <c r="BM67" s="948">
        <f>BG67*(1+BM68)</f>
        <v>17.739036304591135</v>
      </c>
      <c r="BN67" s="954">
        <f>BH67*(1+BN68)</f>
        <v>22.789091450934549</v>
      </c>
      <c r="BO67" s="947">
        <f>BO15</f>
        <v>70.533373567589237</v>
      </c>
      <c r="BP67" s="948"/>
      <c r="BQ67" s="952">
        <f>BK67*(1+BQ68)</f>
        <v>17.918906250000003</v>
      </c>
      <c r="BR67" s="948">
        <f>BL67*(1+BR68)</f>
        <v>19.261634809067186</v>
      </c>
      <c r="BS67" s="948">
        <f>BM67*(1+BS68)</f>
        <v>19.069464027435469</v>
      </c>
      <c r="BT67" s="954">
        <f>BN67*(1+BT68)</f>
        <v>24.726164224263986</v>
      </c>
      <c r="BU67" s="947">
        <f>BU15</f>
        <v>80.976169310766636</v>
      </c>
      <c r="BV67" s="443"/>
      <c r="BW67" s="952">
        <f>BQ67*(1+BW68)</f>
        <v>18.814851562500003</v>
      </c>
      <c r="BX67" s="948">
        <f>BR67*(1+BX68)</f>
        <v>20.224716549520547</v>
      </c>
      <c r="BY67" s="948">
        <f>BS67*(1+BY68)</f>
        <v>20.022937228807244</v>
      </c>
      <c r="BZ67" s="954">
        <f>BT67*(1+BZ68)</f>
        <v>25.962472435477185</v>
      </c>
      <c r="CA67" s="947">
        <f>CA15</f>
        <v>85.024977776304979</v>
      </c>
      <c r="CB67" s="443"/>
      <c r="CC67" s="952">
        <f>BW67*(1+CC68)</f>
        <v>19.755594140625004</v>
      </c>
      <c r="CD67" s="948">
        <f>BX67*(1+CD68)</f>
        <v>21.235952376996575</v>
      </c>
      <c r="CE67" s="948">
        <f>BY67*(1+CE68)</f>
        <v>21.024084090247609</v>
      </c>
      <c r="CF67" s="954">
        <f>BZ67*(1+CF68)</f>
        <v>27.260596057251046</v>
      </c>
      <c r="CG67" s="947">
        <f>CG15</f>
        <v>89.276226665120234</v>
      </c>
      <c r="CH67" s="443"/>
      <c r="CI67" s="952">
        <f>CC67*(1+CI68)</f>
        <v>20.743373847656255</v>
      </c>
      <c r="CJ67" s="948">
        <f>CD67*(1+CJ68)</f>
        <v>22.297749995846406</v>
      </c>
      <c r="CK67" s="948">
        <f>CE67*(1+CK68)</f>
        <v>22.075288294759989</v>
      </c>
      <c r="CL67" s="954">
        <f>CF67*(1+CL68)</f>
        <v>28.623625860113599</v>
      </c>
      <c r="CM67" s="947">
        <f>CM15</f>
        <v>93.740037998376238</v>
      </c>
    </row>
    <row r="68" spans="1:91" hidden="1" outlineLevel="1">
      <c r="A68" s="976" t="s">
        <v>289</v>
      </c>
      <c r="B68" s="828"/>
      <c r="C68" s="411"/>
      <c r="D68" s="406"/>
      <c r="E68" s="406"/>
      <c r="F68" s="938"/>
      <c r="G68" s="505"/>
      <c r="H68" s="828"/>
      <c r="I68" s="411">
        <f>I67/C67-1</f>
        <v>0.20153796859980777</v>
      </c>
      <c r="J68" s="406">
        <f>J67/D67-1</f>
        <v>0.34022691368662938</v>
      </c>
      <c r="K68" s="406">
        <f>K67/E67-1</f>
        <v>0.30535739264232764</v>
      </c>
      <c r="L68" s="938">
        <f>L67/F67-1</f>
        <v>0.2462023837345173</v>
      </c>
      <c r="M68" s="505">
        <f>M67/G67-1</f>
        <v>0.27383093525179869</v>
      </c>
      <c r="N68" s="935"/>
      <c r="O68" s="411">
        <f>O67/I67-1</f>
        <v>0.13973333333333349</v>
      </c>
      <c r="P68" s="406">
        <f>P67/J67-1</f>
        <v>-5.0257179597085422E-2</v>
      </c>
      <c r="Q68" s="406">
        <f>Q67/K67-1</f>
        <v>0.22481783111873122</v>
      </c>
      <c r="R68" s="938">
        <f>R67/L67-1</f>
        <v>-0.11870604781997174</v>
      </c>
      <c r="S68" s="505">
        <f>S67/M67-1</f>
        <v>3.8312199625295307E-2</v>
      </c>
      <c r="T68" s="828"/>
      <c r="U68" s="411">
        <f>U67/O67-1</f>
        <v>0.12891904539073429</v>
      </c>
      <c r="V68" s="406">
        <f>V67/P67-1</f>
        <v>0.21223062168565954</v>
      </c>
      <c r="W68" s="406">
        <f>W67/Q67-1</f>
        <v>-0.10761154855643051</v>
      </c>
      <c r="X68" s="938">
        <f>X67/R67-1</f>
        <v>0.2552399191403345</v>
      </c>
      <c r="Y68" s="505">
        <f>Y67/S67-1</f>
        <v>0.10857740585774067</v>
      </c>
      <c r="Z68" s="828"/>
      <c r="AA68" s="411">
        <f>AA67/U67-1</f>
        <v>0.12538860103626948</v>
      </c>
      <c r="AB68" s="406">
        <f>AB67/V67-1</f>
        <v>8.0230826507818431E-2</v>
      </c>
      <c r="AC68" s="406">
        <f>AC67/W67-1</f>
        <v>0.17068627450980411</v>
      </c>
      <c r="AD68" s="938">
        <f>AD67/X67-1</f>
        <v>0.19410069503305549</v>
      </c>
      <c r="AE68" s="505">
        <f>AE67/Y67-1</f>
        <v>0.14396584261181333</v>
      </c>
      <c r="AF68" s="940"/>
      <c r="AG68" s="411">
        <f>AG67/AA67-1</f>
        <v>0.13324125230202588</v>
      </c>
      <c r="AH68" s="406">
        <f>AH67/AB67-1</f>
        <v>0.11838704118559362</v>
      </c>
      <c r="AI68" s="406">
        <f>AI67/AC67-1</f>
        <v>6.3143790302319758E-2</v>
      </c>
      <c r="AJ68" s="1031">
        <f>AJ67/AD67-1</f>
        <v>0.11726291879613915</v>
      </c>
      <c r="AK68" s="505">
        <f>AK67/AE67-1</f>
        <v>0.10778430766058356</v>
      </c>
      <c r="AL68" s="935"/>
      <c r="AM68" s="411">
        <f>AM67/AG67-1</f>
        <v>4.4608759242707352E-2</v>
      </c>
      <c r="AN68" s="406">
        <f>AN67/AH67-1</f>
        <v>5.1463790446841129E-2</v>
      </c>
      <c r="AO68" s="406">
        <f>AO67/AI67-1</f>
        <v>0.10799527372981488</v>
      </c>
      <c r="AP68" s="406">
        <f>AP67/AJ67-1</f>
        <v>0.19580686149936466</v>
      </c>
      <c r="AQ68" s="505">
        <f>AQ67/AK67-1</f>
        <v>0.10554335281635097</v>
      </c>
      <c r="AR68" s="828"/>
      <c r="AS68" s="411">
        <f>AS67/AM67-1</f>
        <v>6.3394523957685189E-2</v>
      </c>
      <c r="AT68" s="406">
        <f>AT67/AN67-1</f>
        <v>0.13283997655334123</v>
      </c>
      <c r="AU68" s="406">
        <f>AU67/AO67-1</f>
        <v>0.13479311815725858</v>
      </c>
      <c r="AV68" s="406">
        <f>AV67/AP67-1</f>
        <v>-5.6317075762405411E-2</v>
      </c>
      <c r="AW68" s="505">
        <f>AW67/AQ67-1</f>
        <v>5.8324353448275801E-2</v>
      </c>
      <c r="AX68" s="828"/>
      <c r="AY68" s="1032">
        <f>AY69+AY18</f>
        <v>6.9999999999999993E-2</v>
      </c>
      <c r="AZ68" s="1031">
        <f>AZ69+AZ18</f>
        <v>0</v>
      </c>
      <c r="BA68" s="1031">
        <f>BA69+BA18</f>
        <v>-5.3999999999999992E-2</v>
      </c>
      <c r="BB68" s="1031">
        <f>BB69+BB18</f>
        <v>0.11557600495310166</v>
      </c>
      <c r="BC68" s="505">
        <f>BC67/AW67-1</f>
        <v>1.462072037673412E-2</v>
      </c>
      <c r="BD68" s="828"/>
      <c r="BE68" s="1032">
        <f>BE69+BE18</f>
        <v>8.5249696300990663E-2</v>
      </c>
      <c r="BF68" s="1031">
        <f>BF69+BF18</f>
        <v>0.1026670170190403</v>
      </c>
      <c r="BG68" s="1031">
        <f>BG69+BG18</f>
        <v>8.7746824670680706E-2</v>
      </c>
      <c r="BH68" s="1031">
        <f>BH69+BH18</f>
        <v>0.02</v>
      </c>
      <c r="BI68" s="505">
        <f>BI67/BC67-1</f>
        <v>6.3562128579088606E-2</v>
      </c>
      <c r="BJ68" s="828"/>
      <c r="BK68" s="1032">
        <f>BK69+BK18</f>
        <v>4.9999999999999996E-2</v>
      </c>
      <c r="BL68" s="1031">
        <f>BL69+BL18</f>
        <v>5.0999999999999997E-2</v>
      </c>
      <c r="BM68" s="1031">
        <f>BM69+BM18</f>
        <v>0.08</v>
      </c>
      <c r="BN68" s="1031">
        <f>BN69+BN18</f>
        <v>0.12755</v>
      </c>
      <c r="BO68" s="505">
        <f>BO67/BI67-1</f>
        <v>3.9875448361942567E-2</v>
      </c>
      <c r="BP68" s="828"/>
      <c r="BQ68" s="1032">
        <f>BQ69+BQ18</f>
        <v>7.4999999999999997E-2</v>
      </c>
      <c r="BR68" s="1031">
        <f>BR69+BR18</f>
        <v>7.4999999999999997E-2</v>
      </c>
      <c r="BS68" s="1031">
        <f>BS69+BS18</f>
        <v>7.4999999999999997E-2</v>
      </c>
      <c r="BT68" s="1031">
        <f>BT69+BT18</f>
        <v>8.5000000000000006E-2</v>
      </c>
      <c r="BU68" s="505">
        <f>BU67/BO67-1</f>
        <v>0.14805467560927732</v>
      </c>
      <c r="BV68" s="24"/>
      <c r="BW68" s="1032">
        <f>BW69+BW18</f>
        <v>0.05</v>
      </c>
      <c r="BX68" s="1031">
        <f>BX69+BX18</f>
        <v>0.05</v>
      </c>
      <c r="BY68" s="1031">
        <f>BY69+BY18</f>
        <v>0.05</v>
      </c>
      <c r="BZ68" s="1031">
        <f>BZ69+BZ18</f>
        <v>0.05</v>
      </c>
      <c r="CA68" s="505">
        <f>CA67/BU67-1</f>
        <v>5.0000000000000044E-2</v>
      </c>
      <c r="CB68" s="24"/>
      <c r="CC68" s="1032">
        <f>CC69+CC18</f>
        <v>0.05</v>
      </c>
      <c r="CD68" s="1031">
        <f>CD69+CD18</f>
        <v>0.05</v>
      </c>
      <c r="CE68" s="1031">
        <f>CE69+CE18</f>
        <v>0.05</v>
      </c>
      <c r="CF68" s="1031">
        <f>CF69+CF18</f>
        <v>0.05</v>
      </c>
      <c r="CG68" s="505">
        <f>CG67/CA67-1</f>
        <v>5.0000000000000044E-2</v>
      </c>
      <c r="CH68" s="24"/>
      <c r="CI68" s="1032">
        <f>CI69+CI18</f>
        <v>0.05</v>
      </c>
      <c r="CJ68" s="1031">
        <f>CJ69+CJ18</f>
        <v>0.05</v>
      </c>
      <c r="CK68" s="1031">
        <f>CK69+CK18</f>
        <v>0.05</v>
      </c>
      <c r="CL68" s="1031">
        <f>CL69+CL18</f>
        <v>0.05</v>
      </c>
      <c r="CM68" s="505">
        <f>CM67/CG67-1</f>
        <v>4.9999999999999822E-2</v>
      </c>
    </row>
    <row r="69" spans="1:91" s="2030" customFormat="1" hidden="1" outlineLevel="1">
      <c r="A69" s="976" t="s">
        <v>290</v>
      </c>
      <c r="B69" s="1033"/>
      <c r="C69" s="1034"/>
      <c r="D69" s="544"/>
      <c r="E69" s="544"/>
      <c r="F69" s="544"/>
      <c r="G69" s="966"/>
      <c r="H69" s="1037"/>
      <c r="I69" s="1034">
        <f>I68-I$18</f>
        <v>0.16153796859980776</v>
      </c>
      <c r="J69" s="544">
        <f>J68-J$18</f>
        <v>0.35022691368662939</v>
      </c>
      <c r="K69" s="544">
        <f>K68-K$18</f>
        <v>0.32535739264232766</v>
      </c>
      <c r="L69" s="544">
        <f>L68-L$18</f>
        <v>0.2462023837345173</v>
      </c>
      <c r="M69" s="966">
        <f>AVERAGE(I69:L69)</f>
        <v>0.27083116466582052</v>
      </c>
      <c r="N69" s="1035"/>
      <c r="O69" s="1034">
        <f>O68-O$18</f>
        <v>9.9733333333333479E-2</v>
      </c>
      <c r="P69" s="544">
        <f>P68-P$18</f>
        <v>-4.025717959708542E-2</v>
      </c>
      <c r="Q69" s="544">
        <f>Q68-Q$18</f>
        <v>0.24481783111873121</v>
      </c>
      <c r="R69" s="544">
        <f>R68-R$18</f>
        <v>-0.11870604781997174</v>
      </c>
      <c r="S69" s="966">
        <f>AVERAGE(O69:R69)</f>
        <v>4.6396984258751883E-2</v>
      </c>
      <c r="T69" s="1033"/>
      <c r="U69" s="1034">
        <f>U68-U$18</f>
        <v>8.891904539073428E-2</v>
      </c>
      <c r="V69" s="544">
        <f>V68-V$18</f>
        <v>0.22223062168565955</v>
      </c>
      <c r="W69" s="544">
        <f>W68-W$18</f>
        <v>-8.761154855643051E-2</v>
      </c>
      <c r="X69" s="544">
        <f>X68-X$18</f>
        <v>0.2552399191403345</v>
      </c>
      <c r="Y69" s="966">
        <f>AVERAGE(U69:X69)</f>
        <v>0.11969450941507445</v>
      </c>
      <c r="Z69" s="1038"/>
      <c r="AA69" s="1034">
        <f>AA68-AA$18</f>
        <v>0.10538860103626947</v>
      </c>
      <c r="AB69" s="544">
        <f>AB68-AB$18</f>
        <v>2.0230826507818434E-2</v>
      </c>
      <c r="AC69" s="544">
        <f>AC68-AC$18</f>
        <v>0.13068627450980411</v>
      </c>
      <c r="AD69" s="544">
        <f>AD68-AD$18</f>
        <v>0.19410069503305549</v>
      </c>
      <c r="AE69" s="966">
        <f>AVERAGE(AA69:AD69)</f>
        <v>0.11260159927173688</v>
      </c>
      <c r="AF69" s="1039"/>
      <c r="AG69" s="1034">
        <f>AG68-AG$18</f>
        <v>0.15324125230202587</v>
      </c>
      <c r="AH69" s="544">
        <f>AH68-AH$18</f>
        <v>0.14838704118559362</v>
      </c>
      <c r="AI69" s="544">
        <f>AI68-AI$18</f>
        <v>9.3143790302319757E-2</v>
      </c>
      <c r="AJ69" s="1031">
        <f>AJ68-AJ$18</f>
        <v>0.13126291879613916</v>
      </c>
      <c r="AK69" s="966">
        <f>AVERAGE(AG69:AJ69)</f>
        <v>0.1315087506465196</v>
      </c>
      <c r="AL69" s="1040"/>
      <c r="AM69" s="1034">
        <f>AM68-AM$18</f>
        <v>7.4608759242707351E-2</v>
      </c>
      <c r="AN69" s="544">
        <f>AN68-AN$18</f>
        <v>7.1463790446841133E-2</v>
      </c>
      <c r="AO69" s="544">
        <f>AO68-AO$18</f>
        <v>0.12799527372981487</v>
      </c>
      <c r="AP69" s="544">
        <f>AP68-AP$18</f>
        <v>0.21580686149936465</v>
      </c>
      <c r="AQ69" s="966">
        <f>AVERAGE(AM69:AP69)</f>
        <v>0.122468671229682</v>
      </c>
      <c r="AR69" s="1038"/>
      <c r="AS69" s="1034">
        <f>AS68-AS$18</f>
        <v>6.3394523957685189E-2</v>
      </c>
      <c r="AT69" s="544">
        <f>AT68-AT$18</f>
        <v>0.12483997655334123</v>
      </c>
      <c r="AU69" s="544">
        <f>AU68-AU$18</f>
        <v>0.13479311815725858</v>
      </c>
      <c r="AV69" s="544">
        <f>AV68-AV$18</f>
        <v>-6.317075762405408E-3</v>
      </c>
      <c r="AW69" s="966">
        <f>AVERAGE(AS69:AV69)</f>
        <v>7.9177635726469894E-2</v>
      </c>
      <c r="AX69" s="1038"/>
      <c r="AY69" s="903">
        <v>0.15</v>
      </c>
      <c r="AZ69" s="904">
        <v>7.0000000000000007E-2</v>
      </c>
      <c r="BA69" s="904">
        <v>0.02</v>
      </c>
      <c r="BB69" s="904">
        <v>0.17</v>
      </c>
      <c r="BC69" s="966">
        <f>AVERAGE(AY69:BB69)</f>
        <v>0.10250000000000001</v>
      </c>
      <c r="BD69" s="1038"/>
      <c r="BE69" s="1665">
        <v>0.10212489388359186</v>
      </c>
      <c r="BF69" s="945">
        <v>0.10199999999999999</v>
      </c>
      <c r="BG69" s="945">
        <v>8.5000000000000006E-2</v>
      </c>
      <c r="BH69" s="1680">
        <v>0.04</v>
      </c>
      <c r="BI69" s="966">
        <f>AVERAGE(BE69:BH69)</f>
        <v>8.228122347089796E-2</v>
      </c>
      <c r="BJ69" s="1033"/>
      <c r="BK69" s="1666">
        <v>0.06</v>
      </c>
      <c r="BL69" s="2022">
        <v>6.0999999999999999E-2</v>
      </c>
      <c r="BM69" s="2022">
        <v>7.0000000000000007E-2</v>
      </c>
      <c r="BN69" s="1846">
        <v>9.7549999999999998E-2</v>
      </c>
      <c r="BO69" s="966">
        <f>AVERAGE(BK69:BN69)</f>
        <v>7.2137499999999993E-2</v>
      </c>
      <c r="BP69" s="1033"/>
      <c r="BQ69" s="1766">
        <v>0.08</v>
      </c>
      <c r="BR69" s="1765">
        <v>7.4999999999999997E-2</v>
      </c>
      <c r="BS69" s="1765">
        <v>7.4999999999999997E-2</v>
      </c>
      <c r="BT69" s="1765">
        <v>8.5000000000000006E-2</v>
      </c>
      <c r="BU69" s="966">
        <f>AVERAGE(BQ69:BT69)</f>
        <v>7.8750000000000001E-2</v>
      </c>
      <c r="BV69" s="453"/>
      <c r="BW69" s="1766">
        <v>0.05</v>
      </c>
      <c r="BX69" s="1765">
        <v>0.05</v>
      </c>
      <c r="BY69" s="1765">
        <v>0.05</v>
      </c>
      <c r="BZ69" s="1765">
        <v>0.05</v>
      </c>
      <c r="CA69" s="966">
        <f>AVERAGE(BW69:BZ69)</f>
        <v>0.05</v>
      </c>
      <c r="CB69" s="453"/>
      <c r="CC69" s="1766">
        <v>0.05</v>
      </c>
      <c r="CD69" s="1765">
        <v>0.05</v>
      </c>
      <c r="CE69" s="1765">
        <v>0.05</v>
      </c>
      <c r="CF69" s="1765">
        <v>0.05</v>
      </c>
      <c r="CG69" s="966">
        <f>AVERAGE(CC69:CF69)</f>
        <v>0.05</v>
      </c>
      <c r="CH69" s="453"/>
      <c r="CI69" s="1766">
        <v>0.05</v>
      </c>
      <c r="CJ69" s="1765">
        <v>0.05</v>
      </c>
      <c r="CK69" s="1765">
        <v>0.05</v>
      </c>
      <c r="CL69" s="1765">
        <v>0.05</v>
      </c>
      <c r="CM69" s="966">
        <f>AVERAGE(CI69:CL69)</f>
        <v>0.05</v>
      </c>
    </row>
    <row r="70" spans="1:91" s="2024" customFormat="1" collapsed="1">
      <c r="A70" s="989" t="s">
        <v>76</v>
      </c>
      <c r="B70" s="1223"/>
      <c r="C70" s="892">
        <f>C64+C67</f>
        <v>88.713999999999999</v>
      </c>
      <c r="D70" s="896">
        <f>D64+D67</f>
        <v>93.98899999999999</v>
      </c>
      <c r="E70" s="896">
        <f>E64+E67</f>
        <v>94.168999999999997</v>
      </c>
      <c r="F70" s="896">
        <f>F64+F67</f>
        <v>108.584</v>
      </c>
      <c r="G70" s="897">
        <f>G64+G67</f>
        <v>385.45599999999996</v>
      </c>
      <c r="H70" s="895"/>
      <c r="I70" s="892">
        <f>I64+I67</f>
        <v>101.533</v>
      </c>
      <c r="J70" s="896">
        <f>J64+J67</f>
        <v>111.364</v>
      </c>
      <c r="K70" s="896">
        <f>K64+K67</f>
        <v>108.59299999999999</v>
      </c>
      <c r="L70" s="896">
        <f>L64+L67</f>
        <v>113.74799999999996</v>
      </c>
      <c r="M70" s="897">
        <f>M64+M67</f>
        <v>435.238</v>
      </c>
      <c r="N70" s="895"/>
      <c r="O70" s="892">
        <f>O64+O67</f>
        <v>105.60399999999998</v>
      </c>
      <c r="P70" s="963">
        <f>P64+P67</f>
        <v>109.316</v>
      </c>
      <c r="Q70" s="896">
        <f>Q64+Q67</f>
        <v>116.00999999999999</v>
      </c>
      <c r="R70" s="896">
        <f>R64+R67</f>
        <v>115.79200000000003</v>
      </c>
      <c r="S70" s="897">
        <f>S64+S67</f>
        <v>446.72200000000004</v>
      </c>
      <c r="T70" s="896"/>
      <c r="U70" s="892">
        <f>U64+U67</f>
        <v>114.65800000000002</v>
      </c>
      <c r="V70" s="896">
        <f>V64+V67</f>
        <v>115.63</v>
      </c>
      <c r="W70" s="896">
        <f>W64+W67</f>
        <v>118.104</v>
      </c>
      <c r="X70" s="896">
        <f>X64+X67</f>
        <v>128.35199999999998</v>
      </c>
      <c r="Y70" s="897">
        <f>Y64+Y67</f>
        <v>476.74399999999997</v>
      </c>
      <c r="Z70" s="896"/>
      <c r="AA70" s="892">
        <f>AA64+AA67</f>
        <v>124.267</v>
      </c>
      <c r="AB70" s="896">
        <f>AB64+AB67</f>
        <v>131.477</v>
      </c>
      <c r="AC70" s="896">
        <f>AC64+AC67</f>
        <v>133.18600000000001</v>
      </c>
      <c r="AD70" s="896">
        <f>AD64+AD67</f>
        <v>140.11799999999997</v>
      </c>
      <c r="AE70" s="897">
        <f>AE64+AE67</f>
        <v>529.048</v>
      </c>
      <c r="AF70" s="892"/>
      <c r="AG70" s="892">
        <f>AG64+AG67</f>
        <v>133.95099999999999</v>
      </c>
      <c r="AH70" s="896">
        <f>AH64+AH67</f>
        <v>137.60999999999999</v>
      </c>
      <c r="AI70" s="896">
        <f>AI64+AI67</f>
        <v>139.12899999999999</v>
      </c>
      <c r="AJ70" s="1218">
        <f>AJ64+AJ67</f>
        <v>152.44400000000002</v>
      </c>
      <c r="AK70" s="897">
        <f>AK64+AK67</f>
        <v>563.13400000000001</v>
      </c>
      <c r="AL70" s="897"/>
      <c r="AM70" s="892">
        <f>AM64+AM67</f>
        <v>136.624</v>
      </c>
      <c r="AN70" s="896">
        <f>AN64+AN67</f>
        <v>145.904</v>
      </c>
      <c r="AO70" s="896">
        <f>AO64+AO67</f>
        <v>144.374</v>
      </c>
      <c r="AP70" s="896">
        <f>AP64+AP67</f>
        <v>164.81299999999999</v>
      </c>
      <c r="AQ70" s="897">
        <f>AQ64+AQ67</f>
        <v>591.71500000000003</v>
      </c>
      <c r="AR70" s="896"/>
      <c r="AS70" s="892">
        <f>AS64+AS67</f>
        <v>145.71299999999999</v>
      </c>
      <c r="AT70" s="896">
        <f>AT64+AT67</f>
        <v>160.536</v>
      </c>
      <c r="AU70" s="896">
        <f>AU64+AU67</f>
        <v>162</v>
      </c>
      <c r="AV70" s="896">
        <f>AV64+AV67</f>
        <v>174.36600000000004</v>
      </c>
      <c r="AW70" s="897">
        <f>AW64+AW67</f>
        <v>642.61500000000001</v>
      </c>
      <c r="AX70" s="896"/>
      <c r="AY70" s="892">
        <f>AY64+AY67</f>
        <v>157.53100000000001</v>
      </c>
      <c r="AZ70" s="896">
        <f>AZ64+AZ67</f>
        <v>162.70400000000001</v>
      </c>
      <c r="BA70" s="896">
        <f>BA64+BA67</f>
        <v>163.64499999999984</v>
      </c>
      <c r="BB70" s="896">
        <f>BB64+BB67</f>
        <v>173.1961080596526</v>
      </c>
      <c r="BC70" s="897">
        <f>BC64+BC67</f>
        <v>657.07600000000002</v>
      </c>
      <c r="BD70" s="896"/>
      <c r="BE70" s="892">
        <f>BE64+BE67</f>
        <v>167.38949786232689</v>
      </c>
      <c r="BF70" s="896">
        <f>BF64+BF67</f>
        <v>176.8733947795134</v>
      </c>
      <c r="BG70" s="896">
        <f>BG64+BG67</f>
        <v>176.89618381115338</v>
      </c>
      <c r="BH70" s="895">
        <f>BH64+BH67</f>
        <v>185.96916917637603</v>
      </c>
      <c r="BI70" s="897">
        <f>BI64+BI67</f>
        <v>707.12699999999995</v>
      </c>
      <c r="BJ70" s="896"/>
      <c r="BK70" s="892">
        <f>BK64+BK67</f>
        <v>173.67312316820522</v>
      </c>
      <c r="BL70" s="896">
        <f>BL64+BL67</f>
        <v>185.41181069097556</v>
      </c>
      <c r="BM70" s="896">
        <f>BM64+BM67</f>
        <v>190.03411445431257</v>
      </c>
      <c r="BN70" s="895">
        <f>BN64+BN67</f>
        <v>207.60927366732</v>
      </c>
      <c r="BO70" s="897">
        <f>BO64+BO67</f>
        <v>756.72900000000004</v>
      </c>
      <c r="BP70" s="896"/>
      <c r="BQ70" s="892">
        <f>BQ64+BQ67</f>
        <v>191.40873860086674</v>
      </c>
      <c r="BR70" s="896">
        <f>BR64+BR67</f>
        <v>200.99263660148458</v>
      </c>
      <c r="BS70" s="896">
        <f>BS64+BS67</f>
        <v>204.286673038386</v>
      </c>
      <c r="BT70" s="895">
        <f>BT64+BT67</f>
        <v>221.55965828471446</v>
      </c>
      <c r="BU70" s="897">
        <f>BU64+BU67</f>
        <v>818.2477065254518</v>
      </c>
      <c r="BV70" s="566"/>
      <c r="BW70" s="892">
        <f>BW64+BW67</f>
        <v>202.71407385441876</v>
      </c>
      <c r="BX70" s="896">
        <f>BX64+BX67</f>
        <v>212.859578449483</v>
      </c>
      <c r="BY70" s="896">
        <f>BY64+BY67</f>
        <v>214.50100669030533</v>
      </c>
      <c r="BZ70" s="895">
        <f>BZ64+BZ67</f>
        <v>232.63764119895021</v>
      </c>
      <c r="CA70" s="897">
        <f>CA64+CA67</f>
        <v>862.71230019315726</v>
      </c>
      <c r="CB70" s="566"/>
      <c r="CC70" s="892">
        <f>CC64+CC67</f>
        <v>214.68876977005888</v>
      </c>
      <c r="CD70" s="896">
        <f>CD64+CD67</f>
        <v>225.42890599095679</v>
      </c>
      <c r="CE70" s="896">
        <f>CE64+CE67</f>
        <v>225.22605702482062</v>
      </c>
      <c r="CF70" s="895">
        <f>CF64+CF67</f>
        <v>244.26952325889769</v>
      </c>
      <c r="CG70" s="897">
        <f>CG64+CG67</f>
        <v>909.61325604473404</v>
      </c>
      <c r="CH70" s="566"/>
      <c r="CI70" s="892">
        <f>CI64+CI67</f>
        <v>227.37254001485618</v>
      </c>
      <c r="CJ70" s="896">
        <f>CJ64+CJ67</f>
        <v>238.74228082664425</v>
      </c>
      <c r="CK70" s="896">
        <f>CK64+CK67</f>
        <v>236.48735987606165</v>
      </c>
      <c r="CL70" s="895">
        <f>CL64+CL67</f>
        <v>256.48299942184258</v>
      </c>
      <c r="CM70" s="897">
        <f>CM64+CM67</f>
        <v>959.08518013940466</v>
      </c>
    </row>
    <row r="71" spans="1:91" ht="12" customHeight="1">
      <c r="A71" s="1019" t="s">
        <v>289</v>
      </c>
      <c r="B71" s="940"/>
      <c r="C71" s="899"/>
      <c r="D71" s="475"/>
      <c r="E71" s="475"/>
      <c r="F71" s="475"/>
      <c r="G71" s="505"/>
      <c r="H71" s="990"/>
      <c r="I71" s="899">
        <f>I70/C70-1</f>
        <v>0.14449804991320425</v>
      </c>
      <c r="J71" s="475">
        <f>J70/D70-1</f>
        <v>0.18486205832597458</v>
      </c>
      <c r="K71" s="475">
        <f>K70/E70-1</f>
        <v>0.15317142584077548</v>
      </c>
      <c r="L71" s="475">
        <f>L70/F70-1</f>
        <v>4.7557651219332087E-2</v>
      </c>
      <c r="M71" s="505">
        <f>M70/G70-1</f>
        <v>0.12915092773234838</v>
      </c>
      <c r="N71" s="990"/>
      <c r="O71" s="899">
        <f>O70/I70-1</f>
        <v>4.0095338461386687E-2</v>
      </c>
      <c r="P71" s="475">
        <f>P70/J70-1</f>
        <v>-1.8390144032182754E-2</v>
      </c>
      <c r="Q71" s="475">
        <f>Q70/K70-1</f>
        <v>6.8300903373145649E-2</v>
      </c>
      <c r="R71" s="475">
        <f>R70/L70-1</f>
        <v>1.7969546717305551E-2</v>
      </c>
      <c r="S71" s="505">
        <f>S70/M70-1</f>
        <v>2.6385563760517261E-2</v>
      </c>
      <c r="T71" s="928"/>
      <c r="U71" s="899">
        <f>U70/O70-1</f>
        <v>8.5735388811030155E-2</v>
      </c>
      <c r="V71" s="475">
        <f>V70/P70-1</f>
        <v>5.7759156939514833E-2</v>
      </c>
      <c r="W71" s="475">
        <f>W70/Q70-1</f>
        <v>1.8050168088957985E-2</v>
      </c>
      <c r="X71" s="475">
        <f>X70/R70-1</f>
        <v>0.10847036064667637</v>
      </c>
      <c r="Y71" s="505">
        <f>Y70/S70-1</f>
        <v>6.7205107426990152E-2</v>
      </c>
      <c r="Z71" s="928"/>
      <c r="AA71" s="899">
        <f>AA70/U70-1</f>
        <v>8.3805752760382823E-2</v>
      </c>
      <c r="AB71" s="475">
        <f>AB70/V70-1</f>
        <v>0.13704920868286785</v>
      </c>
      <c r="AC71" s="475">
        <f>AC70/W70-1</f>
        <v>0.12770100927995665</v>
      </c>
      <c r="AD71" s="475">
        <f>AD70/X70-1</f>
        <v>9.1669783096484547E-2</v>
      </c>
      <c r="AE71" s="505">
        <f>AE70/Y70-1</f>
        <v>0.10971087208229169</v>
      </c>
      <c r="AF71" s="928"/>
      <c r="AG71" s="899">
        <f>AG70/AA70-1</f>
        <v>7.792897551240463E-2</v>
      </c>
      <c r="AH71" s="475">
        <f>AH70/AB70-1</f>
        <v>4.6646942050700746E-2</v>
      </c>
      <c r="AI71" s="475">
        <f>AI70/AC70-1</f>
        <v>4.4621807096841826E-2</v>
      </c>
      <c r="AJ71" s="1208">
        <f>AJ70/AD70-1</f>
        <v>8.7968712085528367E-2</v>
      </c>
      <c r="AK71" s="505">
        <f>AK70/AE70-1</f>
        <v>6.4428936504816292E-2</v>
      </c>
      <c r="AL71" s="992"/>
      <c r="AM71" s="899">
        <f>AM70/AG70-1</f>
        <v>1.9955058192921316E-2</v>
      </c>
      <c r="AN71" s="475">
        <f>AN70/AH70-1</f>
        <v>6.0271782573940946E-2</v>
      </c>
      <c r="AO71" s="475">
        <f>AO70/AI70-1</f>
        <v>3.7698826269146002E-2</v>
      </c>
      <c r="AP71" s="475">
        <f>AP70/AJ70-1</f>
        <v>8.1137991655952257E-2</v>
      </c>
      <c r="AQ71" s="505">
        <f>AQ70/AK70-1</f>
        <v>5.0753461875859163E-2</v>
      </c>
      <c r="AR71" s="829"/>
      <c r="AS71" s="899">
        <f>AS70/AM70-1</f>
        <v>6.6525647031268287E-2</v>
      </c>
      <c r="AT71" s="475">
        <f>AT70/AN70-1</f>
        <v>0.1002851189823446</v>
      </c>
      <c r="AU71" s="475">
        <f>AU70/AO70-1</f>
        <v>0.12208569410004566</v>
      </c>
      <c r="AV71" s="475">
        <f>AV70/AP70-1</f>
        <v>5.7962660712444158E-2</v>
      </c>
      <c r="AW71" s="505">
        <f>AW70/AQ70-1</f>
        <v>8.6021141934884193E-2</v>
      </c>
      <c r="AX71" s="829"/>
      <c r="AY71" s="899">
        <f>AY70/AS70-1</f>
        <v>8.1104637197779272E-2</v>
      </c>
      <c r="AZ71" s="475">
        <f>AZ70/AT70-1</f>
        <v>1.3504759057158644E-2</v>
      </c>
      <c r="BA71" s="475">
        <f>BA70/AU70-1</f>
        <v>1.0154320987653342E-2</v>
      </c>
      <c r="BB71" s="475">
        <f>BB70/AV70-1</f>
        <v>-6.7094040142426925E-3</v>
      </c>
      <c r="BC71" s="505">
        <f>BC70/AW70-1</f>
        <v>2.2503365156431254E-2</v>
      </c>
      <c r="BD71" s="829"/>
      <c r="BE71" s="899">
        <f>BE70/AY70-1</f>
        <v>6.2581319628053356E-2</v>
      </c>
      <c r="BF71" s="475">
        <f>BF70/AZ70-1</f>
        <v>8.708694795157701E-2</v>
      </c>
      <c r="BG71" s="475">
        <f>BG70/BA70-1</f>
        <v>8.0975182933505696E-2</v>
      </c>
      <c r="BH71" s="475">
        <f>BH70/BB70-1</f>
        <v>7.3749123232746738E-2</v>
      </c>
      <c r="BI71" s="505">
        <f>BI70/BC70-1</f>
        <v>7.6172314922474671E-2</v>
      </c>
      <c r="BJ71" s="829"/>
      <c r="BK71" s="899">
        <f>BK70/BE70-1</f>
        <v>3.7538945908341503E-2</v>
      </c>
      <c r="BL71" s="475">
        <f>BL70/BF70-1</f>
        <v>4.8274167644636101E-2</v>
      </c>
      <c r="BM71" s="475">
        <f>BM70/BG70-1</f>
        <v>7.4269158102272526E-2</v>
      </c>
      <c r="BN71" s="475">
        <f>BN70/BH70-1</f>
        <v>0.11636393595123362</v>
      </c>
      <c r="BO71" s="505">
        <f>BO70/BI70-1</f>
        <v>7.0145815391011945E-2</v>
      </c>
      <c r="BP71" s="829"/>
      <c r="BQ71" s="899">
        <f>BQ70/BK70-1</f>
        <v>0.1021206684668432</v>
      </c>
      <c r="BR71" s="475">
        <f>BR70/BL70-1</f>
        <v>8.4033621442149986E-2</v>
      </c>
      <c r="BS71" s="475">
        <f>BS70/BM70-1</f>
        <v>7.4999999999999956E-2</v>
      </c>
      <c r="BT71" s="475">
        <f>BT70/BN70-1</f>
        <v>6.7195382802355041E-2</v>
      </c>
      <c r="BU71" s="505">
        <f>BU70/BO70-1</f>
        <v>8.1295558285002567E-2</v>
      </c>
      <c r="BV71" s="71"/>
      <c r="BW71" s="899">
        <f>BW70/BQ70-1</f>
        <v>5.9063840743062146E-2</v>
      </c>
      <c r="BX71" s="475">
        <f>BX70/BR70-1</f>
        <v>5.9041674603868444E-2</v>
      </c>
      <c r="BY71" s="475">
        <f>BY70/BS70-1</f>
        <v>5.0000000000000266E-2</v>
      </c>
      <c r="BZ71" s="475">
        <f>BZ70/BT70-1</f>
        <v>5.0000000000000044E-2</v>
      </c>
      <c r="CA71" s="505">
        <f>CA70/BU70-1</f>
        <v>5.4341238372077605E-2</v>
      </c>
      <c r="CB71" s="71"/>
      <c r="CC71" s="899">
        <f>CC70/BW70-1</f>
        <v>5.9071852723160623E-2</v>
      </c>
      <c r="CD71" s="475">
        <f>CD70/BX70-1</f>
        <v>5.9049856403134982E-2</v>
      </c>
      <c r="CE71" s="475">
        <f>CE70/BY70-1</f>
        <v>5.0000000000000044E-2</v>
      </c>
      <c r="CF71" s="475">
        <f>CF70/BZ70-1</f>
        <v>4.9999999999999822E-2</v>
      </c>
      <c r="CG71" s="505">
        <f>CG70/CA70-1</f>
        <v>5.4364538260409434E-2</v>
      </c>
      <c r="CH71" s="71"/>
      <c r="CI71" s="899">
        <f>CI70/CC70-1</f>
        <v>5.9079803095346772E-2</v>
      </c>
      <c r="CJ71" s="475">
        <f>CJ70/CD70-1</f>
        <v>5.9057975627231807E-2</v>
      </c>
      <c r="CK71" s="475">
        <f>CK70/CE70-1</f>
        <v>5.0000000000000044E-2</v>
      </c>
      <c r="CL71" s="475">
        <f>CL70/CF70-1</f>
        <v>5.0000000000000044E-2</v>
      </c>
      <c r="CM71" s="505">
        <f>CM70/CG70-1</f>
        <v>5.4387866234259841E-2</v>
      </c>
    </row>
    <row r="72" spans="1:91" ht="12" customHeight="1">
      <c r="A72" s="995" t="s">
        <v>290</v>
      </c>
      <c r="B72" s="996"/>
      <c r="C72" s="1001"/>
      <c r="D72" s="1000"/>
      <c r="E72" s="1000"/>
      <c r="F72" s="1000"/>
      <c r="G72" s="999"/>
      <c r="H72" s="998"/>
      <c r="I72" s="1001">
        <f>I71-I$18</f>
        <v>0.10449804991320424</v>
      </c>
      <c r="J72" s="1000">
        <f>J71-J$18</f>
        <v>0.19486205832597459</v>
      </c>
      <c r="K72" s="1000">
        <f>K71-K$18</f>
        <v>0.17317142584077547</v>
      </c>
      <c r="L72" s="1000">
        <f>L71-L$18</f>
        <v>4.7557651219332087E-2</v>
      </c>
      <c r="M72" s="999">
        <f>AVERAGE(I72:L72)</f>
        <v>0.1300222963248216</v>
      </c>
      <c r="N72" s="998"/>
      <c r="O72" s="1001">
        <f>O71-O$18</f>
        <v>9.5338461386686169E-5</v>
      </c>
      <c r="P72" s="1000">
        <f>P71-P$18</f>
        <v>-8.3901440321827534E-3</v>
      </c>
      <c r="Q72" s="1000">
        <f>Q71-Q$18</f>
        <v>8.8300903373145653E-2</v>
      </c>
      <c r="R72" s="1000">
        <f>R71-R$18</f>
        <v>1.7969546717305551E-2</v>
      </c>
      <c r="S72" s="999">
        <f>AVERAGE(O72:R72)</f>
        <v>2.4493911129913785E-2</v>
      </c>
      <c r="T72" s="997"/>
      <c r="U72" s="1001">
        <f>U71-U$18</f>
        <v>4.5735388811030155E-2</v>
      </c>
      <c r="V72" s="1000">
        <f>V71-V$18</f>
        <v>6.7759156939514828E-2</v>
      </c>
      <c r="W72" s="1000">
        <f>W71-W$18</f>
        <v>3.8050168088957989E-2</v>
      </c>
      <c r="X72" s="1000">
        <f>X71-X$18</f>
        <v>0.10847036064667637</v>
      </c>
      <c r="Y72" s="999">
        <f>AVERAGE(U72:X72)</f>
        <v>6.5003768621544833E-2</v>
      </c>
      <c r="Z72" s="997"/>
      <c r="AA72" s="1001">
        <f>AA71-AA$18</f>
        <v>6.380575276038282E-2</v>
      </c>
      <c r="AB72" s="1000">
        <f>AB71-AB$18</f>
        <v>7.7049208682867854E-2</v>
      </c>
      <c r="AC72" s="1000">
        <f>AC71-AC$18</f>
        <v>8.7701009279956638E-2</v>
      </c>
      <c r="AD72" s="1000">
        <f>AD71-AD$18</f>
        <v>9.1669783096484547E-2</v>
      </c>
      <c r="AE72" s="999">
        <f>AVERAGE(AA72:AD72)</f>
        <v>8.0056438454922968E-2</v>
      </c>
      <c r="AF72" s="997"/>
      <c r="AG72" s="1001">
        <f>AG71-AG$18</f>
        <v>9.7928975512404634E-2</v>
      </c>
      <c r="AH72" s="1000">
        <f>AH71-AH$18</f>
        <v>7.6646942050700745E-2</v>
      </c>
      <c r="AI72" s="1000">
        <f>AI71-AI$18</f>
        <v>7.4621807096841825E-2</v>
      </c>
      <c r="AJ72" s="1219">
        <f>AJ71-AJ$18</f>
        <v>0.10196871208552837</v>
      </c>
      <c r="AK72" s="999">
        <f>AVERAGE(AG72:AJ72)</f>
        <v>8.7791609186368885E-2</v>
      </c>
      <c r="AL72" s="1002"/>
      <c r="AM72" s="1001">
        <f>AM71-AM$18</f>
        <v>4.9955058192921314E-2</v>
      </c>
      <c r="AN72" s="1000">
        <f>AN71-AN$18</f>
        <v>8.027178257394095E-2</v>
      </c>
      <c r="AO72" s="1000">
        <f>AO71-AO$18</f>
        <v>5.7698826269146006E-2</v>
      </c>
      <c r="AP72" s="1000">
        <f>AP71-AP$18</f>
        <v>0.10113799165595226</v>
      </c>
      <c r="AQ72" s="999">
        <f>AVERAGE(AM72:AP72)</f>
        <v>7.2265914672990136E-2</v>
      </c>
      <c r="AR72" s="834"/>
      <c r="AS72" s="1001">
        <f>AS71-AS$18</f>
        <v>6.6525647031268287E-2</v>
      </c>
      <c r="AT72" s="1000">
        <f>AT71-AT$18</f>
        <v>9.2285118982344594E-2</v>
      </c>
      <c r="AU72" s="1000">
        <f>AU71-AU$18</f>
        <v>0.12208569410004566</v>
      </c>
      <c r="AV72" s="1000">
        <f>AV71-AV$18</f>
        <v>0.10796266071244416</v>
      </c>
      <c r="AW72" s="999">
        <f>AVERAGE(AS72:AV72)</f>
        <v>9.7214780206525672E-2</v>
      </c>
      <c r="AX72" s="834"/>
      <c r="AY72" s="1001">
        <f>AY71-AY$18</f>
        <v>0.16110463719777929</v>
      </c>
      <c r="AZ72" s="1000">
        <f>AZ71-AZ$18</f>
        <v>8.3504759057158651E-2</v>
      </c>
      <c r="BA72" s="1000">
        <f>BA71-BA$18</f>
        <v>8.4154320987653339E-2</v>
      </c>
      <c r="BB72" s="1000">
        <f>BB71-BB$18</f>
        <v>4.7714591032655664E-2</v>
      </c>
      <c r="BC72" s="999">
        <f>AVERAGE(AY72:BB72)</f>
        <v>9.4119577068811744E-2</v>
      </c>
      <c r="BD72" s="834"/>
      <c r="BE72" s="1001">
        <f>BE71-BE$18</f>
        <v>7.9456517210654554E-2</v>
      </c>
      <c r="BF72" s="1000">
        <f>BF71-BF$18</f>
        <v>8.6419930932536707E-2</v>
      </c>
      <c r="BG72" s="1000">
        <f>BG71-BG$18</f>
        <v>7.822835826282501E-2</v>
      </c>
      <c r="BH72" s="1000">
        <f>BH71-BH$18</f>
        <v>9.3749123232746742E-2</v>
      </c>
      <c r="BI72" s="999">
        <f>AVERAGE(BE72:BH72)</f>
        <v>8.4463482409690746E-2</v>
      </c>
      <c r="BJ72" s="834"/>
      <c r="BK72" s="1001">
        <f>BK71-BK$18</f>
        <v>4.7538945908341505E-2</v>
      </c>
      <c r="BL72" s="1000">
        <f>BL71-BL$18</f>
        <v>5.8274167644636103E-2</v>
      </c>
      <c r="BM72" s="1000">
        <f>BM71-BM$18</f>
        <v>6.4269158102272531E-2</v>
      </c>
      <c r="BN72" s="1000">
        <f>BN71-BN$18</f>
        <v>8.6363935951233622E-2</v>
      </c>
      <c r="BO72" s="999">
        <f>AVERAGE(BK72:BN72)</f>
        <v>6.4111551901620933E-2</v>
      </c>
      <c r="BP72" s="834"/>
      <c r="BQ72" s="1001">
        <f>BQ71-BQ$18</f>
        <v>0.10712066846684321</v>
      </c>
      <c r="BR72" s="1000">
        <f>BR71-BR$18</f>
        <v>8.4033621442149986E-2</v>
      </c>
      <c r="BS72" s="1000">
        <f>BS71-BS$18</f>
        <v>7.4999999999999956E-2</v>
      </c>
      <c r="BT72" s="1000">
        <f>BT71-BT$18</f>
        <v>6.7195382802355041E-2</v>
      </c>
      <c r="BU72" s="999">
        <f>AVERAGE(BQ72:BT72)</f>
        <v>8.3337418177837047E-2</v>
      </c>
      <c r="BV72" s="24"/>
      <c r="BW72" s="1001">
        <f>BW71-BW$18</f>
        <v>5.9063840743062146E-2</v>
      </c>
      <c r="BX72" s="1000">
        <f>BX71-BX$18</f>
        <v>5.9041674603868444E-2</v>
      </c>
      <c r="BY72" s="1000">
        <f>BY71-BY$18</f>
        <v>5.0000000000000266E-2</v>
      </c>
      <c r="BZ72" s="1000">
        <f>BZ71-BZ$18</f>
        <v>5.0000000000000044E-2</v>
      </c>
      <c r="CA72" s="999">
        <f>AVERAGE(BW72:BZ72)</f>
        <v>5.4526378836732725E-2</v>
      </c>
      <c r="CB72" s="24"/>
      <c r="CC72" s="1001">
        <f>CC71-CC$18</f>
        <v>5.9071852723160623E-2</v>
      </c>
      <c r="CD72" s="1000">
        <f>CD71-CD$18</f>
        <v>5.9049856403134982E-2</v>
      </c>
      <c r="CE72" s="1000">
        <f>CE71-CE$18</f>
        <v>5.0000000000000044E-2</v>
      </c>
      <c r="CF72" s="1000">
        <f>CF71-CF$18</f>
        <v>4.9999999999999822E-2</v>
      </c>
      <c r="CG72" s="999">
        <f>AVERAGE(CC72:CF72)</f>
        <v>5.4530427281573868E-2</v>
      </c>
      <c r="CH72" s="24"/>
      <c r="CI72" s="1001">
        <f>CI71-CI$18</f>
        <v>5.9079803095346772E-2</v>
      </c>
      <c r="CJ72" s="1000">
        <f>CJ71-CJ$18</f>
        <v>5.9057975627231807E-2</v>
      </c>
      <c r="CK72" s="1000">
        <f>CK71-CK$18</f>
        <v>5.0000000000000044E-2</v>
      </c>
      <c r="CL72" s="1000">
        <f>CL71-CL$18</f>
        <v>5.0000000000000044E-2</v>
      </c>
      <c r="CM72" s="999">
        <f>AVERAGE(CI72:CL72)</f>
        <v>5.4534444680644667E-2</v>
      </c>
    </row>
    <row r="73" spans="1:91" s="2029" customFormat="1" hidden="1" outlineLevel="1">
      <c r="A73" s="1005" t="s">
        <v>116</v>
      </c>
      <c r="B73" s="1006"/>
      <c r="C73" s="1006">
        <f>C70-C14-C15</f>
        <v>0</v>
      </c>
      <c r="D73" s="1006">
        <f>D70-D14-D15</f>
        <v>0</v>
      </c>
      <c r="E73" s="1006">
        <f>E70-E14-E15</f>
        <v>0</v>
      </c>
      <c r="F73" s="1006">
        <f>F70-F14-F15</f>
        <v>0</v>
      </c>
      <c r="G73" s="1006">
        <f>G70-G14-G15</f>
        <v>0</v>
      </c>
      <c r="H73" s="1006"/>
      <c r="I73" s="1006">
        <f>I70-I14-I15</f>
        <v>0</v>
      </c>
      <c r="J73" s="1006">
        <f>J70-J14-J15</f>
        <v>0</v>
      </c>
      <c r="K73" s="1006">
        <f>K70-K14-K15</f>
        <v>0</v>
      </c>
      <c r="L73" s="1006">
        <f>L70-L14-L15</f>
        <v>0</v>
      </c>
      <c r="M73" s="1006">
        <f>M70-M14-M15</f>
        <v>0</v>
      </c>
      <c r="N73" s="1006"/>
      <c r="O73" s="1006">
        <f>O70-O14-O15</f>
        <v>0</v>
      </c>
      <c r="P73" s="1006">
        <f>P70-P14-P15</f>
        <v>0</v>
      </c>
      <c r="Q73" s="1006">
        <f>Q70-Q14-Q15</f>
        <v>0</v>
      </c>
      <c r="R73" s="1006">
        <f>R70-R14-R15</f>
        <v>0</v>
      </c>
      <c r="S73" s="1006">
        <f>S70-S14-S15</f>
        <v>0</v>
      </c>
      <c r="T73" s="1006"/>
      <c r="U73" s="1006">
        <f>U70-U14-U15</f>
        <v>0</v>
      </c>
      <c r="V73" s="1006">
        <f>V70-V14-V15</f>
        <v>0</v>
      </c>
      <c r="W73" s="1006">
        <f>W70-W14-W15</f>
        <v>0</v>
      </c>
      <c r="X73" s="1006">
        <f>X70-X14-X15</f>
        <v>0</v>
      </c>
      <c r="Y73" s="1006">
        <f>Y70-Y14-Y15</f>
        <v>0</v>
      </c>
      <c r="Z73" s="1006"/>
      <c r="AA73" s="1006">
        <f>AA70-AA14-AA15</f>
        <v>0</v>
      </c>
      <c r="AB73" s="1006">
        <f>AB70-AB14-AB15</f>
        <v>0</v>
      </c>
      <c r="AC73" s="1006">
        <f>AC70-AC14-AC15</f>
        <v>0</v>
      </c>
      <c r="AD73" s="1006">
        <f>AD70-AD14-AD15</f>
        <v>0</v>
      </c>
      <c r="AE73" s="1006">
        <f>AE70-AE14-AE15</f>
        <v>0</v>
      </c>
      <c r="AF73" s="1006"/>
      <c r="AG73" s="1006">
        <f>AG70-AG14-AG15</f>
        <v>0</v>
      </c>
      <c r="AH73" s="1006">
        <f>AH70-AH14-AH15</f>
        <v>0</v>
      </c>
      <c r="AI73" s="1006">
        <f>AI70-AI14-AI15</f>
        <v>0</v>
      </c>
      <c r="AJ73" s="1006">
        <f>AJ70-AJ14-AJ15</f>
        <v>0</v>
      </c>
      <c r="AK73" s="1006">
        <f>AK70-AK14-AK15</f>
        <v>0</v>
      </c>
      <c r="AL73" s="1006"/>
      <c r="AM73" s="967">
        <f>ROUND(AM70-AM14-AM15,3)</f>
        <v>0</v>
      </c>
      <c r="AN73" s="967">
        <f>ROUND(AN70-AN14-AN15,3)</f>
        <v>0</v>
      </c>
      <c r="AO73" s="967">
        <f>ROUND(AO70-AO14-AO15,3)</f>
        <v>0</v>
      </c>
      <c r="AP73" s="967">
        <f>ROUND(AP70-AP14-AP15,3)</f>
        <v>0</v>
      </c>
      <c r="AQ73" s="967">
        <f>ROUND(AQ70-AQ14-AQ15,3)</f>
        <v>0</v>
      </c>
      <c r="AR73" s="1006"/>
      <c r="AS73" s="967">
        <f>ROUND(AS70-AS14-AS15,3)</f>
        <v>0</v>
      </c>
      <c r="AT73" s="967">
        <f>ROUND(AT70-AT14-AT15,3)</f>
        <v>0</v>
      </c>
      <c r="AU73" s="967">
        <f>ROUND(AU70-AU14-AU15,3)</f>
        <v>0</v>
      </c>
      <c r="AV73" s="967">
        <f>ROUND(AV70-AV14-AV15,3)</f>
        <v>0</v>
      </c>
      <c r="AW73" s="967">
        <f>ROUND(AW70-AW14-AW15,3)</f>
        <v>0</v>
      </c>
      <c r="AX73" s="1006"/>
      <c r="AY73" s="967">
        <f>ROUND(AY70-AY14-AY15,3)</f>
        <v>0</v>
      </c>
      <c r="AZ73" s="967">
        <f>ROUND(AZ70-AZ14-AZ15,3)</f>
        <v>0</v>
      </c>
      <c r="BA73" s="967">
        <f>ROUND(BA70-BA14-BA15,3)</f>
        <v>0</v>
      </c>
      <c r="BB73" s="967">
        <f>ROUND(BB70-BB14-BB15,3)</f>
        <v>0</v>
      </c>
      <c r="BC73" s="967">
        <f>ROUND(BC70-BC14-BC15,3)</f>
        <v>0</v>
      </c>
      <c r="BD73" s="1006"/>
      <c r="BE73" s="967">
        <f>ROUND(BE70-BE14-BE15,3)</f>
        <v>0</v>
      </c>
      <c r="BF73" s="967">
        <f>ROUND(BF70-BF14-BF15,3)</f>
        <v>0</v>
      </c>
      <c r="BG73" s="967">
        <f>ROUND(BG70-BG14-BG15,3)</f>
        <v>0</v>
      </c>
      <c r="BH73" s="967">
        <f>ROUND(BH70-BH14-BH15,3)</f>
        <v>0</v>
      </c>
      <c r="BI73" s="967">
        <f>ROUND(BI70-BI14-BI15,3)</f>
        <v>0</v>
      </c>
      <c r="BJ73" s="1006"/>
      <c r="BK73" s="967">
        <f>ROUND(BK70-BK14-BK15,3)</f>
        <v>0</v>
      </c>
      <c r="BL73" s="967">
        <f>ROUND(BL70-BL14-BL15,3)</f>
        <v>0</v>
      </c>
      <c r="BM73" s="967">
        <f>ROUND(BM70-BM14-BM15,3)</f>
        <v>0</v>
      </c>
      <c r="BN73" s="967">
        <f>ROUND(BN70-BN14-BN15,3)</f>
        <v>-1E-3</v>
      </c>
      <c r="BO73" s="967">
        <f>ROUND(BO70-BO14-BO15,3)</f>
        <v>0</v>
      </c>
      <c r="BP73" s="1006"/>
      <c r="BQ73" s="967">
        <f>ROUND(BQ70-BQ14-BQ15,3)</f>
        <v>0</v>
      </c>
      <c r="BR73" s="967">
        <f>ROUND(BR70-BR14-BR15,3)</f>
        <v>0</v>
      </c>
      <c r="BS73" s="967">
        <f>ROUND(BS70-BS14-BS15,3)</f>
        <v>0</v>
      </c>
      <c r="BT73" s="967">
        <f>ROUND(BT70-BT14-BT15,3)</f>
        <v>0</v>
      </c>
      <c r="BU73" s="967">
        <f>ROUND(BU70-BU14-BU15,3)</f>
        <v>0</v>
      </c>
      <c r="BV73" s="1007"/>
      <c r="BW73" s="967">
        <f>ROUND(BW70-BW14-BW15,3)</f>
        <v>0</v>
      </c>
      <c r="BX73" s="967">
        <f>ROUND(BX70-BX14-BX15,3)</f>
        <v>0</v>
      </c>
      <c r="BY73" s="967">
        <f>ROUND(BY70-BY14-BY15,3)</f>
        <v>0</v>
      </c>
      <c r="BZ73" s="967">
        <f>ROUND(BZ70-BZ14-BZ15,3)</f>
        <v>0</v>
      </c>
      <c r="CA73" s="967">
        <f>ROUND(CA70-CA14-CA15,3)</f>
        <v>0</v>
      </c>
      <c r="CB73" s="1007"/>
      <c r="CC73" s="967">
        <f>ROUND(CC70-CC14-CC15,3)</f>
        <v>0</v>
      </c>
      <c r="CD73" s="967">
        <f>ROUND(CD70-CD14-CD15,3)</f>
        <v>0</v>
      </c>
      <c r="CE73" s="967">
        <f>ROUND(CE70-CE14-CE15,3)</f>
        <v>0</v>
      </c>
      <c r="CF73" s="967">
        <f>ROUND(CF70-CF14-CF15,3)</f>
        <v>0</v>
      </c>
      <c r="CG73" s="967">
        <f>ROUND(CG70-CG14-CG15,3)</f>
        <v>0</v>
      </c>
      <c r="CH73" s="1007"/>
      <c r="CI73" s="967">
        <f>ROUND(CI70-CI14-CI15,3)</f>
        <v>0</v>
      </c>
      <c r="CJ73" s="967">
        <f>ROUND(CJ70-CJ14-CJ15,3)</f>
        <v>0</v>
      </c>
      <c r="CK73" s="967">
        <f>ROUND(CK70-CK14-CK15,3)</f>
        <v>0</v>
      </c>
      <c r="CL73" s="967">
        <f>ROUND(CL70-CL14-CL15,3)</f>
        <v>0</v>
      </c>
      <c r="CM73" s="967">
        <f>ROUND(CM70-CM14-CM15,3)</f>
        <v>0</v>
      </c>
    </row>
    <row r="74" spans="1:91" collapsed="1">
      <c r="AV74" s="1495"/>
      <c r="AY74" s="1495"/>
      <c r="AZ74" s="1495"/>
      <c r="BA74" s="1495"/>
      <c r="BB74" s="1495"/>
      <c r="BC74" s="1495"/>
      <c r="BE74" s="114"/>
    </row>
    <row r="75" spans="1:91">
      <c r="A75" s="12" t="s">
        <v>101</v>
      </c>
      <c r="B75" s="16"/>
      <c r="C75" s="16"/>
      <c r="D75" s="16"/>
      <c r="E75" s="16"/>
      <c r="F75" s="16"/>
      <c r="G75" s="17"/>
      <c r="H75" s="16"/>
      <c r="I75" s="16"/>
      <c r="J75" s="16"/>
      <c r="K75" s="16"/>
      <c r="L75" s="16"/>
      <c r="M75" s="17"/>
      <c r="N75" s="16"/>
      <c r="O75" s="16"/>
      <c r="P75" s="16"/>
      <c r="Q75" s="16"/>
      <c r="R75" s="16"/>
      <c r="S75" s="17"/>
      <c r="T75" s="16"/>
      <c r="U75" s="16"/>
      <c r="V75" s="16"/>
      <c r="W75" s="16"/>
      <c r="X75" s="16"/>
      <c r="Y75" s="17"/>
      <c r="Z75" s="16"/>
      <c r="AA75" s="16"/>
      <c r="AB75" s="16"/>
      <c r="AC75" s="16"/>
      <c r="AD75" s="16"/>
      <c r="AE75" s="17"/>
      <c r="AF75" s="16"/>
      <c r="AG75" s="16"/>
      <c r="AH75" s="16"/>
      <c r="AI75" s="16"/>
      <c r="AJ75" s="16"/>
      <c r="AK75" s="17"/>
      <c r="AL75" s="16"/>
      <c r="AM75" s="16"/>
      <c r="AN75" s="16"/>
      <c r="AO75" s="16"/>
      <c r="AP75" s="16"/>
      <c r="AQ75" s="17"/>
      <c r="AR75" s="16"/>
      <c r="AS75" s="16"/>
      <c r="AT75" s="16"/>
      <c r="AU75" s="16"/>
      <c r="AV75" s="16"/>
      <c r="AW75" s="17"/>
      <c r="AX75" s="16"/>
      <c r="AY75" s="16"/>
      <c r="AZ75" s="16"/>
      <c r="BA75" s="16"/>
      <c r="BB75" s="16"/>
      <c r="BC75" s="17"/>
      <c r="BD75" s="16"/>
      <c r="BE75" s="16"/>
      <c r="BF75" s="16"/>
      <c r="BG75" s="16"/>
      <c r="BH75" s="16"/>
      <c r="BI75" s="17"/>
      <c r="BJ75" s="16"/>
      <c r="BK75" s="16"/>
      <c r="BL75" s="16"/>
      <c r="BM75" s="16"/>
      <c r="BN75" s="16"/>
      <c r="BO75" s="17"/>
      <c r="BP75" s="16"/>
      <c r="BQ75" s="16"/>
      <c r="BR75" s="16"/>
      <c r="BS75" s="16"/>
      <c r="BT75" s="16"/>
      <c r="BU75" s="17"/>
      <c r="BV75" s="1919"/>
      <c r="BW75" s="16"/>
      <c r="BX75" s="16"/>
      <c r="BY75" s="16"/>
      <c r="BZ75" s="16"/>
      <c r="CA75" s="17"/>
      <c r="CB75" s="1919"/>
      <c r="CC75" s="16"/>
      <c r="CD75" s="16"/>
      <c r="CE75" s="16"/>
      <c r="CF75" s="16"/>
      <c r="CG75" s="17"/>
      <c r="CH75" s="1919"/>
      <c r="CI75" s="16"/>
      <c r="CJ75" s="16"/>
      <c r="CK75" s="16"/>
      <c r="CL75" s="16"/>
      <c r="CM75" s="17"/>
    </row>
    <row r="76" spans="1:91">
      <c r="A76" s="1041" t="s">
        <v>88</v>
      </c>
      <c r="B76" s="1042"/>
      <c r="C76" s="1046"/>
      <c r="D76" s="1043"/>
      <c r="E76" s="1043"/>
      <c r="F76" s="1044"/>
      <c r="G76" s="1044">
        <f>G9/SUM(G9,G13)</f>
        <v>0.73832760371691897</v>
      </c>
      <c r="H76" s="1042"/>
      <c r="I76" s="1046">
        <f>I9/SUM(I9,I13)</f>
        <v>0.72706036053957279</v>
      </c>
      <c r="J76" s="1043">
        <f>J9/SUM(J9,J13)</f>
        <v>0.72053151310588848</v>
      </c>
      <c r="K76" s="1043">
        <f>K9/SUM(K9,K13)</f>
        <v>0.7188967409593332</v>
      </c>
      <c r="L76" s="1044">
        <f>L9/SUM(L9,L13)</f>
        <v>0.72809091365449852</v>
      </c>
      <c r="M76" s="1044">
        <f>M9/SUM(M9,M13)</f>
        <v>0.72368016740269336</v>
      </c>
      <c r="N76" s="1042"/>
      <c r="O76" s="1046">
        <f>O9/SUM(O9,O13)</f>
        <v>0.68292038480477524</v>
      </c>
      <c r="P76" s="1043">
        <f>P9/SUM(P9,P13)</f>
        <v>0.69871870840074202</v>
      </c>
      <c r="Q76" s="1043">
        <f>Q9/SUM(Q9,Q13)</f>
        <v>0.69108648300323261</v>
      </c>
      <c r="R76" s="1044">
        <f>R9/SUM(R9,R13)</f>
        <v>0.72899508272306202</v>
      </c>
      <c r="S76" s="1044">
        <f>S9/SUM(S9,S13)</f>
        <v>0.70192700340294922</v>
      </c>
      <c r="T76" s="1042"/>
      <c r="U76" s="1046">
        <f>U9/SUM(U9,U13)</f>
        <v>0.6881751427794397</v>
      </c>
      <c r="V76" s="1043">
        <f>V9/SUM(V9,V13)</f>
        <v>0.70431269258799911</v>
      </c>
      <c r="W76" s="1043">
        <f>W9/SUM(W9,W13)</f>
        <v>0.70550421655803197</v>
      </c>
      <c r="X76" s="1044">
        <f>X9/SUM(X9,X13)</f>
        <v>0.73457849612678827</v>
      </c>
      <c r="Y76" s="1045">
        <f>Y9/SUM(Y9,Y13)</f>
        <v>0.70989873862931741</v>
      </c>
      <c r="Z76" s="1042"/>
      <c r="AA76" s="1046">
        <f>AA9/SUM(AA9,AA13)</f>
        <v>0.70938697810819851</v>
      </c>
      <c r="AB76" s="1043">
        <f>AB9/SUM(AB9,AB13)</f>
        <v>0.70628000545096692</v>
      </c>
      <c r="AC76" s="1043">
        <f>AC9/SUM(AC9,AC13)</f>
        <v>0.7069834159820827</v>
      </c>
      <c r="AD76" s="1044">
        <f>AD9/SUM(AD9,AD13)</f>
        <v>0.73127613056652985</v>
      </c>
      <c r="AE76" s="1044">
        <f>AE9/SUM(AE9,AE13)</f>
        <v>0.71421101305974988</v>
      </c>
      <c r="AF76" s="1047"/>
      <c r="AG76" s="1046">
        <f>AG9/SUM(AG9,AG13)</f>
        <v>0.68141645538912332</v>
      </c>
      <c r="AH76" s="1043">
        <f>AH9/SUM(AH9,AH13)</f>
        <v>0.69519231834139961</v>
      </c>
      <c r="AI76" s="1043">
        <f>AI9/SUM(AI9,AI13)</f>
        <v>0.69079146220041243</v>
      </c>
      <c r="AJ76" s="1044">
        <f>AJ9/SUM(AJ9,AJ13)</f>
        <v>0.70783071338492731</v>
      </c>
      <c r="AK76" s="1045">
        <f>AK9/SUM(AK9,AK13)</f>
        <v>0.69455333223767535</v>
      </c>
      <c r="AL76" s="1047"/>
      <c r="AM76" s="1046">
        <f>AM9/SUM(AM9,AM13)</f>
        <v>0.68251932202129495</v>
      </c>
      <c r="AN76" s="1043">
        <f>AN9/SUM(AN9,AN13)</f>
        <v>0.67657027587200602</v>
      </c>
      <c r="AO76" s="1043">
        <f>AO9/SUM(AO9,AO13)</f>
        <v>0.68430213615500846</v>
      </c>
      <c r="AP76" s="1044">
        <f>AP9/SUM(AP9,AP13)</f>
        <v>0.70852669034111015</v>
      </c>
      <c r="AQ76" s="1045">
        <f>AQ9/SUM(AQ9,AQ13)</f>
        <v>0.68926089344812413</v>
      </c>
      <c r="AR76" s="1047"/>
      <c r="AS76" s="1046">
        <f>AS9/SUM(AS9,AS13)</f>
        <v>0.66153242216172514</v>
      </c>
      <c r="AT76" s="1043">
        <f>AT9/SUM(AT9,AT13)</f>
        <v>0.66680019344086039</v>
      </c>
      <c r="AU76" s="1043">
        <f>AU9/SUM(AU9,AU13)</f>
        <v>0.67150953534821001</v>
      </c>
      <c r="AV76" s="1044">
        <f>AV9/SUM(AV9,AV13)</f>
        <v>0.70136160446674767</v>
      </c>
      <c r="AW76" s="1045">
        <f>AW9/SUM(AW9,AW13)</f>
        <v>0.67697140363858632</v>
      </c>
      <c r="AX76" s="1047"/>
      <c r="AY76" s="1046">
        <f>AY9/SUM(AY9,AY13)</f>
        <v>0.65784180849862295</v>
      </c>
      <c r="AZ76" s="1043">
        <f>AZ9/SUM(AZ9,AZ13)</f>
        <v>0.6711323119214132</v>
      </c>
      <c r="BA76" s="1043">
        <f>BA9/SUM(BA9,BA13)</f>
        <v>0.67308791037560589</v>
      </c>
      <c r="BB76" s="1044">
        <f>BB9/SUM(BB9,BB13)</f>
        <v>0.70475102708784365</v>
      </c>
      <c r="BC76" s="1045">
        <f>BC9/SUM(BC9,BC13)</f>
        <v>0.67827170117297286</v>
      </c>
      <c r="BD76" s="1047"/>
      <c r="BE76" s="1046">
        <f>BE9/SUM(BE9,BE13)</f>
        <v>0.64778451580865493</v>
      </c>
      <c r="BF76" s="1043">
        <f>BF9/SUM(BF9,BF13)</f>
        <v>0.67035746235276583</v>
      </c>
      <c r="BG76" s="1043">
        <f>BG9/SUM(BG9,BG13)</f>
        <v>0.66422565153844693</v>
      </c>
      <c r="BH76" s="1044">
        <f>BH9/SUM(BH9,BH13)</f>
        <v>0.70424165894014978</v>
      </c>
      <c r="BI76" s="1045">
        <f>BI9/SUM(BI9,BI13)</f>
        <v>0.67374757949878739</v>
      </c>
      <c r="BJ76" s="1047"/>
      <c r="BK76" s="1046">
        <f>BK9/SUM(BK9,BK13)</f>
        <v>0.65123732601828632</v>
      </c>
      <c r="BL76" s="1043">
        <f>BL9/SUM(BL9,BL13)</f>
        <v>0.66786923421406175</v>
      </c>
      <c r="BM76" s="1043">
        <f>BM9/SUM(BM9,BM13)</f>
        <v>0.66400393221873311</v>
      </c>
      <c r="BN76" s="1044">
        <f>BN9/SUM(BN9,BN13)</f>
        <v>0.69792295660397941</v>
      </c>
      <c r="BO76" s="1045">
        <f>BO9/SUM(BO9,BO13)</f>
        <v>0.67228088440494427</v>
      </c>
      <c r="BP76" s="1047"/>
      <c r="BQ76" s="1046">
        <f>BQ9/SUM(BQ9,BQ13)</f>
        <v>0.64626626678597199</v>
      </c>
      <c r="BR76" s="1043">
        <f>BR9/SUM(BR9,BR13)</f>
        <v>0.66907678355453315</v>
      </c>
      <c r="BS76" s="1043">
        <f>BS9/SUM(BS9,BS13)</f>
        <v>0.66040635489426602</v>
      </c>
      <c r="BT76" s="1044">
        <f>BT9/SUM(BT9,BT13)</f>
        <v>0.69734580682128822</v>
      </c>
      <c r="BU76" s="1045">
        <f>BU9/SUM(BU9,BU13)</f>
        <v>0.67034011101294488</v>
      </c>
      <c r="BV76" s="24"/>
      <c r="BW76" s="1046">
        <f>BW9/SUM(BW9,BW13)</f>
        <v>0.64840734862324212</v>
      </c>
      <c r="BX76" s="1043">
        <f>BX9/SUM(BX9,BX13)</f>
        <v>0.66892925023828831</v>
      </c>
      <c r="BY76" s="1043">
        <f>BY9/SUM(BY9,BY13)</f>
        <v>0.66229747926968874</v>
      </c>
      <c r="BZ76" s="1044">
        <f>BZ9/SUM(BZ9,BZ13)</f>
        <v>0.69711360229098929</v>
      </c>
      <c r="CA76" s="1045">
        <f>CA9/SUM(CA9,CA13)</f>
        <v>0.67106558844645581</v>
      </c>
      <c r="CB76" s="24"/>
      <c r="CC76" s="1046">
        <f>CC9/SUM(CC9,CC13)</f>
        <v>0.64791633349120192</v>
      </c>
      <c r="CD76" s="1043">
        <f>CD9/SUM(CD9,CD13)</f>
        <v>0.66626664347888676</v>
      </c>
      <c r="CE76" s="1043">
        <f>CE9/SUM(CE9,CE13)</f>
        <v>0.6620401233081199</v>
      </c>
      <c r="CF76" s="1044">
        <f>CF9/SUM(CF9,CF13)</f>
        <v>0.69490893834128342</v>
      </c>
      <c r="CG76" s="1045">
        <f>CG9/SUM(CG9,CG13)</f>
        <v>0.66950981290877187</v>
      </c>
      <c r="CH76" s="24"/>
      <c r="CI76" s="1046">
        <f>CI9/SUM(CI9,CI13)</f>
        <v>0.64743074239206422</v>
      </c>
      <c r="CJ76" s="1043">
        <f>CJ9/SUM(CJ9,CJ13)</f>
        <v>0.66360707097787819</v>
      </c>
      <c r="CK76" s="1043">
        <f>CK9/SUM(CK9,CK13)</f>
        <v>0.66179925150099916</v>
      </c>
      <c r="CL76" s="1044">
        <f>CL9/SUM(CL9,CL13)</f>
        <v>0.69275943944583285</v>
      </c>
      <c r="CM76" s="1045">
        <f>CM9/SUM(CM9,CM13)</f>
        <v>0.66798280023327594</v>
      </c>
    </row>
    <row r="77" spans="1:91" hidden="1" outlineLevel="1">
      <c r="A77" s="1048" t="s">
        <v>90</v>
      </c>
      <c r="B77" s="1049"/>
      <c r="C77" s="486"/>
      <c r="D77" s="93"/>
      <c r="E77" s="93"/>
      <c r="F77" s="91"/>
      <c r="G77" s="91">
        <f>G10/G9</f>
        <v>0.68228251035314713</v>
      </c>
      <c r="H77" s="1049"/>
      <c r="I77" s="486">
        <f>I10/I9</f>
        <v>0.67051559351487255</v>
      </c>
      <c r="J77" s="93">
        <f>J10/J9</f>
        <v>0.6806259381933053</v>
      </c>
      <c r="K77" s="93">
        <f>K10/K9</f>
        <v>0.66829542303856093</v>
      </c>
      <c r="L77" s="91">
        <f>L10/L9</f>
        <v>0.67223712419931503</v>
      </c>
      <c r="M77" s="91">
        <f>M10/M9</f>
        <v>0.67298133322104137</v>
      </c>
      <c r="N77" s="1049"/>
      <c r="O77" s="486">
        <f>O10/O9</f>
        <v>0.62788417572368183</v>
      </c>
      <c r="P77" s="93">
        <f>P10/P9</f>
        <v>0.67433861494708525</v>
      </c>
      <c r="Q77" s="93">
        <f>Q10/Q9</f>
        <v>0.66513185271951047</v>
      </c>
      <c r="R77" s="91">
        <f>R10/R9</f>
        <v>0.68262183082538996</v>
      </c>
      <c r="S77" s="91">
        <f>S10/S9</f>
        <v>0.66447587306958888</v>
      </c>
      <c r="T77" s="1049"/>
      <c r="U77" s="486">
        <f>U10/U9</f>
        <v>0.62664300788011473</v>
      </c>
      <c r="V77" s="93">
        <f>V10/V9</f>
        <v>0.66273577198874456</v>
      </c>
      <c r="W77" s="93">
        <f>W10/W9</f>
        <v>0.65572182911915855</v>
      </c>
      <c r="X77" s="91">
        <f>X10/X9</f>
        <v>0.69252813701699767</v>
      </c>
      <c r="Y77" s="1050">
        <f>Y10/Y9</f>
        <v>0.66227766029759294</v>
      </c>
      <c r="Z77" s="1049"/>
      <c r="AA77" s="486">
        <f>AA10/AA9</f>
        <v>0.6511294406203022</v>
      </c>
      <c r="AB77" s="93">
        <f>AB10/AB9</f>
        <v>0.65292108176498487</v>
      </c>
      <c r="AC77" s="93">
        <f>AC10/AC9</f>
        <v>0.66178722133014678</v>
      </c>
      <c r="AD77" s="91">
        <f>AD10/AD9</f>
        <v>0.68651882235078765</v>
      </c>
      <c r="AE77" s="91">
        <f>AE10/AE9</f>
        <v>0.66435449908330158</v>
      </c>
      <c r="AF77" s="1051"/>
      <c r="AG77" s="486">
        <f>AG10/AG9</f>
        <v>0.61662367760648085</v>
      </c>
      <c r="AH77" s="93">
        <f>AH10/AH9</f>
        <v>0.64966624715234744</v>
      </c>
      <c r="AI77" s="93">
        <f>AI10/AI9</f>
        <v>0.65153801359616248</v>
      </c>
      <c r="AJ77" s="91">
        <f>AJ10/AJ9</f>
        <v>0.664398546525796</v>
      </c>
      <c r="AK77" s="1050">
        <f>AK10/AK9</f>
        <v>0.64697654913249203</v>
      </c>
      <c r="AL77" s="1051"/>
      <c r="AM77" s="486">
        <f>AM10/AM9</f>
        <v>0.62824380179358152</v>
      </c>
      <c r="AN77" s="93">
        <f>AN10/AN9</f>
        <v>0.64043563305385465</v>
      </c>
      <c r="AO77" s="93">
        <f>AO10/AO9</f>
        <v>0.62947245984092959</v>
      </c>
      <c r="AP77" s="91">
        <f>AP10/AP9</f>
        <v>0.65802288866424552</v>
      </c>
      <c r="AQ77" s="1050">
        <f>AQ10/AQ9</f>
        <v>0.64046177418261141</v>
      </c>
      <c r="AR77" s="1051"/>
      <c r="AS77" s="486">
        <f>AS10/AS9</f>
        <v>0.61926648993135414</v>
      </c>
      <c r="AT77" s="93">
        <f>AT10/AT9</f>
        <v>0.64178793208099238</v>
      </c>
      <c r="AU77" s="93">
        <f>AU10/AU9</f>
        <v>0.64355230776199179</v>
      </c>
      <c r="AV77" s="91">
        <f>AV10/AV9</f>
        <v>0.67246717980776738</v>
      </c>
      <c r="AW77" s="1050">
        <f>AW10/AW9</f>
        <v>0.64678788382814967</v>
      </c>
      <c r="AX77" s="1051"/>
      <c r="AY77" s="486">
        <f>AY10/AY9</f>
        <v>0.62238628071832092</v>
      </c>
      <c r="AZ77" s="93">
        <f>AZ10/AZ9</f>
        <v>0.65527834331217094</v>
      </c>
      <c r="BA77" s="93">
        <f>BA10/BA9</f>
        <v>0.65056257475521828</v>
      </c>
      <c r="BB77" s="91">
        <f>BB10/BB9</f>
        <v>0.65394495590376722</v>
      </c>
      <c r="BC77" s="1050">
        <f>BC10/BC9</f>
        <v>0.64654186662970592</v>
      </c>
      <c r="BD77" s="1051"/>
      <c r="BE77" s="486">
        <f>BE10/BE9</f>
        <v>0.61239146746703832</v>
      </c>
      <c r="BF77" s="93">
        <f>BF10/BF9</f>
        <v>0.64461138364781434</v>
      </c>
      <c r="BG77" s="93">
        <f>BG10/BG9</f>
        <v>0.64660290226156936</v>
      </c>
      <c r="BH77" s="91">
        <f>BH10/BH9</f>
        <v>0.67001793061709325</v>
      </c>
      <c r="BI77" s="1050">
        <f>BI10/BI9</f>
        <v>0.64600031414872838</v>
      </c>
      <c r="BJ77" s="1051"/>
      <c r="BK77" s="486">
        <f>BK10/BK9</f>
        <v>0.61009078126156346</v>
      </c>
      <c r="BL77" s="93">
        <f>BL10/BL9</f>
        <v>0.63980602835547884</v>
      </c>
      <c r="BM77" s="93">
        <f>BM10/BM9</f>
        <v>0.63367738952566532</v>
      </c>
      <c r="BN77" s="91">
        <f>BN10/BN9</f>
        <v>0.65637232220659336</v>
      </c>
      <c r="BO77" s="1050">
        <f>BO10/BO9</f>
        <v>0.63723452237067124</v>
      </c>
      <c r="BP77" s="1051"/>
      <c r="BQ77" s="486">
        <f>BQ10/BQ9</f>
        <v>0.60235677500181983</v>
      </c>
      <c r="BR77" s="93">
        <f>BR10/BR9</f>
        <v>0.62827511629882637</v>
      </c>
      <c r="BS77" s="93">
        <f>BS10/BS9</f>
        <v>0.62648171370649819</v>
      </c>
      <c r="BT77" s="91">
        <f>BT10/BT9</f>
        <v>0.65184576735320565</v>
      </c>
      <c r="BU77" s="1050">
        <f>BU10/BU9</f>
        <v>0.6296313548937017</v>
      </c>
      <c r="BV77" s="24"/>
      <c r="BW77" s="486">
        <f>BW10/BW9</f>
        <v>0.59760828431601754</v>
      </c>
      <c r="BX77" s="93">
        <f>BX10/BX9</f>
        <v>0.62066607172157684</v>
      </c>
      <c r="BY77" s="93">
        <f>BY10/BY9</f>
        <v>0.61904014376855288</v>
      </c>
      <c r="BZ77" s="91">
        <f>BZ10/BZ9</f>
        <v>0.64150438528928377</v>
      </c>
      <c r="CA77" s="1050">
        <f>CA10/CA9</f>
        <v>0.62171914569708941</v>
      </c>
      <c r="CB77" s="24"/>
      <c r="CC77" s="486">
        <f>CC10/CC9</f>
        <v>0.59679445776564555</v>
      </c>
      <c r="CD77" s="93">
        <f>CD10/CD9</f>
        <v>0.6168589341143299</v>
      </c>
      <c r="CE77" s="93">
        <f>CE10/CE9</f>
        <v>0.61612893435205796</v>
      </c>
      <c r="CF77" s="91">
        <f>CF10/CF9</f>
        <v>0.63562182120882538</v>
      </c>
      <c r="CG77" s="1050">
        <f>CG10/CG9</f>
        <v>0.61804746107962227</v>
      </c>
      <c r="CH77" s="24"/>
      <c r="CI77" s="486">
        <f>CI10/CI9</f>
        <v>0.59597559698672375</v>
      </c>
      <c r="CJ77" s="93">
        <f>CJ10/CJ9</f>
        <v>0.61303288375511999</v>
      </c>
      <c r="CK77" s="93">
        <f>CK10/CK9</f>
        <v>0.61321660372651654</v>
      </c>
      <c r="CL77" s="91">
        <f>CL10/CL9</f>
        <v>0.62974646408578716</v>
      </c>
      <c r="CM77" s="1050">
        <f>CM10/CM9</f>
        <v>0.61439524188206951</v>
      </c>
    </row>
    <row r="78" spans="1:91" hidden="1" outlineLevel="1">
      <c r="A78" s="1048" t="s">
        <v>95</v>
      </c>
      <c r="B78" s="1049"/>
      <c r="C78" s="486"/>
      <c r="D78" s="93"/>
      <c r="E78" s="93"/>
      <c r="F78" s="91"/>
      <c r="G78" s="91">
        <f>G21/G10</f>
        <v>0.43684951721256804</v>
      </c>
      <c r="H78" s="1049"/>
      <c r="I78" s="486">
        <f>I21/I10</f>
        <v>0.43010515519627679</v>
      </c>
      <c r="J78" s="93">
        <f>J21/J10</f>
        <v>0.43495614618620215</v>
      </c>
      <c r="K78" s="93">
        <f>K21/K10</f>
        <v>0.45028289789166853</v>
      </c>
      <c r="L78" s="91">
        <f>L21/L10</f>
        <v>0.43955614597171222</v>
      </c>
      <c r="M78" s="91">
        <f>M21/M10</f>
        <v>0.43874527780457345</v>
      </c>
      <c r="N78" s="1049"/>
      <c r="O78" s="486">
        <f>O21/O10</f>
        <v>0.52516962979042237</v>
      </c>
      <c r="P78" s="93">
        <f>P21/P10</f>
        <v>0.47964716686456987</v>
      </c>
      <c r="Q78" s="93">
        <f>Q21/Q10</f>
        <v>0.43447281069150695</v>
      </c>
      <c r="R78" s="91">
        <f>R21/R10</f>
        <v>0.42328838637763899</v>
      </c>
      <c r="S78" s="91">
        <f>S21/S10</f>
        <v>0.46064885681831835</v>
      </c>
      <c r="T78" s="1049"/>
      <c r="U78" s="486">
        <f>U21/U10</f>
        <v>0.5439341098715369</v>
      </c>
      <c r="V78" s="93">
        <f>V21/V10</f>
        <v>0.48966219991891929</v>
      </c>
      <c r="W78" s="93">
        <f>W21/W10</f>
        <v>0.44468160796869438</v>
      </c>
      <c r="X78" s="91">
        <f>X21/X10</f>
        <v>0.41706638916440381</v>
      </c>
      <c r="Y78" s="1050">
        <f>Y21/Y10</f>
        <v>0.46688522723007492</v>
      </c>
      <c r="Z78" s="1049"/>
      <c r="AA78" s="486">
        <f>AA21/AA10</f>
        <v>0.51092091073408563</v>
      </c>
      <c r="AB78" s="93">
        <f>AB21/AB10</f>
        <v>0.48928839604497604</v>
      </c>
      <c r="AC78" s="93">
        <f>AC21/AC10</f>
        <v>0.43836756573750141</v>
      </c>
      <c r="AD78" s="91">
        <f>AD21/AD10</f>
        <v>0.41938182609991187</v>
      </c>
      <c r="AE78" s="91">
        <f>AE21/AE10</f>
        <v>0.46099056544701705</v>
      </c>
      <c r="AF78" s="1051"/>
      <c r="AG78" s="486">
        <f>AG21/AG10</f>
        <v>0.49865912988843414</v>
      </c>
      <c r="AH78" s="93">
        <f>AH21/AH10</f>
        <v>0.45075528810550214</v>
      </c>
      <c r="AI78" s="93">
        <f>AI21/AI10</f>
        <v>0.44653059309772702</v>
      </c>
      <c r="AJ78" s="91">
        <f>AJ21/AJ10</f>
        <v>0.41876765956059464</v>
      </c>
      <c r="AK78" s="1050">
        <f>AK21/AK10</f>
        <v>0.4504637151189318</v>
      </c>
      <c r="AL78" s="1051"/>
      <c r="AM78" s="486">
        <f>AM21/AM10</f>
        <v>0.52072887675180468</v>
      </c>
      <c r="AN78" s="93">
        <f>AN21/AN10</f>
        <v>0.49183134264432032</v>
      </c>
      <c r="AO78" s="93">
        <f>AO21/AO10</f>
        <v>0.42691862235962408</v>
      </c>
      <c r="AP78" s="91">
        <f>AP21/AP10</f>
        <v>0.41316446767592102</v>
      </c>
      <c r="AQ78" s="1050">
        <f>AQ21/AQ10</f>
        <v>0.45829190985304691</v>
      </c>
      <c r="AR78" s="1051"/>
      <c r="AS78" s="486">
        <f>AS21/AS10</f>
        <v>0.49578795831866196</v>
      </c>
      <c r="AT78" s="93">
        <f>AT21/AT10</f>
        <v>0.46067416199798233</v>
      </c>
      <c r="AU78" s="93">
        <f>AU21/AU10</f>
        <v>0.41758336280195224</v>
      </c>
      <c r="AV78" s="91">
        <f>AV21/AV10</f>
        <v>0.40509813243528064</v>
      </c>
      <c r="AW78" s="1050">
        <f>AW21/AW10</f>
        <v>0.43967049331281954</v>
      </c>
      <c r="AX78" s="1051"/>
      <c r="AY78" s="486">
        <f>AY21/AY10</f>
        <v>0.49400910361144484</v>
      </c>
      <c r="AZ78" s="93">
        <f>AZ21/AZ10</f>
        <v>0.4607345723586303</v>
      </c>
      <c r="BA78" s="93">
        <f>BA21/BA10</f>
        <v>0.41758331898538015</v>
      </c>
      <c r="BB78" s="91">
        <f>BB21/BB10</f>
        <v>0.40255406685350975</v>
      </c>
      <c r="BC78" s="1050">
        <f>BC21/BC10</f>
        <v>0.43961493139417446</v>
      </c>
      <c r="BD78" s="1051"/>
      <c r="BE78" s="486">
        <f>BE21/BE10</f>
        <v>0.47325960959552771</v>
      </c>
      <c r="BF78" s="93">
        <f>BF21/BF10</f>
        <v>0.4607449693538519</v>
      </c>
      <c r="BG78" s="93">
        <f>BG21/BG10</f>
        <v>0.41878959492114903</v>
      </c>
      <c r="BH78" s="91">
        <f>BH21/BH10</f>
        <v>0.40348889493363921</v>
      </c>
      <c r="BI78" s="1050">
        <f>BI21/BI10</f>
        <v>0.43517502633190114</v>
      </c>
      <c r="BJ78" s="1051"/>
      <c r="BK78" s="486">
        <f>BK21/BK10</f>
        <v>0.4735118472797929</v>
      </c>
      <c r="BL78" s="93">
        <f>BL21/BL10</f>
        <v>0.45678831815372467</v>
      </c>
      <c r="BM78" s="93">
        <f>BM21/BM10</f>
        <v>0.41610217556381851</v>
      </c>
      <c r="BN78" s="91">
        <f>BN21/BN10</f>
        <v>0.40457273911865976</v>
      </c>
      <c r="BO78" s="1050">
        <f>BO21/BO10</f>
        <v>0.43372635837938689</v>
      </c>
      <c r="BP78" s="1051"/>
      <c r="BQ78" s="486">
        <f>BQ21/BQ10</f>
        <v>0.4692116569354865</v>
      </c>
      <c r="BR78" s="93">
        <f>BR21/BR10</f>
        <v>0.448119719198245</v>
      </c>
      <c r="BS78" s="93">
        <f>BS21/BS10</f>
        <v>0.41377969919093577</v>
      </c>
      <c r="BT78" s="91">
        <f>BT21/BT10</f>
        <v>0.39808994643121781</v>
      </c>
      <c r="BU78" s="1050">
        <f>BU21/BU10</f>
        <v>0.42831087500515919</v>
      </c>
      <c r="BV78" s="24"/>
      <c r="BW78" s="486">
        <f>BW21/BW10</f>
        <v>0.46451528930240166</v>
      </c>
      <c r="BX78" s="93">
        <f>BX21/BX10</f>
        <v>0.44575430562749219</v>
      </c>
      <c r="BY78" s="93">
        <f>BY21/BY10</f>
        <v>0.40930090541674524</v>
      </c>
      <c r="BZ78" s="91">
        <f>BZ21/BZ10</f>
        <v>0.39916751702761055</v>
      </c>
      <c r="CA78" s="1050">
        <f>CA21/CA10</f>
        <v>0.42628588630532105</v>
      </c>
      <c r="CB78" s="24"/>
      <c r="CC78" s="486">
        <f>CC21/CC10</f>
        <v>0.46215834901839598</v>
      </c>
      <c r="CD78" s="93">
        <f>CD21/CD10</f>
        <v>0.4457543056274923</v>
      </c>
      <c r="CE78" s="93">
        <f>CE21/CE10</f>
        <v>0.40582668145596601</v>
      </c>
      <c r="CF78" s="91">
        <f>CF21/CF10</f>
        <v>0.40126607841860723</v>
      </c>
      <c r="CG78" s="1050">
        <f>CG21/CG10</f>
        <v>0.4258056431758932</v>
      </c>
      <c r="CH78" s="24"/>
      <c r="CI78" s="486">
        <f>CI21/CI10</f>
        <v>0.45980309894351756</v>
      </c>
      <c r="CJ78" s="93">
        <f>CJ21/CJ10</f>
        <v>0.44575430562749219</v>
      </c>
      <c r="CK78" s="93">
        <f>CK21/CK10</f>
        <v>0.40236185998347423</v>
      </c>
      <c r="CL78" s="91">
        <f>CL21/CL10</f>
        <v>0.40328407178424064</v>
      </c>
      <c r="CM78" s="1050">
        <f>CM21/CM10</f>
        <v>0.4252696180313057</v>
      </c>
    </row>
    <row r="79" spans="1:91" hidden="1" outlineLevel="1">
      <c r="A79" s="1048" t="s">
        <v>97</v>
      </c>
      <c r="B79" s="1049"/>
      <c r="C79" s="486"/>
      <c r="D79" s="93"/>
      <c r="E79" s="93"/>
      <c r="F79" s="91"/>
      <c r="G79" s="91">
        <f>G26/G$35</f>
        <v>0.36999590794552539</v>
      </c>
      <c r="H79" s="1049"/>
      <c r="I79" s="486">
        <f>I26/I$35</f>
        <v>0.36187361515611843</v>
      </c>
      <c r="J79" s="93">
        <f>J26/J$35</f>
        <v>0.36564271612540983</v>
      </c>
      <c r="K79" s="93">
        <f>K26/K$35</f>
        <v>0.34157959735753635</v>
      </c>
      <c r="L79" s="91">
        <f>L26/L$35</f>
        <v>0.35184571946458448</v>
      </c>
      <c r="M79" s="91">
        <f>M26/M$35</f>
        <v>0.35535859863291458</v>
      </c>
      <c r="N79" s="1049"/>
      <c r="O79" s="486">
        <f>O26/O$35</f>
        <v>0.37805096299696633</v>
      </c>
      <c r="P79" s="93">
        <f>P26/P$35</f>
        <v>0.34053915263199303</v>
      </c>
      <c r="Q79" s="93">
        <f>Q26/Q$35</f>
        <v>0.30718287108778997</v>
      </c>
      <c r="R79" s="91">
        <f>R26/R$35</f>
        <v>0.30153855933563273</v>
      </c>
      <c r="S79" s="91">
        <f>S26/S$35</f>
        <v>0.32596431495348094</v>
      </c>
      <c r="T79" s="1049"/>
      <c r="U79" s="486">
        <f>U26/U$35</f>
        <v>0.2923976278840783</v>
      </c>
      <c r="V79" s="93">
        <f>V26/V$35</f>
        <v>0.33089413641972176</v>
      </c>
      <c r="W79" s="93">
        <f>W26/W$35</f>
        <v>0.30902287666746742</v>
      </c>
      <c r="X79" s="91">
        <f>X26/X$35</f>
        <v>0.31240397500633071</v>
      </c>
      <c r="Y79" s="1050">
        <f>Y26/Y$35</f>
        <v>0.3122274722182124</v>
      </c>
      <c r="Z79" s="1049"/>
      <c r="AA79" s="486">
        <f>AA26/AA$35</f>
        <v>0.23203292284351937</v>
      </c>
      <c r="AB79" s="93">
        <f>AB26/AB$35</f>
        <v>0.32162825397457673</v>
      </c>
      <c r="AC79" s="93">
        <f>AC26/AC$35</f>
        <v>0.28788187835434781</v>
      </c>
      <c r="AD79" s="91">
        <f>AD26/AD$35</f>
        <v>0.3065480770551931</v>
      </c>
      <c r="AE79" s="91">
        <f>AE26/AE$35</f>
        <v>0.28999349492018989</v>
      </c>
      <c r="AF79" s="1051"/>
      <c r="AG79" s="486">
        <f>AG26/AG$35</f>
        <v>0.19739013102843486</v>
      </c>
      <c r="AH79" s="93">
        <f>AH26/AH$35</f>
        <v>0.2942268954846935</v>
      </c>
      <c r="AI79" s="93">
        <f>AI26/AI$35</f>
        <v>0.28178829450694953</v>
      </c>
      <c r="AJ79" s="91">
        <f>AJ26/AJ$35</f>
        <v>0.30749867455110913</v>
      </c>
      <c r="AK79" s="1050">
        <f>AK26/AK$35</f>
        <v>0.27654066733788985</v>
      </c>
      <c r="AL79" s="1051"/>
      <c r="AM79" s="486">
        <f>AM26/AM$35</f>
        <v>0.19570968168586636</v>
      </c>
      <c r="AN79" s="93">
        <f>AN26/AN$35</f>
        <v>0.29141748932661199</v>
      </c>
      <c r="AO79" s="93">
        <f>AO26/AO$35</f>
        <v>0.28032320643973019</v>
      </c>
      <c r="AP79" s="91">
        <f>AP26/AP$35</f>
        <v>0.30704611328092862</v>
      </c>
      <c r="AQ79" s="1050">
        <f>AQ26/AQ$35</f>
        <v>0.27538016260958015</v>
      </c>
      <c r="AR79" s="1051"/>
      <c r="AS79" s="486">
        <f>AS26/AS$35</f>
        <v>0.19658361770684205</v>
      </c>
      <c r="AT79" s="93">
        <f>AT26/AT$35</f>
        <v>0.27537062517137273</v>
      </c>
      <c r="AU79" s="93">
        <f>AU26/AU$35</f>
        <v>0.27858909137936555</v>
      </c>
      <c r="AV79" s="91">
        <f>AV26/AV$35</f>
        <v>0.30091565142176541</v>
      </c>
      <c r="AW79" s="1050">
        <f>AW26/AW$35</f>
        <v>0.2704087363785822</v>
      </c>
      <c r="AX79" s="1051"/>
      <c r="AY79" s="486">
        <f>AY26/AY$35</f>
        <v>0.19551989089175414</v>
      </c>
      <c r="AZ79" s="93">
        <f>AZ26/AZ$35</f>
        <v>0.27546518233047235</v>
      </c>
      <c r="BA79" s="93">
        <f>BA26/BA$35</f>
        <v>0.28168949358944761</v>
      </c>
      <c r="BB79" s="91">
        <f>BB26/BB$35</f>
        <v>0.31850689743290883</v>
      </c>
      <c r="BC79" s="1050">
        <f>BC26/BC$35</f>
        <v>0.27570709792687131</v>
      </c>
      <c r="BD79" s="1051"/>
      <c r="BE79" s="486">
        <f>BE26/BE$35</f>
        <v>0.19589043822867522</v>
      </c>
      <c r="BF79" s="93">
        <f>BF26/BF$35</f>
        <v>0.27547744947068781</v>
      </c>
      <c r="BG79" s="93">
        <f>BG26/BG$35</f>
        <v>0.28311315643021145</v>
      </c>
      <c r="BH79" s="91">
        <f>BH26/BH$35</f>
        <v>0.31874435106079424</v>
      </c>
      <c r="BI79" s="1050">
        <f>BI26/BI$35</f>
        <v>0.27690038138326956</v>
      </c>
      <c r="BJ79" s="1051"/>
      <c r="BK79" s="486">
        <f>BK26/BK$35</f>
        <v>0.19608947951859543</v>
      </c>
      <c r="BL79" s="93">
        <f>BL26/BL$35</f>
        <v>0.27378087617184854</v>
      </c>
      <c r="BM79" s="93">
        <f>BM26/BM$35</f>
        <v>0.28402060962633108</v>
      </c>
      <c r="BN79" s="91">
        <f>BN26/BN$35</f>
        <v>0.32018323644874125</v>
      </c>
      <c r="BO79" s="1050">
        <f>BO26/BO$35</f>
        <v>0.27740272288113699</v>
      </c>
      <c r="BP79" s="1051"/>
      <c r="BQ79" s="486">
        <f>BQ26/BQ$35</f>
        <v>0.19638828225673491</v>
      </c>
      <c r="BR79" s="93">
        <f>BR26/BR$35</f>
        <v>0.27443764011611177</v>
      </c>
      <c r="BS79" s="93">
        <f>BS26/BS$35</f>
        <v>0.28402060962633108</v>
      </c>
      <c r="BT79" s="91">
        <f>BT26/BT$35</f>
        <v>0.3206494981849306</v>
      </c>
      <c r="BU79" s="1050">
        <f>BU26/BU$35</f>
        <v>0.27765620134855473</v>
      </c>
      <c r="BV79" s="24"/>
      <c r="BW79" s="486">
        <f>BW26/BW$35</f>
        <v>0.19638828225673491</v>
      </c>
      <c r="BX79" s="93">
        <f>BX26/BX$35</f>
        <v>0.27443764011611183</v>
      </c>
      <c r="BY79" s="93">
        <f>BY26/BY$35</f>
        <v>0.28016309042085552</v>
      </c>
      <c r="BZ79" s="91">
        <f>BZ26/BZ$35</f>
        <v>0.32178287646025205</v>
      </c>
      <c r="CA79" s="1050">
        <f>CA26/CA$35</f>
        <v>0.27653105591521399</v>
      </c>
      <c r="CB79" s="24"/>
      <c r="CC79" s="486">
        <f>CC26/CC$35</f>
        <v>0.19638828225673491</v>
      </c>
      <c r="CD79" s="93">
        <f>CD26/CD$35</f>
        <v>0.27443764011611183</v>
      </c>
      <c r="CE79" s="93">
        <f>CE26/CE$35</f>
        <v>0.28016309042085552</v>
      </c>
      <c r="CF79" s="91">
        <f>CF26/CF$35</f>
        <v>0.32429474673779946</v>
      </c>
      <c r="CG79" s="1050">
        <f>CG26/CG$35</f>
        <v>0.27685962448875057</v>
      </c>
      <c r="CH79" s="24"/>
      <c r="CI79" s="486">
        <f>CI26/CI$35</f>
        <v>0.19638828225673494</v>
      </c>
      <c r="CJ79" s="93">
        <f>CJ26/CJ$35</f>
        <v>0.27443764011611183</v>
      </c>
      <c r="CK79" s="93">
        <f>CK26/CK$35</f>
        <v>0.28016309042085552</v>
      </c>
      <c r="CL79" s="91">
        <f>CL26/CL$35</f>
        <v>0.32671190324939525</v>
      </c>
      <c r="CM79" s="1050">
        <f>CM26/CM$35</f>
        <v>0.27713764945263264</v>
      </c>
    </row>
    <row r="80" spans="1:91" hidden="1" outlineLevel="1">
      <c r="A80" s="1048" t="s">
        <v>98</v>
      </c>
      <c r="B80" s="1049"/>
      <c r="C80" s="486"/>
      <c r="D80" s="93"/>
      <c r="E80" s="93"/>
      <c r="F80" s="91"/>
      <c r="G80" s="91">
        <f>G29/G$35</f>
        <v>0.38168578286266724</v>
      </c>
      <c r="H80" s="1049"/>
      <c r="I80" s="486">
        <f>I29/I$35</f>
        <v>0.38848196921171541</v>
      </c>
      <c r="J80" s="93">
        <f>J29/J$35</f>
        <v>0.3984713191211896</v>
      </c>
      <c r="K80" s="93">
        <f>K29/K$35</f>
        <v>0.39352714014074841</v>
      </c>
      <c r="L80" s="91">
        <f>L29/L$35</f>
        <v>0.40740030674846628</v>
      </c>
      <c r="M80" s="91">
        <f>M29/M$35</f>
        <v>0.39728162285071922</v>
      </c>
      <c r="N80" s="1049"/>
      <c r="O80" s="486">
        <f>O29/O$35</f>
        <v>0.36498522913773274</v>
      </c>
      <c r="P80" s="93">
        <f>P29/P$35</f>
        <v>0.42575824935421985</v>
      </c>
      <c r="Q80" s="93">
        <f>Q29/Q$35</f>
        <v>0.4840066246131145</v>
      </c>
      <c r="R80" s="91">
        <f>R29/R$35</f>
        <v>0.50174874545300341</v>
      </c>
      <c r="S80" s="91">
        <f>S29/S$35</f>
        <v>0.45462543499651431</v>
      </c>
      <c r="T80" s="1049"/>
      <c r="U80" s="486">
        <f>U29/U$35</f>
        <v>0.48398115210310477</v>
      </c>
      <c r="V80" s="93">
        <f>V29/V$35</f>
        <v>0.44281465478810594</v>
      </c>
      <c r="W80" s="93">
        <f>W29/W$35</f>
        <v>0.47949258533469558</v>
      </c>
      <c r="X80" s="91">
        <f>X29/X$35</f>
        <v>0.50765645938528747</v>
      </c>
      <c r="Y80" s="1050">
        <f>Y29/Y$35</f>
        <v>0.4817909882499829</v>
      </c>
      <c r="Z80" s="1049"/>
      <c r="AA80" s="486">
        <f>AA29/AA$35</f>
        <v>0.47102255271938515</v>
      </c>
      <c r="AB80" s="93">
        <f>AB29/AB$35</f>
        <v>0.44997901653569367</v>
      </c>
      <c r="AC80" s="93">
        <f>AC29/AC$35</f>
        <v>0.47977744377643916</v>
      </c>
      <c r="AD80" s="91">
        <f>AD29/AD$35</f>
        <v>0.53166932114260046</v>
      </c>
      <c r="AE80" s="91">
        <f>AE29/AE$35</f>
        <v>0.4880146763785097</v>
      </c>
      <c r="AF80" s="1051"/>
      <c r="AG80" s="486">
        <f>AG29/AG$35</f>
        <v>0.50344148455451687</v>
      </c>
      <c r="AH80" s="93">
        <f>AH29/AH$35</f>
        <v>0.47529880990890355</v>
      </c>
      <c r="AI80" s="93">
        <f>AI29/AI$35</f>
        <v>0.46473011842574874</v>
      </c>
      <c r="AJ80" s="91">
        <f>AJ29/AJ$35</f>
        <v>0.53331801367457987</v>
      </c>
      <c r="AK80" s="1050">
        <f>AK29/AK$35</f>
        <v>0.49601855420923963</v>
      </c>
      <c r="AL80" s="1051"/>
      <c r="AM80" s="486">
        <f>AM29/AM$35</f>
        <v>0.50167650336706238</v>
      </c>
      <c r="AN80" s="93">
        <f>AN29/AN$35</f>
        <v>0.47771486623218745</v>
      </c>
      <c r="AO80" s="93">
        <f>AO29/AO$35</f>
        <v>0.46231386990068379</v>
      </c>
      <c r="AP80" s="91">
        <f>AP29/AP$35</f>
        <v>0.5325331027216107</v>
      </c>
      <c r="AQ80" s="1050">
        <f>AQ29/AQ$35</f>
        <v>0.49704792878904674</v>
      </c>
      <c r="AR80" s="1051"/>
      <c r="AS80" s="486">
        <f>AS29/AS$35</f>
        <v>0.4989274510236239</v>
      </c>
      <c r="AT80" s="93">
        <f>AT29/AT$35</f>
        <v>0.4599428245728634</v>
      </c>
      <c r="AU80" s="93">
        <f>AU29/AU$35</f>
        <v>0.45945393741563417</v>
      </c>
      <c r="AV80" s="91">
        <f>AV29/AV$35</f>
        <v>0.52691885777053427</v>
      </c>
      <c r="AW80" s="1050">
        <f>AW29/AW$35</f>
        <v>0.48940194100252649</v>
      </c>
      <c r="AX80" s="1051"/>
      <c r="AY80" s="486">
        <f>AY29/AY$35</f>
        <v>0.47313741062713455</v>
      </c>
      <c r="AZ80" s="93">
        <f>AZ29/AZ$35</f>
        <v>0.45988280646105267</v>
      </c>
      <c r="BA80" s="93">
        <f>BA29/BA$35</f>
        <v>0.45520837593941321</v>
      </c>
      <c r="BB80" s="91">
        <f>BB29/BB$35</f>
        <v>0.51516509437409108</v>
      </c>
      <c r="BC80" s="1050">
        <f>BC29/BC$35</f>
        <v>0.47900358509539592</v>
      </c>
      <c r="BD80" s="1051"/>
      <c r="BE80" s="486">
        <f>BE29/BE$35</f>
        <v>0.4763062789391207</v>
      </c>
      <c r="BF80" s="93">
        <f>BF29/BF$35</f>
        <v>0.46374973668208008</v>
      </c>
      <c r="BG80" s="93">
        <f>BG29/BG$35</f>
        <v>0.45636934933900652</v>
      </c>
      <c r="BH80" s="91">
        <f>BH29/BH$35</f>
        <v>0.52187045128840914</v>
      </c>
      <c r="BI80" s="1050">
        <f>BI29/BI$35</f>
        <v>0.48357359253118176</v>
      </c>
      <c r="BJ80" s="1051"/>
      <c r="BK80" s="486">
        <f>BK29/BK$35</f>
        <v>0.47679024649268992</v>
      </c>
      <c r="BL80" s="93">
        <f>BL29/BL$35</f>
        <v>0.46536835315977959</v>
      </c>
      <c r="BM80" s="93">
        <f>BM29/BM$35</f>
        <v>0.45783213485519575</v>
      </c>
      <c r="BN80" s="91">
        <f>BN29/BN$35</f>
        <v>0.52422629466025605</v>
      </c>
      <c r="BO80" s="1050">
        <f>BO29/BO$35</f>
        <v>0.48532020932797471</v>
      </c>
      <c r="BP80" s="1051"/>
      <c r="BQ80" s="486">
        <f>BQ29/BQ$35</f>
        <v>0.47751678333454384</v>
      </c>
      <c r="BR80" s="93">
        <f>BR29/BR$35</f>
        <v>0.46648471000482322</v>
      </c>
      <c r="BS80" s="93">
        <f>BS29/BS$35</f>
        <v>0.45783213485519569</v>
      </c>
      <c r="BT80" s="91">
        <f>BT29/BT$35</f>
        <v>0.52498969084868685</v>
      </c>
      <c r="BU80" s="1050">
        <f>BU29/BU$35</f>
        <v>0.48600232854635322</v>
      </c>
      <c r="BV80" s="24"/>
      <c r="BW80" s="486">
        <f>BW29/BW$35</f>
        <v>0.47751678333454384</v>
      </c>
      <c r="BX80" s="93">
        <f>BX29/BX$35</f>
        <v>0.46648471000482328</v>
      </c>
      <c r="BY80" s="93">
        <f>BY29/BY$35</f>
        <v>0.46029882073586897</v>
      </c>
      <c r="BZ80" s="91">
        <f>BZ29/BZ$35</f>
        <v>0.52990246631128568</v>
      </c>
      <c r="CA80" s="1050">
        <f>CA29/CA$35</f>
        <v>0.48791891429802448</v>
      </c>
      <c r="CB80" s="24"/>
      <c r="CC80" s="486">
        <f>CC29/CC$35</f>
        <v>0.47751678333454378</v>
      </c>
      <c r="CD80" s="93">
        <f>CD29/CD$35</f>
        <v>0.46648471000482333</v>
      </c>
      <c r="CE80" s="93">
        <f>CE29/CE$35</f>
        <v>0.46029882073586897</v>
      </c>
      <c r="CF80" s="91">
        <f>CF29/CF$35</f>
        <v>0.53403893954369774</v>
      </c>
      <c r="CG80" s="1050">
        <f>CG29/CG$35</f>
        <v>0.48896962200454669</v>
      </c>
      <c r="CH80" s="24"/>
      <c r="CI80" s="486">
        <f>CI29/CI$35</f>
        <v>0.47751678333454389</v>
      </c>
      <c r="CJ80" s="93">
        <f>CJ29/CJ$35</f>
        <v>0.46648471000482333</v>
      </c>
      <c r="CK80" s="93">
        <f>CK29/CK$35</f>
        <v>0.46029882073586897</v>
      </c>
      <c r="CL80" s="91">
        <f>CL29/CL$35</f>
        <v>0.53801944096454712</v>
      </c>
      <c r="CM80" s="1050">
        <f>CM29/CM$35</f>
        <v>0.48993742537149249</v>
      </c>
    </row>
    <row r="81" spans="1:91" hidden="1" outlineLevel="1">
      <c r="A81" s="1048" t="s">
        <v>99</v>
      </c>
      <c r="B81" s="1049"/>
      <c r="C81" s="486"/>
      <c r="D81" s="93"/>
      <c r="E81" s="93"/>
      <c r="F81" s="91"/>
      <c r="G81" s="91">
        <f>G32/G$35</f>
        <v>0.24831830919180725</v>
      </c>
      <c r="H81" s="1049"/>
      <c r="I81" s="486">
        <f>I32/I$35</f>
        <v>0.24964441563216611</v>
      </c>
      <c r="J81" s="93">
        <f>J32/J$35</f>
        <v>0.23588596475340057</v>
      </c>
      <c r="K81" s="93">
        <f>K32/K$35</f>
        <v>0.26489326250171524</v>
      </c>
      <c r="L81" s="91">
        <f>L32/L$35</f>
        <v>0.24075397378694921</v>
      </c>
      <c r="M81" s="91">
        <f>M32/M$35</f>
        <v>0.24735977851636623</v>
      </c>
      <c r="N81" s="1049"/>
      <c r="O81" s="486">
        <f>O32/O$35</f>
        <v>0.25696380786530088</v>
      </c>
      <c r="P81" s="93">
        <f>P32/P$35</f>
        <v>0.2337025980137872</v>
      </c>
      <c r="Q81" s="93">
        <f>Q32/Q$35</f>
        <v>0.20881050429909556</v>
      </c>
      <c r="R81" s="91">
        <f>R32/R$35</f>
        <v>0.19671269521136384</v>
      </c>
      <c r="S81" s="91">
        <f>S32/S$35</f>
        <v>0.21941025005000464</v>
      </c>
      <c r="T81" s="1049"/>
      <c r="U81" s="486">
        <f>U32/U$35</f>
        <v>0.22362122001281692</v>
      </c>
      <c r="V81" s="93">
        <f>V32/V$35</f>
        <v>0.22629120879217227</v>
      </c>
      <c r="W81" s="93">
        <f>W32/W$35</f>
        <v>0.21148453799783712</v>
      </c>
      <c r="X81" s="91">
        <f>X32/X$35</f>
        <v>0.17993956560838187</v>
      </c>
      <c r="Y81" s="1050">
        <f>Y32/Y$35</f>
        <v>0.20598153953180465</v>
      </c>
      <c r="Z81" s="1049"/>
      <c r="AA81" s="486">
        <f>AA32/AA$35</f>
        <v>0.2969445244370954</v>
      </c>
      <c r="AB81" s="93">
        <f>AB32/AB$35</f>
        <v>0.22839272948972952</v>
      </c>
      <c r="AC81" s="93">
        <f>AC32/AC$35</f>
        <v>0.23234067786921311</v>
      </c>
      <c r="AD81" s="91">
        <f>AD32/AD$35</f>
        <v>0.16178260180220652</v>
      </c>
      <c r="AE81" s="91">
        <f>AE32/AE$35</f>
        <v>0.22199182870130052</v>
      </c>
      <c r="AF81" s="1051"/>
      <c r="AG81" s="486">
        <f>AG32/AG$35</f>
        <v>0.29916838441704818</v>
      </c>
      <c r="AH81" s="93">
        <f>AH32/AH$35</f>
        <v>0.23047429460640304</v>
      </c>
      <c r="AI81" s="93">
        <f>AI32/AI$35</f>
        <v>0.25348158706730162</v>
      </c>
      <c r="AJ81" s="91">
        <f>AJ32/AJ$35</f>
        <v>0.15918331177431097</v>
      </c>
      <c r="AK81" s="1050">
        <f>AK32/AK$35</f>
        <v>0.22744077845287056</v>
      </c>
      <c r="AL81" s="1051"/>
      <c r="AM81" s="486">
        <f>AM32/AM$35</f>
        <v>0.30261381494707118</v>
      </c>
      <c r="AN81" s="93">
        <f>AN32/AN$35</f>
        <v>0.23086764444120064</v>
      </c>
      <c r="AO81" s="93">
        <f>AO32/AO$35</f>
        <v>0.25736292365958596</v>
      </c>
      <c r="AP81" s="91">
        <f>AP32/AP$35</f>
        <v>0.16042078399746065</v>
      </c>
      <c r="AQ81" s="1050">
        <f>AQ32/AQ$35</f>
        <v>0.22757190860137316</v>
      </c>
      <c r="AR81" s="1051"/>
      <c r="AS81" s="486">
        <f>AS32/AS$35</f>
        <v>0.30448893126953408</v>
      </c>
      <c r="AT81" s="93">
        <f>AT32/AT$35</f>
        <v>0.26468655025576382</v>
      </c>
      <c r="AU81" s="93">
        <f>AU32/AU$35</f>
        <v>0.26195697120500022</v>
      </c>
      <c r="AV81" s="91">
        <f>AV32/AV$35</f>
        <v>0.1721654908077003</v>
      </c>
      <c r="AW81" s="1050">
        <f>AW32/AW$35</f>
        <v>0.24018932261889125</v>
      </c>
      <c r="AX81" s="1051"/>
      <c r="AY81" s="486">
        <f>AY32/AY$35</f>
        <v>0.33134269848111125</v>
      </c>
      <c r="AZ81" s="93">
        <f>AZ32/AZ$35</f>
        <v>0.26465201120847504</v>
      </c>
      <c r="BA81" s="93">
        <f>BA32/BA$35</f>
        <v>0.26310213047113928</v>
      </c>
      <c r="BB81" s="91">
        <f>BB32/BB$35</f>
        <v>0.16632800819300023</v>
      </c>
      <c r="BC81" s="1050">
        <f>BC32/BC$35</f>
        <v>0.24528931697773271</v>
      </c>
      <c r="BD81" s="1051"/>
      <c r="BE81" s="486">
        <f>BE32/BE$35</f>
        <v>0.32780328283220411</v>
      </c>
      <c r="BF81" s="93">
        <f>BF32/BF$35</f>
        <v>0.26077281384723217</v>
      </c>
      <c r="BG81" s="93">
        <f>BG32/BG$35</f>
        <v>0.26051749423078197</v>
      </c>
      <c r="BH81" s="91">
        <f>BH32/BH$35</f>
        <v>0.15938519765079656</v>
      </c>
      <c r="BI81" s="1050">
        <f>BI32/BI$35</f>
        <v>0.23952602608554879</v>
      </c>
      <c r="BJ81" s="1051"/>
      <c r="BK81" s="486">
        <f>BK32/BK$35</f>
        <v>0.32712027398871474</v>
      </c>
      <c r="BL81" s="93">
        <f>BL32/BL$35</f>
        <v>0.26085077066837198</v>
      </c>
      <c r="BM81" s="93">
        <f>BM32/BM$35</f>
        <v>0.25814725551847323</v>
      </c>
      <c r="BN81" s="91">
        <f>BN32/BN$35</f>
        <v>0.15559046889100264</v>
      </c>
      <c r="BO81" s="1050">
        <f>BO32/BO$35</f>
        <v>0.23727706779088839</v>
      </c>
      <c r="BP81" s="1051"/>
      <c r="BQ81" s="486">
        <f>BQ32/BQ$35</f>
        <v>0.32609493440872123</v>
      </c>
      <c r="BR81" s="93">
        <f>BR32/BR$35</f>
        <v>0.2590776498790649</v>
      </c>
      <c r="BS81" s="93">
        <f>BS32/BS$35</f>
        <v>0.25814725551847328</v>
      </c>
      <c r="BT81" s="91">
        <f>BT32/BT$35</f>
        <v>0.15436081096638257</v>
      </c>
      <c r="BU81" s="1050">
        <f>BU32/BU$35</f>
        <v>0.23634147010509199</v>
      </c>
      <c r="BV81" s="24"/>
      <c r="BW81" s="486">
        <f>BW32/BW$35</f>
        <v>0.32609493440872123</v>
      </c>
      <c r="BX81" s="93">
        <f>BX32/BX$35</f>
        <v>0.2590776498790649</v>
      </c>
      <c r="BY81" s="93">
        <f>BY32/BY$35</f>
        <v>0.25953808884327551</v>
      </c>
      <c r="BZ81" s="91">
        <f>BZ32/BZ$35</f>
        <v>0.14831465722846224</v>
      </c>
      <c r="CA81" s="1050">
        <f>CA32/CA$35</f>
        <v>0.23555002978676146</v>
      </c>
      <c r="CB81" s="24"/>
      <c r="CC81" s="486">
        <f>CC32/CC$35</f>
        <v>0.32609493440872117</v>
      </c>
      <c r="CD81" s="93">
        <f>CD32/CD$35</f>
        <v>0.2590776498790649</v>
      </c>
      <c r="CE81" s="93">
        <f>CE32/CE$35</f>
        <v>0.25953808884327551</v>
      </c>
      <c r="CF81" s="91">
        <f>CF32/CF$35</f>
        <v>0.1416663137185028</v>
      </c>
      <c r="CG81" s="1050">
        <f>CG32/CG$35</f>
        <v>0.23417075350670274</v>
      </c>
      <c r="CH81" s="24"/>
      <c r="CI81" s="486">
        <f>CI32/CI$35</f>
        <v>0.32609493440872128</v>
      </c>
      <c r="CJ81" s="93">
        <f>CJ32/CJ$35</f>
        <v>0.2590776498790649</v>
      </c>
      <c r="CK81" s="93">
        <f>CK32/CK$35</f>
        <v>0.25953808884327551</v>
      </c>
      <c r="CL81" s="91">
        <f>CL32/CL$35</f>
        <v>0.13526865578605762</v>
      </c>
      <c r="CM81" s="1050">
        <f>CM32/CM$35</f>
        <v>0.23292492517587496</v>
      </c>
    </row>
    <row r="82" spans="1:91" hidden="1" outlineLevel="1">
      <c r="A82" s="1048" t="s">
        <v>224</v>
      </c>
      <c r="B82" s="1049"/>
      <c r="C82" s="486"/>
      <c r="D82" s="93"/>
      <c r="E82" s="93"/>
      <c r="F82" s="91"/>
      <c r="G82" s="91">
        <f>G11/G9</f>
        <v>0.20558536657128779</v>
      </c>
      <c r="H82" s="1049"/>
      <c r="I82" s="486">
        <f>I11/I9</f>
        <v>0.21911892481467102</v>
      </c>
      <c r="J82" s="93">
        <f>J11/J9</f>
        <v>0.22037747151897633</v>
      </c>
      <c r="K82" s="93">
        <f>K11/K9</f>
        <v>0.21330707158726331</v>
      </c>
      <c r="L82" s="91">
        <f>L11/L9</f>
        <v>0.20380979897105225</v>
      </c>
      <c r="M82" s="91">
        <f>M11/M9</f>
        <v>0.21392928766560868</v>
      </c>
      <c r="N82" s="1049"/>
      <c r="O82" s="486">
        <f>O11/O9</f>
        <v>0.26033203193697024</v>
      </c>
      <c r="P82" s="93">
        <f>P11/P9</f>
        <v>0.23335345001005831</v>
      </c>
      <c r="Q82" s="93">
        <f>Q11/Q9</f>
        <v>0.23857944299739531</v>
      </c>
      <c r="R82" s="91">
        <f>R11/R9</f>
        <v>0.20334727764810878</v>
      </c>
      <c r="S82" s="91">
        <f>S11/S9</f>
        <v>0.23159134506615156</v>
      </c>
      <c r="T82" s="1049"/>
      <c r="U82" s="486">
        <f>U11/U9</f>
        <v>0.26350566309150258</v>
      </c>
      <c r="V82" s="93">
        <f>V11/V9</f>
        <v>0.22826903875828267</v>
      </c>
      <c r="W82" s="93">
        <f>W11/W9</f>
        <v>0.23183852064439053</v>
      </c>
      <c r="X82" s="91">
        <f>X11/X9</f>
        <v>0.19487312302590459</v>
      </c>
      <c r="Y82" s="1050">
        <f>Y11/Y9</f>
        <v>0.22660884755795982</v>
      </c>
      <c r="Z82" s="1049"/>
      <c r="AA82" s="486">
        <f>AA11/AA9</f>
        <v>0.24303742384682331</v>
      </c>
      <c r="AB82" s="93">
        <f>AB11/AB9</f>
        <v>0.23501186145816857</v>
      </c>
      <c r="AC82" s="93">
        <f>AC11/AC9</f>
        <v>0.224379800092112</v>
      </c>
      <c r="AD82" s="91">
        <f>AD11/AD9</f>
        <v>0.18982591226901507</v>
      </c>
      <c r="AE82" s="91">
        <f>AE11/AE9</f>
        <v>0.22123745212292834</v>
      </c>
      <c r="AF82" s="1051"/>
      <c r="AG82" s="486">
        <f>AG11/AG9</f>
        <v>0.26156428987773422</v>
      </c>
      <c r="AH82" s="93">
        <f>AH11/AH9</f>
        <v>0.22927785123703617</v>
      </c>
      <c r="AI82" s="93">
        <f>AI11/AI9</f>
        <v>0.23526573001354473</v>
      </c>
      <c r="AJ82" s="91">
        <f>AJ11/AJ9</f>
        <v>0.20242769182447842</v>
      </c>
      <c r="AK82" s="1050">
        <f>AK11/AK9</f>
        <v>0.23021115854891849</v>
      </c>
      <c r="AL82" s="1051"/>
      <c r="AM82" s="486">
        <f>AM11/AM9</f>
        <v>0.24899391925478526</v>
      </c>
      <c r="AN82" s="93">
        <f>AN11/AN9</f>
        <v>0.24394271503975939</v>
      </c>
      <c r="AO82" s="93">
        <f>AO11/AO9</f>
        <v>0.24097998677075377</v>
      </c>
      <c r="AP82" s="91">
        <f>AP11/AP9</f>
        <v>0.20250352565302585</v>
      </c>
      <c r="AQ82" s="1050">
        <f>AQ11/AQ9</f>
        <v>0.23171756559794532</v>
      </c>
      <c r="AR82" s="1051"/>
      <c r="AS82" s="486">
        <f>AS11/AS9</f>
        <v>0.26406011341491248</v>
      </c>
      <c r="AT82" s="93">
        <f>AT11/AT9</f>
        <v>0.2383608547460819</v>
      </c>
      <c r="AU82" s="93">
        <f>AU11/AU9</f>
        <v>0.23508824906013615</v>
      </c>
      <c r="AV82" s="91">
        <f>AV11/AV9</f>
        <v>0.20331181136203805</v>
      </c>
      <c r="AW82" s="1050">
        <f>AW11/AW9</f>
        <v>0.23233330536433092</v>
      </c>
      <c r="AX82" s="1051"/>
      <c r="AY82" s="486">
        <f>AY11/AY9</f>
        <v>0.25813789938357007</v>
      </c>
      <c r="AZ82" s="93">
        <f>AZ11/AZ9</f>
        <v>0.23412822705971642</v>
      </c>
      <c r="BA82" s="93">
        <f>BA11/BA9</f>
        <v>0.23201348636078981</v>
      </c>
      <c r="BB82" s="91">
        <f>BB11/BB9</f>
        <v>0.20281364443390876</v>
      </c>
      <c r="BC82" s="1050">
        <f>BC11/BC9</f>
        <v>0.22951786528988141</v>
      </c>
      <c r="BD82" s="1051"/>
      <c r="BE82" s="486">
        <f>BE11/BE9</f>
        <v>0.27334119412584412</v>
      </c>
      <c r="BF82" s="93">
        <f>BF11/BF9</f>
        <v>0.24201041461048078</v>
      </c>
      <c r="BG82" s="93">
        <f>BG11/BG9</f>
        <v>0.24037104139637763</v>
      </c>
      <c r="BH82" s="91">
        <f>BH11/BH9</f>
        <v>0.20347185525430314</v>
      </c>
      <c r="BI82" s="1050">
        <f>BI11/BI9</f>
        <v>0.23653629127245435</v>
      </c>
      <c r="BJ82" s="1051"/>
      <c r="BK82" s="486">
        <f>BK11/BK9</f>
        <v>0.27105792239188892</v>
      </c>
      <c r="BL82" s="93">
        <f>BL11/BL9</f>
        <v>0.24360177878864281</v>
      </c>
      <c r="BM82" s="93">
        <f>BM11/BM9</f>
        <v>0.24731460524563972</v>
      </c>
      <c r="BN82" s="91">
        <f>BN11/BN9</f>
        <v>0.20962755256272608</v>
      </c>
      <c r="BO82" s="1050">
        <f>BO11/BO9</f>
        <v>0.23973797129382632</v>
      </c>
      <c r="BP82" s="1051"/>
      <c r="BQ82" s="486">
        <f>BQ11/BQ9</f>
        <v>0.28246526021553342</v>
      </c>
      <c r="BR82" s="93">
        <f>BR11/BR9</f>
        <v>0.25726838884432512</v>
      </c>
      <c r="BS82" s="93">
        <f>BS11/BS9</f>
        <v>0.25426754433595766</v>
      </c>
      <c r="BT82" s="91">
        <f>BT11/BT9</f>
        <v>0.21469363045602266</v>
      </c>
      <c r="BU82" s="1050">
        <f>BU11/BU9</f>
        <v>0.24878502934635102</v>
      </c>
      <c r="BV82" s="24"/>
      <c r="BW82" s="486">
        <f>BW11/BW9</f>
        <v>0.28603327663665967</v>
      </c>
      <c r="BX82" s="93">
        <f>BX11/BX9</f>
        <v>0.26253455940450571</v>
      </c>
      <c r="BY82" s="93">
        <f>BY11/BY9</f>
        <v>0.25933329287775431</v>
      </c>
      <c r="BZ82" s="91">
        <f>BZ11/BZ9</f>
        <v>0.22107077211061987</v>
      </c>
      <c r="CA82" s="1050">
        <f>CA11/CA9</f>
        <v>0.25414676678778991</v>
      </c>
      <c r="CB82" s="24"/>
      <c r="CC82" s="486">
        <f>CC11/CC9</f>
        <v>0.28759515693878979</v>
      </c>
      <c r="CD82" s="93">
        <f>CD11/CD9</f>
        <v>0.26594195706810447</v>
      </c>
      <c r="CE82" s="93">
        <f>CE11/CE9</f>
        <v>0.26210449713002554</v>
      </c>
      <c r="CF82" s="91">
        <f>CF11/CF9</f>
        <v>0.22551387493230432</v>
      </c>
      <c r="CG82" s="1050">
        <f>CG11/CG9</f>
        <v>0.25745899037296033</v>
      </c>
      <c r="CH82" s="24"/>
      <c r="CI82" s="486">
        <f>CI11/CI9</f>
        <v>0.28916101146936118</v>
      </c>
      <c r="CJ82" s="93">
        <f>CJ11/CJ9</f>
        <v>0.26937500678372789</v>
      </c>
      <c r="CK82" s="93">
        <f>CK11/CK9</f>
        <v>0.26488569154681635</v>
      </c>
      <c r="CL82" s="91">
        <f>CL11/CL9</f>
        <v>0.22997696798168826</v>
      </c>
      <c r="CM82" s="1050">
        <f>CM11/CM9</f>
        <v>0.26077175284812509</v>
      </c>
    </row>
    <row r="83" spans="1:91" hidden="1" outlineLevel="1">
      <c r="A83" s="1048" t="s">
        <v>91</v>
      </c>
      <c r="B83" s="1049"/>
      <c r="C83" s="486"/>
      <c r="D83" s="93"/>
      <c r="E83" s="93"/>
      <c r="F83" s="91"/>
      <c r="G83" s="91">
        <f>G12/G9</f>
        <v>0.11213212307556511</v>
      </c>
      <c r="H83" s="1049"/>
      <c r="I83" s="486">
        <f>I12/I9</f>
        <v>0.11036548167045643</v>
      </c>
      <c r="J83" s="93">
        <f>J12/J9</f>
        <v>9.8996590287718428E-2</v>
      </c>
      <c r="K83" s="93">
        <f>K12/K9</f>
        <v>0.11839750537417587</v>
      </c>
      <c r="L83" s="91">
        <f>L12/L9</f>
        <v>0.12395307682963262</v>
      </c>
      <c r="M83" s="91">
        <f>M12/M9</f>
        <v>0.11308937911334993</v>
      </c>
      <c r="N83" s="1049"/>
      <c r="O83" s="486">
        <f>O12/O9</f>
        <v>0.11178379233934789</v>
      </c>
      <c r="P83" s="93">
        <f>P12/P9</f>
        <v>9.2307935042856407E-2</v>
      </c>
      <c r="Q83" s="93">
        <f>Q12/Q9</f>
        <v>9.628870428309419E-2</v>
      </c>
      <c r="R83" s="91">
        <f>R12/R9</f>
        <v>0.11403089152650113</v>
      </c>
      <c r="S83" s="91">
        <f>S12/S9</f>
        <v>0.10393278186425951</v>
      </c>
      <c r="T83" s="1049"/>
      <c r="U83" s="486">
        <f>U12/U9</f>
        <v>0.10985132902838264</v>
      </c>
      <c r="V83" s="93">
        <f>V12/V9</f>
        <v>0.10899518925297268</v>
      </c>
      <c r="W83" s="93">
        <f>W12/W9</f>
        <v>0.11243965023645089</v>
      </c>
      <c r="X83" s="91">
        <f>X12/X9</f>
        <v>0.11259873995709771</v>
      </c>
      <c r="Y83" s="1050">
        <f>Y12/Y9</f>
        <v>0.11111349214444718</v>
      </c>
      <c r="Z83" s="1049"/>
      <c r="AA83" s="486">
        <f>AA12/AA9</f>
        <v>0.10583313553287443</v>
      </c>
      <c r="AB83" s="93">
        <f>AB12/AB9</f>
        <v>0.11206705677684642</v>
      </c>
      <c r="AC83" s="93">
        <f>AC12/AC9</f>
        <v>0.11383297857774127</v>
      </c>
      <c r="AD83" s="91">
        <f>AD12/AD9</f>
        <v>0.12365526538019737</v>
      </c>
      <c r="AE83" s="91">
        <f>AE12/AE9</f>
        <v>0.11440804879377009</v>
      </c>
      <c r="AF83" s="1051"/>
      <c r="AG83" s="486">
        <f>AG12/AG9</f>
        <v>0.12181203251578494</v>
      </c>
      <c r="AH83" s="93">
        <f>AH12/AH9</f>
        <v>0.12105590161061636</v>
      </c>
      <c r="AI83" s="93">
        <f>AI12/AI9</f>
        <v>0.11319625639029286</v>
      </c>
      <c r="AJ83" s="91">
        <f>AJ12/AJ9</f>
        <v>0.13317376164972575</v>
      </c>
      <c r="AK83" s="1050">
        <f>AK12/AK9</f>
        <v>0.12281229231858942</v>
      </c>
      <c r="AL83" s="1051"/>
      <c r="AM83" s="486">
        <f>AM12/AM9</f>
        <v>0.12276227895163323</v>
      </c>
      <c r="AN83" s="93">
        <f>AN12/AN9</f>
        <v>0.1156216519063861</v>
      </c>
      <c r="AO83" s="93">
        <f>AO12/AO9</f>
        <v>0.12954755338831672</v>
      </c>
      <c r="AP83" s="91">
        <f>AP12/AP9</f>
        <v>0.13947358568272866</v>
      </c>
      <c r="AQ83" s="1050">
        <f>AQ12/AQ9</f>
        <v>0.1278206602194433</v>
      </c>
      <c r="AR83" s="1051"/>
      <c r="AS83" s="486">
        <f>AS12/AS9</f>
        <v>0.11667339665373339</v>
      </c>
      <c r="AT83" s="93">
        <f>AT12/AT9</f>
        <v>0.11985121317292577</v>
      </c>
      <c r="AU83" s="93">
        <f>AU12/AU9</f>
        <v>0.12135944317787205</v>
      </c>
      <c r="AV83" s="91">
        <f>AV12/AV9</f>
        <v>0.1242210088301946</v>
      </c>
      <c r="AW83" s="1050">
        <f>AW12/AW9</f>
        <v>0.12087881080751957</v>
      </c>
      <c r="AX83" s="1051"/>
      <c r="AY83" s="486">
        <f>AY12/AY9</f>
        <v>0.11947581989810911</v>
      </c>
      <c r="AZ83" s="93">
        <f>AZ12/AZ9</f>
        <v>0.1105934296281126</v>
      </c>
      <c r="BA83" s="93">
        <f>BA12/BA9</f>
        <v>0.11742393888399176</v>
      </c>
      <c r="BB83" s="91">
        <f>BB12/BB9</f>
        <v>0.14324139966232394</v>
      </c>
      <c r="BC83" s="1050">
        <f>BC12/BC9</f>
        <v>0.12394026808041256</v>
      </c>
      <c r="BD83" s="1051"/>
      <c r="BE83" s="486">
        <f>BE12/BE9</f>
        <v>0.11426733840711757</v>
      </c>
      <c r="BF83" s="93">
        <f>BF12/BF9</f>
        <v>0.11337820174170492</v>
      </c>
      <c r="BG83" s="93">
        <f>BG12/BG9</f>
        <v>0.11302605634205308</v>
      </c>
      <c r="BH83" s="91">
        <f>BH12/BH9</f>
        <v>0.12651021412860364</v>
      </c>
      <c r="BI83" s="1050">
        <f>BI12/BI9</f>
        <v>0.11746339457881731</v>
      </c>
      <c r="BJ83" s="1051"/>
      <c r="BK83" s="486">
        <f>BK12/BK9</f>
        <v>0.11885129634654761</v>
      </c>
      <c r="BL83" s="93">
        <f>BL12/BL9</f>
        <v>0.11659219285587843</v>
      </c>
      <c r="BM83" s="93">
        <f>BM12/BM9</f>
        <v>0.1190080052286949</v>
      </c>
      <c r="BN83" s="91">
        <f>BN12/BN9</f>
        <v>0.13400012523068058</v>
      </c>
      <c r="BO83" s="1050">
        <f>BO12/BO9</f>
        <v>0.12302750633550238</v>
      </c>
      <c r="BP83" s="1051"/>
      <c r="BQ83" s="486">
        <f>BQ12/BQ9</f>
        <v>0.11517796478264677</v>
      </c>
      <c r="BR83" s="93">
        <f>BR12/BR9</f>
        <v>0.11445649485684836</v>
      </c>
      <c r="BS83" s="93">
        <f>BS12/BS9</f>
        <v>0.11925074195754408</v>
      </c>
      <c r="BT83" s="91">
        <f>BT12/BT9</f>
        <v>0.13346060219077163</v>
      </c>
      <c r="BU83" s="1050">
        <f>BU12/BU9</f>
        <v>0.12158361575994728</v>
      </c>
      <c r="BV83" s="24"/>
      <c r="BW83" s="486">
        <f>BW12/BW9</f>
        <v>0.11635843904732271</v>
      </c>
      <c r="BX83" s="93">
        <f>BX12/BX9</f>
        <v>0.11679936887391747</v>
      </c>
      <c r="BY83" s="93">
        <f>BY12/BY9</f>
        <v>0.12162656335369293</v>
      </c>
      <c r="BZ83" s="91">
        <f>BZ12/BZ9</f>
        <v>0.13742484260009635</v>
      </c>
      <c r="CA83" s="1050">
        <f>CA12/CA9</f>
        <v>0.12413408751512053</v>
      </c>
      <c r="CB83" s="24"/>
      <c r="CC83" s="486">
        <f>CC12/CC9</f>
        <v>0.11561038529556461</v>
      </c>
      <c r="CD83" s="93">
        <f>CD12/CD9</f>
        <v>0.11719910881756554</v>
      </c>
      <c r="CE83" s="93">
        <f>CE12/CE9</f>
        <v>0.12176656851791647</v>
      </c>
      <c r="CF83" s="91">
        <f>CF12/CF9</f>
        <v>0.13886430385887025</v>
      </c>
      <c r="CG83" s="1050">
        <f>CG12/CG9</f>
        <v>0.12449354854741734</v>
      </c>
      <c r="CH83" s="24"/>
      <c r="CI83" s="486">
        <f>CI12/CI9</f>
        <v>0.11486339154391505</v>
      </c>
      <c r="CJ83" s="93">
        <f>CJ12/CJ9</f>
        <v>0.11759210946115219</v>
      </c>
      <c r="CK83" s="93">
        <f>CK12/CK9</f>
        <v>0.1218977047266671</v>
      </c>
      <c r="CL83" s="91">
        <f>CL12/CL9</f>
        <v>0.14027656793252472</v>
      </c>
      <c r="CM83" s="1050">
        <f>CM12/CM9</f>
        <v>0.12483300526980538</v>
      </c>
    </row>
    <row r="84" spans="1:91" collapsed="1">
      <c r="A84" s="1562" t="s">
        <v>92</v>
      </c>
      <c r="B84" s="1120"/>
      <c r="C84" s="1566"/>
      <c r="D84" s="1563"/>
      <c r="E84" s="1563"/>
      <c r="F84" s="1564"/>
      <c r="G84" s="1564">
        <f>G13/SUM(G13,G9)</f>
        <v>0.26167239628308109</v>
      </c>
      <c r="H84" s="1120"/>
      <c r="I84" s="1566">
        <f>I13/SUM(I13,I9)</f>
        <v>0.27293963946042715</v>
      </c>
      <c r="J84" s="1563">
        <f>J13/SUM(J13,J9)</f>
        <v>0.27946848689411147</v>
      </c>
      <c r="K84" s="1563">
        <f>K13/SUM(K13,K9)</f>
        <v>0.28110325904066685</v>
      </c>
      <c r="L84" s="1564">
        <f>L13/SUM(L13,L9)</f>
        <v>0.27190908634550148</v>
      </c>
      <c r="M84" s="1564">
        <f>M13/SUM(M13,M9)</f>
        <v>0.27631983259730664</v>
      </c>
      <c r="N84" s="1120"/>
      <c r="O84" s="1566">
        <f>O13/SUM(O13,O9)</f>
        <v>0.31707961519522476</v>
      </c>
      <c r="P84" s="1563">
        <f>P13/SUM(P13,P9)</f>
        <v>0.30128129159925809</v>
      </c>
      <c r="Q84" s="1563">
        <f>Q13/SUM(Q13,Q9)</f>
        <v>0.30891351699676733</v>
      </c>
      <c r="R84" s="1564">
        <f>R13/SUM(R13,R9)</f>
        <v>0.27100491727693793</v>
      </c>
      <c r="S84" s="1565">
        <f>S13/SUM(S13,S9)</f>
        <v>0.29807299659705078</v>
      </c>
      <c r="T84" s="1120"/>
      <c r="U84" s="1566">
        <f>U13/SUM(U13,U9)</f>
        <v>0.31182485722056025</v>
      </c>
      <c r="V84" s="1563">
        <f>V13/SUM(V13,V9)</f>
        <v>0.29568730741200083</v>
      </c>
      <c r="W84" s="1563">
        <f>W13/SUM(W13,W9)</f>
        <v>0.29449578344196808</v>
      </c>
      <c r="X84" s="1564">
        <f>X13/SUM(X13,X9)</f>
        <v>0.26542150387321173</v>
      </c>
      <c r="Y84" s="1565">
        <f>Y13/SUM(Y13,Y9)</f>
        <v>0.29010126137068259</v>
      </c>
      <c r="Z84" s="1120"/>
      <c r="AA84" s="1566">
        <f>AA13/SUM(AA13,AA9)</f>
        <v>0.29061302189180149</v>
      </c>
      <c r="AB84" s="1563">
        <f>AB13/SUM(AB13,AB9)</f>
        <v>0.29371999454903297</v>
      </c>
      <c r="AC84" s="1563">
        <f>AC13/SUM(AC13,AC9)</f>
        <v>0.29301658401791725</v>
      </c>
      <c r="AD84" s="1564">
        <f>AD13/SUM(AD13,AD9)</f>
        <v>0.26872386943347021</v>
      </c>
      <c r="AE84" s="1564">
        <f>AE13/SUM(AE13,AE9)</f>
        <v>0.28578898694025012</v>
      </c>
      <c r="AF84" s="1567"/>
      <c r="AG84" s="1566">
        <f>AG13/SUM(AG13,AG9)</f>
        <v>0.31858354461087673</v>
      </c>
      <c r="AH84" s="1563">
        <f>AH13/SUM(AH13,AH9)</f>
        <v>0.30480768165860028</v>
      </c>
      <c r="AI84" s="1563">
        <f>AI13/SUM(AI13,AI9)</f>
        <v>0.30920853779958751</v>
      </c>
      <c r="AJ84" s="1564">
        <f>AJ13/SUM(AJ13,AJ9)</f>
        <v>0.2921692866150728</v>
      </c>
      <c r="AK84" s="1565">
        <f>AK13/SUM(AK13,AK9)</f>
        <v>0.30544666776232465</v>
      </c>
      <c r="AL84" s="1567"/>
      <c r="AM84" s="1566">
        <f>AM13/SUM(AM13,AM9)</f>
        <v>0.31748067797870511</v>
      </c>
      <c r="AN84" s="1563">
        <f>AN13/SUM(AN13,AN9)</f>
        <v>0.32342972412799398</v>
      </c>
      <c r="AO84" s="1563">
        <f>AO13/SUM(AO13,AO9)</f>
        <v>0.31569786384499154</v>
      </c>
      <c r="AP84" s="1564">
        <f>AP13/SUM(AP13,AP9)</f>
        <v>0.29147330965889001</v>
      </c>
      <c r="AQ84" s="1565">
        <f>AQ13/SUM(AQ13,AQ9)</f>
        <v>0.31073910655187592</v>
      </c>
      <c r="AR84" s="1567"/>
      <c r="AS84" s="1566">
        <f>AS13/SUM(AS13,AS9)</f>
        <v>0.33846757783827475</v>
      </c>
      <c r="AT84" s="1563">
        <f>AT13/SUM(AT13,AT9)</f>
        <v>0.33319980655913956</v>
      </c>
      <c r="AU84" s="1563">
        <f>AU13/SUM(AU13,AU9)</f>
        <v>0.32849046465178994</v>
      </c>
      <c r="AV84" s="1564">
        <f>AV13/SUM(AV13,AV9)</f>
        <v>0.29863839553325239</v>
      </c>
      <c r="AW84" s="1565">
        <f>AW13/SUM(AW13,AW9)</f>
        <v>0.32302859636141362</v>
      </c>
      <c r="AX84" s="1567"/>
      <c r="AY84" s="1566">
        <f>AY13/SUM(AY13,AY9)</f>
        <v>0.34215819150137705</v>
      </c>
      <c r="AZ84" s="1563">
        <f>AZ13/SUM(AZ13,AZ9)</f>
        <v>0.32886768807858674</v>
      </c>
      <c r="BA84" s="1563">
        <f>BA13/SUM(BA13,BA9)</f>
        <v>0.32691208962439416</v>
      </c>
      <c r="BB84" s="1564">
        <f>BB13/SUM(BB13,BB9)</f>
        <v>0.29524897291215629</v>
      </c>
      <c r="BC84" s="1565">
        <f>BC13/SUM(BC13,BC9)</f>
        <v>0.32172829882702714</v>
      </c>
      <c r="BD84" s="1567"/>
      <c r="BE84" s="1566">
        <f>BE13/SUM(BE13,BE9)</f>
        <v>0.35221548419134513</v>
      </c>
      <c r="BF84" s="1563">
        <f>BF13/SUM(BF13,BF9)</f>
        <v>0.32964253764723422</v>
      </c>
      <c r="BG84" s="1563">
        <f>BG13/SUM(BG13,BG9)</f>
        <v>0.33577434846155307</v>
      </c>
      <c r="BH84" s="1564">
        <f>BH13/SUM(BH13,BH9)</f>
        <v>0.29575834105985011</v>
      </c>
      <c r="BI84" s="1565">
        <f>BI13/SUM(BI13,BI9)</f>
        <v>0.32625242050121273</v>
      </c>
      <c r="BJ84" s="1567"/>
      <c r="BK84" s="1566">
        <f>BK13/SUM(BK13,BK9)</f>
        <v>0.34876267398171373</v>
      </c>
      <c r="BL84" s="1563">
        <f>BL13/SUM(BL13,BL9)</f>
        <v>0.3321307657859382</v>
      </c>
      <c r="BM84" s="1563">
        <f>BM13/SUM(BM13,BM9)</f>
        <v>0.33599606778126673</v>
      </c>
      <c r="BN84" s="1564">
        <f>BN13/SUM(BN13,BN9)</f>
        <v>0.30207704339602054</v>
      </c>
      <c r="BO84" s="1565">
        <f>BO13/SUM(BO13,BO9)</f>
        <v>0.32771911559505573</v>
      </c>
      <c r="BP84" s="1567"/>
      <c r="BQ84" s="1566">
        <f>BQ13/SUM(BQ13,BQ9)</f>
        <v>0.35373373321402807</v>
      </c>
      <c r="BR84" s="1563">
        <f>BR13/SUM(BR13,BR9)</f>
        <v>0.33092321644546685</v>
      </c>
      <c r="BS84" s="1563">
        <f>BS13/SUM(BS13,BS9)</f>
        <v>0.33959364510573409</v>
      </c>
      <c r="BT84" s="1564">
        <f>BT13/SUM(BT13,BT9)</f>
        <v>0.30265419317871184</v>
      </c>
      <c r="BU84" s="1565">
        <f>BU13/SUM(BU13,BU9)</f>
        <v>0.32965988898705512</v>
      </c>
      <c r="BV84" s="71"/>
      <c r="BW84" s="1566">
        <f>BW13/SUM(BW13,BW9)</f>
        <v>0.35159265137675788</v>
      </c>
      <c r="BX84" s="1563">
        <f>BX13/SUM(BX13,BX9)</f>
        <v>0.33107074976171169</v>
      </c>
      <c r="BY84" s="1563">
        <f>BY13/SUM(BY13,BY9)</f>
        <v>0.33770252073031132</v>
      </c>
      <c r="BZ84" s="1564">
        <f>BZ13/SUM(BZ13,BZ9)</f>
        <v>0.30288639770901077</v>
      </c>
      <c r="CA84" s="1565">
        <f>CA13/SUM(CA13,CA9)</f>
        <v>0.32893441155354414</v>
      </c>
      <c r="CB84" s="71"/>
      <c r="CC84" s="1566">
        <f>CC13/SUM(CC13,CC9)</f>
        <v>0.35208366650879802</v>
      </c>
      <c r="CD84" s="1563">
        <f>CD13/SUM(CD13,CD9)</f>
        <v>0.33373335652111336</v>
      </c>
      <c r="CE84" s="1563">
        <f>CE13/SUM(CE13,CE9)</f>
        <v>0.33795987669188005</v>
      </c>
      <c r="CF84" s="1564">
        <f>CF13/SUM(CF13,CF9)</f>
        <v>0.30509106165871658</v>
      </c>
      <c r="CG84" s="1565">
        <f>CG13/SUM(CG13,CG9)</f>
        <v>0.33049018709122813</v>
      </c>
      <c r="CH84" s="71"/>
      <c r="CI84" s="1566">
        <f>CI13/SUM(CI13,CI9)</f>
        <v>0.35256925760793573</v>
      </c>
      <c r="CJ84" s="1563">
        <f>CJ13/SUM(CJ13,CJ9)</f>
        <v>0.33639292902212181</v>
      </c>
      <c r="CK84" s="1563">
        <f>CK13/SUM(CK13,CK9)</f>
        <v>0.33820074849900073</v>
      </c>
      <c r="CL84" s="1564">
        <f>CL13/SUM(CL13,CL9)</f>
        <v>0.3072405605541671</v>
      </c>
      <c r="CM84" s="1565">
        <f>CM13/SUM(CM13,CM9)</f>
        <v>0.33201719976672411</v>
      </c>
    </row>
    <row r="85" spans="1:91" hidden="1" outlineLevel="1">
      <c r="A85" s="1048" t="s">
        <v>93</v>
      </c>
      <c r="B85" s="1049"/>
      <c r="C85" s="486"/>
      <c r="D85" s="93"/>
      <c r="E85" s="93"/>
      <c r="F85" s="91"/>
      <c r="G85" s="91">
        <f>G14/G13</f>
        <v>0.92499273587646846</v>
      </c>
      <c r="H85" s="1049"/>
      <c r="I85" s="486">
        <f>I14/I13</f>
        <v>0.92613239045433504</v>
      </c>
      <c r="J85" s="93">
        <f>J14/J13</f>
        <v>0.91620272260335467</v>
      </c>
      <c r="K85" s="93">
        <f>K14/K13</f>
        <v>0.91406444245945873</v>
      </c>
      <c r="L85" s="91">
        <f>L14/L13</f>
        <v>0.90624010971621483</v>
      </c>
      <c r="M85" s="91">
        <f>M14/M13</f>
        <v>0.91538192896759929</v>
      </c>
      <c r="N85" s="1049"/>
      <c r="O85" s="486">
        <f>O14/O13</f>
        <v>0.91905609635998631</v>
      </c>
      <c r="P85" s="93">
        <f>P14/P13</f>
        <v>0.91892312195835923</v>
      </c>
      <c r="Q85" s="93">
        <f>Q14/Q13</f>
        <v>0.90147401086113277</v>
      </c>
      <c r="R85" s="91">
        <f>R14/R13</f>
        <v>0.91882858919441757</v>
      </c>
      <c r="S85" s="91">
        <f>S14/S13</f>
        <v>0.91439866404609593</v>
      </c>
      <c r="T85" s="1049"/>
      <c r="U85" s="486">
        <f>U14/U13</f>
        <v>0.91583666207329617</v>
      </c>
      <c r="V85" s="93">
        <f>V14/V13</f>
        <v>0.90708293695407771</v>
      </c>
      <c r="W85" s="93">
        <f>W14/W13</f>
        <v>0.91363543995122942</v>
      </c>
      <c r="X85" s="91">
        <f>X14/X13</f>
        <v>0.90808090251807527</v>
      </c>
      <c r="Y85" s="91">
        <f>Y14/Y13</f>
        <v>0.91108016042152606</v>
      </c>
      <c r="Z85" s="1049"/>
      <c r="AA85" s="486">
        <f>AA14/AA13</f>
        <v>0.91260753055919919</v>
      </c>
      <c r="AB85" s="93">
        <f>AB14/AB13</f>
        <v>0.91172600530891323</v>
      </c>
      <c r="AC85" s="93">
        <f>AC14/AC13</f>
        <v>0.91034342948958602</v>
      </c>
      <c r="AD85" s="91">
        <f>AD14/AD13</f>
        <v>0.89945617265447675</v>
      </c>
      <c r="AE85" s="91">
        <f>AE14/AE13</f>
        <v>0.9083353495335017</v>
      </c>
      <c r="AF85" s="1051"/>
      <c r="AG85" s="486">
        <f>AG14/AG13</f>
        <v>0.90812311964822967</v>
      </c>
      <c r="AH85" s="93">
        <f>AH14/AH13</f>
        <v>0.90567545963229423</v>
      </c>
      <c r="AI85" s="93">
        <f>AI14/AI13</f>
        <v>0.90875374652301111</v>
      </c>
      <c r="AJ85" s="91">
        <f>AJ14/AJ13</f>
        <v>0.89674897011361543</v>
      </c>
      <c r="AK85" s="1050">
        <f>AK14/AK13</f>
        <v>0.90460174665354953</v>
      </c>
      <c r="AL85" s="1051"/>
      <c r="AM85" s="486">
        <f>AM14/AM13</f>
        <v>0.9059023304836632</v>
      </c>
      <c r="AN85" s="93">
        <f>AN14/AN13</f>
        <v>0.90645904156157475</v>
      </c>
      <c r="AO85" s="93">
        <f>AO14/AO13</f>
        <v>0.9025724853505479</v>
      </c>
      <c r="AP85" s="91">
        <f>AP14/AP13</f>
        <v>0.88579784361670499</v>
      </c>
      <c r="AQ85" s="1050">
        <f>AQ14/AQ13</f>
        <v>0.89962735438513464</v>
      </c>
      <c r="AR85" s="1051"/>
      <c r="AS85" s="486">
        <f>AS14/AS13</f>
        <v>0.90617858392868178</v>
      </c>
      <c r="AT85" s="93">
        <f>AT14/AT13</f>
        <v>0.90369138386405534</v>
      </c>
      <c r="AU85" s="93">
        <f>AU14/AU13</f>
        <v>0.90146913580246923</v>
      </c>
      <c r="AV85" s="91">
        <f>AV14/AV13</f>
        <v>0.89813381049057728</v>
      </c>
      <c r="AW85" s="1050">
        <f>AW14/AW13</f>
        <v>0.90218715716253128</v>
      </c>
      <c r="AX85" s="1051"/>
      <c r="AY85" s="486">
        <f>AY14/AY13</f>
        <v>0.90763722695850335</v>
      </c>
      <c r="AZ85" s="93">
        <f>AZ14/AZ13</f>
        <v>0.9029710394335726</v>
      </c>
      <c r="BA85" s="93">
        <f>BA14/BA13</f>
        <v>0.90565553484677197</v>
      </c>
      <c r="BB85" s="91">
        <f>BB14/BB13</f>
        <v>0.89607727661146908</v>
      </c>
      <c r="BC85" s="1050">
        <f>BC14/BC13</f>
        <v>0.90294121227985813</v>
      </c>
      <c r="BD85" s="1051"/>
      <c r="BE85" s="486">
        <f>BE14/BE13</f>
        <v>0.90516103208693521</v>
      </c>
      <c r="BF85" s="93">
        <f>BF14/BF13</f>
        <v>0.90361256522967681</v>
      </c>
      <c r="BG85" s="93">
        <f>BG14/BG13</f>
        <v>0.90748609352387843</v>
      </c>
      <c r="BH85" s="91">
        <f>BH14/BH13</f>
        <v>0.9003059649726568</v>
      </c>
      <c r="BI85" s="1050">
        <f>BI14/BI13</f>
        <v>0.90407851100278835</v>
      </c>
      <c r="BJ85" s="1051"/>
      <c r="BK85" s="486">
        <f>BK14/BK13</f>
        <v>0.90787284148946579</v>
      </c>
      <c r="BL85" s="93">
        <f>BL14/BL13</f>
        <v>0.90831229909606714</v>
      </c>
      <c r="BM85" s="93">
        <f>BM14/BM13</f>
        <v>0.91061313430036928</v>
      </c>
      <c r="BN85" s="91">
        <f>BN14/BN13</f>
        <v>0.90103159803850685</v>
      </c>
      <c r="BO85" s="1050">
        <f>BO14/BO13</f>
        <v>0.90679176618368107</v>
      </c>
      <c r="BP85" s="1051"/>
      <c r="BQ85" s="486">
        <f>BQ14/BQ13</f>
        <v>0.90638407430621426</v>
      </c>
      <c r="BR85" s="93">
        <f>BR14/BR13</f>
        <v>0.90416746038683038</v>
      </c>
      <c r="BS85" s="93">
        <f>BS14/BS13</f>
        <v>0.9066534113860073</v>
      </c>
      <c r="BT85" s="91">
        <f>BT14/BT13</f>
        <v>0.8883995199501088</v>
      </c>
      <c r="BU85" s="1050">
        <f>BU14/BU13</f>
        <v>0.90103709590019143</v>
      </c>
      <c r="BV85" s="24"/>
      <c r="BW85" s="486">
        <f>BW14/BW13</f>
        <v>0.90718527231605994</v>
      </c>
      <c r="BX85" s="93">
        <f>BX14/BX13</f>
        <v>0.90498564031347839</v>
      </c>
      <c r="BY85" s="93">
        <f>BY14/BY13</f>
        <v>0.90665341138600719</v>
      </c>
      <c r="BZ85" s="91">
        <f>BZ14/BZ13</f>
        <v>0.8883995199501088</v>
      </c>
      <c r="CA85" s="1050">
        <f>CA14/CA13</f>
        <v>0.90144457456179983</v>
      </c>
      <c r="CB85" s="24"/>
      <c r="CC85" s="486">
        <f>CC14/CC13</f>
        <v>0.90798030953466213</v>
      </c>
      <c r="CD85" s="93">
        <f>CD14/CD13</f>
        <v>0.90579756272317413</v>
      </c>
      <c r="CE85" s="93">
        <f>CE14/CE13</f>
        <v>0.90665341138600719</v>
      </c>
      <c r="CF85" s="91">
        <f>CF14/CF13</f>
        <v>0.8883995199501088</v>
      </c>
      <c r="CG85" s="1050">
        <f>CG14/CG13</f>
        <v>0.90185254439527462</v>
      </c>
      <c r="CH85" s="24"/>
      <c r="CI85" s="486">
        <f>CI14/CI13</f>
        <v>0.90876922144467887</v>
      </c>
      <c r="CJ85" s="93">
        <f>CJ14/CJ13</f>
        <v>0.90660326307246242</v>
      </c>
      <c r="CK85" s="93">
        <f>CK14/CK13</f>
        <v>0.90665341138600719</v>
      </c>
      <c r="CL85" s="91">
        <f>CL14/CL13</f>
        <v>0.88839951995010891</v>
      </c>
      <c r="CM85" s="1050">
        <f>CM14/CM13</f>
        <v>0.90226098792940268</v>
      </c>
    </row>
    <row r="86" spans="1:91" ht="13.5" hidden="1" outlineLevel="1" thickBot="1">
      <c r="A86" s="1052" t="s">
        <v>94</v>
      </c>
      <c r="B86" s="1925"/>
      <c r="C86" s="1056"/>
      <c r="D86" s="1053"/>
      <c r="E86" s="1053"/>
      <c r="F86" s="1054"/>
      <c r="G86" s="1054">
        <f>G15/G13</f>
        <v>7.500726412353162E-2</v>
      </c>
      <c r="H86" s="1055"/>
      <c r="I86" s="1056">
        <f>I15/I13</f>
        <v>7.3867609545664958E-2</v>
      </c>
      <c r="J86" s="1053">
        <f>J15/J13</f>
        <v>8.3797277396645234E-2</v>
      </c>
      <c r="K86" s="1053">
        <f>K15/K13</f>
        <v>8.5935557540541302E-2</v>
      </c>
      <c r="L86" s="1054">
        <f>L15/L13</f>
        <v>9.375989028378523E-2</v>
      </c>
      <c r="M86" s="1054">
        <f>M15/M13</f>
        <v>8.4618071032400669E-2</v>
      </c>
      <c r="N86" s="1055"/>
      <c r="O86" s="1056">
        <f>O15/O13</f>
        <v>8.0943903640013665E-2</v>
      </c>
      <c r="P86" s="1053">
        <f>P15/P13</f>
        <v>8.1076878041640738E-2</v>
      </c>
      <c r="Q86" s="1053">
        <f>Q15/Q13</f>
        <v>9.8525989138867343E-2</v>
      </c>
      <c r="R86" s="1054">
        <f>R15/R13</f>
        <v>8.1171410805582406E-2</v>
      </c>
      <c r="S86" s="1054">
        <f>S15/S13</f>
        <v>8.560133595390422E-2</v>
      </c>
      <c r="T86" s="1055"/>
      <c r="U86" s="1056">
        <f>U15/U13</f>
        <v>8.4163337926703732E-2</v>
      </c>
      <c r="V86" s="1053">
        <f>V15/V13</f>
        <v>9.2917063045922343E-2</v>
      </c>
      <c r="W86" s="1053">
        <f>W15/W13</f>
        <v>8.6364560048770564E-2</v>
      </c>
      <c r="X86" s="1054">
        <f>X15/X13</f>
        <v>9.1919097481924769E-2</v>
      </c>
      <c r="Y86" s="1054">
        <f>Y15/Y13</f>
        <v>8.8919839578473991E-2</v>
      </c>
      <c r="Z86" s="1055"/>
      <c r="AA86" s="1056">
        <f>AA15/AA13</f>
        <v>8.7392469440800855E-2</v>
      </c>
      <c r="AB86" s="1053">
        <f>AB15/AB13</f>
        <v>8.8273994691086655E-2</v>
      </c>
      <c r="AC86" s="1053">
        <f>AC15/AC13</f>
        <v>8.9656570510414008E-2</v>
      </c>
      <c r="AD86" s="1054">
        <f>AD15/AD13</f>
        <v>0.10054382734552302</v>
      </c>
      <c r="AE86" s="1054">
        <f>AE15/AE13</f>
        <v>9.1664650466498312E-2</v>
      </c>
      <c r="AF86" s="1057"/>
      <c r="AG86" s="1056">
        <f>AG15/AG13</f>
        <v>9.1876880351770426E-2</v>
      </c>
      <c r="AH86" s="1053">
        <f>AH15/AH13</f>
        <v>9.432454036770585E-2</v>
      </c>
      <c r="AI86" s="1053">
        <f>AI15/AI13</f>
        <v>9.1246253476988989E-2</v>
      </c>
      <c r="AJ86" s="1054">
        <f>AJ15/AJ13</f>
        <v>0.10325102988638452</v>
      </c>
      <c r="AK86" s="1499">
        <f>AK15/AK13</f>
        <v>9.5398253346450398E-2</v>
      </c>
      <c r="AL86" s="1057"/>
      <c r="AM86" s="1056">
        <f>AM15/AM13</f>
        <v>9.4097669516336815E-2</v>
      </c>
      <c r="AN86" s="1053">
        <f>AN15/AN13</f>
        <v>9.3540958438425262E-2</v>
      </c>
      <c r="AO86" s="1053">
        <f>AO15/AO13</f>
        <v>9.7427514649452124E-2</v>
      </c>
      <c r="AP86" s="1054">
        <f>AP15/AP13</f>
        <v>0.11420215638329503</v>
      </c>
      <c r="AQ86" s="1499">
        <f>AQ15/AQ13</f>
        <v>0.10037264561486527</v>
      </c>
      <c r="AR86" s="1057"/>
      <c r="AS86" s="1056">
        <f>AS15/AS13</f>
        <v>9.3821416071318275E-2</v>
      </c>
      <c r="AT86" s="1053">
        <f>AT15/AT13</f>
        <v>9.6308616135944589E-2</v>
      </c>
      <c r="AU86" s="1053">
        <f>AU15/AU13</f>
        <v>9.8530864197530862E-2</v>
      </c>
      <c r="AV86" s="1054">
        <f>AV15/AV13</f>
        <v>0.10186618950942272</v>
      </c>
      <c r="AW86" s="1499">
        <f>AW15/AW13</f>
        <v>9.7812842837468786E-2</v>
      </c>
      <c r="AX86" s="1057"/>
      <c r="AY86" s="1056">
        <f>AY15/AY13</f>
        <v>9.2362773041496593E-2</v>
      </c>
      <c r="AZ86" s="1053">
        <f>AZ15/AZ13</f>
        <v>9.7028960566427375E-2</v>
      </c>
      <c r="BA86" s="1053">
        <f>BA15/BA13</f>
        <v>9.434446515322803E-2</v>
      </c>
      <c r="BB86" s="1054">
        <f>BB15/BB13</f>
        <v>0.10392272338853088</v>
      </c>
      <c r="BC86" s="1499">
        <f>BC15/BC13</f>
        <v>9.7058787720141954E-2</v>
      </c>
      <c r="BD86" s="1057"/>
      <c r="BE86" s="1056">
        <f>BE15/BE13</f>
        <v>9.4838967913064773E-2</v>
      </c>
      <c r="BF86" s="1053">
        <f>BF15/BF13</f>
        <v>9.6387434770323244E-2</v>
      </c>
      <c r="BG86" s="1053">
        <f>BG15/BG13</f>
        <v>9.2513906476121566E-2</v>
      </c>
      <c r="BH86" s="1054">
        <f>BH15/BH13</f>
        <v>9.9694035027343267E-2</v>
      </c>
      <c r="BI86" s="1499">
        <f>BI15/BI13</f>
        <v>9.5921488997211785E-2</v>
      </c>
      <c r="BJ86" s="1057"/>
      <c r="BK86" s="1056">
        <f>BK15/BK13</f>
        <v>9.2127158510534157E-2</v>
      </c>
      <c r="BL86" s="1053">
        <f>BL15/BL13</f>
        <v>9.1687700903932856E-2</v>
      </c>
      <c r="BM86" s="1053">
        <f>BM15/BM13</f>
        <v>8.9386865699630766E-2</v>
      </c>
      <c r="BN86" s="1054">
        <f>BN15/BN13</f>
        <v>9.8968401961493202E-2</v>
      </c>
      <c r="BO86" s="1499">
        <f>BO15/BO13</f>
        <v>9.3208233816318958E-2</v>
      </c>
      <c r="BP86" s="1057"/>
      <c r="BQ86" s="1056">
        <f>BQ15/BQ13</f>
        <v>9.3615925693785754E-2</v>
      </c>
      <c r="BR86" s="1053">
        <f>BR15/BR13</f>
        <v>9.5832539613169662E-2</v>
      </c>
      <c r="BS86" s="1053">
        <f>BS15/BS13</f>
        <v>9.3346588613992781E-2</v>
      </c>
      <c r="BT86" s="1054">
        <f>BT15/BT13</f>
        <v>0.11160048004989119</v>
      </c>
      <c r="BU86" s="1499">
        <f>BU15/BU13</f>
        <v>9.8962904099808624E-2</v>
      </c>
      <c r="BV86" s="24"/>
      <c r="BW86" s="1056">
        <f>BW15/BW13</f>
        <v>9.2814727683940126E-2</v>
      </c>
      <c r="BX86" s="1053">
        <f>BX15/BX13</f>
        <v>9.5014359686521638E-2</v>
      </c>
      <c r="BY86" s="1053">
        <f>BY15/BY13</f>
        <v>9.3346588613992781E-2</v>
      </c>
      <c r="BZ86" s="1054">
        <f>BZ15/BZ13</f>
        <v>0.11160048004989118</v>
      </c>
      <c r="CA86" s="1499">
        <f>CA15/CA13</f>
        <v>9.8555425438200298E-2</v>
      </c>
      <c r="CB86" s="24"/>
      <c r="CC86" s="1056">
        <f>CC15/CC13</f>
        <v>9.2019690465337867E-2</v>
      </c>
      <c r="CD86" s="1053">
        <f>CD15/CD13</f>
        <v>9.420243727682584E-2</v>
      </c>
      <c r="CE86" s="1053">
        <f>CE15/CE13</f>
        <v>9.3346588613992781E-2</v>
      </c>
      <c r="CF86" s="1054">
        <f>CF15/CF13</f>
        <v>0.1116004800498912</v>
      </c>
      <c r="CG86" s="1499">
        <f>CG15/CG13</f>
        <v>9.8147455604725375E-2</v>
      </c>
      <c r="CH86" s="24"/>
      <c r="CI86" s="1056">
        <f>CI15/CI13</f>
        <v>9.1230778555321204E-2</v>
      </c>
      <c r="CJ86" s="1053">
        <f>CJ15/CJ13</f>
        <v>9.3396736927537638E-2</v>
      </c>
      <c r="CK86" s="1053">
        <f>CK15/CK13</f>
        <v>9.3346588613992781E-2</v>
      </c>
      <c r="CL86" s="1054">
        <f>CL15/CL13</f>
        <v>0.1116004800498912</v>
      </c>
      <c r="CM86" s="1499">
        <f>CM15/CM13</f>
        <v>9.7739012070597278E-2</v>
      </c>
    </row>
    <row r="87" spans="1:91" hidden="1" outlineLevel="1">
      <c r="A87" s="1048" t="s">
        <v>467</v>
      </c>
      <c r="B87" s="1049"/>
      <c r="C87" s="486"/>
      <c r="D87" s="93"/>
      <c r="E87" s="93"/>
      <c r="F87" s="91"/>
      <c r="G87" s="91"/>
      <c r="H87" s="1049"/>
      <c r="I87" s="486"/>
      <c r="J87" s="93"/>
      <c r="K87" s="93"/>
      <c r="L87" s="91"/>
      <c r="M87" s="91"/>
      <c r="N87" s="1049"/>
      <c r="O87" s="486"/>
      <c r="P87" s="93"/>
      <c r="Q87" s="93"/>
      <c r="R87" s="91"/>
      <c r="S87" s="91"/>
      <c r="T87" s="1049"/>
      <c r="U87" s="486"/>
      <c r="V87" s="93"/>
      <c r="W87" s="93"/>
      <c r="X87" s="91"/>
      <c r="Y87" s="91"/>
      <c r="Z87" s="1049"/>
      <c r="AA87" s="486"/>
      <c r="AB87" s="93"/>
      <c r="AC87" s="93"/>
      <c r="AD87" s="91"/>
      <c r="AE87" s="91"/>
      <c r="AF87" s="1051"/>
      <c r="AG87" s="486"/>
      <c r="AH87" s="93"/>
      <c r="AI87" s="93"/>
      <c r="AJ87" s="91"/>
      <c r="AK87" s="1050"/>
      <c r="AL87" s="1051"/>
      <c r="AM87" s="486">
        <f>+(AM10+AM11+AM14)/AM16</f>
        <v>0.88633818068587944</v>
      </c>
      <c r="AN87" s="93">
        <f>+(AN10+AN11+AN14)/AN16</f>
        <v>0.89151990069051135</v>
      </c>
      <c r="AO87" s="93">
        <f>+(AO10+AO11+AO14)/AO16</f>
        <v>0.88059267422816112</v>
      </c>
      <c r="AP87" s="91">
        <f>+(AP10+AP11+AP14)/AP16</f>
        <v>0.86789236145498794</v>
      </c>
      <c r="AQ87" s="1050">
        <f>+(AQ10+AQ11+AQ14)/AQ16</f>
        <v>0.88070851131540606</v>
      </c>
      <c r="AR87" s="1051"/>
      <c r="AS87" s="486">
        <f>+(AS10+AS11+AS14)/AS16</f>
        <v>0.89106125786280399</v>
      </c>
      <c r="AT87" s="93">
        <f>+(AT10+AT11+AT14)/AT16</f>
        <v>0.88799317560569602</v>
      </c>
      <c r="AU87" s="93">
        <f>+(AU10+AU11+AU14)/AU16</f>
        <v>0.88613952733872037</v>
      </c>
      <c r="AV87" s="91">
        <f>+(AV10+AV11+AV14)/AV16</f>
        <v>0.88245499854419673</v>
      </c>
      <c r="AW87" s="1050">
        <f>+(AW10+AW11+AW14)/AW16</f>
        <v>0.88657215644956344</v>
      </c>
      <c r="AX87" s="1051"/>
      <c r="AY87" s="486">
        <f>+(AY10+AY11+AY14)/AY16</f>
        <v>0.88980113118044157</v>
      </c>
      <c r="AZ87" s="93">
        <f>+(AZ10+AZ11+AZ14)/AZ16</f>
        <v>0.89386748595221721</v>
      </c>
      <c r="BA87" s="93">
        <f>+(BA10+BA11+BA14)/BA16</f>
        <v>0.89012102010076355</v>
      </c>
      <c r="BB87" s="91">
        <f>+(BB10+BB11+BB14)/BB16</f>
        <v>0.86836739912377892</v>
      </c>
      <c r="BC87" s="1050">
        <f>+(BC10+BC11+BC14)/BC16</f>
        <v>0.8847082648658493</v>
      </c>
      <c r="BD87" s="1051"/>
      <c r="BE87" s="486">
        <f>+(BE10+BE11+BE14)/BE16</f>
        <v>0.89257563451349409</v>
      </c>
      <c r="BF87" s="93">
        <f>+(BF10+BF11+BF14)/BF16</f>
        <v>0.89222267779931419</v>
      </c>
      <c r="BG87" s="93">
        <f>+(BG10+BG11+BG14)/BG16</f>
        <v>0.89386139741472592</v>
      </c>
      <c r="BH87" s="91">
        <f>+(BH10+BH11+BH14)/BH16</f>
        <v>0.88142089451594896</v>
      </c>
      <c r="BI87" s="1050">
        <f>+(BI10+BI11+BI14)/BI16</f>
        <v>0.88956470425939016</v>
      </c>
      <c r="BJ87" s="1051"/>
      <c r="BK87" s="486">
        <f>+(BK10+BK11+BK14)/BK16</f>
        <v>0.89046908542499636</v>
      </c>
      <c r="BL87" s="93">
        <f>+(BL10+BL11+BL14)/BL16</f>
        <v>0.89167935512763097</v>
      </c>
      <c r="BM87" s="93">
        <f>+(BM10+BM11+BM14)/BM16</f>
        <v>0.89094458117627084</v>
      </c>
      <c r="BN87" s="91">
        <f>+(BN10+BN11+BN14)/BN16</f>
        <v>0.8765821541595431</v>
      </c>
      <c r="BO87" s="1050">
        <f>+(BO10+BO11+BO14)/BO16</f>
        <v>0.88674483928217229</v>
      </c>
      <c r="BP87" s="1051"/>
      <c r="BQ87" s="486"/>
      <c r="BR87" s="93"/>
      <c r="BS87" s="93"/>
      <c r="BT87" s="91"/>
      <c r="BU87" s="1050"/>
      <c r="BV87" s="24"/>
      <c r="BW87" s="486"/>
      <c r="BX87" s="93"/>
      <c r="BY87" s="93"/>
      <c r="BZ87" s="91"/>
      <c r="CA87" s="1050"/>
      <c r="CB87" s="24"/>
      <c r="CC87" s="486"/>
      <c r="CD87" s="93"/>
      <c r="CE87" s="93"/>
      <c r="CF87" s="91"/>
      <c r="CG87" s="1050"/>
      <c r="CH87" s="24"/>
      <c r="CI87" s="486"/>
      <c r="CJ87" s="93"/>
      <c r="CK87" s="93"/>
      <c r="CL87" s="91"/>
      <c r="CM87" s="1050"/>
    </row>
    <row r="88" spans="1:91" ht="13.5" hidden="1" outlineLevel="1" thickBot="1">
      <c r="A88" s="1052" t="s">
        <v>0</v>
      </c>
      <c r="B88" s="1925"/>
      <c r="C88" s="1056"/>
      <c r="D88" s="1053"/>
      <c r="E88" s="1053"/>
      <c r="F88" s="1054"/>
      <c r="G88" s="1054"/>
      <c r="H88" s="1055"/>
      <c r="I88" s="1056"/>
      <c r="J88" s="1053"/>
      <c r="K88" s="1053"/>
      <c r="L88" s="1054"/>
      <c r="M88" s="1054"/>
      <c r="N88" s="1055"/>
      <c r="O88" s="1056"/>
      <c r="P88" s="1053"/>
      <c r="Q88" s="1053"/>
      <c r="R88" s="1054"/>
      <c r="S88" s="1054"/>
      <c r="T88" s="1055"/>
      <c r="U88" s="1056"/>
      <c r="V88" s="1053"/>
      <c r="W88" s="1053"/>
      <c r="X88" s="1054"/>
      <c r="Y88" s="1054"/>
      <c r="Z88" s="1055"/>
      <c r="AA88" s="1056"/>
      <c r="AB88" s="1053"/>
      <c r="AC88" s="1053"/>
      <c r="AD88" s="1054"/>
      <c r="AE88" s="1054"/>
      <c r="AF88" s="1057"/>
      <c r="AG88" s="1056"/>
      <c r="AH88" s="1053"/>
      <c r="AI88" s="1053"/>
      <c r="AJ88" s="1054"/>
      <c r="AK88" s="1499"/>
      <c r="AL88" s="1057"/>
      <c r="AM88" s="1920">
        <f>1-AM87</f>
        <v>0.11366181931412056</v>
      </c>
      <c r="AN88" s="1053">
        <f>1-AN87</f>
        <v>0.10848009930948865</v>
      </c>
      <c r="AO88" s="1053">
        <f>1-AO87</f>
        <v>0.11940732577183888</v>
      </c>
      <c r="AP88" s="1054">
        <f>1-AP87</f>
        <v>0.13210763854501206</v>
      </c>
      <c r="AQ88" s="1499">
        <f>1-AQ87</f>
        <v>0.11929148868459394</v>
      </c>
      <c r="AR88" s="1057"/>
      <c r="AS88" s="1920">
        <f>1-AS87</f>
        <v>0.10893874213719601</v>
      </c>
      <c r="AT88" s="1053">
        <f>1-AT87</f>
        <v>0.11200682439430398</v>
      </c>
      <c r="AU88" s="1053">
        <f>1-AU87</f>
        <v>0.11386047266127963</v>
      </c>
      <c r="AV88" s="1054">
        <f>1-AV87</f>
        <v>0.11754500145580327</v>
      </c>
      <c r="AW88" s="1499">
        <f>1-AW87</f>
        <v>0.11342784355043656</v>
      </c>
      <c r="AX88" s="1057"/>
      <c r="AY88" s="1920">
        <f>1-AY87</f>
        <v>0.11019886881955843</v>
      </c>
      <c r="AZ88" s="1053">
        <f>1-AZ87</f>
        <v>0.10613251404778279</v>
      </c>
      <c r="BA88" s="1053">
        <f>1-BA87</f>
        <v>0.10987897989923645</v>
      </c>
      <c r="BB88" s="1054">
        <f>1-BB87</f>
        <v>0.13163260087622108</v>
      </c>
      <c r="BC88" s="1499">
        <f>1-BC87</f>
        <v>0.1152917351341507</v>
      </c>
      <c r="BD88" s="1057"/>
      <c r="BE88" s="1920">
        <f>1-BE87</f>
        <v>0.10742436548650591</v>
      </c>
      <c r="BF88" s="1053">
        <f>1-BF87</f>
        <v>0.10777732220068581</v>
      </c>
      <c r="BG88" s="1053">
        <f>1-BG87</f>
        <v>0.10613860258527408</v>
      </c>
      <c r="BH88" s="1054">
        <f>1-BH87</f>
        <v>0.11857910548405104</v>
      </c>
      <c r="BI88" s="1499">
        <f>1-BI87</f>
        <v>0.11043529574060984</v>
      </c>
      <c r="BJ88" s="1057"/>
      <c r="BK88" s="1920">
        <f>1-BK87</f>
        <v>0.10953091457500364</v>
      </c>
      <c r="BL88" s="1053">
        <f>1-BL87</f>
        <v>0.10832064487236903</v>
      </c>
      <c r="BM88" s="1053">
        <f>1-BM87</f>
        <v>0.10905541882372916</v>
      </c>
      <c r="BN88" s="1054">
        <f>1-BN87</f>
        <v>0.1234178458404569</v>
      </c>
      <c r="BO88" s="1499">
        <f>1-BO87</f>
        <v>0.11325516071782771</v>
      </c>
      <c r="BP88" s="1057"/>
      <c r="BQ88" s="1056"/>
      <c r="BR88" s="1053"/>
      <c r="BS88" s="1053"/>
      <c r="BT88" s="1054"/>
      <c r="BU88" s="1499"/>
      <c r="BV88" s="24"/>
      <c r="BW88" s="1056"/>
      <c r="BX88" s="1053"/>
      <c r="BY88" s="1053"/>
      <c r="BZ88" s="1054"/>
      <c r="CA88" s="1499"/>
      <c r="CB88" s="24"/>
      <c r="CC88" s="1056"/>
      <c r="CD88" s="1053"/>
      <c r="CE88" s="1053"/>
      <c r="CF88" s="1054"/>
      <c r="CG88" s="1499"/>
      <c r="CH88" s="24"/>
      <c r="CI88" s="1056"/>
      <c r="CJ88" s="1053"/>
      <c r="CK88" s="1053"/>
      <c r="CL88" s="1054"/>
      <c r="CM88" s="1499"/>
    </row>
    <row r="89" spans="1:91" collapsed="1"/>
    <row r="90" spans="1:91" hidden="1"/>
    <row r="91" spans="1:91" hidden="1"/>
    <row r="92" spans="1:91" hidden="1"/>
    <row r="93" spans="1:91" hidden="1"/>
    <row r="94" spans="1:91" hidden="1"/>
    <row r="95" spans="1:91" hidden="1"/>
    <row r="96" spans="1:91" hidden="1"/>
    <row r="97" spans="1:91">
      <c r="A97" s="12" t="s">
        <v>313</v>
      </c>
      <c r="B97" s="16"/>
      <c r="C97" s="16"/>
      <c r="D97" s="16"/>
      <c r="E97" s="16"/>
      <c r="F97" s="16"/>
      <c r="G97" s="17"/>
      <c r="H97" s="16"/>
      <c r="I97" s="16"/>
      <c r="J97" s="16"/>
      <c r="K97" s="16"/>
      <c r="L97" s="16"/>
      <c r="M97" s="17"/>
      <c r="N97" s="16"/>
      <c r="O97" s="16"/>
      <c r="P97" s="16"/>
      <c r="Q97" s="16"/>
      <c r="R97" s="16"/>
      <c r="S97" s="17"/>
      <c r="T97" s="16"/>
      <c r="U97" s="16"/>
      <c r="V97" s="16"/>
      <c r="W97" s="16"/>
      <c r="X97" s="16"/>
      <c r="Y97" s="17"/>
      <c r="Z97" s="16"/>
      <c r="AA97" s="16"/>
      <c r="AB97" s="16"/>
      <c r="AC97" s="16"/>
      <c r="AD97" s="16"/>
      <c r="AE97" s="17"/>
      <c r="AF97" s="16"/>
      <c r="AG97" s="16"/>
      <c r="AH97" s="16"/>
      <c r="AI97" s="16"/>
      <c r="AJ97" s="16"/>
      <c r="AK97" s="17"/>
      <c r="AL97" s="16"/>
      <c r="AM97" s="16"/>
      <c r="AN97" s="16"/>
      <c r="AO97" s="16"/>
      <c r="AP97" s="16"/>
      <c r="AQ97" s="17"/>
      <c r="AR97" s="16"/>
      <c r="AS97" s="16"/>
      <c r="AT97" s="16"/>
      <c r="AU97" s="16"/>
      <c r="AV97" s="16"/>
      <c r="AW97" s="17"/>
      <c r="AX97" s="16"/>
      <c r="AY97" s="16"/>
      <c r="AZ97" s="16"/>
      <c r="BA97" s="16"/>
      <c r="BB97" s="16"/>
      <c r="BC97" s="17"/>
      <c r="BD97" s="16"/>
      <c r="BE97" s="16"/>
      <c r="BF97" s="16"/>
      <c r="BG97" s="16"/>
      <c r="BH97" s="16"/>
      <c r="BI97" s="17"/>
      <c r="BJ97" s="16"/>
      <c r="BK97" s="16"/>
      <c r="BL97" s="16"/>
      <c r="BM97" s="16"/>
      <c r="BN97" s="16"/>
      <c r="BO97" s="17"/>
      <c r="BP97" s="16"/>
      <c r="BQ97" s="16"/>
      <c r="BR97" s="16"/>
      <c r="BS97" s="16"/>
      <c r="BT97" s="16"/>
      <c r="BU97" s="17"/>
      <c r="BV97" s="1919"/>
      <c r="BW97" s="16"/>
      <c r="BX97" s="16"/>
      <c r="BY97" s="16"/>
      <c r="BZ97" s="16"/>
      <c r="CA97" s="17"/>
      <c r="CB97" s="1919"/>
      <c r="CC97" s="16"/>
      <c r="CD97" s="16"/>
      <c r="CE97" s="16"/>
      <c r="CF97" s="16"/>
      <c r="CG97" s="17"/>
      <c r="CH97" s="1919"/>
      <c r="CI97" s="16"/>
      <c r="CJ97" s="16"/>
      <c r="CK97" s="16"/>
      <c r="CL97" s="16"/>
      <c r="CM97" s="17"/>
    </row>
    <row r="98" spans="1:91">
      <c r="A98" s="344" t="s">
        <v>465</v>
      </c>
      <c r="B98" s="1049"/>
      <c r="C98" s="1926">
        <v>0.21</v>
      </c>
      <c r="D98" s="342">
        <v>0.18</v>
      </c>
      <c r="E98" s="342">
        <v>0.18</v>
      </c>
      <c r="F98" s="342">
        <v>0.12</v>
      </c>
      <c r="G98" s="1050"/>
      <c r="H98" s="1061"/>
      <c r="I98" s="1926">
        <v>0.09</v>
      </c>
      <c r="J98" s="342">
        <v>0.06</v>
      </c>
      <c r="K98" s="342">
        <v>0.01</v>
      </c>
      <c r="L98" s="342">
        <v>-0.1</v>
      </c>
      <c r="M98" s="1050">
        <f>MEDIAN(I98:L98)</f>
        <v>3.4999999999999996E-2</v>
      </c>
      <c r="N98" s="1061"/>
      <c r="O98" s="1926">
        <v>-0.06</v>
      </c>
      <c r="P98" s="342">
        <v>-0.06</v>
      </c>
      <c r="Q98" s="342">
        <v>-0.03</v>
      </c>
      <c r="R98" s="342">
        <v>0.01</v>
      </c>
      <c r="S98" s="1050">
        <f>MEDIAN(O98:R98)</f>
        <v>-4.4999999999999998E-2</v>
      </c>
      <c r="T98" s="1061"/>
      <c r="U98" s="1926">
        <v>0.02</v>
      </c>
      <c r="V98" s="342">
        <v>0.11</v>
      </c>
      <c r="W98" s="342">
        <v>0.11</v>
      </c>
      <c r="X98" s="342">
        <v>0.1</v>
      </c>
      <c r="Y98" s="1050">
        <f>MEDIAN(U98:X98)</f>
        <v>0.10500000000000001</v>
      </c>
      <c r="Z98" s="1061"/>
      <c r="AA98" s="1926">
        <v>0.08</v>
      </c>
      <c r="AB98" s="342">
        <v>0.02</v>
      </c>
      <c r="AC98" s="342">
        <v>0.08</v>
      </c>
      <c r="AD98" s="342">
        <v>0.08</v>
      </c>
      <c r="AE98" s="1050">
        <f>MEDIAN(AA98:AC98)</f>
        <v>0.08</v>
      </c>
      <c r="AF98" s="828"/>
      <c r="AG98" s="1926">
        <v>0.02</v>
      </c>
      <c r="AH98" s="342">
        <v>7.0000000000000007E-2</v>
      </c>
      <c r="AI98" s="342">
        <v>-0.04</v>
      </c>
      <c r="AJ98" s="93"/>
      <c r="AK98" s="1062">
        <v>0</v>
      </c>
      <c r="AL98" s="828"/>
      <c r="AM98" s="1926">
        <v>0.06</v>
      </c>
      <c r="AN98" s="342">
        <v>-0.02</v>
      </c>
      <c r="AO98" s="342">
        <v>0.06</v>
      </c>
      <c r="AP98" s="342">
        <v>0.1</v>
      </c>
      <c r="AQ98" s="1050">
        <f>AVERAGE(AM98:AP98)</f>
        <v>0.05</v>
      </c>
      <c r="AR98" s="828"/>
      <c r="AS98" s="1926">
        <v>-0.02</v>
      </c>
      <c r="AT98" s="342">
        <v>0.11</v>
      </c>
      <c r="AU98" s="342">
        <v>0.08</v>
      </c>
      <c r="AV98" s="342">
        <v>0.1</v>
      </c>
      <c r="AW98" s="1050">
        <f>AVERAGE(AS98:AV98)</f>
        <v>6.7500000000000004E-2</v>
      </c>
      <c r="AX98" s="940"/>
      <c r="AY98" s="1926">
        <f>20%-0.035</f>
        <v>0.16500000000000001</v>
      </c>
      <c r="AZ98" s="342">
        <v>7.0000000000000007E-2</v>
      </c>
      <c r="BA98" s="342">
        <v>0.13</v>
      </c>
      <c r="BB98" s="342">
        <f>4%+0.035</f>
        <v>7.5000000000000011E-2</v>
      </c>
      <c r="BC98" s="1050">
        <f>AVERAGE(AY98:BB98)</f>
        <v>0.11</v>
      </c>
      <c r="BD98" s="940"/>
      <c r="BE98" s="1926">
        <f>0.01+0.005</f>
        <v>1.4999999999999999E-2</v>
      </c>
      <c r="BF98" s="342">
        <v>0.06</v>
      </c>
      <c r="BG98" s="342">
        <v>-0.01</v>
      </c>
      <c r="BH98" s="342">
        <v>-0.01</v>
      </c>
      <c r="BI98" s="1050">
        <f t="shared" ref="BI98:BI103" si="27">AVERAGE(BE98:BH98)</f>
        <v>1.375E-2</v>
      </c>
      <c r="BJ98" s="940"/>
      <c r="BK98" s="1931">
        <v>-7.0000000000000007E-2</v>
      </c>
      <c r="BL98" s="342">
        <v>-0.02</v>
      </c>
      <c r="BM98" s="1669">
        <f>1%+1.56%</f>
        <v>2.5600000000000001E-2</v>
      </c>
      <c r="BN98" s="1669">
        <v>0.09</v>
      </c>
      <c r="BO98" s="1050">
        <f t="shared" ref="BO98:BO103" si="28">AVERAGE(BK98:BN98)</f>
        <v>6.399999999999996E-3</v>
      </c>
      <c r="BP98" s="940"/>
      <c r="BQ98" s="486"/>
      <c r="BR98" s="93"/>
      <c r="BS98" s="93"/>
      <c r="BT98" s="93"/>
      <c r="BU98" s="486"/>
      <c r="BV98" s="174"/>
      <c r="BW98" s="486"/>
      <c r="BX98" s="93"/>
      <c r="BY98" s="93"/>
      <c r="BZ98" s="93"/>
      <c r="CA98" s="1050"/>
      <c r="CB98" s="174"/>
      <c r="CC98" s="486"/>
      <c r="CD98" s="93"/>
      <c r="CE98" s="93"/>
      <c r="CF98" s="93"/>
      <c r="CG98" s="1050"/>
      <c r="CH98" s="174"/>
      <c r="CI98" s="486"/>
      <c r="CJ98" s="93"/>
      <c r="CK98" s="93"/>
      <c r="CL98" s="93"/>
      <c r="CM98" s="1050"/>
    </row>
    <row r="99" spans="1:91">
      <c r="A99" s="344" t="s">
        <v>459</v>
      </c>
      <c r="B99" s="1049"/>
      <c r="C99" s="1926">
        <v>7.0000000000000007E-2</v>
      </c>
      <c r="D99" s="342">
        <v>0.14000000000000001</v>
      </c>
      <c r="E99" s="342">
        <v>0.12</v>
      </c>
      <c r="F99" s="342">
        <v>0.05</v>
      </c>
      <c r="G99" s="1050"/>
      <c r="H99" s="1061"/>
      <c r="I99" s="1926">
        <v>-0.02</v>
      </c>
      <c r="J99" s="342">
        <v>0.03</v>
      </c>
      <c r="K99" s="342">
        <v>7.0000000000000007E-2</v>
      </c>
      <c r="L99" s="342">
        <v>0.05</v>
      </c>
      <c r="M99" s="1050">
        <f>MEDIAN(I99:L99)</f>
        <v>0.04</v>
      </c>
      <c r="N99" s="1061"/>
      <c r="O99" s="1926">
        <v>-0.03</v>
      </c>
      <c r="P99" s="342">
        <v>-0.04</v>
      </c>
      <c r="Q99" s="342">
        <v>-0.02</v>
      </c>
      <c r="R99" s="342">
        <v>-0.05</v>
      </c>
      <c r="S99" s="1050">
        <f>MEDIAN(O99:R99)</f>
        <v>-3.5000000000000003E-2</v>
      </c>
      <c r="T99" s="1061"/>
      <c r="U99" s="1926">
        <v>0.02</v>
      </c>
      <c r="V99" s="342">
        <v>0.09</v>
      </c>
      <c r="W99" s="342">
        <v>-0.03</v>
      </c>
      <c r="X99" s="342">
        <v>0.05</v>
      </c>
      <c r="Y99" s="1050">
        <f>MEDIAN(U99:X99)</f>
        <v>3.5000000000000003E-2</v>
      </c>
      <c r="Z99" s="1061"/>
      <c r="AA99" s="1926">
        <v>0.12</v>
      </c>
      <c r="AB99" s="342">
        <v>0.06</v>
      </c>
      <c r="AC99" s="342">
        <v>0.13</v>
      </c>
      <c r="AD99" s="342">
        <v>0.14000000000000001</v>
      </c>
      <c r="AE99" s="1050">
        <f>MEDIAN(AA99:AC99)</f>
        <v>0.12</v>
      </c>
      <c r="AF99" s="828"/>
      <c r="AG99" s="1926">
        <v>0</v>
      </c>
      <c r="AH99" s="342">
        <v>0</v>
      </c>
      <c r="AI99" s="342">
        <v>0.04</v>
      </c>
      <c r="AJ99" s="93"/>
      <c r="AK99" s="1062">
        <v>-0.04</v>
      </c>
      <c r="AL99" s="828"/>
      <c r="AM99" s="1926">
        <v>0.01</v>
      </c>
      <c r="AN99" s="342">
        <v>7.0000000000000007E-2</v>
      </c>
      <c r="AO99" s="342">
        <v>-0.01</v>
      </c>
      <c r="AP99" s="342">
        <v>0.05</v>
      </c>
      <c r="AQ99" s="1050">
        <f>AVERAGE(AM99:AP99)</f>
        <v>3.0000000000000002E-2</v>
      </c>
      <c r="AR99" s="828"/>
      <c r="AS99" s="1926">
        <v>0.02</v>
      </c>
      <c r="AT99" s="342">
        <v>0.02</v>
      </c>
      <c r="AU99" s="342">
        <v>0.09</v>
      </c>
      <c r="AV99" s="342">
        <v>0.1</v>
      </c>
      <c r="AW99" s="1050">
        <f>AVERAGE(AS99:AV99)</f>
        <v>5.7500000000000002E-2</v>
      </c>
      <c r="AX99" s="940"/>
      <c r="AY99" s="1926">
        <f>10%-0.035</f>
        <v>6.5000000000000002E-2</v>
      </c>
      <c r="AZ99" s="342">
        <v>0.05</v>
      </c>
      <c r="BA99" s="342">
        <v>7.0000000000000007E-2</v>
      </c>
      <c r="BB99" s="342">
        <f>3%+0.035</f>
        <v>6.5000000000000002E-2</v>
      </c>
      <c r="BC99" s="1050">
        <f>AVERAGE(AY99:BB99)</f>
        <v>6.25E-2</v>
      </c>
      <c r="BD99" s="940"/>
      <c r="BE99" s="1926">
        <f>2%+0.005</f>
        <v>2.5000000000000001E-2</v>
      </c>
      <c r="BF99" s="342">
        <v>0.12</v>
      </c>
      <c r="BG99" s="342">
        <v>-0.01</v>
      </c>
      <c r="BH99" s="342">
        <v>0.09</v>
      </c>
      <c r="BI99" s="1050">
        <f t="shared" si="27"/>
        <v>5.6249999999999994E-2</v>
      </c>
      <c r="BJ99" s="940"/>
      <c r="BK99" s="1931">
        <v>0.09</v>
      </c>
      <c r="BL99" s="342">
        <v>0.05</v>
      </c>
      <c r="BM99" s="1669">
        <v>0.13</v>
      </c>
      <c r="BN99" s="1669">
        <v>7.0000000000000007E-2</v>
      </c>
      <c r="BO99" s="1050">
        <f t="shared" si="28"/>
        <v>8.5000000000000006E-2</v>
      </c>
      <c r="BP99" s="940"/>
      <c r="BQ99" s="486"/>
      <c r="BR99" s="93"/>
      <c r="BS99" s="93"/>
      <c r="BT99" s="93"/>
      <c r="BU99" s="486"/>
      <c r="BV99" s="174"/>
      <c r="BW99" s="486"/>
      <c r="BX99" s="93"/>
      <c r="BY99" s="93"/>
      <c r="BZ99" s="93"/>
      <c r="CA99" s="1050"/>
      <c r="CB99" s="174"/>
      <c r="CC99" s="486"/>
      <c r="CD99" s="93"/>
      <c r="CE99" s="93"/>
      <c r="CF99" s="93"/>
      <c r="CG99" s="1050"/>
      <c r="CH99" s="174"/>
      <c r="CI99" s="486"/>
      <c r="CJ99" s="93"/>
      <c r="CK99" s="93"/>
      <c r="CL99" s="93"/>
      <c r="CM99" s="1050"/>
    </row>
    <row r="100" spans="1:91">
      <c r="A100" s="344" t="s">
        <v>460</v>
      </c>
      <c r="B100" s="1049"/>
      <c r="C100" s="1927" t="s">
        <v>470</v>
      </c>
      <c r="D100" s="1064" t="s">
        <v>470</v>
      </c>
      <c r="E100" s="1064" t="s">
        <v>470</v>
      </c>
      <c r="F100" s="342">
        <v>-0.12</v>
      </c>
      <c r="G100" s="1050"/>
      <c r="H100" s="1061"/>
      <c r="I100" s="1926">
        <v>-0.09</v>
      </c>
      <c r="J100" s="342">
        <v>-0.06</v>
      </c>
      <c r="K100" s="342">
        <v>0.1</v>
      </c>
      <c r="L100" s="342">
        <v>0.02</v>
      </c>
      <c r="M100" s="1050">
        <f>MEDIAN(I100:L100)</f>
        <v>-1.9999999999999997E-2</v>
      </c>
      <c r="N100" s="1061"/>
      <c r="O100" s="1926">
        <v>-7.0000000000000007E-2</v>
      </c>
      <c r="P100" s="342">
        <v>0.05</v>
      </c>
      <c r="Q100" s="342">
        <v>-0.08</v>
      </c>
      <c r="R100" s="342">
        <v>0.03</v>
      </c>
      <c r="S100" s="1050">
        <f>MEDIAN(O100:R100)</f>
        <v>-2.0000000000000004E-2</v>
      </c>
      <c r="T100" s="1061"/>
      <c r="U100" s="1926">
        <v>0.22</v>
      </c>
      <c r="V100" s="342">
        <v>-0.03</v>
      </c>
      <c r="W100" s="342">
        <v>0.03</v>
      </c>
      <c r="X100" s="342">
        <v>0.04</v>
      </c>
      <c r="Y100" s="1050">
        <f>MEDIAN(U100:X100)</f>
        <v>3.5000000000000003E-2</v>
      </c>
      <c r="Z100" s="1061"/>
      <c r="AA100" s="1926">
        <v>-0.01</v>
      </c>
      <c r="AB100" s="342">
        <v>0.11</v>
      </c>
      <c r="AC100" s="342">
        <v>0.06</v>
      </c>
      <c r="AD100" s="342">
        <v>0</v>
      </c>
      <c r="AE100" s="1050"/>
      <c r="AF100" s="828"/>
      <c r="AG100" s="1926">
        <v>-0.03</v>
      </c>
      <c r="AH100" s="342">
        <v>-0.01</v>
      </c>
      <c r="AI100" s="342">
        <v>-0.01</v>
      </c>
      <c r="AJ100" s="93"/>
      <c r="AK100" s="1062">
        <v>-0.02</v>
      </c>
      <c r="AL100" s="828"/>
      <c r="AM100" s="1926">
        <v>-0.02</v>
      </c>
      <c r="AN100" s="342">
        <v>-0.06</v>
      </c>
      <c r="AO100" s="342">
        <v>0.05</v>
      </c>
      <c r="AP100" s="342">
        <v>0.03</v>
      </c>
      <c r="AQ100" s="1050">
        <f>AVERAGE(AM100:AP100)</f>
        <v>0</v>
      </c>
      <c r="AR100" s="828"/>
      <c r="AS100" s="1926">
        <v>0.08</v>
      </c>
      <c r="AT100" s="342">
        <v>0.04</v>
      </c>
      <c r="AU100" s="342">
        <v>0.04</v>
      </c>
      <c r="AV100" s="342">
        <v>0</v>
      </c>
      <c r="AW100" s="1050">
        <f>AVERAGE(AS100:AV100)</f>
        <v>0.04</v>
      </c>
      <c r="AX100" s="940"/>
      <c r="AY100" s="1926">
        <f>0%-0.035</f>
        <v>-3.5000000000000003E-2</v>
      </c>
      <c r="AZ100" s="342">
        <v>0.05</v>
      </c>
      <c r="BA100" s="342">
        <v>0.01</v>
      </c>
      <c r="BB100" s="342">
        <f>0%+0.035</f>
        <v>3.5000000000000003E-2</v>
      </c>
      <c r="BC100" s="1050">
        <f>AVERAGE(AY100:BB100)</f>
        <v>1.5000000000000001E-2</v>
      </c>
      <c r="BD100" s="940"/>
      <c r="BE100" s="1926">
        <v>0.08</v>
      </c>
      <c r="BF100" s="342">
        <v>0.03</v>
      </c>
      <c r="BG100" s="342">
        <v>-0.02</v>
      </c>
      <c r="BH100" s="342">
        <v>0.06</v>
      </c>
      <c r="BI100" s="1050">
        <f t="shared" si="27"/>
        <v>3.7499999999999999E-2</v>
      </c>
      <c r="BJ100" s="940"/>
      <c r="BK100" s="1931">
        <v>-0.08</v>
      </c>
      <c r="BL100" s="342">
        <v>0.12</v>
      </c>
      <c r="BM100" s="1669">
        <v>0.08</v>
      </c>
      <c r="BN100" s="1669">
        <v>3.5000000000000003E-2</v>
      </c>
      <c r="BO100" s="1050">
        <f t="shared" si="28"/>
        <v>3.875E-2</v>
      </c>
      <c r="BP100" s="940"/>
      <c r="BQ100" s="486"/>
      <c r="BR100" s="93"/>
      <c r="BS100" s="93"/>
      <c r="BT100" s="93"/>
      <c r="BU100" s="486"/>
      <c r="BV100" s="174"/>
      <c r="BW100" s="486"/>
      <c r="BX100" s="93"/>
      <c r="BY100" s="93"/>
      <c r="BZ100" s="93"/>
      <c r="CA100" s="1050"/>
      <c r="CB100" s="174"/>
      <c r="CC100" s="486"/>
      <c r="CD100" s="93"/>
      <c r="CE100" s="93"/>
      <c r="CF100" s="93"/>
      <c r="CG100" s="1050"/>
      <c r="CH100" s="174"/>
      <c r="CI100" s="486"/>
      <c r="CJ100" s="93"/>
      <c r="CK100" s="93"/>
      <c r="CL100" s="93"/>
      <c r="CM100" s="1050"/>
    </row>
    <row r="101" spans="1:91">
      <c r="A101" s="344" t="s">
        <v>13</v>
      </c>
      <c r="B101" s="1049"/>
      <c r="C101" s="1927"/>
      <c r="D101" s="1064"/>
      <c r="E101" s="1064"/>
      <c r="F101" s="342"/>
      <c r="G101" s="1050"/>
      <c r="H101" s="1061"/>
      <c r="I101" s="1926"/>
      <c r="J101" s="342"/>
      <c r="K101" s="342"/>
      <c r="L101" s="342"/>
      <c r="M101" s="1050"/>
      <c r="N101" s="1061"/>
      <c r="O101" s="1926"/>
      <c r="P101" s="342"/>
      <c r="Q101" s="342"/>
      <c r="R101" s="342"/>
      <c r="S101" s="1050"/>
      <c r="T101" s="1061"/>
      <c r="U101" s="1926"/>
      <c r="V101" s="342"/>
      <c r="W101" s="342"/>
      <c r="X101" s="342"/>
      <c r="Y101" s="1050"/>
      <c r="Z101" s="1061"/>
      <c r="AA101" s="1926"/>
      <c r="AB101" s="342"/>
      <c r="AC101" s="342"/>
      <c r="AD101" s="342"/>
      <c r="AE101" s="1050"/>
      <c r="AF101" s="828"/>
      <c r="AG101" s="1926"/>
      <c r="AH101" s="342"/>
      <c r="AI101" s="342"/>
      <c r="AJ101" s="93"/>
      <c r="AK101" s="1062"/>
      <c r="AL101" s="828"/>
      <c r="AM101" s="1928">
        <f>+AM163</f>
        <v>9.3472595919577905E-2</v>
      </c>
      <c r="AN101" s="1588">
        <f>+AN163</f>
        <v>0.17662574618725579</v>
      </c>
      <c r="AO101" s="1588">
        <f>+AO163</f>
        <v>6.5916833396420405E-2</v>
      </c>
      <c r="AP101" s="1588">
        <f>+AP163</f>
        <v>0.18220410080875227</v>
      </c>
      <c r="AQ101" s="1050">
        <f>AVERAGE(AM101:AP101)</f>
        <v>0.12955481907800159</v>
      </c>
      <c r="AR101" s="828"/>
      <c r="AS101" s="1928">
        <f>+AS163</f>
        <v>1.0352199387265726E-2</v>
      </c>
      <c r="AT101" s="1588">
        <f>+AT163</f>
        <v>-9.1456953410444575E-2</v>
      </c>
      <c r="AU101" s="1588">
        <f>+AU163</f>
        <v>-4.6476451288326892E-2</v>
      </c>
      <c r="AV101" s="1588">
        <f>+AV163</f>
        <v>9.5713629934273903E-2</v>
      </c>
      <c r="AW101" s="1050">
        <f>AVERAGE(AS101:AV101)</f>
        <v>-7.9668938443079595E-3</v>
      </c>
      <c r="AX101" s="1929"/>
      <c r="AY101" s="1928">
        <f>+AY163</f>
        <v>0.15584395901056697</v>
      </c>
      <c r="AZ101" s="1588">
        <f>+AZ163</f>
        <v>0.25460815418816685</v>
      </c>
      <c r="BA101" s="1588">
        <f>+BA163</f>
        <v>0.2</v>
      </c>
      <c r="BB101" s="1588">
        <f>+BB163</f>
        <v>0.125</v>
      </c>
      <c r="BC101" s="1050">
        <f>AVERAGE(AY101:BB101)</f>
        <v>0.18386302829968346</v>
      </c>
      <c r="BD101" s="940"/>
      <c r="BE101" s="1931">
        <v>0.15</v>
      </c>
      <c r="BF101" s="342">
        <v>0.16</v>
      </c>
      <c r="BG101" s="342">
        <v>0.18</v>
      </c>
      <c r="BH101" s="342">
        <v>0.16</v>
      </c>
      <c r="BI101" s="1050">
        <f t="shared" si="27"/>
        <v>0.16250000000000001</v>
      </c>
      <c r="BJ101" s="940"/>
      <c r="BK101" s="1931">
        <v>0.18</v>
      </c>
      <c r="BL101" s="342">
        <v>0.16</v>
      </c>
      <c r="BM101" s="1669">
        <v>0.16</v>
      </c>
      <c r="BN101" s="1669">
        <v>0.14000000000000001</v>
      </c>
      <c r="BO101" s="1050">
        <f t="shared" si="28"/>
        <v>0.16</v>
      </c>
      <c r="BP101" s="940"/>
      <c r="BQ101" s="486"/>
      <c r="BR101" s="93"/>
      <c r="BS101" s="93"/>
      <c r="BT101" s="93"/>
      <c r="BU101" s="486"/>
      <c r="BV101" s="174"/>
      <c r="BW101" s="486"/>
      <c r="BX101" s="93"/>
      <c r="BY101" s="93"/>
      <c r="BZ101" s="93"/>
      <c r="CA101" s="1050"/>
      <c r="CB101" s="174"/>
      <c r="CC101" s="486"/>
      <c r="CD101" s="93"/>
      <c r="CE101" s="93"/>
      <c r="CF101" s="93"/>
      <c r="CG101" s="1050"/>
      <c r="CH101" s="174"/>
      <c r="CI101" s="486"/>
      <c r="CJ101" s="93"/>
      <c r="CK101" s="93"/>
      <c r="CL101" s="93"/>
      <c r="CM101" s="1050"/>
    </row>
    <row r="102" spans="1:91">
      <c r="A102" s="344" t="s">
        <v>469</v>
      </c>
      <c r="B102" s="1049"/>
      <c r="C102" s="1927" t="s">
        <v>470</v>
      </c>
      <c r="D102" s="1064" t="s">
        <v>470</v>
      </c>
      <c r="E102" s="1064" t="s">
        <v>470</v>
      </c>
      <c r="F102" s="342">
        <v>0.18</v>
      </c>
      <c r="G102" s="1050"/>
      <c r="H102" s="1061"/>
      <c r="I102" s="1926">
        <v>0.27</v>
      </c>
      <c r="J102" s="342">
        <v>0.22</v>
      </c>
      <c r="K102" s="342">
        <v>0.11</v>
      </c>
      <c r="L102" s="342">
        <v>0.17</v>
      </c>
      <c r="M102" s="1050">
        <f>MEDIAN(I102:L102)</f>
        <v>0.19500000000000001</v>
      </c>
      <c r="N102" s="1061"/>
      <c r="O102" s="1926">
        <v>-0.06</v>
      </c>
      <c r="P102" s="342">
        <v>0.01</v>
      </c>
      <c r="Q102" s="342">
        <v>0.04</v>
      </c>
      <c r="R102" s="93"/>
      <c r="S102" s="1050">
        <f>MEDIAN(O102:R102)</f>
        <v>0.01</v>
      </c>
      <c r="T102" s="1061"/>
      <c r="U102" s="1926">
        <v>0.12</v>
      </c>
      <c r="V102" s="342">
        <v>0.14000000000000001</v>
      </c>
      <c r="W102" s="342">
        <v>0.28000000000000003</v>
      </c>
      <c r="X102" s="342">
        <v>0.32</v>
      </c>
      <c r="Y102" s="1050">
        <f>MEDIAN(U102:X102)</f>
        <v>0.21000000000000002</v>
      </c>
      <c r="Z102" s="1061"/>
      <c r="AA102" s="1926">
        <v>0.28999999999999998</v>
      </c>
      <c r="AB102" s="342">
        <v>0.14000000000000001</v>
      </c>
      <c r="AC102" s="342">
        <v>0.08</v>
      </c>
      <c r="AD102" s="342">
        <v>-0.01</v>
      </c>
      <c r="AE102" s="1062">
        <v>0.16</v>
      </c>
      <c r="AF102" s="828"/>
      <c r="AG102" s="1926">
        <v>0.05</v>
      </c>
      <c r="AH102" s="342">
        <v>7.0000000000000007E-2</v>
      </c>
      <c r="AI102" s="342">
        <v>0.09</v>
      </c>
      <c r="AJ102" s="93"/>
      <c r="AK102" s="1062">
        <v>0.21</v>
      </c>
      <c r="AL102" s="828"/>
      <c r="AM102" s="1926">
        <v>0.05</v>
      </c>
      <c r="AN102" s="342">
        <v>0.03</v>
      </c>
      <c r="AO102" s="342">
        <v>0.06</v>
      </c>
      <c r="AP102" s="342">
        <v>0.15</v>
      </c>
      <c r="AQ102" s="1050">
        <f>AVERAGE(AM102:AP102)</f>
        <v>7.2500000000000009E-2</v>
      </c>
      <c r="AR102" s="828"/>
      <c r="AS102" s="1926">
        <v>0.01</v>
      </c>
      <c r="AT102" s="342">
        <v>0.04</v>
      </c>
      <c r="AU102" s="342">
        <v>0.05</v>
      </c>
      <c r="AV102" s="342">
        <v>0.08</v>
      </c>
      <c r="AW102" s="1050">
        <f>AVERAGE(AS102:AV102)</f>
        <v>4.4999999999999998E-2</v>
      </c>
      <c r="AX102" s="940"/>
      <c r="AY102" s="1926">
        <f>20%-0.035</f>
        <v>0.16500000000000001</v>
      </c>
      <c r="AZ102" s="342">
        <v>0.26</v>
      </c>
      <c r="BA102" s="342">
        <v>0.14000000000000001</v>
      </c>
      <c r="BB102" s="342">
        <f>14%+0.035</f>
        <v>0.17500000000000002</v>
      </c>
      <c r="BC102" s="1050">
        <f>AVERAGE(AY102:BB102)</f>
        <v>0.18500000000000003</v>
      </c>
      <c r="BD102" s="940"/>
      <c r="BE102" s="1930">
        <v>0.11</v>
      </c>
      <c r="BF102" s="1669">
        <v>0.1</v>
      </c>
      <c r="BG102" s="342">
        <v>0.18</v>
      </c>
      <c r="BH102" s="342">
        <v>0.18</v>
      </c>
      <c r="BI102" s="1050">
        <f t="shared" si="27"/>
        <v>0.14250000000000002</v>
      </c>
      <c r="BJ102" s="940"/>
      <c r="BK102" s="1931">
        <v>0.1825</v>
      </c>
      <c r="BL102" s="342">
        <v>0.11600000000000001</v>
      </c>
      <c r="BM102" s="1669">
        <v>0.08</v>
      </c>
      <c r="BN102" s="1669">
        <v>5.1999999999999998E-2</v>
      </c>
      <c r="BO102" s="1050">
        <f t="shared" si="28"/>
        <v>0.107625</v>
      </c>
      <c r="BP102" s="940"/>
      <c r="BQ102" s="486"/>
      <c r="BR102" s="93"/>
      <c r="BS102" s="93"/>
      <c r="BT102" s="93"/>
      <c r="BU102" s="486"/>
      <c r="BV102" s="174"/>
      <c r="BW102" s="486"/>
      <c r="BX102" s="93"/>
      <c r="BY102" s="93"/>
      <c r="BZ102" s="93"/>
      <c r="CA102" s="1050"/>
      <c r="CB102" s="174"/>
      <c r="CC102" s="486"/>
      <c r="CD102" s="93"/>
      <c r="CE102" s="93"/>
      <c r="CF102" s="93"/>
      <c r="CG102" s="1050"/>
      <c r="CH102" s="174"/>
      <c r="CI102" s="486"/>
      <c r="CJ102" s="93"/>
      <c r="CK102" s="93"/>
      <c r="CL102" s="93"/>
      <c r="CM102" s="1050"/>
    </row>
    <row r="103" spans="1:91">
      <c r="A103" s="344" t="s">
        <v>464</v>
      </c>
      <c r="B103" s="93"/>
      <c r="C103" s="1926">
        <v>0.11</v>
      </c>
      <c r="D103" s="342">
        <v>0.14000000000000001</v>
      </c>
      <c r="E103" s="342">
        <v>0.12</v>
      </c>
      <c r="F103" s="1064" t="s">
        <v>470</v>
      </c>
      <c r="G103" s="1050"/>
      <c r="H103" s="1061"/>
      <c r="I103" s="486"/>
      <c r="J103" s="93"/>
      <c r="K103" s="93"/>
      <c r="L103" s="93"/>
      <c r="M103" s="1050"/>
      <c r="N103" s="1061"/>
      <c r="O103" s="486"/>
      <c r="P103" s="93"/>
      <c r="Q103" s="93"/>
      <c r="R103" s="342">
        <v>-0.03</v>
      </c>
      <c r="S103" s="1050"/>
      <c r="T103" s="1061"/>
      <c r="U103" s="486"/>
      <c r="V103" s="93"/>
      <c r="W103" s="93"/>
      <c r="X103" s="93"/>
      <c r="Y103" s="1050"/>
      <c r="Z103" s="1061"/>
      <c r="AA103" s="486"/>
      <c r="AB103" s="342">
        <v>0.2</v>
      </c>
      <c r="AC103" s="342">
        <v>0.08</v>
      </c>
      <c r="AD103" s="93"/>
      <c r="AE103" s="1050">
        <f>MEDIAN(AA103:AC103)</f>
        <v>0.14000000000000001</v>
      </c>
      <c r="AF103" s="828"/>
      <c r="AG103" s="486"/>
      <c r="AH103" s="93"/>
      <c r="AI103" s="93"/>
      <c r="AJ103" s="93"/>
      <c r="AK103" s="1062">
        <v>0.04</v>
      </c>
      <c r="AL103" s="828"/>
      <c r="AM103" s="486"/>
      <c r="AN103" s="93"/>
      <c r="AO103" s="93"/>
      <c r="AP103" s="93"/>
      <c r="AQ103" s="1500">
        <v>-0.01</v>
      </c>
      <c r="AR103" s="828"/>
      <c r="AS103" s="486"/>
      <c r="AT103" s="93"/>
      <c r="AU103" s="93"/>
      <c r="AV103" s="93"/>
      <c r="AW103" s="1050"/>
      <c r="AX103" s="940"/>
      <c r="AY103" s="486"/>
      <c r="AZ103" s="93"/>
      <c r="BA103" s="93"/>
      <c r="BB103" s="93"/>
      <c r="BC103" s="1050"/>
      <c r="BD103" s="940"/>
      <c r="BE103" s="1926">
        <f>11%+0.005</f>
        <v>0.115</v>
      </c>
      <c r="BF103" s="342">
        <v>0.09</v>
      </c>
      <c r="BG103" s="342">
        <v>0.14000000000000001</v>
      </c>
      <c r="BH103" s="342">
        <v>0.156</v>
      </c>
      <c r="BI103" s="1050">
        <f t="shared" si="27"/>
        <v>0.12525</v>
      </c>
      <c r="BJ103" s="940"/>
      <c r="BK103" s="1931">
        <v>0.13</v>
      </c>
      <c r="BL103" s="342">
        <v>0.14000000000000001</v>
      </c>
      <c r="BM103" s="1669">
        <v>0.08</v>
      </c>
      <c r="BN103" s="1669">
        <v>0.06</v>
      </c>
      <c r="BO103" s="1050">
        <f t="shared" si="28"/>
        <v>0.10250000000000001</v>
      </c>
      <c r="BP103" s="940"/>
      <c r="BQ103" s="486"/>
      <c r="BR103" s="93"/>
      <c r="BS103" s="93"/>
      <c r="BT103" s="93"/>
      <c r="BU103" s="486"/>
      <c r="BV103" s="174"/>
      <c r="BW103" s="486"/>
      <c r="BX103" s="93"/>
      <c r="BY103" s="93"/>
      <c r="BZ103" s="93"/>
      <c r="CA103" s="1050"/>
      <c r="CB103" s="174"/>
      <c r="CC103" s="486"/>
      <c r="CD103" s="93"/>
      <c r="CE103" s="93"/>
      <c r="CF103" s="93"/>
      <c r="CG103" s="1050"/>
      <c r="CH103" s="174"/>
      <c r="CI103" s="486"/>
      <c r="CJ103" s="93"/>
      <c r="CK103" s="93"/>
      <c r="CL103" s="93"/>
      <c r="CM103" s="1050"/>
    </row>
    <row r="104" spans="1:91">
      <c r="A104" s="344" t="s">
        <v>462</v>
      </c>
      <c r="B104" s="1049"/>
      <c r="C104" s="486"/>
      <c r="D104" s="93"/>
      <c r="E104" s="93"/>
      <c r="F104" s="93"/>
      <c r="G104" s="1050"/>
      <c r="H104" s="1061"/>
      <c r="I104" s="486"/>
      <c r="J104" s="93"/>
      <c r="K104" s="93"/>
      <c r="L104" s="93"/>
      <c r="M104" s="1050"/>
      <c r="N104" s="1061"/>
      <c r="O104" s="486"/>
      <c r="P104" s="93"/>
      <c r="Q104" s="93"/>
      <c r="R104" s="93"/>
      <c r="S104" s="1050"/>
      <c r="T104" s="1061"/>
      <c r="U104" s="486"/>
      <c r="V104" s="93"/>
      <c r="W104" s="93"/>
      <c r="X104" s="93"/>
      <c r="Y104" s="1050"/>
      <c r="Z104" s="1061"/>
      <c r="AA104" s="486"/>
      <c r="AB104" s="342">
        <v>0.23</v>
      </c>
      <c r="AC104" s="342">
        <v>0.06</v>
      </c>
      <c r="AD104" s="93"/>
      <c r="AE104" s="1050">
        <f>MEDIAN(AA104:AC104)</f>
        <v>0.14500000000000002</v>
      </c>
      <c r="AF104" s="828"/>
      <c r="AG104" s="486"/>
      <c r="AH104" s="93"/>
      <c r="AI104" s="93"/>
      <c r="AJ104" s="93"/>
      <c r="AK104" s="1062">
        <v>-7.0000000000000007E-2</v>
      </c>
      <c r="AL104" s="828"/>
      <c r="AM104" s="486"/>
      <c r="AN104" s="93"/>
      <c r="AO104" s="93"/>
      <c r="AP104" s="93"/>
      <c r="AQ104" s="1500">
        <v>0.15</v>
      </c>
      <c r="AR104" s="828"/>
      <c r="AS104" s="486"/>
      <c r="AT104" s="93"/>
      <c r="AU104" s="93">
        <v>0.15</v>
      </c>
      <c r="AV104" s="93"/>
      <c r="AW104" s="1050"/>
      <c r="AX104" s="940"/>
      <c r="AY104" s="486">
        <v>0.12</v>
      </c>
      <c r="AZ104" s="93"/>
      <c r="BA104" s="93"/>
      <c r="BB104" s="93"/>
      <c r="BC104" s="1050"/>
      <c r="BD104" s="940"/>
      <c r="BE104" s="1431" t="s">
        <v>470</v>
      </c>
      <c r="BF104" s="1432" t="s">
        <v>470</v>
      </c>
      <c r="BG104" s="1432" t="s">
        <v>470</v>
      </c>
      <c r="BH104" s="1432" t="s">
        <v>470</v>
      </c>
      <c r="BI104" s="1430" t="s">
        <v>470</v>
      </c>
      <c r="BJ104" s="940"/>
      <c r="BK104" s="1431" t="s">
        <v>470</v>
      </c>
      <c r="BL104" s="1432" t="s">
        <v>470</v>
      </c>
      <c r="BM104" s="1432" t="s">
        <v>470</v>
      </c>
      <c r="BN104" s="1432" t="s">
        <v>470</v>
      </c>
      <c r="BO104" s="1430" t="s">
        <v>470</v>
      </c>
      <c r="BP104" s="940"/>
      <c r="BQ104" s="486"/>
      <c r="BR104" s="93"/>
      <c r="BS104" s="93"/>
      <c r="BT104" s="93"/>
      <c r="BU104" s="486"/>
      <c r="BV104" s="174"/>
      <c r="BW104" s="486"/>
      <c r="BX104" s="93"/>
      <c r="BY104" s="93"/>
      <c r="BZ104" s="93"/>
      <c r="CA104" s="1050"/>
      <c r="CB104" s="174"/>
      <c r="CC104" s="486"/>
      <c r="CD104" s="93"/>
      <c r="CE104" s="93"/>
      <c r="CF104" s="93"/>
      <c r="CG104" s="1050"/>
      <c r="CH104" s="174"/>
      <c r="CI104" s="486"/>
      <c r="CJ104" s="93"/>
      <c r="CK104" s="93"/>
      <c r="CL104" s="93"/>
      <c r="CM104" s="1050"/>
    </row>
    <row r="105" spans="1:91">
      <c r="A105" s="344" t="s">
        <v>9</v>
      </c>
      <c r="B105" s="1049"/>
      <c r="C105" s="486"/>
      <c r="D105" s="93"/>
      <c r="E105" s="93"/>
      <c r="F105" s="93"/>
      <c r="G105" s="1050"/>
      <c r="H105" s="1061"/>
      <c r="I105" s="486"/>
      <c r="J105" s="93"/>
      <c r="K105" s="93"/>
      <c r="L105" s="93"/>
      <c r="M105" s="1050"/>
      <c r="N105" s="1061"/>
      <c r="O105" s="486"/>
      <c r="P105" s="93"/>
      <c r="Q105" s="93"/>
      <c r="R105" s="93"/>
      <c r="S105" s="1050"/>
      <c r="T105" s="1061"/>
      <c r="U105" s="486"/>
      <c r="V105" s="93"/>
      <c r="W105" s="93"/>
      <c r="X105" s="93"/>
      <c r="Y105" s="1050"/>
      <c r="Z105" s="1061"/>
      <c r="AA105" s="486"/>
      <c r="AB105" s="342"/>
      <c r="AC105" s="342"/>
      <c r="AD105" s="93"/>
      <c r="AE105" s="1050"/>
      <c r="AF105" s="828"/>
      <c r="AG105" s="486"/>
      <c r="AH105" s="93"/>
      <c r="AI105" s="93"/>
      <c r="AJ105" s="93"/>
      <c r="AK105" s="1062"/>
      <c r="AL105" s="828"/>
      <c r="AM105" s="1931">
        <v>0.12</v>
      </c>
      <c r="AN105" s="1942">
        <v>0</v>
      </c>
      <c r="AO105" s="1942">
        <v>0.03</v>
      </c>
      <c r="AP105" s="1942">
        <v>-0.03</v>
      </c>
      <c r="AQ105" s="1050">
        <f>AVERAGE(AM105:AP105)</f>
        <v>0.03</v>
      </c>
      <c r="AR105" s="828"/>
      <c r="AS105" s="1930">
        <v>0</v>
      </c>
      <c r="AT105" s="1669">
        <v>0.12</v>
      </c>
      <c r="AU105" s="1669">
        <v>0.14000000000000001</v>
      </c>
      <c r="AV105" s="1669">
        <v>0.22</v>
      </c>
      <c r="AW105" s="1050">
        <f>AVERAGE(AS105:AV105)</f>
        <v>0.12</v>
      </c>
      <c r="AX105" s="961"/>
      <c r="AY105" s="1930">
        <v>0.22</v>
      </c>
      <c r="AZ105" s="1669">
        <v>0.3</v>
      </c>
      <c r="BA105" s="1669">
        <v>0.26</v>
      </c>
      <c r="BB105" s="1669">
        <v>0.2</v>
      </c>
      <c r="BC105" s="1050">
        <f>AVERAGE(AY105:BB105)</f>
        <v>0.245</v>
      </c>
      <c r="BD105" s="961"/>
      <c r="BE105" s="2035">
        <v>0.15</v>
      </c>
      <c r="BF105" s="2036">
        <v>0.16</v>
      </c>
      <c r="BG105" s="2036">
        <v>0.14000000000000001</v>
      </c>
      <c r="BH105" s="2036">
        <v>0.14000000000000001</v>
      </c>
      <c r="BI105" s="1050">
        <f>AVERAGE(BE105:BH105)</f>
        <v>0.14750000000000002</v>
      </c>
      <c r="BJ105" s="961"/>
      <c r="BK105" s="2035">
        <v>0.12</v>
      </c>
      <c r="BL105" s="1669">
        <v>0.14000000000000001</v>
      </c>
      <c r="BM105" s="1669">
        <v>0.09</v>
      </c>
      <c r="BN105" s="1669">
        <v>0.08</v>
      </c>
      <c r="BO105" s="1050">
        <f>AVERAGE(BK105:BN105)</f>
        <v>0.1075</v>
      </c>
      <c r="BP105" s="940"/>
      <c r="BQ105" s="486"/>
      <c r="BR105" s="93"/>
      <c r="BS105" s="93"/>
      <c r="BT105" s="93"/>
      <c r="BU105" s="486"/>
      <c r="BV105" s="174"/>
      <c r="BW105" s="486"/>
      <c r="BX105" s="93"/>
      <c r="BY105" s="93"/>
      <c r="BZ105" s="93"/>
      <c r="CA105" s="1050"/>
      <c r="CB105" s="174"/>
      <c r="CC105" s="486"/>
      <c r="CD105" s="93"/>
      <c r="CE105" s="93"/>
      <c r="CF105" s="93"/>
      <c r="CG105" s="1050"/>
      <c r="CH105" s="174"/>
      <c r="CI105" s="486"/>
      <c r="CJ105" s="93"/>
      <c r="CK105" s="93"/>
      <c r="CL105" s="93"/>
      <c r="CM105" s="1050"/>
    </row>
    <row r="106" spans="1:91">
      <c r="A106" s="1913" t="s">
        <v>302</v>
      </c>
      <c r="B106" s="1912"/>
      <c r="C106" s="1914"/>
      <c r="D106" s="1914"/>
      <c r="E106" s="1914"/>
      <c r="F106" s="1914"/>
      <c r="G106" s="1915"/>
      <c r="H106" s="1916"/>
      <c r="I106" s="1914"/>
      <c r="J106" s="1914"/>
      <c r="K106" s="1914"/>
      <c r="L106" s="1914"/>
      <c r="M106" s="1915"/>
      <c r="N106" s="1916"/>
      <c r="O106" s="1914"/>
      <c r="P106" s="1914"/>
      <c r="Q106" s="1914"/>
      <c r="R106" s="1914"/>
      <c r="S106" s="1915"/>
      <c r="T106" s="1916"/>
      <c r="U106" s="1914"/>
      <c r="V106" s="1914"/>
      <c r="W106" s="1914"/>
      <c r="X106" s="1914"/>
      <c r="Y106" s="1915"/>
      <c r="Z106" s="1916"/>
      <c r="AA106" s="1914"/>
      <c r="AB106" s="1914"/>
      <c r="AC106" s="1914"/>
      <c r="AD106" s="1914"/>
      <c r="AE106" s="1915"/>
      <c r="AF106" s="1917"/>
      <c r="AG106" s="1914"/>
      <c r="AH106" s="1914"/>
      <c r="AI106" s="1914"/>
      <c r="AJ106" s="1914"/>
      <c r="AK106" s="1918"/>
      <c r="AL106" s="1917"/>
      <c r="AM106" s="1914"/>
      <c r="AN106" s="1914"/>
      <c r="AO106" s="1914"/>
      <c r="AP106" s="1914"/>
      <c r="AQ106" s="1915"/>
      <c r="AR106" s="1917"/>
      <c r="AS106" s="1914"/>
      <c r="AT106" s="1914"/>
      <c r="AU106" s="1914"/>
      <c r="AV106" s="1914"/>
      <c r="AW106" s="1914"/>
      <c r="AX106" s="1917"/>
      <c r="AY106" s="1914"/>
      <c r="AZ106" s="1914"/>
      <c r="BA106" s="1914"/>
      <c r="BB106" s="1914"/>
      <c r="BC106" s="1914"/>
      <c r="BD106" s="1917"/>
      <c r="BE106" s="1914"/>
      <c r="BF106" s="1914"/>
      <c r="BG106" s="1914"/>
      <c r="BH106" s="1914"/>
      <c r="BI106" s="1914"/>
      <c r="BJ106" s="1917"/>
      <c r="BK106" s="1914"/>
      <c r="BL106" s="1914"/>
      <c r="BM106" s="1914"/>
      <c r="BN106" s="1914"/>
      <c r="BO106" s="1914"/>
      <c r="BP106" s="1917"/>
      <c r="BQ106" s="1914"/>
      <c r="BR106" s="1914"/>
      <c r="BS106" s="1914"/>
      <c r="BT106" s="1914"/>
      <c r="BU106" s="1914"/>
      <c r="BV106" s="1919"/>
      <c r="BW106" s="1914"/>
      <c r="BX106" s="1914"/>
      <c r="BY106" s="1914"/>
      <c r="BZ106" s="1914"/>
      <c r="CA106" s="1914"/>
      <c r="CB106" s="1919"/>
      <c r="CC106" s="1914"/>
      <c r="CD106" s="1914"/>
      <c r="CE106" s="1914"/>
      <c r="CF106" s="1914"/>
      <c r="CG106" s="1914"/>
      <c r="CH106" s="1919"/>
      <c r="CI106" s="1914"/>
      <c r="CJ106" s="1914"/>
      <c r="CK106" s="1914"/>
      <c r="CL106" s="1914"/>
      <c r="CM106" s="1914"/>
    </row>
    <row r="107" spans="1:91">
      <c r="A107" s="344" t="s">
        <v>465</v>
      </c>
      <c r="B107" s="1049"/>
      <c r="C107" s="486"/>
      <c r="D107" s="93"/>
      <c r="E107" s="93"/>
      <c r="F107" s="93"/>
      <c r="G107" s="1050"/>
      <c r="H107" s="1061"/>
      <c r="I107" s="486">
        <f t="shared" ref="I107:L108" si="29">+I98+C98</f>
        <v>0.3</v>
      </c>
      <c r="J107" s="93">
        <f t="shared" si="29"/>
        <v>0.24</v>
      </c>
      <c r="K107" s="93">
        <f t="shared" si="29"/>
        <v>0.19</v>
      </c>
      <c r="L107" s="93">
        <f t="shared" si="29"/>
        <v>1.999999999999999E-2</v>
      </c>
      <c r="M107" s="1050"/>
      <c r="N107" s="1061"/>
      <c r="O107" s="486">
        <f t="shared" ref="O107:R109" si="30">+O98+I98</f>
        <v>0.03</v>
      </c>
      <c r="P107" s="93">
        <f t="shared" si="30"/>
        <v>0</v>
      </c>
      <c r="Q107" s="93">
        <f t="shared" si="30"/>
        <v>-1.9999999999999997E-2</v>
      </c>
      <c r="R107" s="93">
        <f t="shared" si="30"/>
        <v>-9.0000000000000011E-2</v>
      </c>
      <c r="S107" s="1050">
        <f t="shared" ref="S107:U109" si="31">+S98+M98</f>
        <v>-1.0000000000000002E-2</v>
      </c>
      <c r="T107" s="1061"/>
      <c r="U107" s="486">
        <f t="shared" si="31"/>
        <v>-3.9999999999999994E-2</v>
      </c>
      <c r="V107" s="93">
        <f t="shared" ref="V107:Y109" si="32">+V98+P98</f>
        <v>0.05</v>
      </c>
      <c r="W107" s="93">
        <f t="shared" si="32"/>
        <v>0.08</v>
      </c>
      <c r="X107" s="93">
        <f t="shared" si="32"/>
        <v>0.11</v>
      </c>
      <c r="Y107" s="1050">
        <f t="shared" si="32"/>
        <v>6.0000000000000012E-2</v>
      </c>
      <c r="Z107" s="1061"/>
      <c r="AA107" s="486">
        <f t="shared" ref="AA107:AE108" si="33">+AA98+U98</f>
        <v>0.1</v>
      </c>
      <c r="AB107" s="93">
        <f t="shared" si="33"/>
        <v>0.13</v>
      </c>
      <c r="AC107" s="93">
        <f t="shared" si="33"/>
        <v>0.19</v>
      </c>
      <c r="AD107" s="93">
        <f t="shared" si="33"/>
        <v>0.18</v>
      </c>
      <c r="AE107" s="1050">
        <f t="shared" si="33"/>
        <v>0.185</v>
      </c>
      <c r="AF107" s="828"/>
      <c r="AG107" s="486">
        <f t="shared" ref="AG107:AI109" si="34">+AG98+AA98</f>
        <v>0.1</v>
      </c>
      <c r="AH107" s="93">
        <f t="shared" si="34"/>
        <v>9.0000000000000011E-2</v>
      </c>
      <c r="AI107" s="93">
        <f t="shared" si="34"/>
        <v>0.04</v>
      </c>
      <c r="AJ107" s="93"/>
      <c r="AK107" s="1050">
        <f>+AK98+AE98</f>
        <v>0.08</v>
      </c>
      <c r="AL107" s="828"/>
      <c r="AM107" s="486">
        <f t="shared" ref="AM107:AQ109" si="35">+AM98+AG98</f>
        <v>0.08</v>
      </c>
      <c r="AN107" s="93">
        <f t="shared" si="35"/>
        <v>0.05</v>
      </c>
      <c r="AO107" s="93">
        <f t="shared" si="35"/>
        <v>1.9999999999999997E-2</v>
      </c>
      <c r="AP107" s="93">
        <f t="shared" si="35"/>
        <v>0.1</v>
      </c>
      <c r="AQ107" s="1050">
        <f t="shared" si="35"/>
        <v>0.05</v>
      </c>
      <c r="AR107" s="828"/>
      <c r="AS107" s="486">
        <f t="shared" ref="AS107:AU111" si="36">+AS98+AM98</f>
        <v>3.9999999999999994E-2</v>
      </c>
      <c r="AT107" s="93">
        <f t="shared" si="36"/>
        <v>0.09</v>
      </c>
      <c r="AU107" s="93">
        <f t="shared" si="36"/>
        <v>0.14000000000000001</v>
      </c>
      <c r="AV107" s="93">
        <f t="shared" ref="AV107:AW111" si="37">+AV98+AP98</f>
        <v>0.2</v>
      </c>
      <c r="AW107" s="1050">
        <f t="shared" si="37"/>
        <v>0.11750000000000001</v>
      </c>
      <c r="AX107" s="828"/>
      <c r="AY107" s="486">
        <f t="shared" ref="AY107:BC111" si="38">+AY98+AS98</f>
        <v>0.14500000000000002</v>
      </c>
      <c r="AZ107" s="93">
        <f t="shared" si="38"/>
        <v>0.18</v>
      </c>
      <c r="BA107" s="93">
        <f t="shared" si="38"/>
        <v>0.21000000000000002</v>
      </c>
      <c r="BB107" s="93">
        <f t="shared" si="38"/>
        <v>0.17500000000000002</v>
      </c>
      <c r="BC107" s="1050">
        <f t="shared" si="38"/>
        <v>0.17749999999999999</v>
      </c>
      <c r="BD107" s="828"/>
      <c r="BE107" s="486">
        <f t="shared" ref="BE107:BN112" si="39">+BE98+AY98</f>
        <v>0.18</v>
      </c>
      <c r="BF107" s="93">
        <f t="shared" si="39"/>
        <v>0.13</v>
      </c>
      <c r="BG107" s="93">
        <f t="shared" si="39"/>
        <v>0.12000000000000001</v>
      </c>
      <c r="BH107" s="93">
        <f t="shared" si="39"/>
        <v>6.5000000000000016E-2</v>
      </c>
      <c r="BI107" s="1050">
        <f t="shared" si="39"/>
        <v>0.12375</v>
      </c>
      <c r="BJ107" s="828"/>
      <c r="BK107" s="486">
        <f t="shared" si="39"/>
        <v>-5.5000000000000007E-2</v>
      </c>
      <c r="BL107" s="93">
        <f t="shared" si="39"/>
        <v>3.9999999999999994E-2</v>
      </c>
      <c r="BM107" s="93">
        <f t="shared" si="39"/>
        <v>1.5600000000000001E-2</v>
      </c>
      <c r="BN107" s="93">
        <f t="shared" ref="BN107:BN111" si="40">+BN98+BH98</f>
        <v>0.08</v>
      </c>
      <c r="BO107" s="1050">
        <f t="shared" ref="BO107:BO112" si="41">+BO98+BI98</f>
        <v>2.0149999999999994E-2</v>
      </c>
      <c r="BP107" s="828"/>
      <c r="BQ107" s="486"/>
      <c r="BR107" s="93"/>
      <c r="BS107" s="93"/>
      <c r="BT107" s="93"/>
      <c r="BU107" s="1050"/>
      <c r="BV107" s="24"/>
      <c r="BW107" s="486"/>
      <c r="BX107" s="93"/>
      <c r="BY107" s="93"/>
      <c r="BZ107" s="93"/>
      <c r="CA107" s="1050"/>
      <c r="CB107" s="24"/>
      <c r="CC107" s="486"/>
      <c r="CD107" s="93"/>
      <c r="CE107" s="93"/>
      <c r="CF107" s="93"/>
      <c r="CG107" s="1050"/>
      <c r="CH107" s="24"/>
      <c r="CI107" s="486"/>
      <c r="CJ107" s="93"/>
      <c r="CK107" s="93"/>
      <c r="CL107" s="93"/>
      <c r="CM107" s="1050"/>
    </row>
    <row r="108" spans="1:91">
      <c r="A108" s="344" t="s">
        <v>459</v>
      </c>
      <c r="B108" s="1049"/>
      <c r="C108" s="486"/>
      <c r="D108" s="93"/>
      <c r="E108" s="93"/>
      <c r="F108" s="93"/>
      <c r="G108" s="1050"/>
      <c r="H108" s="1061"/>
      <c r="I108" s="486">
        <f t="shared" si="29"/>
        <v>0.05</v>
      </c>
      <c r="J108" s="93">
        <f t="shared" si="29"/>
        <v>0.17</v>
      </c>
      <c r="K108" s="93">
        <f t="shared" si="29"/>
        <v>0.19</v>
      </c>
      <c r="L108" s="93">
        <f t="shared" si="29"/>
        <v>0.1</v>
      </c>
      <c r="M108" s="1050"/>
      <c r="N108" s="1061"/>
      <c r="O108" s="486">
        <f t="shared" si="30"/>
        <v>-0.05</v>
      </c>
      <c r="P108" s="93">
        <f t="shared" si="30"/>
        <v>-1.0000000000000002E-2</v>
      </c>
      <c r="Q108" s="93">
        <f t="shared" si="30"/>
        <v>0.05</v>
      </c>
      <c r="R108" s="93">
        <f t="shared" si="30"/>
        <v>0</v>
      </c>
      <c r="S108" s="1050">
        <f t="shared" si="31"/>
        <v>4.9999999999999975E-3</v>
      </c>
      <c r="T108" s="1061"/>
      <c r="U108" s="486">
        <f t="shared" si="31"/>
        <v>-9.9999999999999985E-3</v>
      </c>
      <c r="V108" s="93">
        <f t="shared" si="32"/>
        <v>4.9999999999999996E-2</v>
      </c>
      <c r="W108" s="93">
        <f t="shared" si="32"/>
        <v>-0.05</v>
      </c>
      <c r="X108" s="93">
        <f t="shared" si="32"/>
        <v>0</v>
      </c>
      <c r="Y108" s="1050">
        <f t="shared" si="32"/>
        <v>0</v>
      </c>
      <c r="Z108" s="1061"/>
      <c r="AA108" s="486">
        <f t="shared" si="33"/>
        <v>0.13999999999999999</v>
      </c>
      <c r="AB108" s="93">
        <f t="shared" si="33"/>
        <v>0.15</v>
      </c>
      <c r="AC108" s="93">
        <f t="shared" si="33"/>
        <v>0.1</v>
      </c>
      <c r="AD108" s="93">
        <f t="shared" si="33"/>
        <v>0.19</v>
      </c>
      <c r="AE108" s="1050">
        <f t="shared" si="33"/>
        <v>0.155</v>
      </c>
      <c r="AF108" s="828"/>
      <c r="AG108" s="486">
        <f t="shared" si="34"/>
        <v>0.12</v>
      </c>
      <c r="AH108" s="93">
        <f t="shared" si="34"/>
        <v>0.06</v>
      </c>
      <c r="AI108" s="93">
        <f t="shared" si="34"/>
        <v>0.17</v>
      </c>
      <c r="AJ108" s="93"/>
      <c r="AK108" s="1050">
        <f>+AK99+AE99</f>
        <v>7.9999999999999988E-2</v>
      </c>
      <c r="AL108" s="828"/>
      <c r="AM108" s="486">
        <f t="shared" si="35"/>
        <v>0.01</v>
      </c>
      <c r="AN108" s="93">
        <f t="shared" si="35"/>
        <v>7.0000000000000007E-2</v>
      </c>
      <c r="AO108" s="93">
        <f t="shared" si="35"/>
        <v>0.03</v>
      </c>
      <c r="AP108" s="93">
        <f t="shared" si="35"/>
        <v>0.05</v>
      </c>
      <c r="AQ108" s="1050">
        <f t="shared" si="35"/>
        <v>-9.9999999999999985E-3</v>
      </c>
      <c r="AR108" s="828"/>
      <c r="AS108" s="486">
        <f t="shared" si="36"/>
        <v>0.03</v>
      </c>
      <c r="AT108" s="93">
        <f t="shared" si="36"/>
        <v>9.0000000000000011E-2</v>
      </c>
      <c r="AU108" s="93">
        <f t="shared" si="36"/>
        <v>0.08</v>
      </c>
      <c r="AV108" s="93">
        <f t="shared" si="37"/>
        <v>0.15000000000000002</v>
      </c>
      <c r="AW108" s="1050">
        <f t="shared" si="37"/>
        <v>8.7500000000000008E-2</v>
      </c>
      <c r="AX108" s="828"/>
      <c r="AY108" s="486">
        <f t="shared" si="38"/>
        <v>8.5000000000000006E-2</v>
      </c>
      <c r="AZ108" s="93">
        <f t="shared" si="38"/>
        <v>7.0000000000000007E-2</v>
      </c>
      <c r="BA108" s="93">
        <f t="shared" si="38"/>
        <v>0.16</v>
      </c>
      <c r="BB108" s="93">
        <f t="shared" si="38"/>
        <v>0.16500000000000001</v>
      </c>
      <c r="BC108" s="1050">
        <f t="shared" si="38"/>
        <v>0.12</v>
      </c>
      <c r="BD108" s="828"/>
      <c r="BE108" s="486">
        <f t="shared" si="39"/>
        <v>0.09</v>
      </c>
      <c r="BF108" s="93">
        <f t="shared" si="39"/>
        <v>0.16999999999999998</v>
      </c>
      <c r="BG108" s="93">
        <f t="shared" si="39"/>
        <v>6.0000000000000005E-2</v>
      </c>
      <c r="BH108" s="93">
        <f t="shared" si="39"/>
        <v>0.155</v>
      </c>
      <c r="BI108" s="1050">
        <f t="shared" si="39"/>
        <v>0.11874999999999999</v>
      </c>
      <c r="BJ108" s="828"/>
      <c r="BK108" s="486">
        <f t="shared" si="39"/>
        <v>0.11499999999999999</v>
      </c>
      <c r="BL108" s="93">
        <f t="shared" si="39"/>
        <v>0.16999999999999998</v>
      </c>
      <c r="BM108" s="93">
        <f t="shared" si="39"/>
        <v>0.12000000000000001</v>
      </c>
      <c r="BN108" s="93">
        <f t="shared" si="40"/>
        <v>0.16</v>
      </c>
      <c r="BO108" s="1050">
        <f t="shared" si="41"/>
        <v>0.14124999999999999</v>
      </c>
      <c r="BP108" s="828"/>
      <c r="BQ108" s="486"/>
      <c r="BR108" s="93"/>
      <c r="BS108" s="93"/>
      <c r="BT108" s="93"/>
      <c r="BU108" s="1050"/>
      <c r="BV108" s="24"/>
      <c r="BW108" s="486"/>
      <c r="BX108" s="93"/>
      <c r="BY108" s="93"/>
      <c r="BZ108" s="93"/>
      <c r="CA108" s="1050"/>
      <c r="CB108" s="24"/>
      <c r="CC108" s="486"/>
      <c r="CD108" s="93"/>
      <c r="CE108" s="93"/>
      <c r="CF108" s="93"/>
      <c r="CG108" s="1050"/>
      <c r="CH108" s="24"/>
      <c r="CI108" s="486"/>
      <c r="CJ108" s="93"/>
      <c r="CK108" s="93"/>
      <c r="CL108" s="93"/>
      <c r="CM108" s="1050"/>
    </row>
    <row r="109" spans="1:91">
      <c r="A109" s="344" t="s">
        <v>460</v>
      </c>
      <c r="B109" s="1049"/>
      <c r="C109" s="486"/>
      <c r="D109" s="93"/>
      <c r="E109" s="93"/>
      <c r="F109" s="93"/>
      <c r="G109" s="1050"/>
      <c r="H109" s="1061"/>
      <c r="I109" s="486"/>
      <c r="J109" s="93"/>
      <c r="K109" s="93"/>
      <c r="L109" s="93">
        <f>+L100+F100</f>
        <v>-9.9999999999999992E-2</v>
      </c>
      <c r="M109" s="1050"/>
      <c r="N109" s="1061"/>
      <c r="O109" s="486">
        <f t="shared" si="30"/>
        <v>-0.16</v>
      </c>
      <c r="P109" s="93">
        <f t="shared" si="30"/>
        <v>-9.999999999999995E-3</v>
      </c>
      <c r="Q109" s="93">
        <f t="shared" si="30"/>
        <v>2.0000000000000004E-2</v>
      </c>
      <c r="R109" s="93">
        <f t="shared" si="30"/>
        <v>0.05</v>
      </c>
      <c r="S109" s="1050">
        <f t="shared" si="31"/>
        <v>-0.04</v>
      </c>
      <c r="T109" s="1061"/>
      <c r="U109" s="486">
        <f t="shared" si="31"/>
        <v>0.15</v>
      </c>
      <c r="V109" s="93">
        <f t="shared" si="32"/>
        <v>2.0000000000000004E-2</v>
      </c>
      <c r="W109" s="93">
        <f t="shared" si="32"/>
        <v>-0.05</v>
      </c>
      <c r="X109" s="93">
        <f t="shared" si="32"/>
        <v>7.0000000000000007E-2</v>
      </c>
      <c r="Y109" s="1050">
        <f t="shared" si="32"/>
        <v>1.4999999999999999E-2</v>
      </c>
      <c r="Z109" s="1061"/>
      <c r="AA109" s="486">
        <f>+AA100+U100</f>
        <v>0.21</v>
      </c>
      <c r="AB109" s="93">
        <f>+AB100+V100</f>
        <v>0.08</v>
      </c>
      <c r="AC109" s="93">
        <f>+AC100+W100</f>
        <v>0.09</v>
      </c>
      <c r="AD109" s="93">
        <f>+AD100+X100</f>
        <v>0.04</v>
      </c>
      <c r="AE109" s="1050"/>
      <c r="AF109" s="828"/>
      <c r="AG109" s="486">
        <f t="shared" si="34"/>
        <v>-0.04</v>
      </c>
      <c r="AH109" s="93">
        <f t="shared" si="34"/>
        <v>0.1</v>
      </c>
      <c r="AI109" s="93">
        <f t="shared" si="34"/>
        <v>4.9999999999999996E-2</v>
      </c>
      <c r="AJ109" s="93"/>
      <c r="AK109" s="1050"/>
      <c r="AL109" s="828"/>
      <c r="AM109" s="486">
        <f t="shared" si="35"/>
        <v>-0.05</v>
      </c>
      <c r="AN109" s="93">
        <f t="shared" si="35"/>
        <v>-6.9999999999999993E-2</v>
      </c>
      <c r="AO109" s="93">
        <f t="shared" si="35"/>
        <v>0.04</v>
      </c>
      <c r="AP109" s="93">
        <f t="shared" si="35"/>
        <v>0.03</v>
      </c>
      <c r="AQ109" s="1050">
        <f t="shared" si="35"/>
        <v>-0.02</v>
      </c>
      <c r="AR109" s="828"/>
      <c r="AS109" s="486">
        <f t="shared" si="36"/>
        <v>0.06</v>
      </c>
      <c r="AT109" s="93">
        <f t="shared" si="36"/>
        <v>-1.9999999999999997E-2</v>
      </c>
      <c r="AU109" s="93">
        <f t="shared" si="36"/>
        <v>0.09</v>
      </c>
      <c r="AV109" s="93">
        <f t="shared" si="37"/>
        <v>0.03</v>
      </c>
      <c r="AW109" s="1050">
        <f t="shared" si="37"/>
        <v>0.04</v>
      </c>
      <c r="AX109" s="828"/>
      <c r="AY109" s="486">
        <f t="shared" si="38"/>
        <v>4.4999999999999998E-2</v>
      </c>
      <c r="AZ109" s="93">
        <f t="shared" si="38"/>
        <v>0.09</v>
      </c>
      <c r="BA109" s="93">
        <f t="shared" si="38"/>
        <v>0.05</v>
      </c>
      <c r="BB109" s="93">
        <f t="shared" si="38"/>
        <v>3.5000000000000003E-2</v>
      </c>
      <c r="BC109" s="1050">
        <f t="shared" si="38"/>
        <v>5.5E-2</v>
      </c>
      <c r="BD109" s="828"/>
      <c r="BE109" s="486">
        <f t="shared" si="39"/>
        <v>4.4999999999999998E-2</v>
      </c>
      <c r="BF109" s="93">
        <f t="shared" si="39"/>
        <v>0.08</v>
      </c>
      <c r="BG109" s="93">
        <f t="shared" si="39"/>
        <v>-0.01</v>
      </c>
      <c r="BH109" s="93">
        <f t="shared" si="39"/>
        <v>9.5000000000000001E-2</v>
      </c>
      <c r="BI109" s="1050">
        <f t="shared" si="39"/>
        <v>5.2499999999999998E-2</v>
      </c>
      <c r="BJ109" s="828"/>
      <c r="BK109" s="486">
        <f t="shared" si="39"/>
        <v>0</v>
      </c>
      <c r="BL109" s="93">
        <f t="shared" si="39"/>
        <v>0.15</v>
      </c>
      <c r="BM109" s="93">
        <f t="shared" si="39"/>
        <v>0.06</v>
      </c>
      <c r="BN109" s="93">
        <f t="shared" si="40"/>
        <v>9.5000000000000001E-2</v>
      </c>
      <c r="BO109" s="1050">
        <f t="shared" si="41"/>
        <v>7.6249999999999998E-2</v>
      </c>
      <c r="BP109" s="828"/>
      <c r="BQ109" s="486"/>
      <c r="BR109" s="93"/>
      <c r="BS109" s="93"/>
      <c r="BT109" s="93"/>
      <c r="BU109" s="1050"/>
      <c r="BV109" s="24"/>
      <c r="BW109" s="486"/>
      <c r="BX109" s="93"/>
      <c r="BY109" s="93"/>
      <c r="BZ109" s="93"/>
      <c r="CA109" s="1050"/>
      <c r="CB109" s="24"/>
      <c r="CC109" s="486"/>
      <c r="CD109" s="93"/>
      <c r="CE109" s="93"/>
      <c r="CF109" s="93"/>
      <c r="CG109" s="1050"/>
      <c r="CH109" s="24"/>
      <c r="CI109" s="486"/>
      <c r="CJ109" s="93"/>
      <c r="CK109" s="93"/>
      <c r="CL109" s="93"/>
      <c r="CM109" s="1050"/>
    </row>
    <row r="110" spans="1:91">
      <c r="A110" s="344" t="s">
        <v>13</v>
      </c>
      <c r="B110" s="1049"/>
      <c r="C110" s="486"/>
      <c r="D110" s="93"/>
      <c r="E110" s="93"/>
      <c r="F110" s="93"/>
      <c r="G110" s="1050"/>
      <c r="H110" s="1061"/>
      <c r="I110" s="486"/>
      <c r="J110" s="93"/>
      <c r="K110" s="93"/>
      <c r="L110" s="93"/>
      <c r="M110" s="1050"/>
      <c r="N110" s="1061"/>
      <c r="O110" s="486"/>
      <c r="P110" s="93"/>
      <c r="Q110" s="93"/>
      <c r="R110" s="93"/>
      <c r="S110" s="1050"/>
      <c r="T110" s="1061"/>
      <c r="U110" s="486"/>
      <c r="V110" s="93"/>
      <c r="W110" s="93"/>
      <c r="X110" s="93"/>
      <c r="Y110" s="1050"/>
      <c r="Z110" s="1061"/>
      <c r="AA110" s="486"/>
      <c r="AB110" s="93"/>
      <c r="AC110" s="93"/>
      <c r="AD110" s="93"/>
      <c r="AE110" s="1050"/>
      <c r="AF110" s="828"/>
      <c r="AG110" s="486"/>
      <c r="AH110" s="93"/>
      <c r="AI110" s="93"/>
      <c r="AJ110" s="93"/>
      <c r="AK110" s="1050"/>
      <c r="AL110" s="828"/>
      <c r="AM110" s="486"/>
      <c r="AN110" s="93"/>
      <c r="AO110" s="93"/>
      <c r="AP110" s="93"/>
      <c r="AQ110" s="1050"/>
      <c r="AR110" s="828"/>
      <c r="AS110" s="486">
        <f t="shared" si="36"/>
        <v>0.10382479530684363</v>
      </c>
      <c r="AT110" s="93">
        <f t="shared" si="36"/>
        <v>8.516879277681122E-2</v>
      </c>
      <c r="AU110" s="93">
        <f t="shared" si="36"/>
        <v>1.9440382108093512E-2</v>
      </c>
      <c r="AV110" s="93">
        <f t="shared" si="37"/>
        <v>0.27791773074302617</v>
      </c>
      <c r="AW110" s="1050">
        <f t="shared" si="37"/>
        <v>0.12158792523369363</v>
      </c>
      <c r="AX110" s="828"/>
      <c r="AY110" s="486">
        <f t="shared" si="38"/>
        <v>0.16619615839783269</v>
      </c>
      <c r="AZ110" s="93">
        <f t="shared" si="38"/>
        <v>0.16315120077772227</v>
      </c>
      <c r="BA110" s="93">
        <f t="shared" si="38"/>
        <v>0.15352354871167312</v>
      </c>
      <c r="BB110" s="93">
        <f t="shared" si="38"/>
        <v>0.2207136299342739</v>
      </c>
      <c r="BC110" s="1050">
        <f t="shared" si="38"/>
        <v>0.1758961344553755</v>
      </c>
      <c r="BD110" s="828"/>
      <c r="BE110" s="486">
        <f t="shared" si="39"/>
        <v>0.30584395901056693</v>
      </c>
      <c r="BF110" s="93">
        <f t="shared" si="39"/>
        <v>0.41460815418816688</v>
      </c>
      <c r="BG110" s="93">
        <f t="shared" si="39"/>
        <v>0.38</v>
      </c>
      <c r="BH110" s="93">
        <f t="shared" si="39"/>
        <v>0.28500000000000003</v>
      </c>
      <c r="BI110" s="1050">
        <f t="shared" si="39"/>
        <v>0.34636302829968346</v>
      </c>
      <c r="BJ110" s="828"/>
      <c r="BK110" s="486">
        <f t="shared" si="39"/>
        <v>0.32999999999999996</v>
      </c>
      <c r="BL110" s="93">
        <f t="shared" si="39"/>
        <v>0.32</v>
      </c>
      <c r="BM110" s="93">
        <f t="shared" si="39"/>
        <v>0.33999999999999997</v>
      </c>
      <c r="BN110" s="93">
        <f t="shared" si="40"/>
        <v>0.30000000000000004</v>
      </c>
      <c r="BO110" s="1050">
        <f t="shared" si="41"/>
        <v>0.32250000000000001</v>
      </c>
      <c r="BP110" s="828"/>
      <c r="BQ110" s="486"/>
      <c r="BR110" s="93"/>
      <c r="BS110" s="93"/>
      <c r="BT110" s="93"/>
      <c r="BU110" s="1050"/>
      <c r="BV110" s="24"/>
      <c r="BW110" s="486"/>
      <c r="BX110" s="93"/>
      <c r="BY110" s="93"/>
      <c r="BZ110" s="93"/>
      <c r="CA110" s="1050"/>
      <c r="CB110" s="24"/>
      <c r="CC110" s="486"/>
      <c r="CD110" s="93"/>
      <c r="CE110" s="93"/>
      <c r="CF110" s="93"/>
      <c r="CG110" s="1050"/>
      <c r="CH110" s="24"/>
      <c r="CI110" s="486"/>
      <c r="CJ110" s="93"/>
      <c r="CK110" s="93"/>
      <c r="CL110" s="93"/>
      <c r="CM110" s="1050"/>
    </row>
    <row r="111" spans="1:91">
      <c r="A111" s="344" t="s">
        <v>469</v>
      </c>
      <c r="B111" s="1049"/>
      <c r="C111" s="486"/>
      <c r="D111" s="93"/>
      <c r="E111" s="93"/>
      <c r="F111" s="93"/>
      <c r="G111" s="1050"/>
      <c r="H111" s="1061"/>
      <c r="I111" s="486"/>
      <c r="J111" s="93"/>
      <c r="K111" s="93"/>
      <c r="L111" s="93"/>
      <c r="M111" s="1050"/>
      <c r="N111" s="1061"/>
      <c r="O111" s="486">
        <f>+O102+I102</f>
        <v>0.21000000000000002</v>
      </c>
      <c r="P111" s="93">
        <f>+P102+J102</f>
        <v>0.23</v>
      </c>
      <c r="Q111" s="93">
        <f>+Q102+K102</f>
        <v>0.15</v>
      </c>
      <c r="R111" s="93"/>
      <c r="S111" s="1050">
        <f>+S102+M102</f>
        <v>0.20500000000000002</v>
      </c>
      <c r="T111" s="1061"/>
      <c r="U111" s="486">
        <f>+U102+O102</f>
        <v>0.06</v>
      </c>
      <c r="V111" s="93">
        <f>+V102+P102</f>
        <v>0.15000000000000002</v>
      </c>
      <c r="W111" s="93">
        <f>+W102+Q102</f>
        <v>0.32</v>
      </c>
      <c r="X111" s="93">
        <f>+X102+R102</f>
        <v>0.32</v>
      </c>
      <c r="Y111" s="1050">
        <f>+Y102+S102</f>
        <v>0.22000000000000003</v>
      </c>
      <c r="Z111" s="1061"/>
      <c r="AA111" s="486">
        <f>+AA102+U102</f>
        <v>0.41</v>
      </c>
      <c r="AB111" s="93">
        <f>+AB102+V102</f>
        <v>0.28000000000000003</v>
      </c>
      <c r="AC111" s="93">
        <f>+AC102+W102</f>
        <v>0.36000000000000004</v>
      </c>
      <c r="AD111" s="93">
        <f>+AD102+X102</f>
        <v>0.31</v>
      </c>
      <c r="AE111" s="1050">
        <f>+AE102+Y102</f>
        <v>0.37</v>
      </c>
      <c r="AF111" s="828"/>
      <c r="AG111" s="486">
        <f>+AG102+AA102</f>
        <v>0.33999999999999997</v>
      </c>
      <c r="AH111" s="93">
        <f>+AH102+AB102</f>
        <v>0.21000000000000002</v>
      </c>
      <c r="AI111" s="93">
        <f>+AI102+AC102</f>
        <v>0.16999999999999998</v>
      </c>
      <c r="AJ111" s="93"/>
      <c r="AK111" s="1050">
        <f>+AK102+AE102</f>
        <v>0.37</v>
      </c>
      <c r="AL111" s="828"/>
      <c r="AM111" s="486">
        <f>+AM102+AG102</f>
        <v>0.1</v>
      </c>
      <c r="AN111" s="93">
        <f>+AN102+AH102</f>
        <v>0.1</v>
      </c>
      <c r="AO111" s="93">
        <f>+AO102+AI102</f>
        <v>0.15</v>
      </c>
      <c r="AP111" s="93">
        <f>+AP102+AJ102</f>
        <v>0.15</v>
      </c>
      <c r="AQ111" s="1050">
        <f>+AQ102+AK102</f>
        <v>0.28249999999999997</v>
      </c>
      <c r="AR111" s="828"/>
      <c r="AS111" s="486">
        <f t="shared" si="36"/>
        <v>6.0000000000000005E-2</v>
      </c>
      <c r="AT111" s="93">
        <f t="shared" si="36"/>
        <v>7.0000000000000007E-2</v>
      </c>
      <c r="AU111" s="93">
        <f t="shared" si="36"/>
        <v>0.11</v>
      </c>
      <c r="AV111" s="93">
        <f t="shared" si="37"/>
        <v>0.22999999999999998</v>
      </c>
      <c r="AW111" s="1050">
        <f t="shared" si="37"/>
        <v>0.11750000000000001</v>
      </c>
      <c r="AX111" s="828"/>
      <c r="AY111" s="486">
        <f t="shared" si="38"/>
        <v>0.17500000000000002</v>
      </c>
      <c r="AZ111" s="93">
        <f t="shared" si="38"/>
        <v>0.3</v>
      </c>
      <c r="BA111" s="93">
        <f t="shared" si="38"/>
        <v>0.19</v>
      </c>
      <c r="BB111" s="93">
        <f t="shared" si="38"/>
        <v>0.255</v>
      </c>
      <c r="BC111" s="1050">
        <f t="shared" si="38"/>
        <v>0.23000000000000004</v>
      </c>
      <c r="BD111" s="828"/>
      <c r="BE111" s="486">
        <f t="shared" si="39"/>
        <v>0.27500000000000002</v>
      </c>
      <c r="BF111" s="93">
        <f t="shared" si="39"/>
        <v>0.36</v>
      </c>
      <c r="BG111" s="93">
        <f t="shared" si="39"/>
        <v>0.32</v>
      </c>
      <c r="BH111" s="93">
        <f t="shared" si="39"/>
        <v>0.35499999999999998</v>
      </c>
      <c r="BI111" s="1050">
        <f t="shared" si="39"/>
        <v>0.32750000000000001</v>
      </c>
      <c r="BJ111" s="828"/>
      <c r="BK111" s="486">
        <f t="shared" si="39"/>
        <v>0.29249999999999998</v>
      </c>
      <c r="BL111" s="93">
        <f t="shared" si="39"/>
        <v>0.21600000000000003</v>
      </c>
      <c r="BM111" s="93">
        <f t="shared" si="39"/>
        <v>0.26</v>
      </c>
      <c r="BN111" s="93">
        <f t="shared" si="40"/>
        <v>0.23199999999999998</v>
      </c>
      <c r="BO111" s="1050">
        <f t="shared" si="41"/>
        <v>0.25012500000000004</v>
      </c>
      <c r="BP111" s="828"/>
      <c r="BQ111" s="486"/>
      <c r="BR111" s="93"/>
      <c r="BS111" s="93"/>
      <c r="BT111" s="93"/>
      <c r="BU111" s="1050"/>
      <c r="BV111" s="24"/>
      <c r="BW111" s="486"/>
      <c r="BX111" s="93"/>
      <c r="BY111" s="93"/>
      <c r="BZ111" s="93"/>
      <c r="CA111" s="1050"/>
      <c r="CB111" s="24"/>
      <c r="CC111" s="486"/>
      <c r="CD111" s="93"/>
      <c r="CE111" s="93"/>
      <c r="CF111" s="93"/>
      <c r="CG111" s="1050"/>
      <c r="CH111" s="24"/>
      <c r="CI111" s="486"/>
      <c r="CJ111" s="93"/>
      <c r="CK111" s="93"/>
      <c r="CL111" s="93"/>
      <c r="CM111" s="1050"/>
    </row>
    <row r="112" spans="1:91">
      <c r="A112" s="344" t="s">
        <v>464</v>
      </c>
      <c r="B112" s="1049"/>
      <c r="C112" s="486"/>
      <c r="D112" s="93"/>
      <c r="E112" s="93"/>
      <c r="F112" s="93"/>
      <c r="G112" s="1050"/>
      <c r="H112" s="1061"/>
      <c r="I112" s="486"/>
      <c r="J112" s="93"/>
      <c r="K112" s="93"/>
      <c r="L112" s="93"/>
      <c r="M112" s="1050"/>
      <c r="N112" s="1061"/>
      <c r="O112" s="486"/>
      <c r="P112" s="93"/>
      <c r="Q112" s="93"/>
      <c r="R112" s="93"/>
      <c r="S112" s="1050"/>
      <c r="T112" s="1061"/>
      <c r="U112" s="486"/>
      <c r="V112" s="93"/>
      <c r="W112" s="93"/>
      <c r="X112" s="93"/>
      <c r="Y112" s="1050"/>
      <c r="Z112" s="1061"/>
      <c r="AA112" s="486"/>
      <c r="AB112" s="93"/>
      <c r="AC112" s="93"/>
      <c r="AD112" s="93"/>
      <c r="AE112" s="1050"/>
      <c r="AF112" s="828"/>
      <c r="AG112" s="486"/>
      <c r="AH112" s="93"/>
      <c r="AI112" s="93"/>
      <c r="AJ112" s="93"/>
      <c r="AK112" s="1062"/>
      <c r="AL112" s="828"/>
      <c r="AM112" s="486"/>
      <c r="AN112" s="93"/>
      <c r="AO112" s="93"/>
      <c r="AP112" s="93"/>
      <c r="AQ112" s="1050"/>
      <c r="AR112" s="828"/>
      <c r="AS112" s="486"/>
      <c r="AT112" s="93"/>
      <c r="AU112" s="93"/>
      <c r="AV112" s="93"/>
      <c r="AW112" s="1050"/>
      <c r="AX112" s="828"/>
      <c r="AY112" s="486"/>
      <c r="AZ112" s="93"/>
      <c r="BA112" s="93"/>
      <c r="BB112" s="93"/>
      <c r="BC112" s="1050"/>
      <c r="BD112" s="828"/>
      <c r="BE112" s="486"/>
      <c r="BF112" s="93"/>
      <c r="BG112" s="93"/>
      <c r="BH112" s="93"/>
      <c r="BI112" s="1050"/>
      <c r="BJ112" s="828"/>
      <c r="BK112" s="486">
        <f t="shared" si="39"/>
        <v>0.245</v>
      </c>
      <c r="BL112" s="93">
        <f t="shared" si="39"/>
        <v>0.23</v>
      </c>
      <c r="BM112" s="93">
        <f t="shared" si="39"/>
        <v>0.22000000000000003</v>
      </c>
      <c r="BN112" s="93">
        <f t="shared" si="39"/>
        <v>0.216</v>
      </c>
      <c r="BO112" s="1050">
        <f t="shared" si="41"/>
        <v>0.22775000000000001</v>
      </c>
      <c r="BP112" s="828"/>
      <c r="BQ112" s="486"/>
      <c r="BR112" s="93"/>
      <c r="BS112" s="93"/>
      <c r="BT112" s="93"/>
      <c r="BU112" s="1050"/>
      <c r="BV112" s="24"/>
      <c r="BW112" s="486"/>
      <c r="BX112" s="93"/>
      <c r="BY112" s="93"/>
      <c r="BZ112" s="93"/>
      <c r="CA112" s="1050"/>
      <c r="CB112" s="24"/>
      <c r="CC112" s="486"/>
      <c r="CD112" s="93"/>
      <c r="CE112" s="93"/>
      <c r="CF112" s="93"/>
      <c r="CG112" s="1050"/>
      <c r="CH112" s="24"/>
      <c r="CI112" s="486"/>
      <c r="CJ112" s="93"/>
      <c r="CK112" s="93"/>
      <c r="CL112" s="93"/>
      <c r="CM112" s="1050"/>
    </row>
    <row r="113" spans="1:91">
      <c r="A113" s="344" t="s">
        <v>462</v>
      </c>
      <c r="B113" s="1049"/>
      <c r="C113" s="486"/>
      <c r="D113" s="93"/>
      <c r="E113" s="93"/>
      <c r="F113" s="93"/>
      <c r="G113" s="1050"/>
      <c r="H113" s="1061"/>
      <c r="I113" s="486"/>
      <c r="J113" s="93"/>
      <c r="K113" s="93"/>
      <c r="L113" s="93"/>
      <c r="M113" s="1050"/>
      <c r="N113" s="1061"/>
      <c r="O113" s="486"/>
      <c r="P113" s="93"/>
      <c r="Q113" s="93"/>
      <c r="R113" s="93"/>
      <c r="S113" s="1050"/>
      <c r="T113" s="1061"/>
      <c r="U113" s="486"/>
      <c r="V113" s="93"/>
      <c r="W113" s="93"/>
      <c r="X113" s="93"/>
      <c r="Y113" s="1050"/>
      <c r="Z113" s="1061"/>
      <c r="AA113" s="486"/>
      <c r="AB113" s="93"/>
      <c r="AC113" s="93"/>
      <c r="AD113" s="93"/>
      <c r="AE113" s="1050"/>
      <c r="AF113" s="828"/>
      <c r="AG113" s="486"/>
      <c r="AH113" s="93"/>
      <c r="AI113" s="93"/>
      <c r="AJ113" s="93"/>
      <c r="AK113" s="1062"/>
      <c r="AL113" s="828"/>
      <c r="AM113" s="486"/>
      <c r="AN113" s="93"/>
      <c r="AO113" s="93"/>
      <c r="AP113" s="93"/>
      <c r="AQ113" s="1050"/>
      <c r="AR113" s="828"/>
      <c r="AS113" s="486"/>
      <c r="AT113" s="93"/>
      <c r="AU113" s="93"/>
      <c r="AV113" s="93"/>
      <c r="AW113" s="1050"/>
      <c r="AX113" s="828"/>
      <c r="AY113" s="486"/>
      <c r="AZ113" s="93"/>
      <c r="BA113" s="93"/>
      <c r="BB113" s="93"/>
      <c r="BC113" s="1050"/>
      <c r="BD113" s="828"/>
      <c r="BE113" s="486"/>
      <c r="BF113" s="93"/>
      <c r="BG113" s="93"/>
      <c r="BH113" s="93"/>
      <c r="BI113" s="1050"/>
      <c r="BJ113" s="828"/>
      <c r="BK113" s="486"/>
      <c r="BL113" s="93"/>
      <c r="BM113" s="93"/>
      <c r="BN113" s="93"/>
      <c r="BO113" s="1050"/>
      <c r="BP113" s="828"/>
      <c r="BQ113" s="486"/>
      <c r="BR113" s="93"/>
      <c r="BS113" s="93"/>
      <c r="BT113" s="93"/>
      <c r="BU113" s="1050"/>
      <c r="BV113" s="24"/>
      <c r="BW113" s="486"/>
      <c r="BX113" s="93"/>
      <c r="BY113" s="93"/>
      <c r="BZ113" s="93"/>
      <c r="CA113" s="1050"/>
      <c r="CB113" s="24"/>
      <c r="CC113" s="486"/>
      <c r="CD113" s="93"/>
      <c r="CE113" s="93"/>
      <c r="CF113" s="93"/>
      <c r="CG113" s="1050"/>
      <c r="CH113" s="24"/>
      <c r="CI113" s="486"/>
      <c r="CJ113" s="93"/>
      <c r="CK113" s="93"/>
      <c r="CL113" s="93"/>
      <c r="CM113" s="1050"/>
    </row>
    <row r="114" spans="1:91">
      <c r="A114" s="1429" t="s">
        <v>300</v>
      </c>
      <c r="B114" s="873"/>
      <c r="C114" s="1568"/>
      <c r="D114" s="92"/>
      <c r="E114" s="92"/>
      <c r="F114" s="92"/>
      <c r="G114" s="1059"/>
      <c r="H114" s="1060"/>
      <c r="I114" s="1568"/>
      <c r="J114" s="92"/>
      <c r="K114" s="92"/>
      <c r="L114" s="92"/>
      <c r="M114" s="1483">
        <v>109.879</v>
      </c>
      <c r="N114" s="873"/>
      <c r="O114" s="1568"/>
      <c r="P114" s="92"/>
      <c r="Q114" s="92"/>
      <c r="R114" s="92"/>
      <c r="S114" s="1483">
        <v>96.168999999999997</v>
      </c>
      <c r="T114" s="873"/>
      <c r="U114" s="1568"/>
      <c r="V114" s="92"/>
      <c r="W114" s="92"/>
      <c r="X114" s="92"/>
      <c r="Y114" s="1483">
        <v>108.54900000000001</v>
      </c>
      <c r="Z114" s="873"/>
      <c r="AA114" s="1568"/>
      <c r="AB114" s="92"/>
      <c r="AC114" s="92"/>
      <c r="AD114" s="92"/>
      <c r="AE114" s="1483">
        <v>136.42400000000001</v>
      </c>
      <c r="AF114" s="833"/>
      <c r="AG114" s="1568"/>
      <c r="AH114" s="92"/>
      <c r="AI114" s="92"/>
      <c r="AJ114" s="92"/>
      <c r="AK114" s="1484">
        <f>215.612+126.735</f>
        <v>342.34699999999998</v>
      </c>
      <c r="AL114" s="833"/>
      <c r="AM114" s="1568"/>
      <c r="AN114" s="92"/>
      <c r="AO114" s="92"/>
      <c r="AP114" s="92"/>
      <c r="AQ114" s="1484">
        <f>216.229+145.819</f>
        <v>362.048</v>
      </c>
      <c r="AR114" s="828"/>
      <c r="AS114" s="1568"/>
      <c r="AT114" s="92"/>
      <c r="AU114" s="92"/>
      <c r="AV114" s="92"/>
      <c r="AW114" s="1484"/>
      <c r="AX114" s="828"/>
      <c r="AY114" s="1568"/>
      <c r="AZ114" s="92"/>
      <c r="BA114" s="92"/>
      <c r="BB114" s="92"/>
      <c r="BC114" s="1484"/>
      <c r="BD114" s="828"/>
      <c r="BE114" s="1568"/>
      <c r="BF114" s="92"/>
      <c r="BG114" s="92"/>
      <c r="BH114" s="92"/>
      <c r="BI114" s="1484"/>
      <c r="BJ114" s="828"/>
      <c r="BK114" s="1568"/>
      <c r="BL114" s="92"/>
      <c r="BM114" s="92"/>
      <c r="BN114" s="92"/>
      <c r="BO114" s="1484"/>
      <c r="BP114" s="828"/>
      <c r="BQ114" s="1568"/>
      <c r="BR114" s="92"/>
      <c r="BS114" s="92"/>
      <c r="BT114" s="92"/>
      <c r="BU114" s="1484"/>
      <c r="BV114" s="24"/>
      <c r="BW114" s="1568"/>
      <c r="BX114" s="92"/>
      <c r="BY114" s="92"/>
      <c r="BZ114" s="92"/>
      <c r="CA114" s="1484"/>
      <c r="CB114" s="24"/>
      <c r="CC114" s="1568"/>
      <c r="CD114" s="92"/>
      <c r="CE114" s="92"/>
      <c r="CF114" s="92"/>
      <c r="CG114" s="1484"/>
      <c r="CH114" s="24"/>
      <c r="CI114" s="1568"/>
      <c r="CJ114" s="92"/>
      <c r="CK114" s="92"/>
      <c r="CL114" s="92"/>
      <c r="CM114" s="1484"/>
    </row>
    <row r="115" spans="1:91">
      <c r="A115" s="344"/>
      <c r="B115" s="1049"/>
      <c r="C115" s="93"/>
      <c r="D115" s="93"/>
      <c r="E115" s="93"/>
      <c r="F115" s="93"/>
      <c r="G115" s="93"/>
      <c r="H115" s="1061"/>
      <c r="I115" s="93"/>
      <c r="J115" s="93"/>
      <c r="K115" s="93"/>
      <c r="L115" s="93"/>
      <c r="M115" s="93"/>
      <c r="N115" s="1061"/>
      <c r="O115" s="93"/>
      <c r="P115" s="93"/>
      <c r="Q115" s="93"/>
      <c r="R115" s="93"/>
      <c r="S115" s="93"/>
      <c r="T115" s="1061"/>
      <c r="U115" s="93"/>
      <c r="V115" s="93"/>
      <c r="W115" s="93"/>
      <c r="X115" s="93"/>
      <c r="Y115" s="93"/>
      <c r="Z115" s="1061"/>
      <c r="AA115" s="93"/>
      <c r="AB115" s="93"/>
      <c r="AC115" s="93"/>
      <c r="AD115" s="93"/>
      <c r="AE115" s="93"/>
      <c r="AF115" s="828"/>
      <c r="AG115" s="93"/>
      <c r="AH115" s="93"/>
      <c r="AI115" s="93"/>
      <c r="AJ115" s="93"/>
      <c r="AK115" s="93"/>
      <c r="AL115" s="828"/>
      <c r="AM115" s="93"/>
      <c r="AN115" s="93"/>
      <c r="AO115" s="93"/>
      <c r="AP115" s="93"/>
      <c r="AQ115" s="93"/>
      <c r="AR115" s="828"/>
      <c r="AS115" s="93"/>
      <c r="AT115" s="93"/>
      <c r="AU115" s="93"/>
      <c r="AV115" s="93"/>
      <c r="AW115" s="93"/>
      <c r="AX115" s="828"/>
      <c r="AY115" s="93"/>
      <c r="AZ115" s="93"/>
      <c r="BA115" s="93"/>
      <c r="BB115" s="93"/>
      <c r="BC115" s="93"/>
      <c r="BD115" s="828"/>
      <c r="BE115" s="93"/>
      <c r="BF115" s="93"/>
      <c r="BG115" s="93"/>
      <c r="BH115" s="93"/>
      <c r="BI115" s="93"/>
      <c r="BJ115" s="828"/>
      <c r="BK115" s="93"/>
      <c r="BL115" s="93"/>
      <c r="BM115" s="93"/>
      <c r="BN115" s="93"/>
      <c r="BO115" s="93"/>
      <c r="BP115" s="828"/>
      <c r="BQ115" s="93"/>
      <c r="BR115" s="93"/>
      <c r="BS115" s="93"/>
      <c r="BT115" s="93"/>
      <c r="BU115" s="93"/>
      <c r="BV115" s="24"/>
      <c r="BW115" s="93"/>
      <c r="BX115" s="93"/>
      <c r="BY115" s="93"/>
      <c r="BZ115" s="93"/>
      <c r="CA115" s="93"/>
      <c r="CB115" s="24"/>
      <c r="CC115" s="93"/>
      <c r="CD115" s="93"/>
      <c r="CE115" s="93"/>
      <c r="CF115" s="93"/>
      <c r="CG115" s="93"/>
      <c r="CH115" s="24"/>
      <c r="CI115" s="93"/>
      <c r="CJ115" s="93"/>
      <c r="CK115" s="93"/>
      <c r="CL115" s="93"/>
      <c r="CM115" s="93"/>
    </row>
    <row r="116" spans="1:91" s="1204" customFormat="1" hidden="1" outlineLevel="1">
      <c r="A116" s="111"/>
      <c r="B116" s="112"/>
      <c r="C116" s="1272" t="s">
        <v>265</v>
      </c>
      <c r="D116" s="1272" t="s">
        <v>266</v>
      </c>
      <c r="E116" s="1272" t="s">
        <v>267</v>
      </c>
      <c r="F116" s="1272" t="s">
        <v>268</v>
      </c>
      <c r="G116" s="1272" t="s">
        <v>169</v>
      </c>
      <c r="H116" s="1273"/>
      <c r="I116" s="1272" t="s">
        <v>269</v>
      </c>
      <c r="J116" s="1272" t="s">
        <v>270</v>
      </c>
      <c r="K116" s="1272" t="s">
        <v>271</v>
      </c>
      <c r="L116" s="1272" t="s">
        <v>272</v>
      </c>
      <c r="M116" s="1272" t="s">
        <v>170</v>
      </c>
      <c r="N116" s="1273"/>
      <c r="O116" s="1272" t="s">
        <v>273</v>
      </c>
      <c r="P116" s="1272" t="s">
        <v>274</v>
      </c>
      <c r="Q116" s="1272" t="s">
        <v>275</v>
      </c>
      <c r="R116" s="1272" t="s">
        <v>276</v>
      </c>
      <c r="S116" s="1272" t="s">
        <v>171</v>
      </c>
      <c r="T116" s="1273"/>
      <c r="U116" s="1272" t="s">
        <v>172</v>
      </c>
      <c r="V116" s="1272" t="s">
        <v>173</v>
      </c>
      <c r="W116" s="1272" t="s">
        <v>174</v>
      </c>
      <c r="X116" s="1272" t="s">
        <v>175</v>
      </c>
      <c r="Y116" s="1272" t="s">
        <v>176</v>
      </c>
      <c r="Z116" s="1273"/>
      <c r="AA116" s="1272" t="s">
        <v>177</v>
      </c>
      <c r="AB116" s="1272" t="s">
        <v>178</v>
      </c>
      <c r="AC116" s="1272" t="s">
        <v>179</v>
      </c>
      <c r="AD116" s="1272" t="s">
        <v>180</v>
      </c>
      <c r="AE116" s="1272" t="s">
        <v>181</v>
      </c>
      <c r="AF116" s="1272"/>
      <c r="AG116" s="1272" t="s">
        <v>277</v>
      </c>
      <c r="AH116" s="1272" t="s">
        <v>278</v>
      </c>
      <c r="AI116" s="1272" t="s">
        <v>279</v>
      </c>
      <c r="AJ116" s="1272" t="s">
        <v>280</v>
      </c>
      <c r="AK116" s="1272" t="s">
        <v>182</v>
      </c>
      <c r="AL116" s="113"/>
      <c r="AM116" s="1272" t="s">
        <v>281</v>
      </c>
      <c r="AN116" s="1272" t="s">
        <v>282</v>
      </c>
      <c r="AO116" s="1272" t="s">
        <v>283</v>
      </c>
      <c r="AP116" s="1272" t="s">
        <v>284</v>
      </c>
      <c r="AQ116" s="1272" t="s">
        <v>183</v>
      </c>
      <c r="AR116" s="1272"/>
      <c r="AS116" s="1272" t="s">
        <v>285</v>
      </c>
      <c r="AT116" s="1272" t="s">
        <v>286</v>
      </c>
      <c r="AU116" s="1272" t="s">
        <v>287</v>
      </c>
      <c r="AV116" s="1272" t="s">
        <v>288</v>
      </c>
      <c r="AW116" s="1272">
        <f>AW7</f>
        <v>2014</v>
      </c>
      <c r="AX116" s="1272"/>
      <c r="AY116" s="1272" t="s">
        <v>126</v>
      </c>
      <c r="AZ116" s="1272" t="s">
        <v>127</v>
      </c>
      <c r="BA116" s="1272" t="s">
        <v>128</v>
      </c>
      <c r="BB116" s="1272" t="s">
        <v>129</v>
      </c>
      <c r="BC116" s="1272">
        <f>BC7</f>
        <v>2015</v>
      </c>
      <c r="BD116" s="1272">
        <f>BD7</f>
        <v>0</v>
      </c>
      <c r="BE116" s="1272" t="s">
        <v>34</v>
      </c>
      <c r="BF116" s="1272" t="s">
        <v>35</v>
      </c>
      <c r="BG116" s="1272" t="s">
        <v>36</v>
      </c>
      <c r="BH116" s="1272" t="s">
        <v>37</v>
      </c>
      <c r="BI116" s="1272">
        <f>BI7</f>
        <v>2016</v>
      </c>
      <c r="BJ116" s="1272">
        <f>BJ7</f>
        <v>0</v>
      </c>
      <c r="BK116" s="1272" t="s">
        <v>39</v>
      </c>
      <c r="BL116" s="1272" t="s">
        <v>40</v>
      </c>
      <c r="BM116" s="1272" t="s">
        <v>41</v>
      </c>
      <c r="BN116" s="1272" t="s">
        <v>42</v>
      </c>
      <c r="BO116" s="1272">
        <f>BO7</f>
        <v>2017</v>
      </c>
      <c r="BP116" s="1272">
        <f>BP7</f>
        <v>0</v>
      </c>
      <c r="BQ116" s="1272" t="s">
        <v>39</v>
      </c>
      <c r="BR116" s="1272" t="s">
        <v>40</v>
      </c>
      <c r="BS116" s="1272" t="s">
        <v>41</v>
      </c>
      <c r="BT116" s="1272" t="s">
        <v>42</v>
      </c>
      <c r="BU116" s="1272">
        <f>BU7</f>
        <v>2018</v>
      </c>
      <c r="BV116" s="1272"/>
      <c r="BW116" s="1272" t="s">
        <v>39</v>
      </c>
      <c r="BX116" s="1272" t="s">
        <v>40</v>
      </c>
      <c r="BY116" s="1272" t="s">
        <v>41</v>
      </c>
      <c r="BZ116" s="1272" t="s">
        <v>42</v>
      </c>
      <c r="CA116" s="1272">
        <f>CA7</f>
        <v>2019</v>
      </c>
      <c r="CB116" s="1272"/>
      <c r="CC116" s="1272" t="s">
        <v>39</v>
      </c>
      <c r="CD116" s="1272" t="s">
        <v>40</v>
      </c>
      <c r="CE116" s="1272" t="s">
        <v>41</v>
      </c>
      <c r="CF116" s="1272" t="s">
        <v>42</v>
      </c>
      <c r="CG116" s="1272">
        <f>CG7</f>
        <v>2020</v>
      </c>
      <c r="CH116" s="1272"/>
      <c r="CI116" s="1272" t="s">
        <v>39</v>
      </c>
      <c r="CJ116" s="1272" t="s">
        <v>40</v>
      </c>
      <c r="CK116" s="1272" t="s">
        <v>41</v>
      </c>
      <c r="CL116" s="1272" t="s">
        <v>42</v>
      </c>
      <c r="CM116" s="1272">
        <f>CM7</f>
        <v>2021</v>
      </c>
    </row>
    <row r="117" spans="1:91" collapsed="1">
      <c r="A117" s="105" t="s">
        <v>260</v>
      </c>
      <c r="B117" s="75"/>
      <c r="C117" s="79"/>
      <c r="D117" s="11"/>
      <c r="E117" s="10"/>
      <c r="F117" s="10"/>
      <c r="G117" s="10"/>
      <c r="H117" s="10"/>
      <c r="I117" s="79"/>
      <c r="J117" s="11"/>
      <c r="K117" s="10"/>
      <c r="L117" s="10"/>
      <c r="M117" s="10"/>
      <c r="N117" s="10"/>
      <c r="O117" s="10"/>
      <c r="P117" s="11"/>
      <c r="Q117" s="10"/>
      <c r="R117" s="10"/>
      <c r="S117" s="10"/>
      <c r="T117" s="10"/>
      <c r="U117" s="10"/>
      <c r="V117" s="11"/>
      <c r="W117" s="10"/>
      <c r="X117" s="10"/>
      <c r="Y117" s="10"/>
      <c r="Z117" s="10"/>
      <c r="AA117" s="10"/>
      <c r="AB117" s="11"/>
      <c r="AC117" s="10"/>
      <c r="AD117" s="10"/>
      <c r="AE117" s="10"/>
      <c r="AF117" s="11"/>
      <c r="AG117" s="10"/>
      <c r="AH117" s="10"/>
      <c r="AI117" s="10"/>
      <c r="AJ117" s="10"/>
      <c r="AK117" s="10"/>
      <c r="AL117" s="11"/>
      <c r="AM117" s="10"/>
      <c r="AN117" s="10"/>
      <c r="AO117" s="10"/>
      <c r="AP117" s="10"/>
      <c r="AQ117" s="10"/>
      <c r="AR117" s="11"/>
      <c r="AS117" s="10"/>
      <c r="AT117" s="10"/>
      <c r="AU117" s="10"/>
      <c r="AV117" s="10"/>
      <c r="AW117" s="10"/>
      <c r="AX117" s="11"/>
      <c r="AY117" s="10"/>
      <c r="AZ117" s="10"/>
      <c r="BA117" s="10"/>
      <c r="BB117" s="10"/>
      <c r="BC117" s="10"/>
      <c r="BD117" s="11"/>
      <c r="BE117" s="10"/>
      <c r="BF117" s="10"/>
      <c r="BG117" s="10"/>
      <c r="BH117" s="10"/>
      <c r="BI117" s="10"/>
      <c r="BJ117" s="11"/>
      <c r="BK117" s="10"/>
      <c r="BL117" s="10"/>
      <c r="BM117" s="10"/>
      <c r="BN117" s="10"/>
      <c r="BO117" s="10"/>
      <c r="BP117" s="11"/>
      <c r="BQ117" s="10"/>
      <c r="BR117" s="10"/>
      <c r="BS117" s="10"/>
      <c r="BT117" s="10"/>
      <c r="BU117" s="10"/>
      <c r="BV117" s="1919"/>
      <c r="BW117" s="10"/>
      <c r="BX117" s="10"/>
      <c r="BY117" s="10"/>
      <c r="BZ117" s="10"/>
      <c r="CA117" s="10"/>
      <c r="CB117" s="1919"/>
      <c r="CC117" s="10"/>
      <c r="CD117" s="10"/>
      <c r="CE117" s="10"/>
      <c r="CF117" s="10"/>
      <c r="CG117" s="10"/>
      <c r="CH117" s="1919"/>
      <c r="CI117" s="10"/>
      <c r="CJ117" s="10"/>
      <c r="CK117" s="10"/>
      <c r="CL117" s="10"/>
      <c r="CM117" s="10"/>
    </row>
    <row r="118" spans="1:91">
      <c r="A118" s="179" t="s">
        <v>115</v>
      </c>
      <c r="B118" s="1049"/>
      <c r="C118" s="1100"/>
      <c r="D118" s="1101"/>
      <c r="E118" s="1101"/>
      <c r="F118" s="1101"/>
      <c r="G118" s="1062">
        <v>0.15061289816118828</v>
      </c>
      <c r="H118" s="346"/>
      <c r="I118" s="1102">
        <f>(RevBuild!I9+RevBuild!I13)/(RevBuild!C9+RevBuild!C13)-1</f>
        <v>0.12461870081656246</v>
      </c>
      <c r="J118" s="1103">
        <f>(RevBuild!J9+RevBuild!J13)/(RevBuild!D9+RevBuild!D13)-1</f>
        <v>0.13003714942007205</v>
      </c>
      <c r="K118" s="1103">
        <f>(RevBuild!K9+RevBuild!K13)/(RevBuild!E9+RevBuild!E13)-1</f>
        <v>9.548602249332161E-2</v>
      </c>
      <c r="L118" s="1103">
        <f>(RevBuild!L9+RevBuild!L13)/(RevBuild!F9+RevBuild!F13)-1</f>
        <v>-4.2727395464104312E-2</v>
      </c>
      <c r="M118" s="1104">
        <f>(RevBuild!M9+RevBuild!M13)/(RevBuild!G9+RevBuild!G13)-1</f>
        <v>6.9295773118051907E-2</v>
      </c>
      <c r="N118" s="346"/>
      <c r="O118" s="1105">
        <f>(RevBuild!O9+RevBuild!O13)/(RevBuild!I9+RevBuild!I13)-1</f>
        <v>-0.1046941112586629</v>
      </c>
      <c r="P118" s="1103">
        <f>(RevBuild!P9+RevBuild!P13)/(RevBuild!J9+RevBuild!J13)-1</f>
        <v>-8.9458825300826939E-2</v>
      </c>
      <c r="Q118" s="1103">
        <f>(RevBuild!Q9+RevBuild!Q13)/(RevBuild!K9+RevBuild!K13)-1</f>
        <v>-2.7873987212342355E-2</v>
      </c>
      <c r="R118" s="1103">
        <f>(RevBuild!R9+RevBuild!R13)/(RevBuild!L9+RevBuild!L13)-1</f>
        <v>2.136585622389986E-2</v>
      </c>
      <c r="S118" s="1104">
        <f>(RevBuild!S9+RevBuild!S13)/(RevBuild!M9+RevBuild!M13)-1</f>
        <v>-4.8519354666680226E-2</v>
      </c>
      <c r="T118" s="346"/>
      <c r="U118" s="1105">
        <f>(RevBuild!U9+RevBuild!U13)/(RevBuild!O9+RevBuild!O13)-1</f>
        <v>0.10403180284159852</v>
      </c>
      <c r="V118" s="1103">
        <f>(RevBuild!V9+RevBuild!V13)/(RevBuild!P9+RevBuild!P13)-1</f>
        <v>7.7770458911301743E-2</v>
      </c>
      <c r="W118" s="1103">
        <f>(RevBuild!W9+RevBuild!W13)/(RevBuild!Q9+RevBuild!Q13)-1</f>
        <v>6.7891207907504469E-2</v>
      </c>
      <c r="X118" s="1103">
        <f>(RevBuild!X9+RevBuild!X13)/(RevBuild!R9+RevBuild!R13)-1</f>
        <v>0.13178817091808637</v>
      </c>
      <c r="Y118" s="1104">
        <f>(RevBuild!Y9+RevBuild!Y13)/(RevBuild!S9+RevBuild!S13)-1</f>
        <v>9.6530993527723874E-2</v>
      </c>
      <c r="Z118" s="346"/>
      <c r="AA118" s="1102">
        <f>(RevBuild!AA9+RevBuild!AA13)/(RevBuild!U9+RevBuild!U13)-1</f>
        <v>0.16291270057111773</v>
      </c>
      <c r="AB118" s="1103">
        <f>(RevBuild!AB9+RevBuild!AB13)/(RevBuild!V9+RevBuild!V13)-1</f>
        <v>0.14466507268798523</v>
      </c>
      <c r="AC118" s="1103">
        <f>(RevBuild!AC9+RevBuild!AC13)/(RevBuild!W9+RevBuild!W13)-1</f>
        <v>0.13339384297747348</v>
      </c>
      <c r="AD118" s="1103">
        <f>(RevBuild!AD9+RevBuild!AD13)/(RevBuild!X9+RevBuild!X13)-1</f>
        <v>7.8254180297697262E-2</v>
      </c>
      <c r="AE118" s="1104">
        <f>(RevBuild!AE9+RevBuild!AE13)/(RevBuild!Y9+RevBuild!Y13)-1</f>
        <v>0.12645531654142617</v>
      </c>
      <c r="AF118" s="346"/>
      <c r="AG118" s="1102">
        <f>(RevBuild!AG9+RevBuild!AG13)/(RevBuild!AA9+RevBuild!AA13)-1</f>
        <v>-1.6709424395993544E-2</v>
      </c>
      <c r="AH118" s="1103">
        <f>(RevBuild!AH9+RevBuild!AH13)/(RevBuild!AB9+RevBuild!AB13)-1</f>
        <v>8.574102991999899E-3</v>
      </c>
      <c r="AI118" s="1103">
        <f>(RevBuild!AI9+RevBuild!AI13)/(RevBuild!AC9+RevBuild!AC13)-1</f>
        <v>-1.0080654032481595E-2</v>
      </c>
      <c r="AJ118" s="1103">
        <f>(RevBuild!AJ9+RevBuild!AJ13)/(RevBuild!AD9+RevBuild!AD13)-1</f>
        <v>6.6357255187754483E-4</v>
      </c>
      <c r="AK118" s="1104">
        <f>(RevBuild!AK9+RevBuild!AK13)/(RevBuild!AE9+RevBuild!AE13)-1</f>
        <v>-4.0746894960197455E-3</v>
      </c>
      <c r="AL118" s="346"/>
      <c r="AM118" s="1105">
        <f>(RevBuild!AM9+RevBuild!AM13)/(RevBuild!AG9+RevBuild!AG13)-1</f>
        <v>2.3498185312207154E-2</v>
      </c>
      <c r="AN118" s="1103">
        <f>(RevBuild!AN9+RevBuild!AN13)/(RevBuild!AH9+RevBuild!AH13)-1</f>
        <v>-7.7525389565102909E-4</v>
      </c>
      <c r="AO118" s="1103">
        <f>(RevBuild!AO9+RevBuild!AO13)/(RevBuild!AI9+RevBuild!AI13)-1</f>
        <v>1.6368412630680673E-2</v>
      </c>
      <c r="AP118" s="1103">
        <f>(RevBuild!AP9+RevBuild!AP13)/(RevBuild!AJ9+RevBuild!AJ13)-1</f>
        <v>8.3719521777961825E-2</v>
      </c>
      <c r="AQ118" s="1104">
        <f>(RevBuild!AQ9+RevBuild!AQ13)/(RevBuild!AK9+RevBuild!AK13)-1</f>
        <v>3.2857264510823825E-2</v>
      </c>
      <c r="AR118" s="346"/>
      <c r="AS118" s="1105">
        <f>(RevBuild!AS9+RevBuild!AS13)/(RevBuild!AM9+RevBuild!AM13)-1</f>
        <v>3.9503831871701145E-4</v>
      </c>
      <c r="AT118" s="1103">
        <f>(RevBuild!AT9+RevBuild!AT13)/(RevBuild!AN9+RevBuild!AN13)-1</f>
        <v>6.8022566307925914E-2</v>
      </c>
      <c r="AU118" s="1103">
        <f>(RevBuild!AU9+RevBuild!AU13)/(RevBuild!AO9+RevBuild!AO13)-1</f>
        <v>7.8387639208689075E-2</v>
      </c>
      <c r="AV118" s="1103">
        <f>(RevBuild!AV9+RevBuild!AV13)/(RevBuild!AP9+RevBuild!AP13)-1</f>
        <v>3.2579476804233121E-2</v>
      </c>
      <c r="AW118" s="1104">
        <f>(RevBuild!AW9+RevBuild!AW13)/(RevBuild!AQ9+RevBuild!AQ13)-1</f>
        <v>4.4703915202986222E-2</v>
      </c>
      <c r="AX118" s="346"/>
      <c r="AY118" s="1105">
        <f>(RevBuild!AY9+RevBuild!AY13)/(RevBuild!AS9+RevBuild!AS13)-1</f>
        <v>6.9443541118864083E-2</v>
      </c>
      <c r="AZ118" s="1103">
        <f>(RevBuild!AZ9+RevBuild!AZ13)/(RevBuild!AT9+RevBuild!AT13)-1</f>
        <v>2.685548597865095E-2</v>
      </c>
      <c r="BA118" s="1103">
        <f>(RevBuild!BA9+RevBuild!BA13)/(RevBuild!AU9+RevBuild!AU13)-1</f>
        <v>1.5031480336195724E-2</v>
      </c>
      <c r="BB118" s="1103">
        <f>(RevBuild!BB9+RevBuild!BB13)/(RevBuild!AV9+RevBuild!AV13)-1</f>
        <v>4.692825457721872E-3</v>
      </c>
      <c r="BC118" s="1104">
        <f>(RevBuild!BC9+RevBuild!BC13)/(RevBuild!AW9+RevBuild!AW13)-1</f>
        <v>2.6635916161307671E-2</v>
      </c>
      <c r="BD118" s="346"/>
      <c r="BE118" s="1105">
        <f>(RevBuild!BE9+RevBuild!BE13)/(RevBuild!AY9+RevBuild!AY13)-1</f>
        <v>3.2236904979105363E-2</v>
      </c>
      <c r="BF118" s="1103">
        <f>(RevBuild!BF9+RevBuild!BF13)/(RevBuild!AZ9+RevBuild!AZ13)-1</f>
        <v>8.4529247685652953E-2</v>
      </c>
      <c r="BG118" s="1103">
        <f>(RevBuild!BG9+RevBuild!BG13)/(RevBuild!BA9+RevBuild!BA13)-1</f>
        <v>5.2443375457970287E-2</v>
      </c>
      <c r="BH118" s="1103">
        <f>(RevBuild!BH9+RevBuild!BH13)/(RevBuild!BB9+RevBuild!BB13)-1</f>
        <v>7.1899558480080561E-2</v>
      </c>
      <c r="BI118" s="1104">
        <f>(RevBuild!BI9+RevBuild!BI13)/(RevBuild!BC9+RevBuild!BC13)-1</f>
        <v>6.124910151728491E-2</v>
      </c>
      <c r="BJ118" s="346"/>
      <c r="BK118" s="1105">
        <f>(RevBuild!BK9+RevBuild!BK13)/(RevBuild!BE9+RevBuild!BE13)-1</f>
        <v>4.7813132567133598E-2</v>
      </c>
      <c r="BL118" s="1103">
        <f>(RevBuild!BL9+RevBuild!BL13)/(RevBuild!BF9+RevBuild!BF13)-1</f>
        <v>4.0424183688683613E-2</v>
      </c>
      <c r="BM118" s="1103">
        <f>(RevBuild!BM9+RevBuild!BM13)/(RevBuild!BG9+RevBuild!BG13)-1</f>
        <v>7.3560731165651427E-2</v>
      </c>
      <c r="BN118" s="1103">
        <f>(RevBuild!BN9+RevBuild!BN13)/(RevBuild!BH9+RevBuild!BH13)-1</f>
        <v>9.3017190240892278E-2</v>
      </c>
      <c r="BO118" s="1104">
        <f>(RevBuild!BO9+RevBuild!BO13)/(RevBuild!BI9+RevBuild!BI13)-1</f>
        <v>6.5356416352507107E-2</v>
      </c>
      <c r="BP118" s="346"/>
      <c r="BQ118" s="1105">
        <f>(RevBuild!BQ9+RevBuild!BQ13)/(RevBuild!BK9+RevBuild!BK13)-1</f>
        <v>8.6633215589279278E-2</v>
      </c>
      <c r="BR118" s="1103">
        <f>(RevBuild!BR9+RevBuild!BR13)/(RevBuild!BL9+RevBuild!BL13)-1</f>
        <v>8.7988183743196835E-2</v>
      </c>
      <c r="BS118" s="1103">
        <f>(RevBuild!BS9+RevBuild!BS13)/(RevBuild!BM9+RevBuild!BM13)-1</f>
        <v>6.3612336722610907E-2</v>
      </c>
      <c r="BT118" s="1103">
        <f>(RevBuild!BT9+RevBuild!BT13)/(RevBuild!BN9+RevBuild!BN13)-1</f>
        <v>6.5156556177673686E-2</v>
      </c>
      <c r="BU118" s="1104">
        <f>(RevBuild!BU9+RevBuild!BU13)/(RevBuild!BO9+RevBuild!BO13)-1</f>
        <v>7.4929756079417542E-2</v>
      </c>
      <c r="BV118" s="24"/>
      <c r="BW118" s="1105">
        <f>(RevBuild!BW9+RevBuild!BW13)/(RevBuild!BQ9+RevBuild!BQ13)-1</f>
        <v>6.5513185873130819E-2</v>
      </c>
      <c r="BX118" s="1103">
        <f>(RevBuild!BX9+RevBuild!BX13)/(RevBuild!BR9+RevBuild!BR13)-1</f>
        <v>5.856973943469912E-2</v>
      </c>
      <c r="BY118" s="1103">
        <f>(RevBuild!BY9+RevBuild!BY13)/(RevBuild!BS9+RevBuild!BS13)-1</f>
        <v>5.5879969713876321E-2</v>
      </c>
      <c r="BZ118" s="1103">
        <f>(RevBuild!BZ9+RevBuild!BZ13)/(RevBuild!BT9+RevBuild!BT13)-1</f>
        <v>4.9195029031815274E-2</v>
      </c>
      <c r="CA118" s="1104">
        <f>(RevBuild!CA9+RevBuild!CA13)/(RevBuild!BU9+RevBuild!BU13)-1</f>
        <v>5.666662832458047E-2</v>
      </c>
      <c r="CB118" s="24"/>
      <c r="CC118" s="1105">
        <f>(RevBuild!CC9+RevBuild!CC13)/(RevBuild!BW9+RevBuild!BW13)-1</f>
        <v>5.7594873371175082E-2</v>
      </c>
      <c r="CD118" s="1103">
        <f>(RevBuild!CD9+RevBuild!CD13)/(RevBuild!BX9+RevBuild!BX13)-1</f>
        <v>5.060049630441199E-2</v>
      </c>
      <c r="CE118" s="1103">
        <f>(RevBuild!CE9+RevBuild!CE13)/(RevBuild!BY9+RevBuild!BY13)-1</f>
        <v>4.9200426505382255E-2</v>
      </c>
      <c r="CF118" s="1103">
        <f>(RevBuild!CF9+RevBuild!CF13)/(RevBuild!BZ9+RevBuild!BZ13)-1</f>
        <v>4.2412438651576512E-2</v>
      </c>
      <c r="CG118" s="1104">
        <f>(RevBuild!CG9+RevBuild!CG13)/(RevBuild!CA9+RevBuild!CA13)-1</f>
        <v>4.9401139586263021E-2</v>
      </c>
      <c r="CH118" s="24"/>
      <c r="CI118" s="1105">
        <f>(RevBuild!CI9+RevBuild!CI13)/(RevBuild!CC9+RevBuild!CC13)-1</f>
        <v>5.7621140110522662E-2</v>
      </c>
      <c r="CJ118" s="1103">
        <f>(RevBuild!CJ9+RevBuild!CJ13)/(RevBuild!CD9+RevBuild!CD13)-1</f>
        <v>5.0684905844998962E-2</v>
      </c>
      <c r="CK118" s="1103">
        <f>(RevBuild!CK9+RevBuild!CK13)/(RevBuild!CE9+RevBuild!CE13)-1</f>
        <v>4.9252173750060413E-2</v>
      </c>
      <c r="CL118" s="1103">
        <f>(RevBuild!CL9+RevBuild!CL13)/(RevBuild!CF9+RevBuild!CF13)-1</f>
        <v>4.2654049855422205E-2</v>
      </c>
      <c r="CM118" s="1104">
        <f>(RevBuild!CM9+RevBuild!CM13)/(RevBuild!CG9+RevBuild!CG13)-1</f>
        <v>4.9538528194664089E-2</v>
      </c>
    </row>
    <row r="119" spans="1:91">
      <c r="A119" s="180" t="s">
        <v>100</v>
      </c>
      <c r="B119" s="1049"/>
      <c r="C119" s="870"/>
      <c r="D119" s="869"/>
      <c r="E119" s="869"/>
      <c r="F119" s="871"/>
      <c r="G119" s="1106">
        <f>G118-RevBuild!G18</f>
        <v>0.12061289816118828</v>
      </c>
      <c r="H119" s="346"/>
      <c r="I119" s="1107">
        <f>I118-RevBuild!I18</f>
        <v>8.4618700816562448E-2</v>
      </c>
      <c r="J119" s="1108">
        <f>J118-RevBuild!J18</f>
        <v>0.14003714942007206</v>
      </c>
      <c r="K119" s="1108">
        <f>K118-RevBuild!K18</f>
        <v>0.11548602249332161</v>
      </c>
      <c r="L119" s="1109">
        <f>L118-RevBuild!L18</f>
        <v>-4.2727395464104312E-2</v>
      </c>
      <c r="M119" s="1110">
        <f>M118-RevBuild!M18</f>
        <v>4.9295773118051903E-2</v>
      </c>
      <c r="N119" s="346"/>
      <c r="O119" s="1107">
        <f>O118-RevBuild!O18</f>
        <v>-0.14469411125866291</v>
      </c>
      <c r="P119" s="1108">
        <f>P118-RevBuild!P18</f>
        <v>-7.9458825300826944E-2</v>
      </c>
      <c r="Q119" s="1108">
        <f>Q118-RevBuild!Q18</f>
        <v>-7.8739872123423545E-3</v>
      </c>
      <c r="R119" s="1109">
        <f>R118-RevBuild!R18</f>
        <v>2.136585622389986E-2</v>
      </c>
      <c r="S119" s="1110">
        <f>S118-RevBuild!S18</f>
        <v>-5.1019354666680228E-2</v>
      </c>
      <c r="T119" s="870"/>
      <c r="U119" s="1107">
        <f>U118-RevBuild!U18</f>
        <v>6.4031802841598512E-2</v>
      </c>
      <c r="V119" s="1108">
        <f>V118-RevBuild!V18</f>
        <v>8.7770458911301738E-2</v>
      </c>
      <c r="W119" s="1108">
        <f>W118-RevBuild!W18</f>
        <v>8.7891207907504473E-2</v>
      </c>
      <c r="X119" s="1109">
        <f>X118-RevBuild!X18</f>
        <v>0.13178817091808637</v>
      </c>
      <c r="Y119" s="1110">
        <f>Y118-RevBuild!Y18</f>
        <v>9.4030993527723872E-2</v>
      </c>
      <c r="Z119" s="870"/>
      <c r="AA119" s="1107">
        <f>AA118-RevBuild!AA18</f>
        <v>0.14291270057111774</v>
      </c>
      <c r="AB119" s="1108">
        <f>AB118-RevBuild!AB18</f>
        <v>8.4665072687985232E-2</v>
      </c>
      <c r="AC119" s="1108">
        <f>AC118-RevBuild!AC18</f>
        <v>9.3393842977473468E-2</v>
      </c>
      <c r="AD119" s="1109">
        <f>AD118-RevBuild!AD18</f>
        <v>7.8254180297697262E-2</v>
      </c>
      <c r="AE119" s="1110">
        <f>AE118-RevBuild!AE18</f>
        <v>9.6455316541426167E-2</v>
      </c>
      <c r="AF119" s="870"/>
      <c r="AG119" s="1107">
        <f>AG118-RevBuild!AG18</f>
        <v>3.2905756040064564E-3</v>
      </c>
      <c r="AH119" s="1108">
        <f>AH118-RevBuild!AH18</f>
        <v>3.8574102991999898E-2</v>
      </c>
      <c r="AI119" s="1108">
        <f>AI118-RevBuild!AI18</f>
        <v>1.9919345967518404E-2</v>
      </c>
      <c r="AJ119" s="1109">
        <f>AJ118-RevBuild!AJ18</f>
        <v>1.4663572551877545E-2</v>
      </c>
      <c r="AK119" s="1110">
        <f>AK118-RevBuild!AK18</f>
        <v>1.9425310503980255E-2</v>
      </c>
      <c r="AL119" s="870"/>
      <c r="AM119" s="1107">
        <f>AM118-RevBuild!AM18</f>
        <v>5.3498185312207153E-2</v>
      </c>
      <c r="AN119" s="1108">
        <f>AN118-RevBuild!AN18</f>
        <v>1.9224746104348971E-2</v>
      </c>
      <c r="AO119" s="1108">
        <f>AO118-RevBuild!AO18</f>
        <v>3.6368412630680677E-2</v>
      </c>
      <c r="AP119" s="1109">
        <f>AP118-RevBuild!AP18</f>
        <v>0.10371952177796183</v>
      </c>
      <c r="AQ119" s="1110">
        <f>AQ118-RevBuild!AQ18</f>
        <v>5.5357264510823831E-2</v>
      </c>
      <c r="AR119" s="870"/>
      <c r="AS119" s="1107">
        <f>AS118-RevBuild!AS18</f>
        <v>3.9503831871701145E-4</v>
      </c>
      <c r="AT119" s="1108">
        <f>AT118-RevBuild!AT18</f>
        <v>6.0022566307925913E-2</v>
      </c>
      <c r="AU119" s="1108">
        <f>AU118-RevBuild!AU18</f>
        <v>7.8387639208689075E-2</v>
      </c>
      <c r="AV119" s="1109">
        <f>AV118-RevBuild!AV18</f>
        <v>8.2579476804233123E-2</v>
      </c>
      <c r="AW119" s="1110">
        <f>AW118-RevBuild!AW18</f>
        <v>5.5203915202986224E-2</v>
      </c>
      <c r="AX119" s="870"/>
      <c r="AY119" s="1107">
        <f>AY118-RevBuild!AY18</f>
        <v>0.1494435411188641</v>
      </c>
      <c r="AZ119" s="1108">
        <f>AZ118-RevBuild!AZ18</f>
        <v>9.6855485978650957E-2</v>
      </c>
      <c r="BA119" s="1108">
        <f>BA118-RevBuild!BA18</f>
        <v>8.903148033619572E-2</v>
      </c>
      <c r="BB119" s="1109">
        <f>BB118-RevBuild!BB18</f>
        <v>5.9116820504620228E-2</v>
      </c>
      <c r="BC119" s="1110">
        <f>BC118-RevBuild!BC18</f>
        <v>9.6241914923032273E-2</v>
      </c>
      <c r="BD119" s="870"/>
      <c r="BE119" s="1107">
        <f>BE118-RevBuild!BE18</f>
        <v>4.9112102561706568E-2</v>
      </c>
      <c r="BF119" s="1108">
        <f>BF118-RevBuild!BF18</f>
        <v>8.386223066661265E-2</v>
      </c>
      <c r="BG119" s="1108">
        <f>BG118-RevBuild!BG18</f>
        <v>4.9696550787289594E-2</v>
      </c>
      <c r="BH119" s="1109">
        <f>BH118-RevBuild!BH18</f>
        <v>9.1899558480080565E-2</v>
      </c>
      <c r="BI119" s="1110">
        <f>BI118-RevBuild!BI18</f>
        <v>6.961444049050497E-2</v>
      </c>
      <c r="BJ119" s="870"/>
      <c r="BK119" s="1107">
        <f>BK118-RevBuild!BK18</f>
        <v>5.78131325671336E-2</v>
      </c>
      <c r="BL119" s="1108">
        <f>BL118-RevBuild!BL18</f>
        <v>5.0424183688683615E-2</v>
      </c>
      <c r="BM119" s="1108">
        <f>BM118-RevBuild!BM18</f>
        <v>6.3560731165651432E-2</v>
      </c>
      <c r="BN119" s="1109">
        <f>BN118-RevBuild!BN18</f>
        <v>6.3017190240892279E-2</v>
      </c>
      <c r="BO119" s="1110">
        <f>BO118-RevBuild!BO18</f>
        <v>6.035641635250711E-2</v>
      </c>
      <c r="BP119" s="870"/>
      <c r="BQ119" s="1107">
        <f>BQ118-RevBuild!BQ18</f>
        <v>9.1633215589279282E-2</v>
      </c>
      <c r="BR119" s="1108">
        <f>BR118-RevBuild!BR18</f>
        <v>8.7988183743196835E-2</v>
      </c>
      <c r="BS119" s="1108">
        <f>BS118-RevBuild!BS18</f>
        <v>6.3612336722610907E-2</v>
      </c>
      <c r="BT119" s="1109">
        <f>BT118-RevBuild!BT18</f>
        <v>6.5156556177673686E-2</v>
      </c>
      <c r="BU119" s="1110">
        <f>BU118-RevBuild!BU18</f>
        <v>7.6179756079417543E-2</v>
      </c>
      <c r="BV119" s="24"/>
      <c r="BW119" s="1107">
        <f>BW118-RevBuild!BW18</f>
        <v>6.5513185873130819E-2</v>
      </c>
      <c r="BX119" s="1108">
        <f>BX118-RevBuild!BX18</f>
        <v>5.856973943469912E-2</v>
      </c>
      <c r="BY119" s="1108">
        <f>BY118-RevBuild!BY18</f>
        <v>5.5879969713876321E-2</v>
      </c>
      <c r="BZ119" s="1109">
        <f>BZ118-RevBuild!BZ18</f>
        <v>4.9195029031815274E-2</v>
      </c>
      <c r="CA119" s="1110">
        <f>CA118-RevBuild!CA18</f>
        <v>5.666662832458047E-2</v>
      </c>
      <c r="CB119" s="24"/>
      <c r="CC119" s="1107">
        <f>CC118-RevBuild!CC18</f>
        <v>5.7594873371175082E-2</v>
      </c>
      <c r="CD119" s="1108">
        <f>CD118-RevBuild!CD18</f>
        <v>5.060049630441199E-2</v>
      </c>
      <c r="CE119" s="1108">
        <f>CE118-RevBuild!CE18</f>
        <v>4.9200426505382255E-2</v>
      </c>
      <c r="CF119" s="1109">
        <f>CF118-RevBuild!CF18</f>
        <v>4.2412438651576512E-2</v>
      </c>
      <c r="CG119" s="1110">
        <f>CG118-RevBuild!CG18</f>
        <v>4.9401139586263021E-2</v>
      </c>
      <c r="CH119" s="24"/>
      <c r="CI119" s="1107">
        <f>CI118-RevBuild!CI18</f>
        <v>5.7621140110522662E-2</v>
      </c>
      <c r="CJ119" s="1108">
        <f>CJ118-RevBuild!CJ18</f>
        <v>5.0684905844998962E-2</v>
      </c>
      <c r="CK119" s="1108">
        <f>CK118-RevBuild!CK18</f>
        <v>4.9252173750060413E-2</v>
      </c>
      <c r="CL119" s="1109">
        <f>CL118-RevBuild!CL18</f>
        <v>4.2654049855422205E-2</v>
      </c>
      <c r="CM119" s="1110">
        <f>CM118-RevBuild!CM18</f>
        <v>4.9538528194664089E-2</v>
      </c>
    </row>
    <row r="120" spans="1:91">
      <c r="A120" s="179" t="s">
        <v>88</v>
      </c>
      <c r="B120" s="1042"/>
      <c r="C120" s="1100"/>
      <c r="D120" s="1101"/>
      <c r="E120" s="1101"/>
      <c r="F120" s="1101"/>
      <c r="G120" s="1111"/>
      <c r="H120" s="1112"/>
      <c r="I120" s="1102">
        <f>RevBuild!I9/RevBuild!C9-1</f>
        <v>0.11733309097218503</v>
      </c>
      <c r="J120" s="1103">
        <f>RevBuild!J9/RevBuild!D9-1</f>
        <v>0.11011401904570417</v>
      </c>
      <c r="K120" s="1103">
        <f>RevBuild!K9/RevBuild!E9-1</f>
        <v>7.4469278714275111E-2</v>
      </c>
      <c r="L120" s="1103">
        <f>RevBuild!L9/RevBuild!F9-1</f>
        <v>-7.2578017715174581E-2</v>
      </c>
      <c r="M120" s="1104">
        <f>RevBuild!M9/RevBuild!G9-1</f>
        <v>4.8082369123715551E-2</v>
      </c>
      <c r="N120" s="1112"/>
      <c r="O120" s="1102">
        <f>RevBuild!O9/RevBuild!I9-1</f>
        <v>-0.15904830569574635</v>
      </c>
      <c r="P120" s="1103">
        <f>RevBuild!P9/RevBuild!J9-1</f>
        <v>-0.11702383315744924</v>
      </c>
      <c r="Q120" s="1103">
        <f>RevBuild!Q9/RevBuild!K9-1</f>
        <v>-6.5480327095568502E-2</v>
      </c>
      <c r="R120" s="1103">
        <f>RevBuild!R9/RevBuild!L9-1</f>
        <v>2.263422449709962E-2</v>
      </c>
      <c r="S120" s="1104">
        <f>RevBuild!S9/RevBuild!M9-1</f>
        <v>-7.7119992701024431E-2</v>
      </c>
      <c r="T120" s="1112"/>
      <c r="U120" s="1102">
        <f>RevBuild!U9/RevBuild!O9-1</f>
        <v>0.11252681931694286</v>
      </c>
      <c r="V120" s="1103">
        <f>RevBuild!V9/RevBuild!P9-1</f>
        <v>8.6399154310688342E-2</v>
      </c>
      <c r="W120" s="1103">
        <f>RevBuild!W9/RevBuild!Q9-1</f>
        <v>9.0169998304640897E-2</v>
      </c>
      <c r="X120" s="1103">
        <f>RevBuild!X9/RevBuild!R9-1</f>
        <v>0.14045659872157468</v>
      </c>
      <c r="Y120" s="1104">
        <f>RevBuild!Y9/RevBuild!S9-1</f>
        <v>0.10898421830114313</v>
      </c>
      <c r="Z120" s="1112"/>
      <c r="AA120" s="1102">
        <f>RevBuild!AA9/RevBuild!U9-1</f>
        <v>0.19875751851471302</v>
      </c>
      <c r="AB120" s="1103">
        <f>RevBuild!AB9/RevBuild!V9-1</f>
        <v>0.14786239448125627</v>
      </c>
      <c r="AC120" s="1103">
        <f>RevBuild!AC9/RevBuild!W9-1</f>
        <v>0.1357701796178612</v>
      </c>
      <c r="AD120" s="1103">
        <f>RevBuild!AD9/RevBuild!X9-1</f>
        <v>7.340678891747765E-2</v>
      </c>
      <c r="AE120" s="1104">
        <f>RevBuild!AE9/RevBuild!Y9-1</f>
        <v>0.13329796070209254</v>
      </c>
      <c r="AF120" s="468"/>
      <c r="AG120" s="1102">
        <f>RevBuild!AG9/RevBuild!AA9-1</f>
        <v>-5.5479732046311736E-2</v>
      </c>
      <c r="AH120" s="1103">
        <f>RevBuild!AH9/RevBuild!AB9-1</f>
        <v>-7.2592123991777058E-3</v>
      </c>
      <c r="AI120" s="1103">
        <f>RevBuild!AI9/RevBuild!AC9-1</f>
        <v>-3.2752654443158113E-2</v>
      </c>
      <c r="AJ120" s="1103">
        <f>RevBuild!AJ9/RevBuild!AD9-1</f>
        <v>-3.141866551971928E-2</v>
      </c>
      <c r="AK120" s="1104">
        <f>RevBuild!AK9/RevBuild!AE9-1</f>
        <v>-3.1486170862906615E-2</v>
      </c>
      <c r="AL120" s="468"/>
      <c r="AM120" s="1102">
        <f>RevBuild!AM9/RevBuild!AG9-1</f>
        <v>2.5154708261927228E-2</v>
      </c>
      <c r="AN120" s="1103">
        <f>RevBuild!AN9/RevBuild!AH9-1</f>
        <v>-2.7541380573832042E-2</v>
      </c>
      <c r="AO120" s="1103">
        <f>RevBuild!AO9/RevBuild!AI9-1</f>
        <v>6.820602078996707E-3</v>
      </c>
      <c r="AP120" s="1103">
        <f>RevBuild!AP9/RevBuild!AJ9-1</f>
        <v>8.478509268334955E-2</v>
      </c>
      <c r="AQ120" s="1104">
        <f>RevBuild!AQ9/RevBuild!AK9-1</f>
        <v>2.4986977814256184E-2</v>
      </c>
      <c r="AR120" s="468"/>
      <c r="AS120" s="1102">
        <f>RevBuild!AS9/RevBuild!AM9-1</f>
        <v>-3.0366274675364457E-2</v>
      </c>
      <c r="AT120" s="1103">
        <f>RevBuild!AT9/RevBuild!AN9-1</f>
        <v>5.2599676944802276E-2</v>
      </c>
      <c r="AU120" s="1103">
        <f>RevBuild!AU9/RevBuild!AO9-1</f>
        <v>5.8227856191063632E-2</v>
      </c>
      <c r="AV120" s="1103">
        <f>RevBuild!AV9/RevBuild!AP9-1</f>
        <v>2.2137356945848508E-2</v>
      </c>
      <c r="AW120" s="1104">
        <f>RevBuild!AW9/RevBuild!AQ9-1</f>
        <v>2.6076892776625948E-2</v>
      </c>
      <c r="AX120" s="468"/>
      <c r="AY120" s="1102">
        <f>RevBuild!AY9/RevBuild!AS9-1</f>
        <v>6.3477238013307735E-2</v>
      </c>
      <c r="AZ120" s="1103">
        <f>RevBuild!AZ9/RevBuild!AT9-1</f>
        <v>3.3526839213733339E-2</v>
      </c>
      <c r="BA120" s="1103">
        <f>RevBuild!BA9/RevBuild!AU9-1</f>
        <v>1.741729953346538E-2</v>
      </c>
      <c r="BB120" s="1103">
        <f>RevBuild!BB9/RevBuild!AV9-1</f>
        <v>9.5481362819411775E-3</v>
      </c>
      <c r="BC120" s="1104">
        <f>RevBuild!BC9/RevBuild!AW9-1</f>
        <v>2.8607834241336061E-2</v>
      </c>
      <c r="BD120" s="468"/>
      <c r="BE120" s="1102">
        <f>RevBuild!BE9/RevBuild!AY9-1</f>
        <v>1.6455742175763621E-2</v>
      </c>
      <c r="BF120" s="1103">
        <f>RevBuild!BF9/RevBuild!AZ9-1</f>
        <v>8.3277114529749729E-2</v>
      </c>
      <c r="BG120" s="1103">
        <f>RevBuild!BG9/RevBuild!BA9-1</f>
        <v>3.8586306476361631E-2</v>
      </c>
      <c r="BH120" s="1103">
        <f>RevBuild!BH9/RevBuild!BB9-1</f>
        <v>7.1124828864044254E-2</v>
      </c>
      <c r="BI120" s="1104">
        <f>RevBuild!BI9/RevBuild!BC9-1</f>
        <v>5.4170492674278314E-2</v>
      </c>
      <c r="BJ120" s="468"/>
      <c r="BK120" s="1102">
        <f>RevBuild!BK9/RevBuild!BE9-1</f>
        <v>5.3398168630240495E-2</v>
      </c>
      <c r="BL120" s="1103">
        <f>RevBuild!BL9/RevBuild!BF9-1</f>
        <v>3.6562344482841791E-2</v>
      </c>
      <c r="BM120" s="1103">
        <f>RevBuild!BM9/RevBuild!BG9-1</f>
        <v>7.3202375305057688E-2</v>
      </c>
      <c r="BN120" s="1103">
        <f>RevBuild!BN9/RevBuild!BH9-1</f>
        <v>8.3210257938927557E-2</v>
      </c>
      <c r="BO120" s="1104">
        <f>RevBuild!BO9/RevBuild!BI9-1</f>
        <v>6.3037219851317827E-2</v>
      </c>
      <c r="BP120" s="468"/>
      <c r="BQ120" s="1102">
        <f>RevBuild!BQ9/RevBuild!BK9-1</f>
        <v>7.83386694036039E-2</v>
      </c>
      <c r="BR120" s="1103">
        <f>RevBuild!BR9/RevBuild!BL9-1</f>
        <v>8.9955334416435662E-2</v>
      </c>
      <c r="BS120" s="1103">
        <f>RevBuild!BS9/RevBuild!BM9-1</f>
        <v>5.7849678643417057E-2</v>
      </c>
      <c r="BT120" s="1103">
        <f>RevBuild!BT9/RevBuild!BN9-1</f>
        <v>6.4275721310281586E-2</v>
      </c>
      <c r="BU120" s="1104">
        <f>RevBuild!BU9/RevBuild!BO9-1</f>
        <v>7.1826596198984793E-2</v>
      </c>
      <c r="BW120" s="1102">
        <f>RevBuild!BW9/RevBuild!BQ9-1</f>
        <v>6.904323385318456E-2</v>
      </c>
      <c r="BX120" s="1103">
        <f>RevBuild!BX9/RevBuild!BR9-1</f>
        <v>5.8336321824084214E-2</v>
      </c>
      <c r="BY120" s="1103">
        <f>RevBuild!BY9/RevBuild!BS9-1</f>
        <v>5.890356319302481E-2</v>
      </c>
      <c r="BZ120" s="1103">
        <f>RevBuild!BZ9/RevBuild!BT9-1</f>
        <v>4.8845664575149383E-2</v>
      </c>
      <c r="CA120" s="1104">
        <f>RevBuild!CA9/RevBuild!BU9-1</f>
        <v>5.7810208696692067E-2</v>
      </c>
      <c r="CC120" s="1102">
        <f>RevBuild!CC9/RevBuild!BW9-1</f>
        <v>5.6793995516388529E-2</v>
      </c>
      <c r="CD120" s="1103">
        <f>RevBuild!CD9/RevBuild!BX9-1</f>
        <v>4.6418684876829319E-2</v>
      </c>
      <c r="CE120" s="1103">
        <f>RevBuild!CE9/RevBuild!BY9-1</f>
        <v>4.8792727558770954E-2</v>
      </c>
      <c r="CF120" s="1103">
        <f>RevBuild!CF9/RevBuild!BZ9-1</f>
        <v>3.9115746237790017E-2</v>
      </c>
      <c r="CG120" s="1104">
        <f>RevBuild!CG9/RevBuild!CA9-1</f>
        <v>4.6968243830178169E-2</v>
      </c>
      <c r="CI120" s="1102">
        <f>RevBuild!CI9/RevBuild!CC9-1</f>
        <v>5.6828489292275242E-2</v>
      </c>
      <c r="CJ120" s="1103">
        <f>RevBuild!CJ9/RevBuild!CD9-1</f>
        <v>4.6490830229537705E-2</v>
      </c>
      <c r="CK120" s="1103">
        <f>RevBuild!CK9/RevBuild!CE9-1</f>
        <v>4.8870421559643829E-2</v>
      </c>
      <c r="CL120" s="1103">
        <f>RevBuild!CL9/RevBuild!CF9-1</f>
        <v>3.9428902494602625E-2</v>
      </c>
      <c r="CM120" s="1104">
        <f>RevBuild!CM9/RevBuild!CG9-1</f>
        <v>4.7144749037026923E-2</v>
      </c>
    </row>
    <row r="121" spans="1:91">
      <c r="A121" s="182" t="s">
        <v>90</v>
      </c>
      <c r="B121" s="1049"/>
      <c r="C121" s="870"/>
      <c r="D121" s="869"/>
      <c r="E121" s="869"/>
      <c r="F121" s="869"/>
      <c r="G121" s="872"/>
      <c r="H121" s="1113"/>
      <c r="I121" s="1107">
        <f>RevBuild!I10/RevBuild!C10-1</f>
        <v>0.11731943391925292</v>
      </c>
      <c r="J121" s="1108">
        <f>RevBuild!J10/RevBuild!D10-1</f>
        <v>8.4587165128398478E-2</v>
      </c>
      <c r="K121" s="1108">
        <f>RevBuild!K10/RevBuild!E10-1</f>
        <v>6.2314692919695602E-2</v>
      </c>
      <c r="L121" s="1108">
        <f>RevBuild!L10/RevBuild!F10-1</f>
        <v>-8.9363783940047403E-2</v>
      </c>
      <c r="M121" s="1110">
        <f>RevBuild!M10/RevBuild!G10-1</f>
        <v>3.3794446428451197E-2</v>
      </c>
      <c r="N121" s="1113"/>
      <c r="O121" s="1107">
        <f>RevBuild!O10/RevBuild!I10-1</f>
        <v>-0.21251606001621193</v>
      </c>
      <c r="P121" s="1108">
        <f>RevBuild!P10/RevBuild!J10-1</f>
        <v>-0.12518037887238898</v>
      </c>
      <c r="Q121" s="1108">
        <f>RevBuild!Q10/RevBuild!K10-1</f>
        <v>-6.9904147157551111E-2</v>
      </c>
      <c r="R121" s="1108">
        <f>RevBuild!R10/RevBuild!L10-1</f>
        <v>3.8431859029460558E-2</v>
      </c>
      <c r="S121" s="1110">
        <f>RevBuild!S10/RevBuild!M10-1</f>
        <v>-8.8783791887079189E-2</v>
      </c>
      <c r="T121" s="1113"/>
      <c r="U121" s="1107">
        <f>RevBuild!U10/RevBuild!O10-1</f>
        <v>0.11032763582637206</v>
      </c>
      <c r="V121" s="1108">
        <f>RevBuild!V10/RevBuild!P10-1</f>
        <v>6.7706292151919367E-2</v>
      </c>
      <c r="W121" s="1108">
        <f>RevBuild!W10/RevBuild!Q10-1</f>
        <v>7.4746702351367045E-2</v>
      </c>
      <c r="X121" s="1108">
        <f>RevBuild!X10/RevBuild!R10-1</f>
        <v>0.15700706891605232</v>
      </c>
      <c r="Y121" s="1110">
        <f>RevBuild!Y10/RevBuild!S10-1</f>
        <v>0.10531548724346007</v>
      </c>
      <c r="Z121" s="1113"/>
      <c r="AA121" s="1107">
        <f>RevBuild!AA10/RevBuild!U10-1</f>
        <v>0.2455996518821697</v>
      </c>
      <c r="AB121" s="1108">
        <f>RevBuild!AB10/RevBuild!V10-1</f>
        <v>0.13086329122245721</v>
      </c>
      <c r="AC121" s="1108">
        <f>RevBuild!AC10/RevBuild!W10-1</f>
        <v>0.14627599366126565</v>
      </c>
      <c r="AD121" s="1109">
        <f>RevBuild!AD10/RevBuild!X10-1</f>
        <v>6.4092453781239067E-2</v>
      </c>
      <c r="AE121" s="1110">
        <f>RevBuild!AE10/RevBuild!Y10-1</f>
        <v>0.13685187366284812</v>
      </c>
      <c r="AF121" s="1114"/>
      <c r="AG121" s="1107">
        <f>RevBuild!AG10/RevBuild!AA10-1</f>
        <v>-0.10553336269878633</v>
      </c>
      <c r="AH121" s="1108">
        <f>RevBuild!AH10/RevBuild!AB10-1</f>
        <v>-1.2208060226430395E-2</v>
      </c>
      <c r="AI121" s="1108">
        <f>RevBuild!AI10/RevBuild!AC10-1</f>
        <v>-4.7732573449196791E-2</v>
      </c>
      <c r="AJ121" s="1108">
        <f>RevBuild!AJ10/RevBuild!AD10-1</f>
        <v>-6.2627258176039424E-2</v>
      </c>
      <c r="AK121" s="1110">
        <f>RevBuild!AK10/RevBuild!AE10-1</f>
        <v>-5.6820212963374028E-2</v>
      </c>
      <c r="AL121" s="1114"/>
      <c r="AM121" s="1107">
        <f>RevBuild!AM10/RevBuild!AG10-1</f>
        <v>4.447350099339431E-2</v>
      </c>
      <c r="AN121" s="1108">
        <f>RevBuild!AN10/RevBuild!AH10-1</f>
        <v>-4.1358306236850328E-2</v>
      </c>
      <c r="AO121" s="1108">
        <f>RevBuild!AO10/RevBuild!AI10-1</f>
        <v>-2.7277261212860449E-2</v>
      </c>
      <c r="AP121" s="1108">
        <f>RevBuild!AP10/RevBuild!AJ10-1</f>
        <v>7.4375348952835818E-2</v>
      </c>
      <c r="AQ121" s="1110">
        <f>RevBuild!AQ10/RevBuild!AK10-1</f>
        <v>1.4665800801006101E-2</v>
      </c>
      <c r="AR121" s="1114"/>
      <c r="AS121" s="1107">
        <f>RevBuild!AS10/RevBuild!AM10-1</f>
        <v>-4.4221889835468486E-2</v>
      </c>
      <c r="AT121" s="1108">
        <f>RevBuild!AT10/RevBuild!AN10-1</f>
        <v>5.482227269936768E-2</v>
      </c>
      <c r="AU121" s="1108">
        <f>RevBuild!AU10/RevBuild!AO10-1</f>
        <v>8.1897973998548146E-2</v>
      </c>
      <c r="AV121" s="1108">
        <f>RevBuild!AV10/RevBuild!AP10-1</f>
        <v>4.4574341778345739E-2</v>
      </c>
      <c r="AW121" s="1110">
        <f>RevBuild!AW10/RevBuild!AQ10-1</f>
        <v>3.6211884731051969E-2</v>
      </c>
      <c r="AX121" s="1114"/>
      <c r="AY121" s="1107">
        <f>RevBuild!AY10/RevBuild!AS10-1</f>
        <v>6.8834909618743056E-2</v>
      </c>
      <c r="AZ121" s="1108">
        <f>RevBuild!AZ10/RevBuild!AT10-1</f>
        <v>5.5251619912311423E-2</v>
      </c>
      <c r="BA121" s="1108">
        <f>RevBuild!BA10/RevBuild!AU10-1</f>
        <v>2.8500107919407602E-2</v>
      </c>
      <c r="BB121" s="1108">
        <f>RevBuild!BB10/RevBuild!AV10-1</f>
        <v>-1.8258539171611021E-2</v>
      </c>
      <c r="BC121" s="1110">
        <f>RevBuild!BC10/RevBuild!AW10-1</f>
        <v>2.8216585079122947E-2</v>
      </c>
      <c r="BD121" s="1114"/>
      <c r="BE121" s="1107">
        <f>RevBuild!BE10/RevBuild!AY10-1</f>
        <v>1.3262318041018517E-4</v>
      </c>
      <c r="BF121" s="1108">
        <f>RevBuild!BF10/RevBuild!AZ10-1</f>
        <v>6.5642969583646238E-2</v>
      </c>
      <c r="BG121" s="1108">
        <f>RevBuild!BG10/RevBuild!BA10-1</f>
        <v>3.2264913593313738E-2</v>
      </c>
      <c r="BH121" s="1108">
        <f>RevBuild!BH10/RevBuild!BB10-1</f>
        <v>9.7451451821712443E-2</v>
      </c>
      <c r="BI121" s="1110">
        <f>RevBuild!BI10/RevBuild!BC10-1</f>
        <v>5.3287504773344541E-2</v>
      </c>
      <c r="BJ121" s="1114"/>
      <c r="BK121" s="1107">
        <f>RevBuild!BK10/RevBuild!BE10-1</f>
        <v>4.9440669605206544E-2</v>
      </c>
      <c r="BL121" s="1108">
        <f>RevBuild!BL10/RevBuild!BF10-1</f>
        <v>2.8835130111124041E-2</v>
      </c>
      <c r="BM121" s="1108">
        <f>RevBuild!BM10/RevBuild!BG10-1</f>
        <v>5.1749191408588802E-2</v>
      </c>
      <c r="BN121" s="1108">
        <f>RevBuild!BN10/RevBuild!BH10-1</f>
        <v>6.1149560261094305E-2</v>
      </c>
      <c r="BO121" s="1110">
        <f>RevBuild!BO10/RevBuild!BI10-1</f>
        <v>4.8612516461164379E-2</v>
      </c>
      <c r="BP121" s="1114"/>
      <c r="BQ121" s="1107">
        <f>RevBuild!BQ10/RevBuild!BK10-1</f>
        <v>6.466877260226922E-2</v>
      </c>
      <c r="BR121" s="1108">
        <f>RevBuild!BR10/RevBuild!BL10-1</f>
        <v>7.0311600925615725E-2</v>
      </c>
      <c r="BS121" s="1108">
        <f>RevBuild!BS10/RevBuild!BM10-1</f>
        <v>4.5837346376636834E-2</v>
      </c>
      <c r="BT121" s="1108">
        <f>RevBuild!BT10/RevBuild!BN10-1</f>
        <v>5.6936133291938251E-2</v>
      </c>
      <c r="BU121" s="1110">
        <f>RevBuild!BU10/RevBuild!BO10-1</f>
        <v>5.9038090819750311E-2</v>
      </c>
      <c r="BW121" s="1107">
        <f>RevBuild!BW10/RevBuild!BQ10-1</f>
        <v>6.0615766861290332E-2</v>
      </c>
      <c r="BX121" s="1108">
        <f>RevBuild!BX10/RevBuild!BR10-1</f>
        <v>4.5518802808017567E-2</v>
      </c>
      <c r="BY121" s="1108">
        <f>RevBuild!BY10/RevBuild!BS10-1</f>
        <v>4.6325534576004301E-2</v>
      </c>
      <c r="BZ121" s="1108">
        <f>RevBuild!BZ10/RevBuild!BT10-1</f>
        <v>3.2205971128183242E-2</v>
      </c>
      <c r="CA121" s="1110">
        <f>RevBuild!CA10/RevBuild!BU10-1</f>
        <v>4.4517326129029477E-2</v>
      </c>
      <c r="CC121" s="1107">
        <f>RevBuild!CC10/RevBuild!BW10-1</f>
        <v>5.5354847106976024E-2</v>
      </c>
      <c r="CD121" s="1108">
        <f>RevBuild!CD10/RevBuild!BX10-1</f>
        <v>3.9999999999999813E-2</v>
      </c>
      <c r="CE121" s="1108">
        <f>RevBuild!CE10/RevBuild!BY10-1</f>
        <v>4.3860486418748845E-2</v>
      </c>
      <c r="CF121" s="1108">
        <f>RevBuild!CF10/RevBuild!BZ10-1</f>
        <v>2.958710527378372E-2</v>
      </c>
      <c r="CG121" s="1110">
        <f>RevBuild!CG10/RevBuild!CA10-1</f>
        <v>4.0785167078475792E-2</v>
      </c>
      <c r="CI121" s="1107">
        <f>RevBuild!CI10/RevBuild!CC10-1</f>
        <v>5.5378416509815898E-2</v>
      </c>
      <c r="CJ121" s="1108">
        <f>RevBuild!CJ10/RevBuild!CD10-1</f>
        <v>4.0000000000000258E-2</v>
      </c>
      <c r="CK121" s="1108">
        <f>RevBuild!CK10/RevBuild!CE10-1</f>
        <v>4.3912599778160644E-2</v>
      </c>
      <c r="CL121" s="1108">
        <f>RevBuild!CL10/RevBuild!CF10-1</f>
        <v>2.9820962989711042E-2</v>
      </c>
      <c r="CM121" s="1110">
        <f>RevBuild!CM10/RevBuild!CG10-1</f>
        <v>4.0956871251121907E-2</v>
      </c>
    </row>
    <row r="122" spans="1:91">
      <c r="A122" s="183" t="s">
        <v>95</v>
      </c>
      <c r="B122" s="1049"/>
      <c r="C122" s="870"/>
      <c r="D122" s="869"/>
      <c r="E122" s="869"/>
      <c r="F122" s="871"/>
      <c r="G122" s="872"/>
      <c r="H122" s="1113"/>
      <c r="I122" s="1107">
        <f>RevBuild!I21/RevBuild!C21-1</f>
        <v>1.4429610940233095E-2</v>
      </c>
      <c r="J122" s="1108">
        <f>RevBuild!J21/RevBuild!D21-1</f>
        <v>5.865575628499009E-2</v>
      </c>
      <c r="K122" s="1108">
        <f>RevBuild!K21/RevBuild!E21-1</f>
        <v>3.0591191323274591E-2</v>
      </c>
      <c r="L122" s="1109">
        <f>RevBuild!L21/RevBuild!F21-1</f>
        <v>4.7845803668624454E-2</v>
      </c>
      <c r="M122" s="1110">
        <f>RevBuild!M21/RevBuild!G21-1</f>
        <v>3.8280720750735631E-2</v>
      </c>
      <c r="N122" s="1113"/>
      <c r="O122" s="1107">
        <f>RevBuild!O21/RevBuild!I21-1</f>
        <v>-3.8461538461538436E-2</v>
      </c>
      <c r="P122" s="1108">
        <f>RevBuild!P21/RevBuild!J21-1</f>
        <v>-3.5294117647058809E-2</v>
      </c>
      <c r="Q122" s="1108">
        <f>RevBuild!Q21/RevBuild!K21-1</f>
        <v>-0.10256116479424038</v>
      </c>
      <c r="R122" s="1109">
        <f>RevBuild!R21/RevBuild!L21-1</f>
        <v>0</v>
      </c>
      <c r="S122" s="1110">
        <f>RevBuild!S21/RevBuild!M21-1</f>
        <v>-4.3292940537343338E-2</v>
      </c>
      <c r="T122" s="1113"/>
      <c r="U122" s="1107">
        <f>RevBuild!U21/RevBuild!O21-1</f>
        <v>0.14999999999999991</v>
      </c>
      <c r="V122" s="1108">
        <f>RevBuild!V21/RevBuild!P21-1</f>
        <v>9.000000000000008E-2</v>
      </c>
      <c r="W122" s="1108">
        <f>RevBuild!W21/RevBuild!Q21-1</f>
        <v>0.10000000000000009</v>
      </c>
      <c r="X122" s="1109">
        <f>RevBuild!X21/RevBuild!R21-1</f>
        <v>0.14000000000000012</v>
      </c>
      <c r="Y122" s="1110">
        <f>RevBuild!Y21/RevBuild!S21-1</f>
        <v>0.1202795031055901</v>
      </c>
      <c r="Z122" s="1115"/>
      <c r="AA122" s="1107">
        <f>RevBuild!AA21/RevBuild!U21-1</f>
        <v>0.16999999999999993</v>
      </c>
      <c r="AB122" s="1108">
        <f>RevBuild!AB21/RevBuild!V21-1</f>
        <v>0.12999999999999989</v>
      </c>
      <c r="AC122" s="1108">
        <f>RevBuild!AC21/RevBuild!W21-1</f>
        <v>0.12999999999999989</v>
      </c>
      <c r="AD122" s="1109">
        <f>RevBuild!AD21/RevBuild!X21-1</f>
        <v>7.0000000000000062E-2</v>
      </c>
      <c r="AE122" s="1110">
        <f>RevBuild!AE21/RevBuild!Y21-1</f>
        <v>0.12249854461785814</v>
      </c>
      <c r="AF122" s="1116"/>
      <c r="AG122" s="1107">
        <f>RevBuild!AG21/RevBuild!AA21-1</f>
        <v>-0.127</v>
      </c>
      <c r="AH122" s="1108">
        <f>RevBuild!AH21/RevBuild!AB21-1</f>
        <v>-8.9999999999999969E-2</v>
      </c>
      <c r="AI122" s="1108">
        <f>RevBuild!AI21/RevBuild!AC21-1</f>
        <v>-3.0000000000000027E-2</v>
      </c>
      <c r="AJ122" s="1109">
        <f>RevBuild!AJ21/RevBuild!AD21-1</f>
        <v>-6.4000000000000057E-2</v>
      </c>
      <c r="AK122" s="1110">
        <f>RevBuild!AK21/RevBuild!AE21-1</f>
        <v>-7.8357990945841283E-2</v>
      </c>
      <c r="AL122" s="1114"/>
      <c r="AM122" s="1107">
        <f>RevBuild!AM21/RevBuild!AG21-1</f>
        <v>9.0700000000000003E-2</v>
      </c>
      <c r="AN122" s="1108">
        <f>RevBuild!AN21/RevBuild!AH21-1</f>
        <v>4.6000000000000041E-2</v>
      </c>
      <c r="AO122" s="1108">
        <f>RevBuild!AO21/RevBuild!AI21-1</f>
        <v>-6.9999999999999951E-2</v>
      </c>
      <c r="AP122" s="1109">
        <f>RevBuild!AP21/RevBuild!AJ21-1</f>
        <v>6.0000000000000053E-2</v>
      </c>
      <c r="AQ122" s="1110">
        <f>RevBuild!AQ21/RevBuild!AK21-1</f>
        <v>3.2298744836509741E-2</v>
      </c>
      <c r="AR122" s="1116"/>
      <c r="AS122" s="1107">
        <f>RevBuild!AS21/RevBuild!AM21-1</f>
        <v>-8.9999999999999969E-2</v>
      </c>
      <c r="AT122" s="1108">
        <f>RevBuild!AT21/RevBuild!AN21-1</f>
        <v>-1.2000000000000122E-2</v>
      </c>
      <c r="AU122" s="1108">
        <f>RevBuild!AU21/RevBuild!AO21-1</f>
        <v>5.824054170765125E-2</v>
      </c>
      <c r="AV122" s="1109">
        <f>RevBuild!AV21/RevBuild!AP21-1</f>
        <v>2.4180800020140891E-2</v>
      </c>
      <c r="AW122" s="1110">
        <f>RevBuild!AW21/RevBuild!AQ21-1</f>
        <v>-5.8917019015338745E-3</v>
      </c>
      <c r="AX122" s="1116"/>
      <c r="AY122" s="1107">
        <f>RevBuild!AY21/RevBuild!AS21-1</f>
        <v>6.4999999999999947E-2</v>
      </c>
      <c r="AZ122" s="1108">
        <f>RevBuild!AZ21/RevBuild!AT21-1</f>
        <v>5.539000000000005E-2</v>
      </c>
      <c r="BA122" s="1108">
        <f>RevBuild!BA21/RevBuild!AU21-1</f>
        <v>2.849999999999997E-2</v>
      </c>
      <c r="BB122" s="1109">
        <f>RevBuild!BB21/RevBuild!AV21-1</f>
        <v>-2.4423995046898406E-2</v>
      </c>
      <c r="BC122" s="1110">
        <f>RevBuild!BC21/RevBuild!AW21-1</f>
        <v>2.8086647575654933E-2</v>
      </c>
      <c r="BD122" s="1116"/>
      <c r="BE122" s="1107">
        <f>RevBuild!BE21/RevBuild!AY21-1</f>
        <v>-4.1875197582601165E-2</v>
      </c>
      <c r="BF122" s="1108">
        <f>RevBuild!BF21/RevBuild!AZ21-1</f>
        <v>6.5667017019040319E-2</v>
      </c>
      <c r="BG122" s="1108">
        <f>RevBuild!BG21/RevBuild!BA21-1</f>
        <v>3.5246824670680743E-2</v>
      </c>
      <c r="BH122" s="1109">
        <f>RevBuild!BH21/RevBuild!BB21-1</f>
        <v>0.10000000000000009</v>
      </c>
      <c r="BI122" s="1110">
        <f>RevBuild!BI21/RevBuild!BC21-1</f>
        <v>4.2649793925713331E-2</v>
      </c>
      <c r="BJ122" s="1116"/>
      <c r="BK122" s="1107">
        <f>RevBuild!BK21/RevBuild!BE21-1</f>
        <v>5.0000000000000044E-2</v>
      </c>
      <c r="BL122" s="1108">
        <f>RevBuild!BL21/RevBuild!BF21-1</f>
        <v>2.0000000000000018E-2</v>
      </c>
      <c r="BM122" s="1108">
        <f>RevBuild!BM21/RevBuild!BG21-1</f>
        <v>4.4999999999999929E-2</v>
      </c>
      <c r="BN122" s="1109">
        <f>RevBuild!BN21/RevBuild!BH21-1</f>
        <v>6.4000000000000057E-2</v>
      </c>
      <c r="BO122" s="1110">
        <f>RevBuild!BO21/RevBuild!BI21-1</f>
        <v>4.5121756984438433E-2</v>
      </c>
      <c r="BP122" s="1116"/>
      <c r="BQ122" s="1107">
        <f>RevBuild!BQ21/RevBuild!BK21-1</f>
        <v>5.4999999999999938E-2</v>
      </c>
      <c r="BR122" s="1108">
        <f>RevBuild!BR21/RevBuild!BL21-1</f>
        <v>5.0000000000000044E-2</v>
      </c>
      <c r="BS122" s="1108">
        <f>RevBuild!BS21/RevBuild!BM21-1</f>
        <v>4.0000000000000036E-2</v>
      </c>
      <c r="BT122" s="1109">
        <f>RevBuild!BT21/RevBuild!BN21-1</f>
        <v>4.0000000000000036E-2</v>
      </c>
      <c r="BU122" s="1110">
        <f>RevBuild!BU21/RevBuild!BO21-1</f>
        <v>4.5814999663986278E-2</v>
      </c>
      <c r="BW122" s="1107">
        <f>RevBuild!BW21/RevBuild!BQ21-1</f>
        <v>5.0000000000000044E-2</v>
      </c>
      <c r="BX122" s="1108">
        <f>RevBuild!BX21/RevBuild!BR21-1</f>
        <v>4.0000000000000036E-2</v>
      </c>
      <c r="BY122" s="1108">
        <f>RevBuild!BY21/RevBuild!BS21-1</f>
        <v>3.499999999999992E-2</v>
      </c>
      <c r="BZ122" s="1109">
        <f>RevBuild!BZ21/RevBuild!BT21-1</f>
        <v>3.499999999999992E-2</v>
      </c>
      <c r="CA122" s="1110">
        <f>RevBuild!CA21/RevBuild!BU21-1</f>
        <v>3.9579007011703915E-2</v>
      </c>
      <c r="CC122" s="1107">
        <f>RevBuild!CC21/RevBuild!BW21-1</f>
        <v>5.0000000000000044E-2</v>
      </c>
      <c r="CD122" s="1108">
        <f>RevBuild!CD21/RevBuild!BX21-1</f>
        <v>4.0000000000000036E-2</v>
      </c>
      <c r="CE122" s="1108">
        <f>RevBuild!CE21/RevBuild!BY21-1</f>
        <v>3.499999999999992E-2</v>
      </c>
      <c r="CF122" s="1109">
        <f>RevBuild!CF21/RevBuild!BZ21-1</f>
        <v>3.499999999999992E-2</v>
      </c>
      <c r="CG122" s="1110">
        <f>RevBuild!CG21/RevBuild!CA21-1</f>
        <v>3.9612644267476904E-2</v>
      </c>
      <c r="CI122" s="1107">
        <f>RevBuild!CI21/RevBuild!CC21-1</f>
        <v>5.0000000000000044E-2</v>
      </c>
      <c r="CJ122" s="1108">
        <f>RevBuild!CJ21/RevBuild!CD21-1</f>
        <v>4.0000000000000036E-2</v>
      </c>
      <c r="CK122" s="1108">
        <f>RevBuild!CK21/RevBuild!CE21-1</f>
        <v>3.499999999999992E-2</v>
      </c>
      <c r="CL122" s="1109">
        <f>RevBuild!CL21/RevBuild!CF21-1</f>
        <v>3.499999999999992E-2</v>
      </c>
      <c r="CM122" s="1110">
        <f>RevBuild!CM21/RevBuild!CG21-1</f>
        <v>3.9646463401052046E-2</v>
      </c>
    </row>
    <row r="123" spans="1:91">
      <c r="A123" s="183" t="s">
        <v>96</v>
      </c>
      <c r="B123" s="1049"/>
      <c r="C123" s="870"/>
      <c r="D123" s="869"/>
      <c r="E123" s="869"/>
      <c r="F123" s="871"/>
      <c r="G123" s="872"/>
      <c r="H123" s="1113"/>
      <c r="I123" s="1117" t="s">
        <v>105</v>
      </c>
      <c r="J123" s="1118" t="s">
        <v>105</v>
      </c>
      <c r="K123" s="1118" t="s">
        <v>105</v>
      </c>
      <c r="L123" s="1119" t="s">
        <v>105</v>
      </c>
      <c r="M123" s="1110">
        <f>RevBuild!M35/RevBuild!G35-1</f>
        <v>3.0314705312252332E-2</v>
      </c>
      <c r="N123" s="870"/>
      <c r="O123" s="1107">
        <f>RevBuild!O35/RevBuild!I35-1</f>
        <v>-0.3438770465694575</v>
      </c>
      <c r="P123" s="1108">
        <f>RevBuild!P35/RevBuild!J35-1</f>
        <v>-0.19437309603158792</v>
      </c>
      <c r="Q123" s="1108">
        <f>RevBuild!Q35/RevBuild!K35-1</f>
        <v>-4.3159285280222726E-2</v>
      </c>
      <c r="R123" s="1109">
        <f>RevBuild!R35/RevBuild!L35-1</f>
        <v>6.8575133331009619E-2</v>
      </c>
      <c r="S123" s="1110">
        <f>RevBuild!S35/RevBuild!M35-1</f>
        <v>-0.12434610113552158</v>
      </c>
      <c r="T123" s="1113"/>
      <c r="U123" s="1107">
        <f>RevBuild!U35/RevBuild!O35-1</f>
        <v>6.644799251109168E-2</v>
      </c>
      <c r="V123" s="1108">
        <f>RevBuild!V35/RevBuild!P35-1</f>
        <v>4.7158440316203531E-2</v>
      </c>
      <c r="W123" s="1108">
        <f>RevBuild!W35/RevBuild!Q35-1</f>
        <v>5.5345216903818661E-2</v>
      </c>
      <c r="X123" s="1109">
        <f>RevBuild!X35/RevBuild!R35-1</f>
        <v>0.16948898506431753</v>
      </c>
      <c r="Y123" s="1110">
        <f>RevBuild!Y35/RevBuild!S35-1</f>
        <v>9.2534960058396676E-2</v>
      </c>
      <c r="Z123" s="870"/>
      <c r="AA123" s="1107">
        <f>RevBuild!AA35/RevBuild!U35-1</f>
        <v>0.33576512228889333</v>
      </c>
      <c r="AB123" s="1108">
        <f>RevBuild!AB35/RevBuild!V35-1</f>
        <v>0.13169022175043499</v>
      </c>
      <c r="AC123" s="1108">
        <f>RevBuild!AC35/RevBuild!W35-1</f>
        <v>0.15931127276467683</v>
      </c>
      <c r="AD123" s="1108">
        <f>RevBuild!AD35/RevBuild!X35-1</f>
        <v>5.9866814783792188E-2</v>
      </c>
      <c r="AE123" s="1110">
        <f>RevBuild!AE35/RevBuild!Y35-1</f>
        <v>0.1494225660244366</v>
      </c>
      <c r="AF123" s="1114"/>
      <c r="AG123" s="1107">
        <f>RevBuild!AG35/RevBuild!AA35-1</f>
        <v>-8.3106744623046125E-2</v>
      </c>
      <c r="AH123" s="1108">
        <f>RevBuild!AH35/RevBuild!AB35-1</f>
        <v>6.033612542932687E-2</v>
      </c>
      <c r="AI123" s="1108">
        <f>RevBuild!AI35/RevBuild!AC35-1</f>
        <v>-1.9240299872150812E-2</v>
      </c>
      <c r="AJ123" s="1109">
        <f>RevBuild!AJ35/RevBuild!AD35-1</f>
        <v>-6.0912086832439538E-2</v>
      </c>
      <c r="AK123" s="1110">
        <f>RevBuild!AK35/RevBuild!AE35-1</f>
        <v>-2.7929709422436888E-2</v>
      </c>
      <c r="AL123" s="1114"/>
      <c r="AM123" s="1107">
        <f>RevBuild!AM35/RevBuild!AG35-1</f>
        <v>-1.4994248888864359E-3</v>
      </c>
      <c r="AN123" s="1108">
        <f>RevBuild!AN35/RevBuild!AH35-1</f>
        <v>-0.11151637252512026</v>
      </c>
      <c r="AO123" s="1108">
        <f>RevBuild!AO35/RevBuild!AI35-1</f>
        <v>-2.4930368258654023E-2</v>
      </c>
      <c r="AP123" s="1109">
        <f>RevBuild!AP35/RevBuild!AJ35-1</f>
        <v>8.1591833117743207E-2</v>
      </c>
      <c r="AQ123" s="1110">
        <f>RevBuild!AQ35/RevBuild!AK35-1</f>
        <v>-8.4155001079544434E-3</v>
      </c>
      <c r="AR123" s="1114"/>
      <c r="AS123" s="1107">
        <f>RevBuild!AS35/RevBuild!AM35-1</f>
        <v>5.5099240135985106E-3</v>
      </c>
      <c r="AT123" s="1108">
        <f>RevBuild!AT35/RevBuild!AN35-1</f>
        <v>0.119653570585742</v>
      </c>
      <c r="AU123" s="1108">
        <f>RevBuild!AU35/RevBuild!AO35-1</f>
        <v>8.6722604449158247E-2</v>
      </c>
      <c r="AV123" s="1109">
        <f>RevBuild!AV35/RevBuild!AP35-1</f>
        <v>6.118759959279596E-2</v>
      </c>
      <c r="AW123" s="1110">
        <f>RevBuild!AW35/RevBuild!AQ35-1</f>
        <v>6.9512910156017238E-2</v>
      </c>
      <c r="AX123" s="1114"/>
      <c r="AY123" s="1107">
        <f>RevBuild!AY35/RevBuild!AS35-1</f>
        <v>7.2603930030648689E-2</v>
      </c>
      <c r="AZ123" s="1108">
        <f>RevBuild!AZ35/RevBuild!AT35-1</f>
        <v>5.513768531258556E-2</v>
      </c>
      <c r="BA123" s="1108">
        <f>RevBuild!BA35/RevBuild!AU35-1</f>
        <v>2.8503839061267522E-2</v>
      </c>
      <c r="BB123" s="1109">
        <f>RevBuild!BB35/RevBuild!AV35-1</f>
        <v>-1.4061058427364714E-2</v>
      </c>
      <c r="BC123" s="1110">
        <f>RevBuild!BC35/RevBuild!AW35-1</f>
        <v>2.8319815635353018E-2</v>
      </c>
      <c r="BD123" s="1114"/>
      <c r="BE123" s="1107">
        <f>RevBuild!BE35/RevBuild!AY35-1</f>
        <v>4.1151622301476509E-2</v>
      </c>
      <c r="BF123" s="1108">
        <f>RevBuild!BF35/RevBuild!AZ35-1</f>
        <v>6.5619562366233453E-2</v>
      </c>
      <c r="BG123" s="1108">
        <f>RevBuild!BG35/RevBuild!BA35-1</f>
        <v>3.0119585147049932E-2</v>
      </c>
      <c r="BH123" s="1109">
        <f>RevBuild!BH35/RevBuild!BB35-1</f>
        <v>9.5737942900354644E-2</v>
      </c>
      <c r="BI123" s="1110">
        <f>RevBuild!BI35/RevBuild!BC35-1</f>
        <v>6.1632396854094385E-2</v>
      </c>
      <c r="BJ123" s="1114"/>
      <c r="BK123" s="1107">
        <f>RevBuild!BK35/RevBuild!BE35-1</f>
        <v>4.8934193945900262E-2</v>
      </c>
      <c r="BL123" s="1108">
        <f>RevBuild!BL35/RevBuild!BF35-1</f>
        <v>3.638273396680769E-2</v>
      </c>
      <c r="BM123" s="1108">
        <f>RevBuild!BM35/RevBuild!BG35-1</f>
        <v>5.6613272574999707E-2</v>
      </c>
      <c r="BN123" s="1109">
        <f>RevBuild!BN35/RevBuild!BH35-1</f>
        <v>5.9218444070476162E-2</v>
      </c>
      <c r="BO123" s="1110">
        <f>RevBuild!BO35/RevBuild!BI35-1</f>
        <v>5.1300212850931892E-2</v>
      </c>
      <c r="BP123" s="1114"/>
      <c r="BQ123" s="1107">
        <f>RevBuild!BQ35/RevBuild!BK35-1</f>
        <v>7.3364398630056504E-2</v>
      </c>
      <c r="BR123" s="1108">
        <f>RevBuild!BR35/RevBuild!BL35-1</f>
        <v>8.7391492293316553E-2</v>
      </c>
      <c r="BS123" s="1108">
        <f>RevBuild!BS35/RevBuild!BM35-1</f>
        <v>5.0000000000000044E-2</v>
      </c>
      <c r="BT123" s="1109">
        <f>RevBuild!BT35/RevBuild!BN35-1</f>
        <v>6.8444095311090081E-2</v>
      </c>
      <c r="BU123" s="1110">
        <f>RevBuild!BU35/RevBuild!BO35-1</f>
        <v>6.9166820840788068E-2</v>
      </c>
      <c r="BW123" s="1107">
        <f>RevBuild!BW35/RevBuild!BQ35-1</f>
        <v>7.0000000000000062E-2</v>
      </c>
      <c r="BX123" s="1108">
        <f>RevBuild!BX35/RevBuild!BR35-1</f>
        <v>4.9999999999999822E-2</v>
      </c>
      <c r="BY123" s="1108">
        <f>RevBuild!BY35/RevBuild!BS35-1</f>
        <v>5.4319587807473368E-2</v>
      </c>
      <c r="BZ123" s="1109">
        <f>RevBuild!BZ35/RevBuild!BT35-1</f>
        <v>3.0358062462571223E-2</v>
      </c>
      <c r="CA123" s="1110">
        <f>RevBuild!CA35/RevBuild!BU35-1</f>
        <v>4.8217126754440898E-2</v>
      </c>
      <c r="CC123" s="1107">
        <f>RevBuild!CC35/RevBuild!BW35-1</f>
        <v>6.0000000000000053E-2</v>
      </c>
      <c r="CD123" s="1108">
        <f>RevBuild!CD35/RevBuild!BX35-1</f>
        <v>4.0000000000000036E-2</v>
      </c>
      <c r="CE123" s="1108">
        <f>RevBuild!CE35/RevBuild!BY35-1</f>
        <v>5.0000000000000044E-2</v>
      </c>
      <c r="CF123" s="1109">
        <f>RevBuild!CF35/RevBuild!BZ35-1</f>
        <v>2.5991008509663072E-2</v>
      </c>
      <c r="CG123" s="1110">
        <f>RevBuild!CG35/RevBuild!CA35-1</f>
        <v>4.1656384839671823E-2</v>
      </c>
      <c r="CI123" s="1107">
        <f>RevBuild!CI35/RevBuild!CC35-1</f>
        <v>5.9999999999999831E-2</v>
      </c>
      <c r="CJ123" s="1108">
        <f>RevBuild!CJ35/RevBuild!CD35-1</f>
        <v>4.0000000000000036E-2</v>
      </c>
      <c r="CK123" s="1108">
        <f>RevBuild!CK35/RevBuild!CE35-1</f>
        <v>5.0000000000000044E-2</v>
      </c>
      <c r="CL123" s="1109">
        <f>RevBuild!CL35/RevBuild!CF35-1</f>
        <v>2.635001905920098E-2</v>
      </c>
      <c r="CM123" s="1110">
        <f>RevBuild!CM35/RevBuild!CG35-1</f>
        <v>4.1928631162710062E-2</v>
      </c>
    </row>
    <row r="124" spans="1:91">
      <c r="A124" s="183" t="s">
        <v>97</v>
      </c>
      <c r="B124" s="1049"/>
      <c r="C124" s="870"/>
      <c r="D124" s="869"/>
      <c r="E124" s="869"/>
      <c r="F124" s="869"/>
      <c r="G124" s="872"/>
      <c r="H124" s="1113"/>
      <c r="I124" s="870"/>
      <c r="J124" s="869"/>
      <c r="K124" s="869"/>
      <c r="L124" s="869"/>
      <c r="M124" s="1110">
        <f>RevBuild!M26/RevBuild!G26-1</f>
        <v>-1.0445299615173265E-2</v>
      </c>
      <c r="N124" s="1113"/>
      <c r="O124" s="1107">
        <f>RevBuild!O26/RevBuild!I26-1</f>
        <v>-0.31454545454545457</v>
      </c>
      <c r="P124" s="1108">
        <f>RevBuild!P26/RevBuild!J26-1</f>
        <v>-0.24968421052631573</v>
      </c>
      <c r="Q124" s="1108">
        <f>RevBuild!Q26/RevBuild!K26-1</f>
        <v>-0.13951219512195123</v>
      </c>
      <c r="R124" s="1108">
        <f>RevBuild!R26/RevBuild!L26-1</f>
        <v>-8.4210526315789402E-2</v>
      </c>
      <c r="S124" s="1110">
        <f>RevBuild!S26/RevBuild!M26-1</f>
        <v>-0.19677777777777772</v>
      </c>
      <c r="T124" s="1113"/>
      <c r="U124" s="1107">
        <f>RevBuild!U26/RevBuild!O26-1</f>
        <v>-0.17517241379310333</v>
      </c>
      <c r="V124" s="1108">
        <f>RevBuild!V26/RevBuild!P26-1</f>
        <v>1.7500000000000071E-2</v>
      </c>
      <c r="W124" s="1108">
        <f>RevBuild!W26/RevBuild!Q26-1</f>
        <v>6.1666666666666758E-2</v>
      </c>
      <c r="X124" s="1108">
        <f>RevBuild!X26/RevBuild!R26-1</f>
        <v>0.21162947937795806</v>
      </c>
      <c r="Y124" s="1110">
        <f>RevBuild!Y26/RevBuild!S26-1</f>
        <v>4.6493168854206512E-2</v>
      </c>
      <c r="Z124" s="1113"/>
      <c r="AA124" s="1107">
        <f>RevBuild!AA26/RevBuild!U26-1</f>
        <v>6.0000000000000053E-2</v>
      </c>
      <c r="AB124" s="1108">
        <f>RevBuild!AB26/RevBuild!V26-1</f>
        <v>0.10000000000000009</v>
      </c>
      <c r="AC124" s="1108">
        <f>RevBuild!AC26/RevBuild!W26-1</f>
        <v>8.0000000000000071E-2</v>
      </c>
      <c r="AD124" s="1108">
        <f>RevBuild!AD26/RevBuild!X26-1</f>
        <v>4.0000000000000258E-2</v>
      </c>
      <c r="AE124" s="1110">
        <f>RevBuild!AE26/RevBuild!Y26-1</f>
        <v>6.7571231619880656E-2</v>
      </c>
      <c r="AF124" s="1114"/>
      <c r="AG124" s="1107">
        <f>RevBuild!AG26/RevBuild!AA26-1</f>
        <v>-0.21999999999999997</v>
      </c>
      <c r="AH124" s="1108">
        <f>RevBuild!AH26/RevBuild!AB26-1</f>
        <v>-3.0000000000000027E-2</v>
      </c>
      <c r="AI124" s="1108">
        <f>RevBuild!AI26/RevBuild!AC26-1</f>
        <v>-4.0000000000000036E-2</v>
      </c>
      <c r="AJ124" s="1108">
        <f>RevBuild!AJ26/RevBuild!AD26-1</f>
        <v>-5.8000000000000052E-2</v>
      </c>
      <c r="AK124" s="1110">
        <f>RevBuild!AK26/RevBuild!AE26-1</f>
        <v>-7.3024148594650784E-2</v>
      </c>
      <c r="AL124" s="1114"/>
      <c r="AM124" s="1107">
        <f>RevBuild!AM26/RevBuild!AG26-1</f>
        <v>-1.0000000000000009E-2</v>
      </c>
      <c r="AN124" s="1108">
        <f>RevBuild!AN26/RevBuild!AH26-1</f>
        <v>-0.12</v>
      </c>
      <c r="AO124" s="1108">
        <f>RevBuild!AO26/RevBuild!AI26-1</f>
        <v>-3.0000000000000027E-2</v>
      </c>
      <c r="AP124" s="1108">
        <f>RevBuild!AP26/RevBuild!AJ26-1</f>
        <v>8.0000000000000071E-2</v>
      </c>
      <c r="AQ124" s="1110">
        <f>RevBuild!AQ26/RevBuild!AK26-1</f>
        <v>-1.2576690979882676E-2</v>
      </c>
      <c r="AR124" s="1114"/>
      <c r="AS124" s="1107">
        <f>RevBuild!AS26/RevBuild!AM26-1</f>
        <v>1.0000000000000009E-2</v>
      </c>
      <c r="AT124" s="1108">
        <f>RevBuild!AT26/RevBuild!AN26-1</f>
        <v>5.8000000000000052E-2</v>
      </c>
      <c r="AU124" s="1108">
        <f>RevBuild!AU26/RevBuild!AO26-1</f>
        <v>8.0000000000000071E-2</v>
      </c>
      <c r="AV124" s="1108">
        <f>RevBuild!AV26/RevBuild!AP26-1</f>
        <v>4.0000000000000036E-2</v>
      </c>
      <c r="AW124" s="1110">
        <f>RevBuild!AW26/RevBuild!AQ26-1</f>
        <v>5.0205039590631939E-2</v>
      </c>
      <c r="AX124" s="1114"/>
      <c r="AY124" s="1107">
        <f>RevBuild!AY26/RevBuild!AS26-1</f>
        <v>6.6799999999999971E-2</v>
      </c>
      <c r="AZ124" s="1108">
        <f>RevBuild!AZ26/RevBuild!AT26-1</f>
        <v>5.5499999999999883E-2</v>
      </c>
      <c r="BA124" s="1108">
        <f>RevBuild!BA26/RevBuild!AU26-1</f>
        <v>3.994999999999993E-2</v>
      </c>
      <c r="BB124" s="1108">
        <f>RevBuild!BB26/RevBuild!AV26-1</f>
        <v>4.3576004953101544E-2</v>
      </c>
      <c r="BC124" s="1110">
        <f>RevBuild!BC26/RevBuild!AW26-1</f>
        <v>4.8468610542918844E-2</v>
      </c>
      <c r="BD124" s="1114"/>
      <c r="BE124" s="1107">
        <f>RevBuild!BE26/RevBuild!AY26-1</f>
        <v>4.3124802417398689E-2</v>
      </c>
      <c r="BF124" s="1108">
        <f>RevBuild!BF26/RevBuild!AZ26-1</f>
        <v>6.5667017019040319E-2</v>
      </c>
      <c r="BG124" s="1108">
        <f>RevBuild!BG26/RevBuild!BA26-1</f>
        <v>3.5325824670680683E-2</v>
      </c>
      <c r="BH124" s="1108">
        <f>RevBuild!BH26/RevBuild!BB26-1</f>
        <v>9.6554838709677293E-2</v>
      </c>
      <c r="BI124" s="1110">
        <f>RevBuild!BI26/RevBuild!BC26-1</f>
        <v>6.6227230956908967E-2</v>
      </c>
      <c r="BJ124" s="1114"/>
      <c r="BK124" s="1107">
        <f>RevBuild!BK26/RevBuild!BE26-1</f>
        <v>5.0000000000000044E-2</v>
      </c>
      <c r="BL124" s="1108">
        <f>RevBuild!BL26/RevBuild!BF26-1</f>
        <v>3.0000000000000027E-2</v>
      </c>
      <c r="BM124" s="1108">
        <f>RevBuild!BM26/RevBuild!BG26-1</f>
        <v>6.0000000000000053E-2</v>
      </c>
      <c r="BN124" s="1108">
        <f>RevBuild!BN26/RevBuild!BH26-1</f>
        <v>6.4000000000000057E-2</v>
      </c>
      <c r="BO124" s="1110">
        <f>RevBuild!BO26/RevBuild!BI26-1</f>
        <v>5.3207439272916712E-2</v>
      </c>
      <c r="BP124" s="1114"/>
      <c r="BQ124" s="1107">
        <f>RevBuild!BQ26/RevBuild!BK26-1</f>
        <v>7.4999999999999956E-2</v>
      </c>
      <c r="BR124" s="1108">
        <f>RevBuild!BR26/RevBuild!BL26-1</f>
        <v>9.000000000000008E-2</v>
      </c>
      <c r="BS124" s="1108">
        <f>RevBuild!BS26/RevBuild!BM26-1</f>
        <v>5.0000000000000044E-2</v>
      </c>
      <c r="BT124" s="1108">
        <f>RevBuild!BT26/RevBuild!BN26-1</f>
        <v>7.0000000000000062E-2</v>
      </c>
      <c r="BU124" s="1110">
        <f>RevBuild!BU26/RevBuild!BO26-1</f>
        <v>7.0143778688735114E-2</v>
      </c>
      <c r="BW124" s="1107">
        <f>RevBuild!BW26/RevBuild!BQ26-1</f>
        <v>7.0000000000000062E-2</v>
      </c>
      <c r="BX124" s="1108">
        <f>RevBuild!BX26/RevBuild!BR26-1</f>
        <v>5.0000000000000044E-2</v>
      </c>
      <c r="BY124" s="1108">
        <f>RevBuild!BY26/RevBuild!BS26-1</f>
        <v>4.0000000000000036E-2</v>
      </c>
      <c r="BZ124" s="1108">
        <f>RevBuild!BZ26/RevBuild!BT26-1</f>
        <v>3.400000000000003E-2</v>
      </c>
      <c r="CA124" s="1110">
        <f>RevBuild!CA26/RevBuild!BU26-1</f>
        <v>4.39694394793535E-2</v>
      </c>
      <c r="CC124" s="1107">
        <f>RevBuild!CC26/RevBuild!BW26-1</f>
        <v>6.0000000000000053E-2</v>
      </c>
      <c r="CD124" s="1108">
        <f>RevBuild!CD26/RevBuild!BX26-1</f>
        <v>4.0000000000000036E-2</v>
      </c>
      <c r="CE124" s="1108">
        <f>RevBuild!CE26/RevBuild!BY26-1</f>
        <v>5.0000000000000044E-2</v>
      </c>
      <c r="CF124" s="1108">
        <f>RevBuild!CF26/RevBuild!BZ26-1</f>
        <v>3.400000000000003E-2</v>
      </c>
      <c r="CG124" s="1110">
        <f>RevBuild!CG26/RevBuild!CA26-1</f>
        <v>4.2894059759580161E-2</v>
      </c>
      <c r="CI124" s="1107">
        <f>RevBuild!CI26/RevBuild!CC26-1</f>
        <v>6.0000000000000053E-2</v>
      </c>
      <c r="CJ124" s="1108">
        <f>RevBuild!CJ26/RevBuild!CD26-1</f>
        <v>4.0000000000000036E-2</v>
      </c>
      <c r="CK124" s="1108">
        <f>RevBuild!CK26/RevBuild!CE26-1</f>
        <v>5.0000000000000044E-2</v>
      </c>
      <c r="CL124" s="1108">
        <f>RevBuild!CL26/RevBuild!CF26-1</f>
        <v>3.400000000000003E-2</v>
      </c>
      <c r="CM124" s="1110">
        <f>RevBuild!CM26/RevBuild!CG26-1</f>
        <v>4.2974945411606624E-2</v>
      </c>
    </row>
    <row r="125" spans="1:91">
      <c r="A125" s="183" t="s">
        <v>98</v>
      </c>
      <c r="B125" s="1049"/>
      <c r="C125" s="870"/>
      <c r="D125" s="869"/>
      <c r="E125" s="869"/>
      <c r="F125" s="869"/>
      <c r="G125" s="872"/>
      <c r="H125" s="1113"/>
      <c r="I125" s="870"/>
      <c r="J125" s="869"/>
      <c r="K125" s="869"/>
      <c r="L125" s="869"/>
      <c r="M125" s="1110">
        <f>RevBuild!M29/RevBuild!G29-1</f>
        <v>7.241379310344831E-2</v>
      </c>
      <c r="N125" s="1113"/>
      <c r="O125" s="1107">
        <f>RevBuild!O29/RevBuild!I29-1</f>
        <v>-0.38356164383561642</v>
      </c>
      <c r="P125" s="1108">
        <f>RevBuild!P29/RevBuild!J29-1</f>
        <v>-0.13920454545454541</v>
      </c>
      <c r="Q125" s="1108">
        <f>RevBuild!Q29/RevBuild!K29-1</f>
        <v>0.17683686176836866</v>
      </c>
      <c r="R125" s="1108">
        <f>RevBuild!R29/RevBuild!L29-1</f>
        <v>0.31604278074866299</v>
      </c>
      <c r="S125" s="1110">
        <f>RevBuild!S29/RevBuild!M29-1</f>
        <v>2.0461853259281515E-3</v>
      </c>
      <c r="T125" s="1113"/>
      <c r="U125" s="1107">
        <f>RevBuild!U29/RevBuild!O29-1</f>
        <v>0.41414141414141414</v>
      </c>
      <c r="V125" s="1108">
        <f>RevBuild!V29/RevBuild!P29-1</f>
        <v>8.9108910891089188E-2</v>
      </c>
      <c r="W125" s="1108">
        <f>RevBuild!W29/RevBuild!Q29-1</f>
        <v>4.5502645502645489E-2</v>
      </c>
      <c r="X125" s="1108">
        <f>RevBuild!X29/RevBuild!R29-1</f>
        <v>0.18325883787078423</v>
      </c>
      <c r="Y125" s="1110">
        <f>RevBuild!Y29/RevBuild!S29-1</f>
        <v>0.15781796966161021</v>
      </c>
      <c r="Z125" s="1113"/>
      <c r="AA125" s="1107">
        <f>RevBuild!AA29/RevBuild!U29-1</f>
        <v>0.30000000000000004</v>
      </c>
      <c r="AB125" s="1108">
        <f>RevBuild!AB29/RevBuild!V29-1</f>
        <v>0.14999999999999991</v>
      </c>
      <c r="AC125" s="1108">
        <f>RevBuild!AC29/RevBuild!W29-1</f>
        <v>0.15999999999999992</v>
      </c>
      <c r="AD125" s="1108">
        <f>RevBuild!AD29/RevBuild!X29-1</f>
        <v>0.1100000000000001</v>
      </c>
      <c r="AE125" s="1110">
        <f>RevBuild!AE29/RevBuild!Y29-1</f>
        <v>0.16427059712774006</v>
      </c>
      <c r="AF125" s="1114"/>
      <c r="AG125" s="1107">
        <f>RevBuild!AG29/RevBuild!AA29-1</f>
        <v>-2.0000000000000129E-2</v>
      </c>
      <c r="AH125" s="1108">
        <f>RevBuild!AH29/RevBuild!AB29-1</f>
        <v>0.12000000000000011</v>
      </c>
      <c r="AI125" s="1108">
        <f>RevBuild!AI29/RevBuild!AC29-1</f>
        <v>-5.0000000000000044E-2</v>
      </c>
      <c r="AJ125" s="1108">
        <f>RevBuild!AJ29/RevBuild!AD29-1</f>
        <v>-5.799999999999994E-2</v>
      </c>
      <c r="AK125" s="1110">
        <f>RevBuild!AK29/RevBuild!AE29-1</f>
        <v>-1.1986885927041779E-2</v>
      </c>
      <c r="AL125" s="1114"/>
      <c r="AM125" s="1107">
        <f>RevBuild!AM29/RevBuild!AG29-1</f>
        <v>-4.9999999999998934E-3</v>
      </c>
      <c r="AN125" s="1108">
        <f>RevBuild!AN29/RevBuild!AH29-1</f>
        <v>-0.10699999999999998</v>
      </c>
      <c r="AO125" s="1108">
        <f>RevBuild!AO29/RevBuild!AI29-1</f>
        <v>-3.0000000000000027E-2</v>
      </c>
      <c r="AP125" s="1108">
        <f>RevBuild!AP29/RevBuild!AJ29-1</f>
        <v>8.0000000000000071E-2</v>
      </c>
      <c r="AQ125" s="1110">
        <f>RevBuild!AQ29/RevBuild!AK29-1</f>
        <v>-6.3576902352030507E-3</v>
      </c>
      <c r="AR125" s="1114"/>
      <c r="AS125" s="1107">
        <f>RevBuild!AS29/RevBuild!AM29-1</f>
        <v>0</v>
      </c>
      <c r="AT125" s="1108">
        <f>RevBuild!AT29/RevBuild!AN29-1</f>
        <v>7.8000000000000069E-2</v>
      </c>
      <c r="AU125" s="1108">
        <f>RevBuild!AU29/RevBuild!AO29-1</f>
        <v>8.0000000000000071E-2</v>
      </c>
      <c r="AV125" s="1108">
        <f>RevBuild!AV29/RevBuild!AP29-1</f>
        <v>5.0000000000000044E-2</v>
      </c>
      <c r="AW125" s="1110">
        <f>RevBuild!AW29/RevBuild!AQ29-1</f>
        <v>5.3060809312339252E-2</v>
      </c>
      <c r="AX125" s="1114"/>
      <c r="AY125" s="1107">
        <f>RevBuild!AY29/RevBuild!AS29-1</f>
        <v>1.7160000000000064E-2</v>
      </c>
      <c r="AZ125" s="1108">
        <f>RevBuild!AZ29/RevBuild!AT29-1</f>
        <v>5.4999999999999938E-2</v>
      </c>
      <c r="BA125" s="1108">
        <f>RevBuild!BA29/RevBuild!AU29-1</f>
        <v>1.8999999999999906E-2</v>
      </c>
      <c r="BB125" s="1108">
        <f>RevBuild!BB29/RevBuild!AV29-1</f>
        <v>-3.6053995046898324E-2</v>
      </c>
      <c r="BC125" s="1110">
        <f>RevBuild!BC29/RevBuild!AW29-1</f>
        <v>6.4710354539190273E-3</v>
      </c>
      <c r="BD125" s="1114"/>
      <c r="BE125" s="1107">
        <f>RevBuild!BE29/RevBuild!AY29-1</f>
        <v>4.8124802417398804E-2</v>
      </c>
      <c r="BF125" s="1108">
        <f>RevBuild!BF29/RevBuild!AZ29-1</f>
        <v>7.4579837531860704E-2</v>
      </c>
      <c r="BG125" s="1108">
        <f>RevBuild!BG29/RevBuild!BA29-1</f>
        <v>3.2746824670680796E-2</v>
      </c>
      <c r="BH125" s="1108">
        <f>RevBuild!BH29/RevBuild!BB29-1</f>
        <v>0.1100000000000001</v>
      </c>
      <c r="BI125" s="1110">
        <f>RevBuild!BI29/RevBuild!BC29-1</f>
        <v>7.1761064151496967E-2</v>
      </c>
      <c r="BJ125" s="1114"/>
      <c r="BK125" s="1107">
        <f>RevBuild!BK29/RevBuild!BE29-1</f>
        <v>5.0000000000000044E-2</v>
      </c>
      <c r="BL125" s="1108">
        <f>RevBuild!BL29/RevBuild!BF29-1</f>
        <v>4.0000000000000036E-2</v>
      </c>
      <c r="BM125" s="1108">
        <f>RevBuild!BM29/RevBuild!BG29-1</f>
        <v>6.0000000000000053E-2</v>
      </c>
      <c r="BN125" s="1108">
        <f>RevBuild!BN29/RevBuild!BH29-1</f>
        <v>6.4000000000000057E-2</v>
      </c>
      <c r="BO125" s="1110">
        <f>RevBuild!BO29/RevBuild!BI29-1</f>
        <v>5.5097398302325074E-2</v>
      </c>
      <c r="BP125" s="1114"/>
      <c r="BQ125" s="1107">
        <f>RevBuild!BQ29/RevBuild!BK29-1</f>
        <v>7.4999999999999956E-2</v>
      </c>
      <c r="BR125" s="1108">
        <f>RevBuild!BR29/RevBuild!BL29-1</f>
        <v>9.000000000000008E-2</v>
      </c>
      <c r="BS125" s="1108">
        <f>RevBuild!BS29/RevBuild!BM29-1</f>
        <v>5.0000000000000044E-2</v>
      </c>
      <c r="BT125" s="1108">
        <f>RevBuild!BT29/RevBuild!BN29-1</f>
        <v>7.0000000000000062E-2</v>
      </c>
      <c r="BU125" s="1110">
        <f>RevBuild!BU29/RevBuild!BO29-1</f>
        <v>7.0669538473663973E-2</v>
      </c>
      <c r="BW125" s="1107">
        <f>RevBuild!BW29/RevBuild!BQ29-1</f>
        <v>7.0000000000000062E-2</v>
      </c>
      <c r="BX125" s="1108">
        <f>RevBuild!BX29/RevBuild!BR29-1</f>
        <v>5.0000000000000044E-2</v>
      </c>
      <c r="BY125" s="1108">
        <f>RevBuild!BY29/RevBuild!BS29-1</f>
        <v>6.0000000000000053E-2</v>
      </c>
      <c r="BZ125" s="1108">
        <f>RevBuild!BZ29/RevBuild!BT29-1</f>
        <v>4.0000000000000036E-2</v>
      </c>
      <c r="CA125" s="1110">
        <f>RevBuild!CA29/RevBuild!BU29-1</f>
        <v>5.2350847709655923E-2</v>
      </c>
      <c r="CC125" s="1107">
        <f>RevBuild!CC29/RevBuild!BW29-1</f>
        <v>6.0000000000000053E-2</v>
      </c>
      <c r="CD125" s="1108">
        <f>RevBuild!CD29/RevBuild!BX29-1</f>
        <v>4.0000000000000036E-2</v>
      </c>
      <c r="CE125" s="1108">
        <f>RevBuild!CE29/RevBuild!BY29-1</f>
        <v>5.0000000000000044E-2</v>
      </c>
      <c r="CF125" s="1108">
        <f>RevBuild!CF29/RevBuild!BZ29-1</f>
        <v>3.400000000000003E-2</v>
      </c>
      <c r="CG125" s="1110">
        <f>RevBuild!CG29/RevBuild!CA29-1</f>
        <v>4.3899537050062776E-2</v>
      </c>
      <c r="CI125" s="1107">
        <f>RevBuild!CI29/RevBuild!CC29-1</f>
        <v>6.0000000000000275E-2</v>
      </c>
      <c r="CJ125" s="1108">
        <f>RevBuild!CJ29/RevBuild!CD29-1</f>
        <v>4.0000000000000036E-2</v>
      </c>
      <c r="CK125" s="1108">
        <f>RevBuild!CK29/RevBuild!CE29-1</f>
        <v>5.0000000000000044E-2</v>
      </c>
      <c r="CL125" s="1108">
        <f>RevBuild!CL29/RevBuild!CF29-1</f>
        <v>3.400000000000003E-2</v>
      </c>
      <c r="CM125" s="1110">
        <f>RevBuild!CM29/RevBuild!CG29-1</f>
        <v>4.3990890231530244E-2</v>
      </c>
    </row>
    <row r="126" spans="1:91">
      <c r="A126" s="183" t="s">
        <v>99</v>
      </c>
      <c r="B126" s="1049"/>
      <c r="C126" s="870"/>
      <c r="D126" s="869"/>
      <c r="E126" s="869"/>
      <c r="F126" s="869"/>
      <c r="G126" s="872"/>
      <c r="H126" s="1113"/>
      <c r="I126" s="870"/>
      <c r="J126" s="869"/>
      <c r="K126" s="869"/>
      <c r="L126" s="869"/>
      <c r="M126" s="1110">
        <f>RevBuild!M32/RevBuild!G32-1</f>
        <v>2.6337599259887323E-2</v>
      </c>
      <c r="N126" s="1113"/>
      <c r="O126" s="1107">
        <f>RevBuild!O32/RevBuild!I32-1</f>
        <v>-0.32463999999999993</v>
      </c>
      <c r="P126" s="1108">
        <f>RevBuild!P32/RevBuild!J32-1</f>
        <v>-0.20182999999999995</v>
      </c>
      <c r="Q126" s="1108">
        <f>RevBuild!Q32/RevBuild!K32-1</f>
        <v>-0.24574000000000007</v>
      </c>
      <c r="R126" s="1108">
        <f>RevBuild!R32/RevBuild!L32-1</f>
        <v>-0.12690000000000001</v>
      </c>
      <c r="S126" s="1110">
        <f>RevBuild!S32/RevBuild!M32-1</f>
        <v>-0.22328746387357867</v>
      </c>
      <c r="T126" s="1113"/>
      <c r="U126" s="1107">
        <f>RevBuild!U32/RevBuild!O32-1</f>
        <v>-7.1930000000000049E-2</v>
      </c>
      <c r="V126" s="1108">
        <f>RevBuild!V32/RevBuild!P32-1</f>
        <v>1.3949999999999907E-2</v>
      </c>
      <c r="W126" s="1108">
        <f>RevBuild!W32/RevBuild!Q32-1</f>
        <v>6.8859999999999921E-2</v>
      </c>
      <c r="X126" s="1108">
        <f>RevBuild!X32/RevBuild!R32-1</f>
        <v>6.977000000000011E-2</v>
      </c>
      <c r="Y126" s="1110">
        <f>RevBuild!Y32/RevBuild!S32-1</f>
        <v>2.5667820960320276E-2</v>
      </c>
      <c r="Z126" s="1113"/>
      <c r="AA126" s="1107">
        <f>RevBuild!AA32/RevBuild!U32-1</f>
        <v>0.77375000000000016</v>
      </c>
      <c r="AB126" s="1108">
        <f>RevBuild!AB32/RevBuild!V32-1</f>
        <v>0.14219999999999988</v>
      </c>
      <c r="AC126" s="1108">
        <f>RevBuild!AC32/RevBuild!W32-1</f>
        <v>0.27363999999999988</v>
      </c>
      <c r="AD126" s="1108">
        <f>RevBuild!AD32/RevBuild!X32-1</f>
        <v>-4.7080000000000122E-2</v>
      </c>
      <c r="AE126" s="1110">
        <f>RevBuild!AE32/RevBuild!Y32-1</f>
        <v>0.2387635220238149</v>
      </c>
      <c r="AF126" s="1114"/>
      <c r="AG126" s="1107">
        <f>RevBuild!AG32/RevBuild!AA32-1</f>
        <v>-7.6239999999999974E-2</v>
      </c>
      <c r="AH126" s="1108">
        <f>RevBuild!AH32/RevBuild!AB32-1</f>
        <v>7.0000000000000062E-2</v>
      </c>
      <c r="AI126" s="1108">
        <f>RevBuild!AI32/RevBuild!AC32-1</f>
        <v>7.0000000000000062E-2</v>
      </c>
      <c r="AJ126" s="1108">
        <f>RevBuild!AJ32/RevBuild!AD32-1</f>
        <v>-7.5999999999999956E-2</v>
      </c>
      <c r="AK126" s="1110">
        <f>RevBuild!AK32/RevBuild!AE32-1</f>
        <v>-4.0695421390803954E-3</v>
      </c>
      <c r="AL126" s="1114"/>
      <c r="AM126" s="1107">
        <f>RevBuild!AM32/RevBuild!AG32-1</f>
        <v>1.0000000000000009E-2</v>
      </c>
      <c r="AN126" s="1108">
        <f>RevBuild!AN32/RevBuild!AH32-1</f>
        <v>-0.10999999999999999</v>
      </c>
      <c r="AO126" s="1108">
        <f>RevBuild!AO32/RevBuild!AI32-1</f>
        <v>-1.0000000000000009E-2</v>
      </c>
      <c r="AP126" s="1108">
        <f>RevBuild!AP32/RevBuild!AJ32-1</f>
        <v>9.000000000000008E-2</v>
      </c>
      <c r="AQ126" s="1110">
        <f>RevBuild!AQ32/RevBuild!AK32-1</f>
        <v>-7.8438056932228495E-3</v>
      </c>
      <c r="AR126" s="1114"/>
      <c r="AS126" s="1107">
        <f>RevBuild!AS32/RevBuild!AM32-1</f>
        <v>1.1740465970997427E-2</v>
      </c>
      <c r="AT126" s="1108">
        <f>RevBuild!AT32/RevBuild!AN32-1</f>
        <v>0.2836672795670474</v>
      </c>
      <c r="AU126" s="1108">
        <f>RevBuild!AU32/RevBuild!AO32-1</f>
        <v>0.10612110693166588</v>
      </c>
      <c r="AV126" s="1108">
        <f>RevBuild!AV32/RevBuild!AP32-1</f>
        <v>0.13887913629589987</v>
      </c>
      <c r="AW126" s="1110">
        <f>RevBuild!AW32/RevBuild!AQ32-1</f>
        <v>0.12881059442405562</v>
      </c>
      <c r="AX126" s="1114"/>
      <c r="AY126" s="1107">
        <f>RevBuild!AY32/RevBuild!AS32-1</f>
        <v>0.16720000000000002</v>
      </c>
      <c r="AZ126" s="1108">
        <f>RevBuild!AZ32/RevBuild!AT32-1</f>
        <v>5.4999999999999938E-2</v>
      </c>
      <c r="BA126" s="1108">
        <f>RevBuild!BA32/RevBuild!AU32-1</f>
        <v>3.2999999999999918E-2</v>
      </c>
      <c r="BB126" s="1108">
        <f>RevBuild!BB32/RevBuild!AV32-1</f>
        <v>-4.7490530289496236E-2</v>
      </c>
      <c r="BC126" s="1110">
        <f>RevBuild!BC32/RevBuild!AW32-1</f>
        <v>5.0154363489699039E-2</v>
      </c>
      <c r="BD126" s="1114"/>
      <c r="BE126" s="1107">
        <f>RevBuild!BE32/RevBuild!AY32-1</f>
        <v>3.0030000000000001E-2</v>
      </c>
      <c r="BF126" s="1108">
        <f>RevBuild!BF32/RevBuild!AZ32-1</f>
        <v>5.0000000000000044E-2</v>
      </c>
      <c r="BG126" s="1108">
        <f>RevBuild!BG32/RevBuild!BA32-1</f>
        <v>2.0000000000000018E-2</v>
      </c>
      <c r="BH126" s="1108">
        <f>RevBuild!BH32/RevBuild!BB32-1</f>
        <v>5.0000000000000044E-2</v>
      </c>
      <c r="BI126" s="1110">
        <f>RevBuild!BI32/RevBuild!BC32-1</f>
        <v>3.6688398480973161E-2</v>
      </c>
      <c r="BJ126" s="1114"/>
      <c r="BK126" s="1107">
        <f>RevBuild!BK32/RevBuild!BE32-1</f>
        <v>4.674864130434786E-2</v>
      </c>
      <c r="BL126" s="1108">
        <f>RevBuild!BL32/RevBuild!BF32-1</f>
        <v>3.6692555770055701E-2</v>
      </c>
      <c r="BM126" s="1108">
        <f>RevBuild!BM32/RevBuild!BG32-1</f>
        <v>4.6999999999999931E-2</v>
      </c>
      <c r="BN126" s="1108">
        <f>RevBuild!BN32/RevBuild!BH32-1</f>
        <v>3.400000000000003E-2</v>
      </c>
      <c r="BO126" s="1110">
        <f>RevBuild!BO32/RevBuild!BI32-1</f>
        <v>4.1429342563855442E-2</v>
      </c>
      <c r="BP126" s="1114"/>
      <c r="BQ126" s="1107">
        <f>RevBuild!BQ32/RevBuild!BK32-1</f>
        <v>7.0000000000000062E-2</v>
      </c>
      <c r="BR126" s="1108">
        <f>RevBuild!BR32/RevBuild!BL32-1</f>
        <v>8.0000000000000071E-2</v>
      </c>
      <c r="BS126" s="1108">
        <f>RevBuild!BS32/RevBuild!BM32-1</f>
        <v>5.0000000000000044E-2</v>
      </c>
      <c r="BT126" s="1108">
        <f>RevBuild!BT32/RevBuild!BN32-1</f>
        <v>6.0000000000000053E-2</v>
      </c>
      <c r="BU126" s="1110">
        <f>RevBuild!BU32/RevBuild!BO32-1</f>
        <v>6.4951032047450008E-2</v>
      </c>
      <c r="BW126" s="1107">
        <f>RevBuild!BW32/RevBuild!BQ32-1</f>
        <v>7.0000000000000062E-2</v>
      </c>
      <c r="BX126" s="1108">
        <f>RevBuild!BX32/RevBuild!BR32-1</f>
        <v>5.0000000000000044E-2</v>
      </c>
      <c r="BY126" s="1108">
        <f>RevBuild!BY32/RevBuild!BS32-1</f>
        <v>6.0000000000000053E-2</v>
      </c>
      <c r="BZ126" s="1108">
        <f>RevBuild!BZ32/RevBuild!BT32-1</f>
        <v>-1.0000000000000009E-2</v>
      </c>
      <c r="CA126" s="1110">
        <f>RevBuild!CA32/RevBuild!BU32-1</f>
        <v>4.4706945929597897E-2</v>
      </c>
      <c r="CC126" s="1107">
        <f>RevBuild!CC32/RevBuild!BW32-1</f>
        <v>6.0000000000000053E-2</v>
      </c>
      <c r="CD126" s="1108">
        <f>RevBuild!CD32/RevBuild!BX32-1</f>
        <v>4.0000000000000036E-2</v>
      </c>
      <c r="CE126" s="1108">
        <f>RevBuild!CE32/RevBuild!BY32-1</f>
        <v>5.0000000000000044E-2</v>
      </c>
      <c r="CF126" s="1108">
        <f>RevBuild!CF32/RevBuild!BZ32-1</f>
        <v>-2.0000000000000018E-2</v>
      </c>
      <c r="CG126" s="1110">
        <f>RevBuild!CG32/RevBuild!CA32-1</f>
        <v>3.5556908032635448E-2</v>
      </c>
      <c r="CI126" s="1107">
        <f>RevBuild!CI32/RevBuild!CC32-1</f>
        <v>6.0000000000000053E-2</v>
      </c>
      <c r="CJ126" s="1108">
        <f>RevBuild!CJ32/RevBuild!CD32-1</f>
        <v>4.0000000000000036E-2</v>
      </c>
      <c r="CK126" s="1108">
        <f>RevBuild!CK32/RevBuild!CE32-1</f>
        <v>5.0000000000000044E-2</v>
      </c>
      <c r="CL126" s="1108">
        <f>RevBuild!CL32/RevBuild!CF32-1</f>
        <v>-2.0000000000000018E-2</v>
      </c>
      <c r="CM126" s="1110">
        <f>RevBuild!CM32/RevBuild!CG32-1</f>
        <v>3.6385393213629547E-2</v>
      </c>
    </row>
    <row r="127" spans="1:91">
      <c r="A127" s="183" t="s">
        <v>224</v>
      </c>
      <c r="B127" s="1049"/>
      <c r="C127" s="870"/>
      <c r="D127" s="869"/>
      <c r="E127" s="869"/>
      <c r="F127" s="869"/>
      <c r="G127" s="872"/>
      <c r="H127" s="1113"/>
      <c r="I127" s="1107">
        <f>RevBuild!I11/RevBuild!C11-1</f>
        <v>9.312920778382372E-2</v>
      </c>
      <c r="J127" s="1108">
        <f>RevBuild!J11/RevBuild!D11-1</f>
        <v>0.18034958121140887</v>
      </c>
      <c r="K127" s="1108">
        <f>RevBuild!K11/RevBuild!E11-1</f>
        <v>8.8232052318318654E-2</v>
      </c>
      <c r="L127" s="1108">
        <f>RevBuild!L11/RevBuild!F11-1</f>
        <v>1.2097497350615827E-2</v>
      </c>
      <c r="M127" s="1110">
        <f>RevBuild!M11/RevBuild!G11-1</f>
        <v>9.062001046544399E-2</v>
      </c>
      <c r="N127" s="1113"/>
      <c r="O127" s="1107">
        <f>RevBuild!O11/RevBuild!I11-1</f>
        <v>-8.7742980561555939E-4</v>
      </c>
      <c r="P127" s="1108">
        <f>RevBuild!P11/RevBuild!J11-1</f>
        <v>-6.5033583563808839E-2</v>
      </c>
      <c r="Q127" s="1108">
        <f>RevBuild!Q11/RevBuild!K11-1</f>
        <v>4.5240466584513639E-2</v>
      </c>
      <c r="R127" s="1108">
        <f>RevBuild!R11/RevBuild!L11-1</f>
        <v>2.0313481643764897E-2</v>
      </c>
      <c r="S127" s="1110">
        <f>RevBuild!S11/RevBuild!M11-1</f>
        <v>-9.2678025876036241E-4</v>
      </c>
      <c r="T127" s="1113"/>
      <c r="U127" s="1107">
        <f>RevBuild!U11/RevBuild!O11-1</f>
        <v>0.12608930622171166</v>
      </c>
      <c r="V127" s="1108">
        <f>RevBuild!V11/RevBuild!P11-1</f>
        <v>6.272819472616642E-2</v>
      </c>
      <c r="W127" s="1108">
        <f>RevBuild!W11/RevBuild!Q11-1</f>
        <v>5.9367883848253422E-2</v>
      </c>
      <c r="X127" s="1108">
        <f>RevBuild!X11/RevBuild!R11-1</f>
        <v>9.2929994631974377E-2</v>
      </c>
      <c r="Y127" s="1110">
        <f>RevBuild!Y11/RevBuild!S11-1</f>
        <v>8.5125334011960874E-2</v>
      </c>
      <c r="Z127" s="1113"/>
      <c r="AA127" s="1107">
        <f>RevBuild!AA11/RevBuild!U11-1</f>
        <v>0.10564204085305495</v>
      </c>
      <c r="AB127" s="1108">
        <f>RevBuild!AB11/RevBuild!V11-1</f>
        <v>0.1817690191026069</v>
      </c>
      <c r="AC127" s="1108">
        <f>RevBuild!AC11/RevBuild!W11-1</f>
        <v>9.9230124247274842E-2</v>
      </c>
      <c r="AD127" s="1109">
        <f>RevBuild!AD11/RevBuild!X11-1</f>
        <v>4.5605570322431177E-2</v>
      </c>
      <c r="AE127" s="1110">
        <f>RevBuild!AE11/RevBuild!Y11-1</f>
        <v>0.10643496943654296</v>
      </c>
      <c r="AF127" s="1114"/>
      <c r="AG127" s="1107">
        <f>RevBuild!AG11/RevBuild!AA11-1</f>
        <v>1.6521526816961174E-2</v>
      </c>
      <c r="AH127" s="1108">
        <f>RevBuild!AH11/RevBuild!AB11-1</f>
        <v>-3.1480908222183523E-2</v>
      </c>
      <c r="AI127" s="1108">
        <f>RevBuild!AI11/RevBuild!AC11-1</f>
        <v>1.4173970930877688E-2</v>
      </c>
      <c r="AJ127" s="1108">
        <f>RevBuild!AJ11/RevBuild!AD11-1</f>
        <v>3.2881557314765164E-2</v>
      </c>
      <c r="AK127" s="1110">
        <f>RevBuild!AK11/RevBuild!AE11-1</f>
        <v>7.798130636636591E-3</v>
      </c>
      <c r="AL127" s="1114"/>
      <c r="AM127" s="1107">
        <f>RevBuild!AM11/RevBuild!AG11-1</f>
        <v>-2.4112623432078983E-2</v>
      </c>
      <c r="AN127" s="1108">
        <f>RevBuild!AN11/RevBuild!AH11-1</f>
        <v>3.4658143413007325E-2</v>
      </c>
      <c r="AO127" s="1108">
        <f>RevBuild!AO11/RevBuild!AI11-1</f>
        <v>3.1274785985832665E-2</v>
      </c>
      <c r="AP127" s="1108">
        <f>RevBuild!AP11/RevBuild!AJ11-1</f>
        <v>8.5191476839528546E-2</v>
      </c>
      <c r="AQ127" s="1110">
        <f>RevBuild!AQ11/RevBuild!AK11-1</f>
        <v>3.1694070634051164E-2</v>
      </c>
      <c r="AR127" s="1114"/>
      <c r="AS127" s="1107">
        <f>RevBuild!AS11/RevBuild!AM11-1</f>
        <v>2.8304595736534877E-2</v>
      </c>
      <c r="AT127" s="1108">
        <f>RevBuild!AT11/RevBuild!AN11-1</f>
        <v>2.8514250409648945E-2</v>
      </c>
      <c r="AU127" s="1108">
        <f>RevBuild!AU11/RevBuild!AO11-1</f>
        <v>3.2355164228978994E-2</v>
      </c>
      <c r="AV127" s="1108">
        <f>RevBuild!AV11/RevBuild!AP11-1</f>
        <v>2.6217182300012354E-2</v>
      </c>
      <c r="AW127" s="1110">
        <f>RevBuild!AW11/RevBuild!AQ11-1</f>
        <v>2.8803472199388391E-2</v>
      </c>
      <c r="AX127" s="1114"/>
      <c r="AY127" s="1107">
        <f>RevBuild!AY11/RevBuild!AS11-1</f>
        <v>3.9626078746858528E-2</v>
      </c>
      <c r="AZ127" s="1108">
        <f>RevBuild!AZ11/RevBuild!AT11-1</f>
        <v>1.5174269036394739E-2</v>
      </c>
      <c r="BA127" s="1108">
        <f>RevBuild!BA11/RevBuild!AU11-1</f>
        <v>4.110310456886701E-3</v>
      </c>
      <c r="BB127" s="1108">
        <f>RevBuild!BB11/RevBuild!AV11-1</f>
        <v>7.0744802238844606E-3</v>
      </c>
      <c r="BC127" s="1110">
        <f>RevBuild!BC11/RevBuild!AW11-1</f>
        <v>1.6143053469270363E-2</v>
      </c>
      <c r="BD127" s="1114"/>
      <c r="BE127" s="1107">
        <f>RevBuild!BE11/RevBuild!AY11-1</f>
        <v>7.6320939334638016E-2</v>
      </c>
      <c r="BF127" s="1108">
        <f>RevBuild!BF11/RevBuild!AZ11-1</f>
        <v>0.11974684521282741</v>
      </c>
      <c r="BG127" s="1108">
        <f>RevBuild!BG11/RevBuild!BA11-1</f>
        <v>7.5998106763204731E-2</v>
      </c>
      <c r="BH127" s="1108">
        <f>RevBuild!BH11/RevBuild!BB11-1</f>
        <v>7.460105431386177E-2</v>
      </c>
      <c r="BI127" s="1110">
        <f>RevBuild!BI11/RevBuild!BC11-1</f>
        <v>8.640596840294279E-2</v>
      </c>
      <c r="BJ127" s="1114"/>
      <c r="BK127" s="1107">
        <f>RevBuild!BK11/RevBuild!BE11-1</f>
        <v>4.4598930481283494E-2</v>
      </c>
      <c r="BL127" s="1108">
        <f>RevBuild!BL11/RevBuild!BF11-1</f>
        <v>4.3378365959011012E-2</v>
      </c>
      <c r="BM127" s="1108">
        <f>RevBuild!BM11/RevBuild!BG11-1</f>
        <v>0.10420381862710126</v>
      </c>
      <c r="BN127" s="1108">
        <f>RevBuild!BN11/RevBuild!BH11-1</f>
        <v>0.11598095470638503</v>
      </c>
      <c r="BO127" s="1110">
        <f>RevBuild!BO11/RevBuild!BI11-1</f>
        <v>7.7426153619000848E-2</v>
      </c>
      <c r="BP127" s="1114"/>
      <c r="BQ127" s="1107">
        <f>RevBuild!BQ11/RevBuild!BK11-1</f>
        <v>0.12372001587611825</v>
      </c>
      <c r="BR127" s="1108">
        <f>RevBuild!BR11/RevBuild!BL11-1</f>
        <v>0.15110429074858356</v>
      </c>
      <c r="BS127" s="1108">
        <f>RevBuild!BS11/RevBuild!BM11-1</f>
        <v>8.7589791949765017E-2</v>
      </c>
      <c r="BT127" s="1108">
        <f>RevBuild!BT11/RevBuild!BN11-1</f>
        <v>8.9996117499560935E-2</v>
      </c>
      <c r="BU127" s="1110">
        <f>RevBuild!BU11/RevBuild!BO11-1</f>
        <v>0.1122744125616566</v>
      </c>
      <c r="BW127" s="1107">
        <f>RevBuild!BW11/RevBuild!BQ11-1</f>
        <v>8.2547067246259376E-2</v>
      </c>
      <c r="BX127" s="1108">
        <f>RevBuild!BX11/RevBuild!BR11-1</f>
        <v>8.0000000000000071E-2</v>
      </c>
      <c r="BY127" s="1108">
        <f>RevBuild!BY11/RevBuild!BS11-1</f>
        <v>8.0000000000000071E-2</v>
      </c>
      <c r="BZ127" s="1108">
        <f>RevBuild!BZ11/RevBuild!BT11-1</f>
        <v>8.0000000000000071E-2</v>
      </c>
      <c r="CA127" s="1110">
        <f>RevBuild!CA11/RevBuild!BU11-1</f>
        <v>8.0607804745003397E-2</v>
      </c>
      <c r="CC127" s="1107">
        <f>RevBuild!CC11/RevBuild!BW11-1</f>
        <v>6.2564602854160434E-2</v>
      </c>
      <c r="CD127" s="1108">
        <f>RevBuild!CD11/RevBuild!BX11-1</f>
        <v>6.0000000000000053E-2</v>
      </c>
      <c r="CE127" s="1108">
        <f>RevBuild!CE11/RevBuild!BY11-1</f>
        <v>6.0000000000000053E-2</v>
      </c>
      <c r="CF127" s="1108">
        <f>RevBuild!CF11/RevBuild!BZ11-1</f>
        <v>6.0000000000000053E-2</v>
      </c>
      <c r="CG127" s="1110">
        <f>RevBuild!CG11/RevBuild!CA11-1</f>
        <v>6.0613087531984133E-2</v>
      </c>
      <c r="CI127" s="1107">
        <f>RevBuild!CI11/RevBuild!CC11-1</f>
        <v>6.2582548907220259E-2</v>
      </c>
      <c r="CJ127" s="1108">
        <f>RevBuild!CJ11/RevBuild!CD11-1</f>
        <v>6.0000000000000053E-2</v>
      </c>
      <c r="CK127" s="1108">
        <f>RevBuild!CK11/RevBuild!CE11-1</f>
        <v>6.0000000000000053E-2</v>
      </c>
      <c r="CL127" s="1108">
        <f>RevBuild!CL11/RevBuild!CF11-1</f>
        <v>6.0000000000000053E-2</v>
      </c>
      <c r="CM127" s="1110">
        <f>RevBuild!CM11/RevBuild!CG11-1</f>
        <v>6.0618513637946458E-2</v>
      </c>
    </row>
    <row r="128" spans="1:91">
      <c r="A128" s="183" t="s">
        <v>91</v>
      </c>
      <c r="B128" s="1049"/>
      <c r="C128" s="870"/>
      <c r="D128" s="869"/>
      <c r="E128" s="869"/>
      <c r="F128" s="871"/>
      <c r="G128" s="872"/>
      <c r="H128" s="1113"/>
      <c r="I128" s="1107">
        <f>RevBuild!I12/RevBuild!C12-1</f>
        <v>0.16880065781745568</v>
      </c>
      <c r="J128" s="1108">
        <f>RevBuild!J12/RevBuild!D12-1</f>
        <v>0.14368486701806615</v>
      </c>
      <c r="K128" s="1108">
        <f>RevBuild!K12/RevBuild!E12-1</f>
        <v>0.12133819868362727</v>
      </c>
      <c r="L128" s="1109">
        <f>RevBuild!L12/RevBuild!F12-1</f>
        <v>-0.10618149103908714</v>
      </c>
      <c r="M128" s="1110">
        <f>RevBuild!M12/RevBuild!G12-1</f>
        <v>5.7029699722846328E-2</v>
      </c>
      <c r="N128" s="1113"/>
      <c r="O128" s="1107">
        <f>RevBuild!O12/RevBuild!I12-1</f>
        <v>-0.1482412060301509</v>
      </c>
      <c r="P128" s="1108">
        <f>RevBuild!P12/RevBuild!J12-1</f>
        <v>-0.1766816774556712</v>
      </c>
      <c r="Q128" s="1108">
        <f>RevBuild!Q12/RevBuild!K12-1</f>
        <v>-0.23998661841184887</v>
      </c>
      <c r="R128" s="1109">
        <f>RevBuild!R12/RevBuild!L12-1</f>
        <v>-5.9225512528473523E-2</v>
      </c>
      <c r="S128" s="1110">
        <f>RevBuild!S12/RevBuild!M12-1</f>
        <v>-0.15184354854975213</v>
      </c>
      <c r="T128" s="1113"/>
      <c r="U128" s="1107">
        <f>RevBuild!U12/RevBuild!O12-1</f>
        <v>9.3294001966568452E-2</v>
      </c>
      <c r="V128" s="1108">
        <f>RevBuild!V12/RevBuild!P12-1</f>
        <v>0.28279634219297489</v>
      </c>
      <c r="W128" s="1108">
        <f>RevBuild!W12/RevBuild!Q12-1</f>
        <v>0.27302921168467398</v>
      </c>
      <c r="X128" s="1109">
        <f>RevBuild!X12/RevBuild!R12-1</f>
        <v>0.12613322822230955</v>
      </c>
      <c r="Y128" s="1110">
        <f>RevBuild!Y12/RevBuild!S12-1</f>
        <v>0.18560387798966471</v>
      </c>
      <c r="Z128" s="1115"/>
      <c r="AA128" s="1107">
        <f>RevBuild!AA12/RevBuild!U12-1</f>
        <v>0.15490880310824906</v>
      </c>
      <c r="AB128" s="1108">
        <f>RevBuild!AB12/RevBuild!V12-1</f>
        <v>0.18021319120586266</v>
      </c>
      <c r="AC128" s="1108">
        <f>RevBuild!AC12/RevBuild!W12-1</f>
        <v>0.14984440323138348</v>
      </c>
      <c r="AD128" s="1109">
        <f>RevBuild!AD12/RevBuild!X12-1</f>
        <v>0.17880894044702278</v>
      </c>
      <c r="AE128" s="1110">
        <f>RevBuild!AE12/RevBuild!Y12-1</f>
        <v>0.1669006696084181</v>
      </c>
      <c r="AF128" s="1116"/>
      <c r="AG128" s="1107">
        <f>RevBuild!AG12/RevBuild!AA12-1</f>
        <v>8.7125813786873341E-2</v>
      </c>
      <c r="AH128" s="1108">
        <f>RevBuild!AH12/RevBuild!AB12-1</f>
        <v>7.2368049675416213E-2</v>
      </c>
      <c r="AI128" s="1108">
        <f>RevBuild!AI12/RevBuild!AC12-1</f>
        <v>-3.8162930563149233E-2</v>
      </c>
      <c r="AJ128" s="1109">
        <f>RevBuild!AJ12/RevBuild!AD12-1</f>
        <v>4.3138918345704935E-2</v>
      </c>
      <c r="AK128" s="1110">
        <f>RevBuild!AK12/RevBuild!AE12-1</f>
        <v>3.9659401175436093E-2</v>
      </c>
      <c r="AL128" s="1114"/>
      <c r="AM128" s="1107">
        <f>RevBuild!AM12/RevBuild!AG12-1</f>
        <v>3.3151862464183557E-2</v>
      </c>
      <c r="AN128" s="1108">
        <f>RevBuild!AN12/RevBuild!AH12-1</f>
        <v>-7.1195451913459995E-2</v>
      </c>
      <c r="AO128" s="1108">
        <f>RevBuild!AO12/RevBuild!AI12-1</f>
        <v>0.15225670759436105</v>
      </c>
      <c r="AP128" s="1109">
        <f>RevBuild!AP12/RevBuild!AJ12-1</f>
        <v>0.1361011711125566</v>
      </c>
      <c r="AQ128" s="1110">
        <f>RevBuild!AQ12/RevBuild!AK12-1</f>
        <v>6.678663631392201E-2</v>
      </c>
      <c r="AR128" s="1116"/>
      <c r="AS128" s="1107">
        <f>RevBuild!AS12/RevBuild!AM12-1</f>
        <v>-7.8459106414843216E-2</v>
      </c>
      <c r="AT128" s="1108">
        <f>RevBuild!AT12/RevBuild!AN12-1</f>
        <v>9.110487687381319E-2</v>
      </c>
      <c r="AU128" s="1108">
        <f>RevBuild!AU12/RevBuild!AO12-1</f>
        <v>-8.6579018771120175E-3</v>
      </c>
      <c r="AV128" s="1109">
        <f>RevBuild!AV12/RevBuild!AP12-1</f>
        <v>-8.9641719460252456E-2</v>
      </c>
      <c r="AW128" s="1110">
        <f>RevBuild!AW12/RevBuild!AQ12-1</f>
        <v>-2.9648615623044106E-2</v>
      </c>
      <c r="AX128" s="1116"/>
      <c r="AY128" s="1107">
        <f>RevBuild!AY12/RevBuild!AS12-1</f>
        <v>8.9021307331166533E-2</v>
      </c>
      <c r="AZ128" s="1108">
        <f>RevBuild!AZ12/RevBuild!AT12-1</f>
        <v>-4.630687720756288E-2</v>
      </c>
      <c r="BA128" s="1108">
        <f>RevBuild!BA12/RevBuild!AU12-1</f>
        <v>-1.5576013933814359E-2</v>
      </c>
      <c r="BB128" s="1109">
        <f>RevBuild!BB12/RevBuild!AV12-1</f>
        <v>0.16412746466413708</v>
      </c>
      <c r="BC128" s="1110">
        <f>RevBuild!BC12/RevBuild!AW12-1</f>
        <v>5.4659041347494552E-2</v>
      </c>
      <c r="BD128" s="1116"/>
      <c r="BE128" s="1107">
        <f>RevBuild!BE12/RevBuild!AY12-1</f>
        <v>-2.7856076935831586E-2</v>
      </c>
      <c r="BF128" s="1108">
        <f>RevBuild!BF12/RevBuild!AZ12-1</f>
        <v>0.11055432177415159</v>
      </c>
      <c r="BG128" s="1108">
        <f>RevBuild!BG12/RevBuild!BA12-1</f>
        <v>-3.1189970680423063E-4</v>
      </c>
      <c r="BH128" s="1109">
        <f>RevBuild!BH12/RevBuild!BB12-1</f>
        <v>-5.398696342328313E-2</v>
      </c>
      <c r="BI128" s="1110">
        <f>RevBuild!BI12/RevBuild!BC12-1</f>
        <v>-9.1837421227558558E-4</v>
      </c>
      <c r="BJ128" s="1116"/>
      <c r="BK128" s="1107">
        <f>RevBuild!BK12/RevBuild!BE12-1</f>
        <v>9.5656376144181099E-2</v>
      </c>
      <c r="BL128" s="1108">
        <f>RevBuild!BL12/RevBuild!BF12-1</f>
        <v>6.5946318767814649E-2</v>
      </c>
      <c r="BM128" s="1108">
        <f>RevBuild!BM12/RevBuild!BG12-1</f>
        <v>0.13000203692174672</v>
      </c>
      <c r="BN128" s="1109">
        <f>RevBuild!BN12/RevBuild!BH12-1</f>
        <v>0.14734064134475267</v>
      </c>
      <c r="BO128" s="1110">
        <f>RevBuild!BO12/RevBuild!BI12-1</f>
        <v>0.11339212329998061</v>
      </c>
      <c r="BP128" s="1116"/>
      <c r="BQ128" s="1107">
        <f>RevBuild!BQ12/RevBuild!BK12-1</f>
        <v>4.5010505616939867E-2</v>
      </c>
      <c r="BR128" s="1108">
        <f>RevBuild!BR12/RevBuild!BL12-1</f>
        <v>6.9989885875444857E-2</v>
      </c>
      <c r="BS128" s="1108">
        <f>RevBuild!BS12/RevBuild!BM12-1</f>
        <v>6.0007339971447804E-2</v>
      </c>
      <c r="BT128" s="1109">
        <f>RevBuild!BT12/RevBuild!BN12-1</f>
        <v>5.9990641192079197E-2</v>
      </c>
      <c r="BU128" s="1110">
        <f>RevBuild!BU12/RevBuild!BO12-1</f>
        <v>5.9247292862862233E-2</v>
      </c>
      <c r="BW128" s="1107">
        <f>RevBuild!BW12/RevBuild!BQ12-1</f>
        <v>8.0000000000000071E-2</v>
      </c>
      <c r="BX128" s="1108">
        <f>RevBuild!BX12/RevBuild!BR12-1</f>
        <v>8.0000000000000071E-2</v>
      </c>
      <c r="BY128" s="1108">
        <f>RevBuild!BY12/RevBuild!BS12-1</f>
        <v>8.0000000000000071E-2</v>
      </c>
      <c r="BZ128" s="1109">
        <f>RevBuild!BZ12/RevBuild!BT12-1</f>
        <v>8.0000000000000071E-2</v>
      </c>
      <c r="CA128" s="1110">
        <f>RevBuild!CA12/RevBuild!BU12-1</f>
        <v>8.0000000000000293E-2</v>
      </c>
      <c r="CC128" s="1107">
        <f>RevBuild!CC12/RevBuild!BW12-1</f>
        <v>5.0000000000000044E-2</v>
      </c>
      <c r="CD128" s="1108">
        <f>RevBuild!CD12/RevBuild!BX12-1</f>
        <v>5.0000000000000044E-2</v>
      </c>
      <c r="CE128" s="1108">
        <f>RevBuild!CE12/RevBuild!BY12-1</f>
        <v>5.0000000000000044E-2</v>
      </c>
      <c r="CF128" s="1109">
        <f>RevBuild!CF12/RevBuild!BZ12-1</f>
        <v>5.0000000000000044E-2</v>
      </c>
      <c r="CG128" s="1110">
        <f>RevBuild!CG12/RevBuild!CA12-1</f>
        <v>5.0000000000000044E-2</v>
      </c>
      <c r="CI128" s="1107">
        <f>RevBuild!CI12/RevBuild!CC12-1</f>
        <v>5.0000000000000044E-2</v>
      </c>
      <c r="CJ128" s="1108">
        <f>RevBuild!CJ12/RevBuild!CD12-1</f>
        <v>5.0000000000000044E-2</v>
      </c>
      <c r="CK128" s="1108">
        <f>RevBuild!CK12/RevBuild!CE12-1</f>
        <v>5.0000000000000044E-2</v>
      </c>
      <c r="CL128" s="1109">
        <f>RevBuild!CL12/RevBuild!CF12-1</f>
        <v>5.0000000000000044E-2</v>
      </c>
      <c r="CM128" s="1110">
        <f>RevBuild!CM12/RevBuild!CG12-1</f>
        <v>5.0000000000000044E-2</v>
      </c>
    </row>
    <row r="129" spans="1:93">
      <c r="A129" s="179" t="s">
        <v>92</v>
      </c>
      <c r="B129" s="1042"/>
      <c r="C129" s="1100"/>
      <c r="D129" s="1101"/>
      <c r="E129" s="1101"/>
      <c r="F129" s="1136"/>
      <c r="G129" s="1111"/>
      <c r="H129" s="1112"/>
      <c r="I129" s="1102">
        <f>RevBuild!I13/RevBuild!C13-1</f>
        <v>0.14449804991320425</v>
      </c>
      <c r="J129" s="1103">
        <f>RevBuild!J13/RevBuild!D13-1</f>
        <v>0.18486205832597458</v>
      </c>
      <c r="K129" s="1103">
        <f>RevBuild!K13/RevBuild!E13-1</f>
        <v>0.15317142584077548</v>
      </c>
      <c r="L129" s="1137">
        <f>RevBuild!L13/RevBuild!F13-1</f>
        <v>4.7557651219332087E-2</v>
      </c>
      <c r="M129" s="1104">
        <f>RevBuild!M13/RevBuild!G13-1</f>
        <v>0.12915092773234838</v>
      </c>
      <c r="N129" s="1112"/>
      <c r="O129" s="1102">
        <f>RevBuild!O13/RevBuild!I13-1</f>
        <v>4.0095338461386687E-2</v>
      </c>
      <c r="P129" s="1103">
        <f>RevBuild!P13/RevBuild!J13-1</f>
        <v>-1.8390144032182754E-2</v>
      </c>
      <c r="Q129" s="1103">
        <f>RevBuild!Q13/RevBuild!K13-1</f>
        <v>6.8300903373145649E-2</v>
      </c>
      <c r="R129" s="1103">
        <f>RevBuild!R13/RevBuild!L13-1</f>
        <v>1.7969546717305551E-2</v>
      </c>
      <c r="S129" s="1104">
        <f>RevBuild!S13/RevBuild!M13-1</f>
        <v>2.6385563760517261E-2</v>
      </c>
      <c r="T129" s="1112"/>
      <c r="U129" s="1102">
        <f>RevBuild!U13/RevBuild!O13-1</f>
        <v>8.5735388811030155E-2</v>
      </c>
      <c r="V129" s="1103">
        <f>RevBuild!V13/RevBuild!P13-1</f>
        <v>5.7759156939514833E-2</v>
      </c>
      <c r="W129" s="1103">
        <f>RevBuild!W13/RevBuild!Q13-1</f>
        <v>1.8050168088957985E-2</v>
      </c>
      <c r="X129" s="1137">
        <f>RevBuild!X13/RevBuild!R13-1</f>
        <v>0.10847036064667637</v>
      </c>
      <c r="Y129" s="1104">
        <f>RevBuild!Y13/RevBuild!S13-1</f>
        <v>6.7205107426990374E-2</v>
      </c>
      <c r="Z129" s="1138"/>
      <c r="AA129" s="1102">
        <f>RevBuild!AA13/RevBuild!U13-1</f>
        <v>8.3805752760382823E-2</v>
      </c>
      <c r="AB129" s="1103">
        <f>RevBuild!AB13/RevBuild!V13-1</f>
        <v>0.13704920868286785</v>
      </c>
      <c r="AC129" s="1103">
        <f>RevBuild!AC13/RevBuild!W13-1</f>
        <v>0.12770100927995665</v>
      </c>
      <c r="AD129" s="1137">
        <f>RevBuild!AD13/RevBuild!X13-1</f>
        <v>9.1669783096484769E-2</v>
      </c>
      <c r="AE129" s="1104">
        <f>RevBuild!AE13/RevBuild!Y13-1</f>
        <v>0.10971087208229169</v>
      </c>
      <c r="AF129" s="1139"/>
      <c r="AG129" s="1102">
        <f>RevBuild!AG13/RevBuild!AA13-1</f>
        <v>7.792897551240463E-2</v>
      </c>
      <c r="AH129" s="1103">
        <f>RevBuild!AH13/RevBuild!AB13-1</f>
        <v>4.6646942050700746E-2</v>
      </c>
      <c r="AI129" s="1103">
        <f>RevBuild!AI13/RevBuild!AC13-1</f>
        <v>4.4621807096841826E-2</v>
      </c>
      <c r="AJ129" s="1140">
        <f>RevBuild!AJ13/RevBuild!AD13-1</f>
        <v>8.7968712085528145E-2</v>
      </c>
      <c r="AK129" s="1104">
        <f>RevBuild!AK13/RevBuild!AE13-1</f>
        <v>6.4428936504816292E-2</v>
      </c>
      <c r="AL129" s="468"/>
      <c r="AM129" s="1102">
        <f>RevBuild!AM13/RevBuild!AG13-1</f>
        <v>1.9955058192921316E-2</v>
      </c>
      <c r="AN129" s="1103">
        <f>RevBuild!AN13/RevBuild!AH13-1</f>
        <v>6.0271782573940946E-2</v>
      </c>
      <c r="AO129" s="1103">
        <f>RevBuild!AO13/RevBuild!AI13-1</f>
        <v>3.7698826269146002E-2</v>
      </c>
      <c r="AP129" s="1140">
        <f>RevBuild!AP13/RevBuild!AJ13-1</f>
        <v>8.1137991655952257E-2</v>
      </c>
      <c r="AQ129" s="1104">
        <f>RevBuild!AQ13/RevBuild!AK13-1</f>
        <v>5.0753461875859163E-2</v>
      </c>
      <c r="AR129" s="1139"/>
      <c r="AS129" s="1102">
        <f>RevBuild!AS13/RevBuild!AM13-1</f>
        <v>6.6525647031268287E-2</v>
      </c>
      <c r="AT129" s="1103">
        <f>RevBuild!AT13/RevBuild!AN13-1</f>
        <v>0.1002851189823446</v>
      </c>
      <c r="AU129" s="1103">
        <f>RevBuild!AU13/RevBuild!AO13-1</f>
        <v>0.12208569410004566</v>
      </c>
      <c r="AV129" s="1140">
        <f>RevBuild!AV13/RevBuild!AP13-1</f>
        <v>5.7962660712444158E-2</v>
      </c>
      <c r="AW129" s="1104">
        <f>RevBuild!AW13/RevBuild!AQ13-1</f>
        <v>8.6021141934884193E-2</v>
      </c>
      <c r="AX129" s="1139"/>
      <c r="AY129" s="1102">
        <f>RevBuild!AY13/RevBuild!AS13-1</f>
        <v>8.1104637197779272E-2</v>
      </c>
      <c r="AZ129" s="1103">
        <f>RevBuild!AZ13/RevBuild!AT13-1</f>
        <v>1.3504759057158644E-2</v>
      </c>
      <c r="BA129" s="1103">
        <f>RevBuild!BA13/RevBuild!AU13-1</f>
        <v>1.0154320987654231E-2</v>
      </c>
      <c r="BB129" s="1140">
        <f>RevBuild!BB13/RevBuild!AV13-1</f>
        <v>-6.7100237431612086E-3</v>
      </c>
      <c r="BC129" s="1104">
        <f>RevBuild!BC13/RevBuild!AW13-1</f>
        <v>2.2503365156431254E-2</v>
      </c>
      <c r="BD129" s="1139"/>
      <c r="BE129" s="1102">
        <f>RevBuild!BE13/RevBuild!AY13-1</f>
        <v>6.2578159219455198E-2</v>
      </c>
      <c r="BF129" s="1103">
        <f>RevBuild!BF13/RevBuild!AZ13-1</f>
        <v>8.7084521585209851E-2</v>
      </c>
      <c r="BG129" s="1103">
        <f>RevBuild!BG13/RevBuild!BA13-1</f>
        <v>8.0974059702404677E-2</v>
      </c>
      <c r="BH129" s="1140">
        <f>RevBuild!BH13/RevBuild!BB13-1</f>
        <v>7.3748816369892944E-2</v>
      </c>
      <c r="BI129" s="1104">
        <f>RevBuild!BI13/RevBuild!BC13-1</f>
        <v>7.6172314922474671E-2</v>
      </c>
      <c r="BJ129" s="1139"/>
      <c r="BK129" s="1102">
        <f>RevBuild!BK13/RevBuild!BE13-1</f>
        <v>3.754129602303613E-2</v>
      </c>
      <c r="BL129" s="1103">
        <f>RevBuild!BL13/RevBuild!BF13-1</f>
        <v>4.8277577696991703E-2</v>
      </c>
      <c r="BM129" s="1103">
        <f>RevBuild!BM13/RevBuild!BG13-1</f>
        <v>7.4269627351664314E-2</v>
      </c>
      <c r="BN129" s="1140">
        <f>RevBuild!BN13/RevBuild!BH13-1</f>
        <v>0.11636885717512069</v>
      </c>
      <c r="BO129" s="1104">
        <f>RevBuild!BO13/RevBuild!BI13-1</f>
        <v>7.0145815391011945E-2</v>
      </c>
      <c r="BP129" s="1139"/>
      <c r="BQ129" s="1102">
        <f>RevBuild!BQ13/RevBuild!BK13-1</f>
        <v>0.10212145008646556</v>
      </c>
      <c r="BR129" s="1103">
        <f>RevBuild!BR13/RevBuild!BL13-1</f>
        <v>8.4032514624104993E-2</v>
      </c>
      <c r="BS129" s="1103">
        <f>RevBuild!BS13/RevBuild!BM13-1</f>
        <v>7.500064745459234E-2</v>
      </c>
      <c r="BT129" s="1140">
        <f>RevBuild!BT13/RevBuild!BN13-1</f>
        <v>6.7191649172556378E-2</v>
      </c>
      <c r="BU129" s="1104">
        <f>RevBuild!BU13/RevBuild!BO13-1</f>
        <v>8.1295558285002567E-2</v>
      </c>
      <c r="BW129" s="1102">
        <f>RevBuild!BW13/RevBuild!BQ13-1</f>
        <v>5.9063840743062146E-2</v>
      </c>
      <c r="BX129" s="1103">
        <f>RevBuild!BX13/RevBuild!BR13-1</f>
        <v>5.9041674603868444E-2</v>
      </c>
      <c r="BY129" s="1103">
        <f>RevBuild!BY13/RevBuild!BS13-1</f>
        <v>5.0000000000000266E-2</v>
      </c>
      <c r="BZ129" s="1140">
        <f>RevBuild!BZ13/RevBuild!BT13-1</f>
        <v>5.0000000000000044E-2</v>
      </c>
      <c r="CA129" s="1104">
        <f>RevBuild!CA13/RevBuild!BU13-1</f>
        <v>5.4341238372077605E-2</v>
      </c>
      <c r="CC129" s="1102">
        <f>RevBuild!CC13/RevBuild!BW13-1</f>
        <v>5.9071852723160623E-2</v>
      </c>
      <c r="CD129" s="1103">
        <f>RevBuild!CD13/RevBuild!BX13-1</f>
        <v>5.9049856403134982E-2</v>
      </c>
      <c r="CE129" s="1103">
        <f>RevBuild!CE13/RevBuild!BY13-1</f>
        <v>5.0000000000000044E-2</v>
      </c>
      <c r="CF129" s="1140">
        <f>RevBuild!CF13/RevBuild!BZ13-1</f>
        <v>4.9999999999999822E-2</v>
      </c>
      <c r="CG129" s="1104">
        <f>RevBuild!CG13/RevBuild!CA13-1</f>
        <v>5.4364538260409434E-2</v>
      </c>
      <c r="CI129" s="1102">
        <f>RevBuild!CI13/RevBuild!CC13-1</f>
        <v>5.9079803095346772E-2</v>
      </c>
      <c r="CJ129" s="1103">
        <f>RevBuild!CJ13/RevBuild!CD13-1</f>
        <v>5.9057975627231807E-2</v>
      </c>
      <c r="CK129" s="1103">
        <f>RevBuild!CK13/RevBuild!CE13-1</f>
        <v>5.0000000000000044E-2</v>
      </c>
      <c r="CL129" s="1140">
        <f>RevBuild!CL13/RevBuild!CF13-1</f>
        <v>5.0000000000000044E-2</v>
      </c>
      <c r="CM129" s="1104">
        <f>RevBuild!CM13/RevBuild!CG13-1</f>
        <v>5.4387866234259841E-2</v>
      </c>
    </row>
    <row r="130" spans="1:93">
      <c r="A130" s="181" t="s">
        <v>132</v>
      </c>
      <c r="B130" s="1120"/>
      <c r="C130" s="1121"/>
      <c r="D130" s="1122"/>
      <c r="E130" s="1122"/>
      <c r="F130" s="1123"/>
      <c r="G130" s="1124"/>
      <c r="H130" s="1125"/>
      <c r="I130" s="1126">
        <f>(RevBuild!I10+RevBuild!I11)/(RevBuild!C10+RevBuild!C11)-1</f>
        <v>0.1112624928414403</v>
      </c>
      <c r="J130" s="1127">
        <f>(RevBuild!J10+RevBuild!J11)/(RevBuild!D10+RevBuild!D11)-1</f>
        <v>0.10654524612041683</v>
      </c>
      <c r="K130" s="1127">
        <f>(RevBuild!K10+RevBuild!K11)/(RevBuild!E10+RevBuild!E11)-1</f>
        <v>6.8471629441491544E-2</v>
      </c>
      <c r="L130" s="1128">
        <f>(RevBuild!L10+RevBuild!L11)/(RevBuild!F10+RevBuild!F11)-1</f>
        <v>-6.7618282200013757E-2</v>
      </c>
      <c r="M130" s="1129">
        <f>(RevBuild!M10+RevBuild!M11)/(RevBuild!G10+RevBuild!G11)-1</f>
        <v>4.6952377599059014E-2</v>
      </c>
      <c r="N130" s="1125"/>
      <c r="O130" s="1126">
        <f>(RevBuild!O11+RevBuild!O13)/(RevBuild!I11+RevBuild!I13)-1</f>
        <v>2.4994247405113246E-2</v>
      </c>
      <c r="P130" s="1127">
        <f>(RevBuild!P11+RevBuild!P13)/(RevBuild!J11+RevBuild!J13)-1</f>
        <v>-3.5289940963931343E-2</v>
      </c>
      <c r="Q130" s="1127">
        <f>(RevBuild!Q11+RevBuild!Q13)/(RevBuild!K11+RevBuild!K13)-1</f>
        <v>6.0161351828018406E-2</v>
      </c>
      <c r="R130" s="1127">
        <f>(RevBuild!R11+RevBuild!R13)/(RevBuild!L11+RevBuild!L13)-1</f>
        <v>1.8797099388597083E-2</v>
      </c>
      <c r="S130" s="1129">
        <f>(RevBuild!S11+RevBuild!S13)/(RevBuild!M11+RevBuild!M13)-1</f>
        <v>1.657799447203856E-2</v>
      </c>
      <c r="T130" s="1125"/>
      <c r="U130" s="1126">
        <f>(RevBuild!U11+RevBuild!U13)/(RevBuild!O11+RevBuild!O13)-1</f>
        <v>0.10023298708863249</v>
      </c>
      <c r="V130" s="1127">
        <f>(RevBuild!V11+RevBuild!V13)/(RevBuild!P11+RevBuild!P13)-1</f>
        <v>5.9504024312068138E-2</v>
      </c>
      <c r="W130" s="1127">
        <f>(RevBuild!W11+RevBuild!W13)/(RevBuild!Q11+RevBuild!Q13)-1</f>
        <v>3.2428665366522891E-2</v>
      </c>
      <c r="X130" s="1127">
        <f>(RevBuild!X11+RevBuild!X13)/(RevBuild!R11+RevBuild!R13)-1</f>
        <v>0.10297549265896233</v>
      </c>
      <c r="Y130" s="1129">
        <f>(RevBuild!Y11+RevBuild!Y13)/(RevBuild!S11+RevBuild!S13)-1</f>
        <v>7.3529262650448679E-2</v>
      </c>
      <c r="Z130" s="1130"/>
      <c r="AA130" s="1126">
        <f>(RevBuild!AA11+RevBuild!AA13)/(RevBuild!U11+RevBuild!U13)-1</f>
        <v>9.1835046543432997E-2</v>
      </c>
      <c r="AB130" s="1127">
        <f>(RevBuild!AB11+RevBuild!AB13)/(RevBuild!V11+RevBuild!V13)-1</f>
        <v>0.15280026442428896</v>
      </c>
      <c r="AC130" s="1127">
        <f>(RevBuild!AC11+RevBuild!AC13)/(RevBuild!W11+RevBuild!W13)-1</f>
        <v>0.11753466268188717</v>
      </c>
      <c r="AD130" s="1127">
        <f>(RevBuild!AD11+RevBuild!AD13)/(RevBuild!X11+RevBuild!X13)-1</f>
        <v>7.5530428797019988E-2</v>
      </c>
      <c r="AE130" s="1129">
        <f>(RevBuild!AE11+RevBuild!AE13)/(RevBuild!Y11+RevBuild!Y13)-1</f>
        <v>0.1085422985999418</v>
      </c>
      <c r="AF130" s="1131"/>
      <c r="AG130" s="1126">
        <f>(RevBuild!AG11+RevBuild!AG13)/(RevBuild!AA11+RevBuild!AA13)-1</f>
        <v>5.5063665153114671E-2</v>
      </c>
      <c r="AH130" s="1127">
        <f>(RevBuild!AH11+RevBuild!AH13)/(RevBuild!AB11+RevBuild!AB13)-1</f>
        <v>1.843752429826595E-2</v>
      </c>
      <c r="AI130" s="1127">
        <f>(RevBuild!AI11+RevBuild!AI13)/(RevBuild!AC11+RevBuild!AC13)-1</f>
        <v>3.3927614593988853E-2</v>
      </c>
      <c r="AJ130" s="1127">
        <f>(RevBuild!AJ11+RevBuild!AJ13)/(RevBuild!AD11+RevBuild!AD13)-1</f>
        <v>6.920503155308988E-2</v>
      </c>
      <c r="AK130" s="1126">
        <f>(RevBuild!AK11+RevBuild!AK13)/(RevBuild!AE11+RevBuild!AE13)-1</f>
        <v>4.4266110322632501E-2</v>
      </c>
      <c r="AL130" s="1131"/>
      <c r="AM130" s="1126">
        <f>(RevBuild!AM11+RevBuild!AM13)/(RevBuild!AG11+RevBuild!AG13)-1</f>
        <v>4.1457027827911386E-3</v>
      </c>
      <c r="AN130" s="1127">
        <f>(RevBuild!AN11+RevBuild!AN13)/(RevBuild!AH11+RevBuild!AH13)-1</f>
        <v>5.1476833516247655E-2</v>
      </c>
      <c r="AO130" s="1127">
        <f>(RevBuild!AO11+RevBuild!AO13)/(RevBuild!AI11+RevBuild!AI13)-1</f>
        <v>3.5485618713340106E-2</v>
      </c>
      <c r="AP130" s="1127">
        <f>(RevBuild!AP11+RevBuild!AP13)/(RevBuild!AJ11+RevBuild!AJ13)-1</f>
        <v>8.2471776589423618E-2</v>
      </c>
      <c r="AQ130" s="1129">
        <f>(RevBuild!AQ11+RevBuild!AQ13)/(RevBuild!AK11+RevBuild!AK13)-1</f>
        <v>4.4204536315115339E-2</v>
      </c>
      <c r="AR130" s="1131"/>
      <c r="AS130" s="1126">
        <f>(RevBuild!AS11+RevBuild!AS13)/(RevBuild!AM11+RevBuild!AM13)-1</f>
        <v>5.3199654838694155E-2</v>
      </c>
      <c r="AT130" s="1127">
        <f>(RevBuild!AT11+RevBuild!AT13)/(RevBuild!AN11+RevBuild!AN13)-1</f>
        <v>7.6035360640412497E-2</v>
      </c>
      <c r="AU130" s="1127">
        <f>(RevBuild!AU11+RevBuild!AU13)/(RevBuild!AO11+RevBuild!AO13)-1</f>
        <v>9.1297483472634999E-2</v>
      </c>
      <c r="AV130" s="1127">
        <f>(RevBuild!AV11+RevBuild!AV13)/(RevBuild!AP11+RevBuild!AP13)-1</f>
        <v>4.7490678734503744E-2</v>
      </c>
      <c r="AW130" s="1129">
        <f>(RevBuild!AW11+RevBuild!AW13)/(RevBuild!AQ11+RevBuild!AQ13)-1</f>
        <v>6.6596342001127296E-2</v>
      </c>
      <c r="AX130" s="1131"/>
      <c r="AY130" s="1126">
        <f>(RevBuild!AY11+RevBuild!AY13)/(RevBuild!AS11+RevBuild!AS13)-1</f>
        <v>6.6984736279853019E-2</v>
      </c>
      <c r="AZ130" s="1127">
        <f>(RevBuild!AZ11+RevBuild!AZ13)/(RevBuild!AT11+RevBuild!AT13)-1</f>
        <v>1.4043936857110362E-2</v>
      </c>
      <c r="BA130" s="1127">
        <f>(RevBuild!BA11+RevBuild!BA13)/(RevBuild!AU11+RevBuild!AU13)-1</f>
        <v>8.1925179172241958E-3</v>
      </c>
      <c r="BB130" s="1127">
        <f>(RevBuild!BB11+RevBuild!BB13)/(RevBuild!AV11+RevBuild!AV13)-1</f>
        <v>-2.255233422482239E-3</v>
      </c>
      <c r="BC130" s="1129">
        <f>(RevBuild!BC11+RevBuild!BC13)/(RevBuild!AW11+RevBuild!AW13)-1</f>
        <v>2.0420615276738552E-2</v>
      </c>
      <c r="BD130" s="1131"/>
      <c r="BE130" s="1126">
        <f>(RevBuild!BE11+RevBuild!BE13)/(RevBuild!AY11+RevBuild!AY13)-1</f>
        <v>6.7136445013872725E-2</v>
      </c>
      <c r="BF130" s="1127">
        <f>(RevBuild!BF11+RevBuild!BF13)/(RevBuild!AZ11+RevBuild!AZ13)-1</f>
        <v>9.7644764039710008E-2</v>
      </c>
      <c r="BG130" s="1127">
        <f>(RevBuild!BG11+RevBuild!BG13)/(RevBuild!BA11+RevBuild!BA13)-1</f>
        <v>7.9365473207122728E-2</v>
      </c>
      <c r="BH130" s="1127">
        <f>(RevBuild!BH11+RevBuild!BH13)/(RevBuild!BB11+RevBuild!BB13)-1</f>
        <v>7.4026812738774428E-2</v>
      </c>
      <c r="BI130" s="1129">
        <f>(RevBuild!BI11+RevBuild!BI13)/(RevBuild!BC11+RevBuild!BC13)-1</f>
        <v>7.9509382913323545E-2</v>
      </c>
      <c r="BJ130" s="1131"/>
      <c r="BK130" s="1126">
        <f>(RevBuild!BK11+RevBuild!BK13)/(RevBuild!BE11+RevBuild!BE13)-1</f>
        <v>3.9902361065282221E-2</v>
      </c>
      <c r="BL130" s="1127">
        <f>(RevBuild!BL11+RevBuild!BL13)/(RevBuild!BF11+RevBuild!BF13)-1</f>
        <v>4.6661690430090719E-2</v>
      </c>
      <c r="BM130" s="1127">
        <f>(RevBuild!BM11+RevBuild!BM13)/(RevBuild!BG11+RevBuild!BG13)-1</f>
        <v>8.3916325045017448E-2</v>
      </c>
      <c r="BN130" s="1127">
        <f>(RevBuild!BN11+RevBuild!BN13)/(RevBuild!BH11+RevBuild!BH13)-1</f>
        <v>0.11624225739848582</v>
      </c>
      <c r="BO130" s="1129">
        <f>(RevBuild!BO11+RevBuild!BO13)/(RevBuild!BI11+RevBuild!BI13)-1</f>
        <v>7.2535010545917489E-2</v>
      </c>
      <c r="BP130" s="1131"/>
      <c r="BQ130" s="1126">
        <f>(RevBuild!BQ11+RevBuild!BQ13)/(RevBuild!BK11+RevBuild!BK13)-1</f>
        <v>0.10937967992638908</v>
      </c>
      <c r="BR130" s="1127">
        <f>(RevBuild!BR11+RevBuild!BR13)/(RevBuild!BL11+RevBuild!BL13)-1</f>
        <v>0.10608513265625752</v>
      </c>
      <c r="BS130" s="1127">
        <f>(RevBuild!BS11+RevBuild!BS13)/(RevBuild!BM11+RevBuild!BM13)-1</f>
        <v>7.913360405809633E-2</v>
      </c>
      <c r="BT130" s="1127">
        <f>(RevBuild!BT11+RevBuild!BT13)/(RevBuild!BN11+RevBuild!BN13)-1</f>
        <v>7.4632604045978601E-2</v>
      </c>
      <c r="BU130" s="1129">
        <f>(RevBuild!BU11+RevBuild!BU13)/(RevBuild!BO11+RevBuild!BO13)-1</f>
        <v>9.1508279030088291E-2</v>
      </c>
      <c r="BW130" s="1126">
        <f>(RevBuild!BW11+RevBuild!BW13)/(RevBuild!BQ11+RevBuild!BQ13)-1</f>
        <v>6.7057423577322695E-2</v>
      </c>
      <c r="BX130" s="1127">
        <f>(RevBuild!BX11+RevBuild!BX13)/(RevBuild!BR11+RevBuild!BR13)-1</f>
        <v>6.6213059711474509E-2</v>
      </c>
      <c r="BY130" s="1127">
        <f>(RevBuild!BY11+RevBuild!BY13)/(RevBuild!BS11+RevBuild!BS13)-1</f>
        <v>5.9926034666846428E-2</v>
      </c>
      <c r="BZ130" s="1127">
        <f>(RevBuild!BZ11+RevBuild!BZ13)/(RevBuild!BT11+RevBuild!BT13)-1</f>
        <v>5.9928757697919499E-2</v>
      </c>
      <c r="CA130" s="1129">
        <f>(RevBuild!CA11+RevBuild!CA13)/(RevBuild!BU11+RevBuild!BU13)-1</f>
        <v>6.3165214448024143E-2</v>
      </c>
      <c r="CC130" s="1126">
        <f>(RevBuild!CC11+RevBuild!CC13)/(RevBuild!BW11+RevBuild!BW13)-1</f>
        <v>6.0278027455998195E-2</v>
      </c>
      <c r="CD130" s="1127">
        <f>(RevBuild!CD11+RevBuild!CD13)/(RevBuild!BX11+RevBuild!BX13)-1</f>
        <v>5.937917440357432E-2</v>
      </c>
      <c r="CE130" s="1127">
        <f>(RevBuild!CE11+RevBuild!CE13)/(RevBuild!BY11+RevBuild!BY13)-1</f>
        <v>5.3371341360803237E-2</v>
      </c>
      <c r="CF130" s="1127">
        <f>(RevBuild!CF11+RevBuild!CF13)/(RevBuild!BZ11+RevBuild!BZ13)-1</f>
        <v>5.3372257564757719E-2</v>
      </c>
      <c r="CG130" s="1129">
        <f>(RevBuild!CG11+RevBuild!CG13)/(RevBuild!CA11+RevBuild!CA13)-1</f>
        <v>5.6498111509677429E-2</v>
      </c>
      <c r="CI130" s="1126">
        <f>(RevBuild!CI11+RevBuild!CI13)/(RevBuild!CC11+RevBuild!CC13)-1</f>
        <v>6.029203836112984E-2</v>
      </c>
      <c r="CJ130" s="1127">
        <f>(RevBuild!CJ11+RevBuild!CJ13)/(RevBuild!CD11+RevBuild!CD13)-1</f>
        <v>5.9384670860068711E-2</v>
      </c>
      <c r="CK130" s="1127">
        <f>(RevBuild!CK11+RevBuild!CK13)/(RevBuild!CE11+RevBuild!CE13)-1</f>
        <v>5.3392556548799819E-2</v>
      </c>
      <c r="CL130" s="1127">
        <f>(RevBuild!CL11+RevBuild!CL13)/(RevBuild!CF11+RevBuild!CF13)-1</f>
        <v>5.3393475566659632E-2</v>
      </c>
      <c r="CM130" s="1129">
        <f>(RevBuild!CM11+RevBuild!CM13)/(RevBuild!CG11+RevBuild!CG13)-1</f>
        <v>5.6523613163053099E-2</v>
      </c>
    </row>
    <row r="132" spans="1:93">
      <c r="A132" s="12" t="s">
        <v>22</v>
      </c>
      <c r="B132" s="10"/>
      <c r="C132" s="10"/>
      <c r="D132" s="10"/>
      <c r="E132" s="10"/>
      <c r="F132" s="10"/>
      <c r="G132" s="1310"/>
      <c r="H132" s="10"/>
      <c r="I132" s="10"/>
      <c r="J132" s="10"/>
      <c r="K132" s="10"/>
      <c r="L132" s="10"/>
      <c r="M132" s="1310"/>
      <c r="N132" s="10"/>
      <c r="O132" s="10"/>
      <c r="P132" s="10"/>
      <c r="Q132" s="10"/>
      <c r="R132" s="10"/>
      <c r="S132" s="1310"/>
      <c r="T132" s="10"/>
      <c r="U132" s="10"/>
      <c r="V132" s="10"/>
      <c r="W132" s="10"/>
      <c r="X132" s="10"/>
      <c r="Y132" s="1310"/>
      <c r="Z132" s="10"/>
      <c r="AA132" s="10"/>
      <c r="AB132" s="10"/>
      <c r="AC132" s="10"/>
      <c r="AD132" s="10"/>
      <c r="AE132" s="1310"/>
      <c r="AF132" s="10"/>
      <c r="AG132" s="10"/>
      <c r="AH132" s="10"/>
      <c r="AI132" s="10"/>
      <c r="AJ132" s="10"/>
      <c r="AK132" s="1311"/>
      <c r="AL132" s="10"/>
      <c r="AM132" s="10"/>
      <c r="AN132" s="10"/>
      <c r="AO132" s="10"/>
      <c r="AP132" s="10"/>
      <c r="AQ132" s="1312"/>
      <c r="AR132" s="10"/>
      <c r="AS132" s="10"/>
      <c r="AT132" s="10"/>
      <c r="AU132" s="10"/>
      <c r="AV132" s="10"/>
      <c r="AW132" s="1310"/>
      <c r="AX132" s="10"/>
      <c r="AY132" s="10"/>
      <c r="AZ132" s="10"/>
      <c r="BA132" s="10"/>
      <c r="BB132" s="10"/>
      <c r="BC132" s="1310"/>
      <c r="BD132" s="10"/>
      <c r="BE132" s="10"/>
      <c r="BF132" s="10"/>
      <c r="BG132" s="10"/>
      <c r="BH132" s="10"/>
      <c r="BI132" s="1310"/>
      <c r="BJ132" s="10"/>
      <c r="BK132" s="10"/>
      <c r="BL132" s="10"/>
      <c r="BM132" s="10"/>
      <c r="BN132" s="10"/>
      <c r="BO132" s="1310"/>
      <c r="BP132" s="10"/>
      <c r="BQ132" s="10"/>
      <c r="BR132" s="10"/>
      <c r="BS132" s="10"/>
      <c r="BT132" s="10"/>
      <c r="BU132" s="1310"/>
      <c r="BV132" s="1923"/>
      <c r="BW132" s="10"/>
      <c r="BX132" s="10"/>
      <c r="BY132" s="10"/>
      <c r="BZ132" s="10"/>
      <c r="CA132" s="1310"/>
      <c r="CB132" s="1923"/>
      <c r="CC132" s="10"/>
      <c r="CD132" s="10"/>
      <c r="CE132" s="10"/>
      <c r="CF132" s="10"/>
      <c r="CG132" s="1310"/>
      <c r="CH132" s="1923"/>
      <c r="CI132" s="10"/>
      <c r="CJ132" s="10"/>
      <c r="CK132" s="10"/>
      <c r="CL132" s="10"/>
      <c r="CM132" s="1310"/>
    </row>
    <row r="133" spans="1:93" s="68" customFormat="1">
      <c r="A133" s="1308" t="s">
        <v>467</v>
      </c>
      <c r="B133" s="1309"/>
      <c r="C133" s="1315">
        <f>C10+C11+C14</f>
        <v>298.99599999999998</v>
      </c>
      <c r="D133" s="1315">
        <f>D10+D11+D14</f>
        <v>320.81400000000002</v>
      </c>
      <c r="E133" s="1315">
        <f>E10+E11+E14</f>
        <v>316.166</v>
      </c>
      <c r="F133" s="1315">
        <f>F10+F11+F14</f>
        <v>386.2059999999999</v>
      </c>
      <c r="G133" s="1317">
        <f>G10+G11+G14</f>
        <v>1322.1819999999998</v>
      </c>
      <c r="H133" s="1313"/>
      <c r="I133" s="1315">
        <f>I10+I11+I14</f>
        <v>334.64800000000002</v>
      </c>
      <c r="J133" s="1315">
        <f>J10+J11+J14</f>
        <v>360.72899999999998</v>
      </c>
      <c r="K133" s="1315">
        <f>K10+K11+K14</f>
        <v>344.09699999999998</v>
      </c>
      <c r="L133" s="1315">
        <f>L10+L11+L14</f>
        <v>369.91199999999992</v>
      </c>
      <c r="M133" s="1317">
        <f>M10+M11+M14</f>
        <v>1409.386</v>
      </c>
      <c r="N133" s="1313"/>
      <c r="O133" s="1315">
        <f>O10+O11+O14</f>
        <v>299.07899999999995</v>
      </c>
      <c r="P133" s="1315">
        <f>P10+P11+P14</f>
        <v>330.572</v>
      </c>
      <c r="Q133" s="1315">
        <f>Q10+Q11+Q14</f>
        <v>339.12199999999996</v>
      </c>
      <c r="R133" s="1315">
        <f>R10+R11+R14</f>
        <v>382.35200000000009</v>
      </c>
      <c r="S133" s="1317">
        <f>S10+S11+S14</f>
        <v>1351.125</v>
      </c>
      <c r="T133" s="1313"/>
      <c r="U133" s="1315">
        <f>U10+U11+U14</f>
        <v>330.25300000000004</v>
      </c>
      <c r="V133" s="1315">
        <f>V10+V11+V14</f>
        <v>350.291</v>
      </c>
      <c r="W133" s="1315">
        <f>W10+W11+W14</f>
        <v>359.02499999999998</v>
      </c>
      <c r="X133" s="1315">
        <f>X10+X11+X14</f>
        <v>431.78199999999998</v>
      </c>
      <c r="Y133" s="1317">
        <f>Y10+Y11+Y14</f>
        <v>1471.3510000000001</v>
      </c>
      <c r="Z133" s="1313"/>
      <c r="AA133" s="1315">
        <f>AA10+AA11+AA14</f>
        <v>384.64</v>
      </c>
      <c r="AB133" s="1315">
        <f>AB10+AB11+AB14</f>
        <v>400.59100000000001</v>
      </c>
      <c r="AC133" s="1315">
        <f>AC10+AC11+AC14</f>
        <v>406.01299999999998</v>
      </c>
      <c r="AD133" s="1315">
        <f>AD10+AD11+AD14</f>
        <v>460.1819999999999</v>
      </c>
      <c r="AE133" s="1317">
        <f>AE10+AE11+AE14</f>
        <v>1651.4259999999999</v>
      </c>
      <c r="AF133" s="1313"/>
      <c r="AG133" s="1315">
        <f>AG10+AG11+AG14</f>
        <v>373.25099999999998</v>
      </c>
      <c r="AH133" s="1315">
        <f>AH10+AH11+AH14</f>
        <v>400.49099999999999</v>
      </c>
      <c r="AI133" s="1315">
        <f>AI10+AI11+AI14</f>
        <v>402.07299999999998</v>
      </c>
      <c r="AJ133" s="1315">
        <f>AJ10+AJ11+AJ14</f>
        <v>456.84199999999993</v>
      </c>
      <c r="AK133" s="1317">
        <f>AK10+AK11+AK14</f>
        <v>1632.6569999999999</v>
      </c>
      <c r="AL133" s="1313"/>
      <c r="AM133" s="1315">
        <f>AM10+AM11+AM14</f>
        <v>381.42499999999995</v>
      </c>
      <c r="AN133" s="1315">
        <f>AN10+AN11+AN14</f>
        <v>402.178</v>
      </c>
      <c r="AO133" s="1315">
        <f>AO10+AO11+AO14</f>
        <v>402.71</v>
      </c>
      <c r="AP133" s="1315">
        <f>AP10+AP11+AP14</f>
        <v>490.74799999999993</v>
      </c>
      <c r="AQ133" s="1317">
        <f>AQ10+AQ11+AQ14</f>
        <v>1677.0609999999997</v>
      </c>
      <c r="AR133" s="1313"/>
      <c r="AS133" s="1315">
        <f>AS10+AS11+AS14</f>
        <v>383.60900000000004</v>
      </c>
      <c r="AT133" s="1315">
        <f>AT10+AT11+AT14</f>
        <v>427.83599999999996</v>
      </c>
      <c r="AU133" s="1315">
        <f>AU10+AU11+AU14</f>
        <v>437.01300000000003</v>
      </c>
      <c r="AV133" s="1315">
        <f>AV10+AV11+AV14</f>
        <v>515.23900000000003</v>
      </c>
      <c r="AW133" s="1317">
        <f>AW10+AW11+AW14</f>
        <v>1763.6970000000001</v>
      </c>
      <c r="AX133" s="1313"/>
      <c r="AY133" s="1315">
        <f>AY10+AY11+AY14</f>
        <v>409.66800000000001</v>
      </c>
      <c r="AZ133" s="1315">
        <f>AZ10+AZ11+AZ14</f>
        <v>442.23199999999997</v>
      </c>
      <c r="BA133" s="1315">
        <f>BA10+BA11+BA14</f>
        <v>445.57500000000005</v>
      </c>
      <c r="BB133" s="1315">
        <f>BB10+BB11+BB14</f>
        <v>509.39299999999997</v>
      </c>
      <c r="BC133" s="1317">
        <f>BC10+BC11+BC14</f>
        <v>1806.8679999999999</v>
      </c>
      <c r="BD133" s="1313"/>
      <c r="BE133" s="1315">
        <f>BE10+BE11+BE14</f>
        <v>424.19300000000004</v>
      </c>
      <c r="BF133" s="1315">
        <f>BF10+BF11+BF14</f>
        <v>478.73099999999999</v>
      </c>
      <c r="BG133" s="1315">
        <f>BG10+BG11+BG14</f>
        <v>470.91300000000001</v>
      </c>
      <c r="BH133" s="1315">
        <f>BH10+BH11+BH14</f>
        <v>554.226</v>
      </c>
      <c r="BI133" s="1317">
        <f>BI10+BI11+BI14</f>
        <v>1928.0630000000001</v>
      </c>
      <c r="BJ133" s="1313"/>
      <c r="BK133" s="1315">
        <f>BK10+BK11+BK14</f>
        <v>443.42599999999999</v>
      </c>
      <c r="BL133" s="1315">
        <f>BL10+BL11+BL14</f>
        <v>497.78</v>
      </c>
      <c r="BM133" s="1315">
        <f>BM10+BM11+BM14</f>
        <v>503.904</v>
      </c>
      <c r="BN133" s="1315">
        <f>BN10+BN11+BN14</f>
        <v>602.45299999999997</v>
      </c>
      <c r="BO133" s="1317">
        <f>BO10+BO11+BO14</f>
        <v>2047.5629999999999</v>
      </c>
      <c r="BP133" s="1313"/>
      <c r="BQ133" s="1315">
        <f>BQ10+BQ11+BQ14</f>
        <v>482.91290956578416</v>
      </c>
      <c r="BR133" s="1315">
        <f>BR10+BR11+BR14</f>
        <v>541.59530842656682</v>
      </c>
      <c r="BS133" s="1315">
        <f>BS10+BS11+BS14</f>
        <v>535.11726403133764</v>
      </c>
      <c r="BT133" s="1315">
        <f>BT10+BT11+BT14</f>
        <v>639.19822918881653</v>
      </c>
      <c r="BU133" s="1317">
        <f>BU10+BU11+BU14</f>
        <v>2198.8237112125053</v>
      </c>
      <c r="BW133" s="1315">
        <f>BW10+BW11+BW14</f>
        <v>514.24455451367737</v>
      </c>
      <c r="BX133" s="1315">
        <f>BX10+BX11+BX14</f>
        <v>572.48469756696841</v>
      </c>
      <c r="BY133" s="1315">
        <f>BY10+BY11+BY14</f>
        <v>563.98903252483046</v>
      </c>
      <c r="BZ133" s="1315">
        <f>BZ10+BZ11+BZ14</f>
        <v>668.52492488406028</v>
      </c>
      <c r="CA133" s="1317">
        <f>CA10+CA11+CA14</f>
        <v>2319.2432094895366</v>
      </c>
      <c r="CC133" s="1315">
        <f>CC10+CC11+CC14</f>
        <v>544.3356784291725</v>
      </c>
      <c r="CD133" s="1315">
        <f>CD10+CD11+CD14</f>
        <v>601.49501726347</v>
      </c>
      <c r="CE133" s="1315">
        <f>CE10+CE11+CE14</f>
        <v>591.68061314333568</v>
      </c>
      <c r="CF133" s="1315">
        <f>CF10+CF11+CF14</f>
        <v>696.12340075659608</v>
      </c>
      <c r="CG133" s="1317">
        <f>CG10+CG11+CG14</f>
        <v>2433.6347095925744</v>
      </c>
      <c r="CI133" s="1315">
        <f>CI10+CI11+CI14</f>
        <v>576.19957708559559</v>
      </c>
      <c r="CJ133" s="1315">
        <f>CJ10+CJ11+CJ14</f>
        <v>632.03240565546116</v>
      </c>
      <c r="CK133" s="1315">
        <f>CK10+CK11+CK14</f>
        <v>620.76627115561269</v>
      </c>
      <c r="CL133" s="1315">
        <f>CL10+CL11+CL14</f>
        <v>725.04807518474172</v>
      </c>
      <c r="CM133" s="1317">
        <f>CM10+CM11+CM14</f>
        <v>2554.0463290814114</v>
      </c>
    </row>
    <row r="134" spans="1:93" s="68" customFormat="1">
      <c r="A134" s="1069" t="s">
        <v>0</v>
      </c>
      <c r="B134" s="167"/>
      <c r="C134" s="207">
        <f>C12+C15</f>
        <v>31.781000000000002</v>
      </c>
      <c r="D134" s="207">
        <f>D12+D15</f>
        <v>31.816000000000003</v>
      </c>
      <c r="E134" s="207">
        <f>E12+E15</f>
        <v>36.472000000000001</v>
      </c>
      <c r="F134" s="207">
        <f>F12+F15</f>
        <v>50.79699999999999</v>
      </c>
      <c r="G134" s="205">
        <f>G12+G15</f>
        <v>150.86599999999999</v>
      </c>
      <c r="H134" s="1298"/>
      <c r="I134" s="207">
        <f>I12+I15</f>
        <v>37.35</v>
      </c>
      <c r="J134" s="207">
        <f>J12+J15</f>
        <v>37.756</v>
      </c>
      <c r="K134" s="207">
        <f>K12+K15</f>
        <v>42.213000000000001</v>
      </c>
      <c r="L134" s="207">
        <f>L12+L15</f>
        <v>48.41899999999999</v>
      </c>
      <c r="M134" s="205">
        <f>M12+M15</f>
        <v>165.738</v>
      </c>
      <c r="N134" s="1298"/>
      <c r="O134" s="207">
        <f>O12+O15</f>
        <v>33.972999999999999</v>
      </c>
      <c r="P134" s="207">
        <f>P12+P15</f>
        <v>32.265000000000001</v>
      </c>
      <c r="Q134" s="207">
        <f>Q12+Q15</f>
        <v>36.42</v>
      </c>
      <c r="R134" s="207">
        <f>R12+R15</f>
        <v>44.917000000000002</v>
      </c>
      <c r="S134" s="205">
        <f>S12+S15</f>
        <v>147.57499999999999</v>
      </c>
      <c r="T134" s="1298"/>
      <c r="U134" s="207">
        <f>U12+U15</f>
        <v>37.447000000000003</v>
      </c>
      <c r="V134" s="207">
        <f>V12+V15</f>
        <v>40.763999999999996</v>
      </c>
      <c r="W134" s="207">
        <f>W12+W15</f>
        <v>42.012999999999998</v>
      </c>
      <c r="X134" s="207">
        <f>X12+X15</f>
        <v>51.795999999999992</v>
      </c>
      <c r="Y134" s="205">
        <f>Y12+Y15</f>
        <v>172.01999999999998</v>
      </c>
      <c r="Z134" s="1298"/>
      <c r="AA134" s="207">
        <f>AA12+AA15</f>
        <v>42.963000000000001</v>
      </c>
      <c r="AB134" s="207">
        <f>AB12+AB15</f>
        <v>47.036000000000001</v>
      </c>
      <c r="AC134" s="207">
        <f>AC12+AC15</f>
        <v>48.521000000000001</v>
      </c>
      <c r="AD134" s="207">
        <f>AD12+AD15</f>
        <v>61.238</v>
      </c>
      <c r="AE134" s="205">
        <f>AE12+AE15</f>
        <v>199.75800000000001</v>
      </c>
      <c r="AF134" s="1298"/>
      <c r="AG134" s="207">
        <f>AG12+AG15</f>
        <v>47.207000000000001</v>
      </c>
      <c r="AH134" s="207">
        <f>AH12+AH15</f>
        <v>50.974000000000004</v>
      </c>
      <c r="AI134" s="207">
        <f>AI12+AI15</f>
        <v>47.878999999999998</v>
      </c>
      <c r="AJ134" s="207">
        <f>AJ12+AJ15</f>
        <v>64.924000000000007</v>
      </c>
      <c r="AK134" s="205">
        <f>AK12+AK15</f>
        <v>210.98400000000001</v>
      </c>
      <c r="AL134" s="1298"/>
      <c r="AM134" s="207">
        <f>AM12+AM15</f>
        <v>48.913000000000004</v>
      </c>
      <c r="AN134" s="207">
        <f>AN12+AN15</f>
        <v>48.936999999999998</v>
      </c>
      <c r="AO134" s="207">
        <f>AO12+AO15</f>
        <v>54.606999999999999</v>
      </c>
      <c r="AP134" s="207">
        <f>AP12+AP15</f>
        <v>74.699999999999989</v>
      </c>
      <c r="AQ134" s="205">
        <f>AQ12+AQ15</f>
        <v>227.15699999999998</v>
      </c>
      <c r="AR134" s="1298"/>
      <c r="AS134" s="207">
        <f>AS12+AS15</f>
        <v>46.899000000000001</v>
      </c>
      <c r="AT134" s="207">
        <f>AT12+AT15</f>
        <v>53.964999999999996</v>
      </c>
      <c r="AU134" s="207">
        <f>AU12+AU15</f>
        <v>56.152000000000001</v>
      </c>
      <c r="AV134" s="207">
        <f>AV12+AV15</f>
        <v>68.631</v>
      </c>
      <c r="AW134" s="205">
        <f>AW12+AW15</f>
        <v>225.64699999999999</v>
      </c>
      <c r="AX134" s="1298"/>
      <c r="AY134" s="207">
        <f>AY12+AY15</f>
        <v>50.736000000000004</v>
      </c>
      <c r="AZ134" s="207">
        <f>AZ12+AZ15</f>
        <v>52.507999999999996</v>
      </c>
      <c r="BA134" s="207">
        <f>BA12+BA15</f>
        <v>55.003</v>
      </c>
      <c r="BB134" s="207">
        <f>BB12+BB15</f>
        <v>77.216999999999985</v>
      </c>
      <c r="BC134" s="205">
        <f>BC12+BC15</f>
        <v>235.464</v>
      </c>
      <c r="BD134" s="1298"/>
      <c r="BE134" s="207">
        <f>BE12+BE15</f>
        <v>51.052999999999997</v>
      </c>
      <c r="BF134" s="207">
        <f>BF12+BF15</f>
        <v>57.829000000000001</v>
      </c>
      <c r="BG134" s="207">
        <f>BG12+BG15</f>
        <v>55.917000000000002</v>
      </c>
      <c r="BH134" s="207">
        <f>BH12+BH15</f>
        <v>74.561000000000007</v>
      </c>
      <c r="BI134" s="205">
        <f>BI12+BI15</f>
        <v>239.35999999999999</v>
      </c>
      <c r="BJ134" s="1298"/>
      <c r="BK134" s="207">
        <f>BK12+BK15</f>
        <v>54.542999999999999</v>
      </c>
      <c r="BL134" s="207">
        <f>BL12+BL15</f>
        <v>60.47</v>
      </c>
      <c r="BM134" s="207">
        <f>BM12+BM15</f>
        <v>61.680000000000007</v>
      </c>
      <c r="BN134" s="207">
        <f>BN12+BN15</f>
        <v>84.822000000000003</v>
      </c>
      <c r="BO134" s="205">
        <f>BO12+BO15</f>
        <v>261.51500000000004</v>
      </c>
      <c r="BP134" s="1298"/>
      <c r="BQ134" s="207">
        <f>BQ12+BQ15</f>
        <v>58.196746167993723</v>
      </c>
      <c r="BR134" s="207">
        <f>BR12+BR15</f>
        <v>65.774095148072774</v>
      </c>
      <c r="BS134" s="207">
        <f>BS12+BS15</f>
        <v>66.444855821583644</v>
      </c>
      <c r="BT134" s="207">
        <f>BT12+BT15</f>
        <v>92.857242958194092</v>
      </c>
      <c r="BU134" s="205">
        <f>BU12+BU15</f>
        <v>283.27294009584421</v>
      </c>
      <c r="BW134" s="207">
        <f>BW12+BW15</f>
        <v>62.314918673933221</v>
      </c>
      <c r="BX134" s="207">
        <f>BX12+BX15</f>
        <v>70.458173715646581</v>
      </c>
      <c r="BY134" s="207">
        <f>BY12+BY15</f>
        <v>71.188360366487274</v>
      </c>
      <c r="BZ134" s="207">
        <f>BZ12+BZ15</f>
        <v>99.544037468121701</v>
      </c>
      <c r="CA134" s="205">
        <f>CA12+CA15</f>
        <v>303.5054902241888</v>
      </c>
      <c r="CC134" s="207">
        <f>CC12+CC15</f>
        <v>65.430664607629879</v>
      </c>
      <c r="CD134" s="207">
        <f>CD12+CD15</f>
        <v>73.981082401428921</v>
      </c>
      <c r="CE134" s="207">
        <f>CE12+CE15</f>
        <v>74.747778384811639</v>
      </c>
      <c r="CF134" s="207">
        <f>CF12+CF15</f>
        <v>104.5212393415278</v>
      </c>
      <c r="CG134" s="205">
        <f>CG12+CG15</f>
        <v>318.68076473539827</v>
      </c>
      <c r="CI134" s="207">
        <f>CI12+CI15</f>
        <v>68.702197838011386</v>
      </c>
      <c r="CJ134" s="207">
        <f>CJ12+CJ15</f>
        <v>77.680136521500373</v>
      </c>
      <c r="CK134" s="207">
        <f>CK12+CK15</f>
        <v>78.485167304052226</v>
      </c>
      <c r="CL134" s="207">
        <f>CL12+CL15</f>
        <v>109.74730130860419</v>
      </c>
      <c r="CM134" s="205">
        <f>CM12+CM15</f>
        <v>334.61480297216815</v>
      </c>
    </row>
    <row r="135" spans="1:93">
      <c r="A135" s="1165" t="s">
        <v>301</v>
      </c>
      <c r="B135" s="1314"/>
      <c r="C135" s="1316">
        <f>SUM(C133:C134)</f>
        <v>330.77699999999999</v>
      </c>
      <c r="D135" s="1316">
        <f>SUM(D133:D134)</f>
        <v>352.63</v>
      </c>
      <c r="E135" s="1316">
        <f>SUM(E133:E134)</f>
        <v>352.63799999999998</v>
      </c>
      <c r="F135" s="1316">
        <f>SUM(F133:F134)</f>
        <v>437.00299999999987</v>
      </c>
      <c r="G135" s="1318">
        <f>SUM(G133:G134)</f>
        <v>1473.0479999999998</v>
      </c>
      <c r="H135" s="1307"/>
      <c r="I135" s="1316">
        <f>SUM(I133:I134)</f>
        <v>371.99800000000005</v>
      </c>
      <c r="J135" s="1316">
        <f>SUM(J133:J134)</f>
        <v>398.48500000000001</v>
      </c>
      <c r="K135" s="1316">
        <f>SUM(K133:K134)</f>
        <v>386.31</v>
      </c>
      <c r="L135" s="1316">
        <f>SUM(L133:L134)</f>
        <v>418.3309999999999</v>
      </c>
      <c r="M135" s="1318">
        <f>SUM(M133:M134)</f>
        <v>1575.124</v>
      </c>
      <c r="N135" s="1307"/>
      <c r="O135" s="1316">
        <f>SUM(O133:O134)</f>
        <v>333.05199999999996</v>
      </c>
      <c r="P135" s="1316">
        <f>SUM(P133:P134)</f>
        <v>362.83699999999999</v>
      </c>
      <c r="Q135" s="1316">
        <f>SUM(Q133:Q134)</f>
        <v>375.54199999999997</v>
      </c>
      <c r="R135" s="1316">
        <f>SUM(R133:R134)</f>
        <v>427.26900000000012</v>
      </c>
      <c r="S135" s="1318">
        <f>SUM(S133:S134)</f>
        <v>1498.7</v>
      </c>
      <c r="T135" s="1307"/>
      <c r="U135" s="1316">
        <f>SUM(U133:U134)</f>
        <v>367.70000000000005</v>
      </c>
      <c r="V135" s="1316">
        <f>SUM(V133:V134)</f>
        <v>391.05500000000001</v>
      </c>
      <c r="W135" s="1316">
        <f>SUM(W133:W134)</f>
        <v>401.03799999999995</v>
      </c>
      <c r="X135" s="1316">
        <f>SUM(X133:X134)</f>
        <v>483.57799999999997</v>
      </c>
      <c r="Y135" s="1318">
        <f>SUM(Y133:Y134)</f>
        <v>1643.3710000000001</v>
      </c>
      <c r="Z135" s="1307"/>
      <c r="AA135" s="1316">
        <f>SUM(AA133:AA134)</f>
        <v>427.60300000000001</v>
      </c>
      <c r="AB135" s="1316">
        <f>SUM(AB133:AB134)</f>
        <v>447.62700000000001</v>
      </c>
      <c r="AC135" s="1316">
        <f>SUM(AC133:AC134)</f>
        <v>454.53399999999999</v>
      </c>
      <c r="AD135" s="1316">
        <f>SUM(AD133:AD134)</f>
        <v>521.41999999999985</v>
      </c>
      <c r="AE135" s="1318">
        <f>SUM(AE133:AE134)</f>
        <v>1851.184</v>
      </c>
      <c r="AF135" s="1307"/>
      <c r="AG135" s="1316">
        <f>SUM(AG133:AG134)</f>
        <v>420.45799999999997</v>
      </c>
      <c r="AH135" s="1316">
        <f>SUM(AH133:AH134)</f>
        <v>451.46499999999997</v>
      </c>
      <c r="AI135" s="1316">
        <f>SUM(AI133:AI134)</f>
        <v>449.952</v>
      </c>
      <c r="AJ135" s="1316">
        <f>SUM(AJ133:AJ134)</f>
        <v>521.76599999999996</v>
      </c>
      <c r="AK135" s="1318">
        <f>SUM(AK133:AK134)</f>
        <v>1843.6409999999998</v>
      </c>
      <c r="AL135" s="1307"/>
      <c r="AM135" s="1316">
        <f>SUM(AM133:AM134)</f>
        <v>430.33799999999997</v>
      </c>
      <c r="AN135" s="1316">
        <f>SUM(AN133:AN134)</f>
        <v>451.11500000000001</v>
      </c>
      <c r="AO135" s="1316">
        <f>SUM(AO133:AO134)</f>
        <v>457.31700000000001</v>
      </c>
      <c r="AP135" s="1316">
        <f>SUM(AP133:AP134)</f>
        <v>565.44799999999987</v>
      </c>
      <c r="AQ135" s="1318">
        <f>SUM(AQ133:AQ134)</f>
        <v>1904.2179999999996</v>
      </c>
      <c r="AR135" s="1307"/>
      <c r="AS135" s="1316">
        <f>SUM(AS133:AS134)</f>
        <v>430.50800000000004</v>
      </c>
      <c r="AT135" s="1316">
        <f>SUM(AT133:AT134)</f>
        <v>481.80099999999993</v>
      </c>
      <c r="AU135" s="1316">
        <f>SUM(AU133:AU134)</f>
        <v>493.16500000000002</v>
      </c>
      <c r="AV135" s="1316">
        <f>SUM(AV133:AV134)</f>
        <v>583.87</v>
      </c>
      <c r="AW135" s="1318">
        <f>SUM(AW133:AW134)</f>
        <v>1989.3440000000001</v>
      </c>
      <c r="AX135" s="1307"/>
      <c r="AY135" s="1316">
        <f>SUM(AY133:AY134)</f>
        <v>460.404</v>
      </c>
      <c r="AZ135" s="1316">
        <f>SUM(AZ133:AZ134)</f>
        <v>494.73999999999995</v>
      </c>
      <c r="BA135" s="1316">
        <f>SUM(BA133:BA134)</f>
        <v>500.57800000000003</v>
      </c>
      <c r="BB135" s="1316">
        <f>SUM(BB133:BB134)</f>
        <v>586.6099999999999</v>
      </c>
      <c r="BC135" s="1318">
        <f>SUM(BC133:BC134)</f>
        <v>2042.3319999999999</v>
      </c>
      <c r="BD135" s="1307"/>
      <c r="BE135" s="1316">
        <f>SUM(BE133:BE134)</f>
        <v>475.24600000000004</v>
      </c>
      <c r="BF135" s="1316">
        <f>SUM(BF133:BF134)</f>
        <v>536.55999999999995</v>
      </c>
      <c r="BG135" s="1316">
        <f>SUM(BG133:BG134)</f>
        <v>526.83000000000004</v>
      </c>
      <c r="BH135" s="1316">
        <f>SUM(BH133:BH134)</f>
        <v>628.78700000000003</v>
      </c>
      <c r="BI135" s="1318">
        <f>SUM(BI133:BI134)</f>
        <v>2167.4230000000002</v>
      </c>
      <c r="BJ135" s="1307"/>
      <c r="BK135" s="1316">
        <f>SUM(BK133:BK134)</f>
        <v>497.96899999999999</v>
      </c>
      <c r="BL135" s="1316">
        <f>SUM(BL133:BL134)</f>
        <v>558.25</v>
      </c>
      <c r="BM135" s="1316">
        <f>SUM(BM133:BM134)</f>
        <v>565.58400000000006</v>
      </c>
      <c r="BN135" s="1316">
        <f>SUM(BN133:BN134)</f>
        <v>687.27499999999998</v>
      </c>
      <c r="BO135" s="1318">
        <f>SUM(BO133:BO134)</f>
        <v>2309.078</v>
      </c>
      <c r="BP135" s="1307"/>
      <c r="BQ135" s="1316">
        <f>SUM(BQ133:BQ134)</f>
        <v>541.10965573377791</v>
      </c>
      <c r="BR135" s="1316">
        <f>SUM(BR133:BR134)</f>
        <v>607.36940357463959</v>
      </c>
      <c r="BS135" s="1316">
        <f>SUM(BS133:BS134)</f>
        <v>601.56211985292134</v>
      </c>
      <c r="BT135" s="1316">
        <f>SUM(BT133:BT134)</f>
        <v>732.05547214701062</v>
      </c>
      <c r="BU135" s="1318">
        <f>SUM(BU133:BU134)</f>
        <v>2482.0966513083495</v>
      </c>
      <c r="BV135" s="1307"/>
      <c r="BW135" s="1316">
        <f>SUM(BW133:BW134)</f>
        <v>576.55947318761059</v>
      </c>
      <c r="BX135" s="1316">
        <f>SUM(BX133:BX134)</f>
        <v>642.94287128261499</v>
      </c>
      <c r="BY135" s="1316">
        <f>SUM(BY133:BY134)</f>
        <v>635.17739289131771</v>
      </c>
      <c r="BZ135" s="1316">
        <f>SUM(BZ133:BZ134)</f>
        <v>768.06896235218198</v>
      </c>
      <c r="CA135" s="1318">
        <f>SUM(CA133:CA134)</f>
        <v>2622.7486997137253</v>
      </c>
      <c r="CB135" s="1307"/>
      <c r="CC135" s="1316">
        <f>SUM(CC133:CC134)</f>
        <v>609.76634303680237</v>
      </c>
      <c r="CD135" s="1316">
        <f>SUM(CD133:CD134)</f>
        <v>675.47609966489892</v>
      </c>
      <c r="CE135" s="1316">
        <f>SUM(CE133:CE134)</f>
        <v>666.42839152814736</v>
      </c>
      <c r="CF135" s="1316">
        <f>SUM(CF133:CF134)</f>
        <v>800.64464009812389</v>
      </c>
      <c r="CG135" s="1318">
        <f>SUM(CG133:CG134)</f>
        <v>2752.3154743279729</v>
      </c>
      <c r="CH135" s="1307"/>
      <c r="CI135" s="1316">
        <f>SUM(CI133:CI134)</f>
        <v>644.90177492360704</v>
      </c>
      <c r="CJ135" s="1316">
        <f>SUM(CJ133:CJ134)</f>
        <v>709.71254217696151</v>
      </c>
      <c r="CK135" s="1316">
        <f>SUM(CK133:CK134)</f>
        <v>699.25143845966488</v>
      </c>
      <c r="CL135" s="1316">
        <f>SUM(CL133:CL134)</f>
        <v>834.79537649334588</v>
      </c>
      <c r="CM135" s="1318">
        <f>SUM(CM133:CM134)</f>
        <v>2888.6611320535794</v>
      </c>
    </row>
    <row r="137" spans="1:93" s="1333" customFormat="1" ht="11.25">
      <c r="A137" s="1334"/>
      <c r="B137" s="1335"/>
      <c r="C137" s="1336">
        <v>2007</v>
      </c>
      <c r="D137" s="1337"/>
      <c r="E137" s="1337"/>
      <c r="F137" s="1337"/>
      <c r="G137" s="1338">
        <v>2007</v>
      </c>
      <c r="H137" s="136"/>
      <c r="I137" s="1336">
        <f>C137+1</f>
        <v>2008</v>
      </c>
      <c r="J137" s="1337"/>
      <c r="K137" s="1337"/>
      <c r="L137" s="1339"/>
      <c r="M137" s="1338">
        <f>G137+1</f>
        <v>2008</v>
      </c>
      <c r="N137" s="1340"/>
      <c r="O137" s="1336">
        <f>I137+1</f>
        <v>2009</v>
      </c>
      <c r="P137" s="1337"/>
      <c r="Q137" s="1337"/>
      <c r="R137" s="1339"/>
      <c r="S137" s="1338">
        <f>M137+1</f>
        <v>2009</v>
      </c>
      <c r="T137" s="1340"/>
      <c r="U137" s="1336">
        <f>O137+1</f>
        <v>2010</v>
      </c>
      <c r="V137" s="1337"/>
      <c r="W137" s="1337"/>
      <c r="X137" s="1337"/>
      <c r="Y137" s="1338">
        <f>S137+1</f>
        <v>2010</v>
      </c>
      <c r="Z137" s="1340"/>
      <c r="AA137" s="1336">
        <f>U137+1</f>
        <v>2011</v>
      </c>
      <c r="AB137" s="1337"/>
      <c r="AC137" s="1337"/>
      <c r="AD137" s="1339"/>
      <c r="AE137" s="1338">
        <f>Y137+1</f>
        <v>2011</v>
      </c>
      <c r="AF137" s="1340"/>
      <c r="AG137" s="1336">
        <f>AA137+1</f>
        <v>2012</v>
      </c>
      <c r="AH137" s="1337"/>
      <c r="AI137" s="1337"/>
      <c r="AJ137" s="1337"/>
      <c r="AK137" s="1338">
        <f>AE137+1</f>
        <v>2012</v>
      </c>
      <c r="AL137" s="1340"/>
      <c r="AM137" s="1336">
        <f>AG137+1</f>
        <v>2013</v>
      </c>
      <c r="AN137" s="1337"/>
      <c r="AO137" s="1337"/>
      <c r="AP137" s="1337"/>
      <c r="AQ137" s="1338">
        <f>AK137+1</f>
        <v>2013</v>
      </c>
      <c r="AR137" s="1340"/>
      <c r="AS137" s="1336">
        <f>AM137+1</f>
        <v>2014</v>
      </c>
      <c r="AT137" s="1337"/>
      <c r="AU137" s="1337"/>
      <c r="AV137" s="1337"/>
      <c r="AW137" s="1338">
        <f>AQ137+1</f>
        <v>2014</v>
      </c>
      <c r="AX137" s="1340"/>
      <c r="AY137" s="133">
        <f>AS137+1</f>
        <v>2015</v>
      </c>
      <c r="AZ137" s="134"/>
      <c r="BA137" s="134"/>
      <c r="BB137" s="134"/>
      <c r="BC137" s="135">
        <f>AW137+1</f>
        <v>2015</v>
      </c>
      <c r="BD137" s="1340"/>
      <c r="BE137" s="133">
        <f>AY137+1</f>
        <v>2016</v>
      </c>
      <c r="BF137" s="134"/>
      <c r="BG137" s="134"/>
      <c r="BH137" s="134"/>
      <c r="BI137" s="135">
        <f>BC137+1</f>
        <v>2016</v>
      </c>
      <c r="BJ137" s="1340"/>
      <c r="BK137" s="1336">
        <f>BE137+1</f>
        <v>2017</v>
      </c>
      <c r="BL137" s="1337"/>
      <c r="BM137" s="1337"/>
      <c r="BN137" s="1337"/>
      <c r="BO137" s="1338">
        <f>BI137+1</f>
        <v>2017</v>
      </c>
      <c r="BP137" s="1340"/>
      <c r="BQ137" s="1341">
        <f>BK137+1</f>
        <v>2018</v>
      </c>
      <c r="BR137" s="1337"/>
      <c r="BS137" s="1337"/>
      <c r="BT137" s="1337"/>
      <c r="BU137" s="1342">
        <f>BO137+1</f>
        <v>2018</v>
      </c>
      <c r="BV137" s="1343"/>
      <c r="BW137" s="1341">
        <f>BQ137+1</f>
        <v>2019</v>
      </c>
      <c r="BX137" s="1337"/>
      <c r="BY137" s="1337"/>
      <c r="BZ137" s="1337"/>
      <c r="CA137" s="1342">
        <f>BU137+1</f>
        <v>2019</v>
      </c>
      <c r="CB137" s="1343"/>
      <c r="CC137" s="1341">
        <f>BW137+1</f>
        <v>2020</v>
      </c>
      <c r="CD137" s="1337"/>
      <c r="CE137" s="1337"/>
      <c r="CF137" s="1337"/>
      <c r="CG137" s="1342">
        <f>CA137+1</f>
        <v>2020</v>
      </c>
      <c r="CH137" s="1343"/>
      <c r="CI137" s="1341">
        <f>CC137+1</f>
        <v>2021</v>
      </c>
      <c r="CJ137" s="1337"/>
      <c r="CK137" s="1337"/>
      <c r="CL137" s="1337"/>
      <c r="CM137" s="1342">
        <f>CG137+1</f>
        <v>2021</v>
      </c>
    </row>
    <row r="138" spans="1:93" s="1333" customFormat="1" ht="12" thickBot="1">
      <c r="A138" s="1344"/>
      <c r="B138" s="1345"/>
      <c r="C138" s="1346">
        <v>39172</v>
      </c>
      <c r="D138" s="1347">
        <f>C138+FLOOR(365/4,1)</f>
        <v>39263</v>
      </c>
      <c r="E138" s="1347">
        <f>D138+FLOOR(365/4,1)+1</f>
        <v>39355</v>
      </c>
      <c r="F138" s="1347">
        <f>E138+FLOOR(365/4,1)+1</f>
        <v>39447</v>
      </c>
      <c r="G138" s="1348"/>
      <c r="H138" s="143"/>
      <c r="I138" s="1346">
        <f>C138+366</f>
        <v>39538</v>
      </c>
      <c r="J138" s="1347">
        <f>I138+FLOOR(365/4,1)</f>
        <v>39629</v>
      </c>
      <c r="K138" s="1347">
        <f>J138+FLOOR(365/4,1)+1</f>
        <v>39721</v>
      </c>
      <c r="L138" s="1349">
        <f>K138+FLOOR(365/4,1)+1</f>
        <v>39813</v>
      </c>
      <c r="M138" s="1348"/>
      <c r="N138" s="1350"/>
      <c r="O138" s="1346">
        <f>I138+365</f>
        <v>39903</v>
      </c>
      <c r="P138" s="1347">
        <f>O138+FLOOR(365/4,1)</f>
        <v>39994</v>
      </c>
      <c r="Q138" s="1347">
        <f>P138+FLOOR(365/4,1)+1</f>
        <v>40086</v>
      </c>
      <c r="R138" s="1349">
        <f>Q138+FLOOR(365/4,1)+1</f>
        <v>40178</v>
      </c>
      <c r="S138" s="1348"/>
      <c r="T138" s="1350"/>
      <c r="U138" s="1346">
        <f>O138+365</f>
        <v>40268</v>
      </c>
      <c r="V138" s="1347">
        <f>U138+FLOOR(365/4,1)</f>
        <v>40359</v>
      </c>
      <c r="W138" s="1347">
        <f>V138+FLOOR(365/4,1)+1</f>
        <v>40451</v>
      </c>
      <c r="X138" s="1347">
        <f>W138+FLOOR(365/4,1)+1</f>
        <v>40543</v>
      </c>
      <c r="Y138" s="1348"/>
      <c r="Z138" s="1350"/>
      <c r="AA138" s="1346">
        <f>U138+365</f>
        <v>40633</v>
      </c>
      <c r="AB138" s="1347">
        <f>AA138+FLOOR(365/4,1)</f>
        <v>40724</v>
      </c>
      <c r="AC138" s="1347">
        <f>AB138+FLOOR(365/4,1)+1</f>
        <v>40816</v>
      </c>
      <c r="AD138" s="1349">
        <f>AC138+FLOOR(365/4,1)+1</f>
        <v>40908</v>
      </c>
      <c r="AE138" s="1348"/>
      <c r="AF138" s="1350"/>
      <c r="AG138" s="1346">
        <f>AA138+366</f>
        <v>40999</v>
      </c>
      <c r="AH138" s="1347">
        <f>AG138+FLOOR(365/4,1)</f>
        <v>41090</v>
      </c>
      <c r="AI138" s="1347">
        <f>AH138+FLOOR(365/4,1)+1</f>
        <v>41182</v>
      </c>
      <c r="AJ138" s="1347">
        <f>AI138+FLOOR(365/4,1)+1</f>
        <v>41274</v>
      </c>
      <c r="AK138" s="1348"/>
      <c r="AL138" s="1350"/>
      <c r="AM138" s="1346">
        <f>AG138+365</f>
        <v>41364</v>
      </c>
      <c r="AN138" s="1347">
        <f>AM138+FLOOR(365/4,1)</f>
        <v>41455</v>
      </c>
      <c r="AO138" s="1347">
        <f>AN138+FLOOR(365/4,1)+1</f>
        <v>41547</v>
      </c>
      <c r="AP138" s="1347">
        <f>AO138+FLOOR(365/4,1)+1</f>
        <v>41639</v>
      </c>
      <c r="AQ138" s="1348"/>
      <c r="AR138" s="1350"/>
      <c r="AS138" s="1346">
        <f>AM138+365</f>
        <v>41729</v>
      </c>
      <c r="AT138" s="1347">
        <f>AS138+FLOOR(365/4,1)</f>
        <v>41820</v>
      </c>
      <c r="AU138" s="1347">
        <f>AT138+FLOOR(365/4,1)+1</f>
        <v>41912</v>
      </c>
      <c r="AV138" s="1347">
        <f>AU138+FLOOR(365/4,1)+1</f>
        <v>42004</v>
      </c>
      <c r="AW138" s="1348"/>
      <c r="AX138" s="1350"/>
      <c r="AY138" s="140">
        <f>AS138+365</f>
        <v>42094</v>
      </c>
      <c r="AZ138" s="141">
        <f>AY138+FLOOR(365/4,1)</f>
        <v>42185</v>
      </c>
      <c r="BA138" s="141">
        <f>AZ138+FLOOR(365/4,1)+1</f>
        <v>42277</v>
      </c>
      <c r="BB138" s="141">
        <f>BA138+FLOOR(365/4,1)+1</f>
        <v>42369</v>
      </c>
      <c r="BC138" s="142"/>
      <c r="BD138" s="1350"/>
      <c r="BE138" s="140">
        <f>AY138+365+1</f>
        <v>42460</v>
      </c>
      <c r="BF138" s="141">
        <f>BE138+FLOOR(365/4,1)</f>
        <v>42551</v>
      </c>
      <c r="BG138" s="141">
        <f>BF138+FLOOR(365/4,1)+1</f>
        <v>42643</v>
      </c>
      <c r="BH138" s="141">
        <f>BG138+FLOOR(365/4,1)+1</f>
        <v>42735</v>
      </c>
      <c r="BI138" s="142"/>
      <c r="BJ138" s="1350"/>
      <c r="BK138" s="140">
        <f>BE138+365</f>
        <v>42825</v>
      </c>
      <c r="BL138" s="141">
        <f>BK138+FLOOR(365/4,1)</f>
        <v>42916</v>
      </c>
      <c r="BM138" s="141">
        <f>BL138+FLOOR(365/4,1)+1</f>
        <v>43008</v>
      </c>
      <c r="BN138" s="141">
        <f>BM138+FLOOR(365/4,1)+1</f>
        <v>43100</v>
      </c>
      <c r="BO138" s="1348"/>
      <c r="BP138" s="1350"/>
      <c r="BQ138" s="1351">
        <f>BK138+365</f>
        <v>43190</v>
      </c>
      <c r="BR138" s="1352">
        <f>BQ138+FLOOR(365/4,1)</f>
        <v>43281</v>
      </c>
      <c r="BS138" s="1352">
        <f>BR138+FLOOR(365/4,1)+1</f>
        <v>43373</v>
      </c>
      <c r="BT138" s="1352">
        <f>BS138+FLOOR(365/4,1)+1</f>
        <v>43465</v>
      </c>
      <c r="BU138" s="1348"/>
      <c r="BW138" s="1351">
        <f>BQ138+365</f>
        <v>43555</v>
      </c>
      <c r="BX138" s="1352">
        <f>BW138+FLOOR(365/4,1)</f>
        <v>43646</v>
      </c>
      <c r="BY138" s="1352">
        <f>BX138+FLOOR(365/4,1)+1</f>
        <v>43738</v>
      </c>
      <c r="BZ138" s="1352">
        <f>BY138+FLOOR(365/4,1)+1</f>
        <v>43830</v>
      </c>
      <c r="CA138" s="1348"/>
      <c r="CC138" s="1351">
        <f>BW138+365</f>
        <v>43920</v>
      </c>
      <c r="CD138" s="1352">
        <f>CC138+FLOOR(365/4,1)</f>
        <v>44011</v>
      </c>
      <c r="CE138" s="1352">
        <f>CD138+FLOOR(365/4,1)+1</f>
        <v>44103</v>
      </c>
      <c r="CF138" s="1352">
        <f>CE138+FLOOR(365/4,1)+1</f>
        <v>44195</v>
      </c>
      <c r="CG138" s="1348"/>
      <c r="CI138" s="1351">
        <f>CC138+365</f>
        <v>44285</v>
      </c>
      <c r="CJ138" s="1352">
        <f>CI138+FLOOR(365/4,1)</f>
        <v>44376</v>
      </c>
      <c r="CK138" s="1352">
        <f>CJ138+FLOOR(365/4,1)+1</f>
        <v>44468</v>
      </c>
      <c r="CL138" s="1352">
        <f>CK138+FLOOR(365/4,1)+1</f>
        <v>44560</v>
      </c>
      <c r="CM138" s="1348"/>
      <c r="CO138" s="2043"/>
    </row>
    <row r="139" spans="1:93" s="1333" customFormat="1" ht="13.5" customHeight="1">
      <c r="A139" s="1353" t="s">
        <v>31</v>
      </c>
      <c r="B139" s="1354"/>
      <c r="C139" s="1355"/>
      <c r="D139" s="1354"/>
      <c r="E139" s="1354"/>
      <c r="F139" s="1354"/>
      <c r="G139" s="1356"/>
      <c r="H139" s="1354"/>
      <c r="I139" s="1355"/>
      <c r="J139" s="1354"/>
      <c r="K139" s="1354"/>
      <c r="L139" s="1357"/>
      <c r="M139" s="1356"/>
      <c r="N139" s="1354"/>
      <c r="O139" s="1355"/>
      <c r="P139" s="1354"/>
      <c r="Q139" s="1354"/>
      <c r="R139" s="1357"/>
      <c r="S139" s="1356"/>
      <c r="T139" s="1354"/>
      <c r="U139" s="1355"/>
      <c r="V139" s="1354"/>
      <c r="W139" s="1354"/>
      <c r="X139" s="1354"/>
      <c r="Y139" s="1356"/>
      <c r="Z139" s="1354"/>
      <c r="AA139" s="1355"/>
      <c r="AB139" s="1354"/>
      <c r="AC139" s="1354"/>
      <c r="AD139" s="1357"/>
      <c r="AE139" s="1356"/>
      <c r="AF139" s="1354"/>
      <c r="AG139" s="1355"/>
      <c r="AH139" s="1354"/>
      <c r="AI139" s="1354"/>
      <c r="AJ139" s="1354"/>
      <c r="AK139" s="1356"/>
      <c r="AL139" s="1354"/>
      <c r="AM139" s="1355"/>
      <c r="AN139" s="1354"/>
      <c r="AO139" s="1354"/>
      <c r="AP139" s="1357"/>
      <c r="AQ139" s="1356"/>
      <c r="AR139" s="1354"/>
      <c r="AS139" s="1355"/>
      <c r="AT139" s="1354"/>
      <c r="AU139" s="1354"/>
      <c r="AV139" s="1354"/>
      <c r="AW139" s="1356"/>
      <c r="AX139" s="1354"/>
      <c r="AY139" s="1355"/>
      <c r="AZ139" s="1354"/>
      <c r="BA139" s="1354"/>
      <c r="BB139" s="1357"/>
      <c r="BC139" s="1356"/>
      <c r="BD139" s="1354"/>
      <c r="BE139" s="1355"/>
      <c r="BF139" s="1354"/>
      <c r="BG139" s="1354"/>
      <c r="BH139" s="1357"/>
      <c r="BI139" s="1356"/>
      <c r="BJ139" s="1354"/>
      <c r="BK139" s="1355"/>
      <c r="BL139" s="1354"/>
      <c r="BM139" s="1354"/>
      <c r="BN139" s="1354"/>
      <c r="BO139" s="1356"/>
      <c r="BP139" s="1354"/>
      <c r="BQ139" s="1355"/>
      <c r="BR139" s="1354"/>
      <c r="BS139" s="1354"/>
      <c r="BT139" s="1354"/>
      <c r="BU139" s="1356"/>
      <c r="BV139" s="1924"/>
      <c r="BW139" s="1355"/>
      <c r="BX139" s="1354"/>
      <c r="BY139" s="1354"/>
      <c r="BZ139" s="1354"/>
      <c r="CA139" s="1356"/>
      <c r="CB139" s="1924"/>
      <c r="CC139" s="1355"/>
      <c r="CD139" s="1354"/>
      <c r="CE139" s="1354"/>
      <c r="CF139" s="1354"/>
      <c r="CG139" s="1356"/>
      <c r="CH139" s="1924"/>
      <c r="CI139" s="1355"/>
      <c r="CJ139" s="1354"/>
      <c r="CK139" s="1354"/>
      <c r="CL139" s="1354"/>
      <c r="CM139" s="1356"/>
      <c r="CO139" s="2043"/>
    </row>
    <row r="140" spans="1:93" s="1359" customFormat="1" ht="11.25">
      <c r="A140" s="1358" t="s">
        <v>465</v>
      </c>
      <c r="C140" s="1360"/>
      <c r="D140" s="1361"/>
      <c r="E140" s="1361"/>
      <c r="F140" s="1361"/>
      <c r="G140" s="1362"/>
      <c r="H140" s="1363"/>
      <c r="I140" s="1360"/>
      <c r="J140" s="1361"/>
      <c r="K140" s="1361"/>
      <c r="L140" s="1364"/>
      <c r="M140" s="1365"/>
      <c r="N140" s="1363"/>
      <c r="O140" s="1360"/>
      <c r="P140" s="1361"/>
      <c r="Q140" s="1361"/>
      <c r="R140" s="1364"/>
      <c r="S140" s="1365"/>
      <c r="T140" s="1363"/>
      <c r="U140" s="1366">
        <f t="shared" ref="U140:X146" si="42">IF(ISERROR(U$16*U150),"NM",U$16*U150)</f>
        <v>111.76966095908962</v>
      </c>
      <c r="V140" s="1363">
        <f t="shared" si="42"/>
        <v>118.86887344671412</v>
      </c>
      <c r="W140" s="1363">
        <f t="shared" si="42"/>
        <v>121.90340302341957</v>
      </c>
      <c r="X140" s="1364">
        <f t="shared" si="42"/>
        <v>146.9930625707768</v>
      </c>
      <c r="Y140" s="1365">
        <v>499.53500000000003</v>
      </c>
      <c r="Z140" s="1363"/>
      <c r="AA140" s="1366">
        <f t="shared" ref="AA140:AD146" si="43">IF(ISERROR(AA$16*AA150),"NM",AA$16*AA150)</f>
        <v>122.56410892596307</v>
      </c>
      <c r="AB140" s="1363">
        <f t="shared" si="43"/>
        <v>128.30360026988137</v>
      </c>
      <c r="AC140" s="1363">
        <f t="shared" si="43"/>
        <v>130.28335789635176</v>
      </c>
      <c r="AD140" s="1364">
        <f t="shared" si="43"/>
        <v>149.45493290780385</v>
      </c>
      <c r="AE140" s="1365">
        <v>530.60599999999999</v>
      </c>
      <c r="AF140" s="1363"/>
      <c r="AG140" s="1360">
        <v>117.254</v>
      </c>
      <c r="AH140" s="1361">
        <v>137.55000000000001</v>
      </c>
      <c r="AI140" s="1361">
        <v>132.298</v>
      </c>
      <c r="AJ140" s="1364">
        <f>AK140-SUM(AG140:AI140)</f>
        <v>144.81</v>
      </c>
      <c r="AK140" s="1365">
        <v>531.91200000000003</v>
      </c>
      <c r="AL140" s="1363"/>
      <c r="AM140" s="1360">
        <v>124.554</v>
      </c>
      <c r="AN140" s="1361">
        <v>134.58000000000001</v>
      </c>
      <c r="AO140" s="1361">
        <v>139.60300000000001</v>
      </c>
      <c r="AP140" s="1364">
        <f>AQ140-SUM(AM140:AO140)</f>
        <v>158.99700000000001</v>
      </c>
      <c r="AQ140" s="1365">
        <v>557.73400000000004</v>
      </c>
      <c r="AR140" s="1363"/>
      <c r="AS140" s="1360">
        <v>122.179</v>
      </c>
      <c r="AT140" s="1361">
        <v>149.19200000000001</v>
      </c>
      <c r="AU140" s="1361">
        <v>150.83500000000001</v>
      </c>
      <c r="AV140" s="1364">
        <f>AW140-SUM(AS140:AU140)</f>
        <v>174.34299999999996</v>
      </c>
      <c r="AW140" s="1365">
        <v>596.54899999999998</v>
      </c>
      <c r="AX140" s="1363"/>
      <c r="AY140" s="1360">
        <v>146.375</v>
      </c>
      <c r="AZ140" s="1361">
        <v>159.696</v>
      </c>
      <c r="BA140" s="1361">
        <v>169.78299999999999</v>
      </c>
      <c r="BB140" s="1361">
        <f>656.361-SUM(AY140:BA140)</f>
        <v>180.50699999999995</v>
      </c>
      <c r="BC140" s="1417">
        <f t="shared" ref="BC140:BC145" si="44">+SUM(AY140:BB140)</f>
        <v>656.36099999999999</v>
      </c>
      <c r="BD140" s="1363"/>
      <c r="BE140" s="1360">
        <v>148.95400000000001</v>
      </c>
      <c r="BF140" s="1361">
        <v>168.37700000000001</v>
      </c>
      <c r="BG140" s="1361">
        <v>168.614</v>
      </c>
      <c r="BH140" s="1361">
        <f>665.28-SUM(BE140:BG140)</f>
        <v>179.33499999999992</v>
      </c>
      <c r="BI140" s="1417">
        <f t="shared" ref="BI140:BI145" si="45">+SUM(BE140:BH140)</f>
        <v>665.28</v>
      </c>
      <c r="BJ140" s="1363"/>
      <c r="BK140" s="1360">
        <v>139.23400000000001</v>
      </c>
      <c r="BL140" s="1361">
        <v>164.374</v>
      </c>
      <c r="BM140" s="1361">
        <v>171.053</v>
      </c>
      <c r="BN140" s="1361">
        <f>669.274-SUM(BK140:BM140)</f>
        <v>194.613</v>
      </c>
      <c r="BO140" s="1417">
        <f t="shared" ref="BO140:BO145" si="46">+SUM(BK140:BN140)</f>
        <v>669.274</v>
      </c>
      <c r="BP140" s="1363"/>
      <c r="BQ140" s="1366">
        <f t="shared" ref="BQ140:BU141" si="47">IF(ISERROR(BQ$16*BQ150),"NM",BQ$16*BQ150)</f>
        <v>156.83776110272947</v>
      </c>
      <c r="BR140" s="1363">
        <f t="shared" si="47"/>
        <v>176.04279725847863</v>
      </c>
      <c r="BS140" s="1363">
        <f t="shared" si="47"/>
        <v>174.35958690111119</v>
      </c>
      <c r="BT140" s="1363">
        <f t="shared" si="47"/>
        <v>212.18239230797676</v>
      </c>
      <c r="BU140" s="1417">
        <f t="shared" si="47"/>
        <v>719.42253757029619</v>
      </c>
      <c r="BW140" s="1366">
        <f t="shared" ref="BW140:CA141" si="48">IF(ISERROR(BW$16*BW150),"NM",BW$16*BW150)</f>
        <v>167.11270249777829</v>
      </c>
      <c r="BX140" s="1363">
        <f t="shared" si="48"/>
        <v>186.35357802326331</v>
      </c>
      <c r="BY140" s="1363">
        <f t="shared" si="48"/>
        <v>184.10279533646926</v>
      </c>
      <c r="BZ140" s="1363">
        <f t="shared" si="48"/>
        <v>222.6207112576077</v>
      </c>
      <c r="CA140" s="1417">
        <f t="shared" si="48"/>
        <v>760.18978711511852</v>
      </c>
      <c r="CC140" s="1366">
        <f t="shared" ref="CC140:CG141" si="49">IF(ISERROR(CC$16*CC150),"NM",CC$16*CC150)</f>
        <v>176.7375374368527</v>
      </c>
      <c r="CD140" s="1363">
        <f t="shared" si="49"/>
        <v>195.7831615593434</v>
      </c>
      <c r="CE140" s="1363">
        <f t="shared" si="49"/>
        <v>193.16073138785666</v>
      </c>
      <c r="CF140" s="1363">
        <f t="shared" si="49"/>
        <v>232.06259851639132</v>
      </c>
      <c r="CG140" s="1417">
        <f t="shared" si="49"/>
        <v>797.74402890044416</v>
      </c>
      <c r="CI140" s="1366">
        <f t="shared" ref="CI140:CM141" si="50">IF(ISERROR(CI$16*CI150),"NM",CI$16*CI150)</f>
        <v>186.9213558442903</v>
      </c>
      <c r="CJ140" s="1363">
        <f t="shared" si="50"/>
        <v>205.70641266901495</v>
      </c>
      <c r="CK140" s="1363">
        <f t="shared" si="50"/>
        <v>202.67431729186015</v>
      </c>
      <c r="CL140" s="1363">
        <f t="shared" si="50"/>
        <v>241.96100816308828</v>
      </c>
      <c r="CM140" s="1417">
        <f t="shared" si="50"/>
        <v>837.26309396825366</v>
      </c>
    </row>
    <row r="141" spans="1:93" s="1368" customFormat="1" ht="11.25">
      <c r="A141" s="1367" t="s">
        <v>459</v>
      </c>
      <c r="C141" s="1360"/>
      <c r="D141" s="1361"/>
      <c r="E141" s="1361"/>
      <c r="F141" s="1361"/>
      <c r="G141" s="1362"/>
      <c r="H141" s="1363"/>
      <c r="I141" s="1360"/>
      <c r="J141" s="1361"/>
      <c r="K141" s="1361"/>
      <c r="L141" s="1364"/>
      <c r="M141" s="1365"/>
      <c r="N141" s="1363"/>
      <c r="O141" s="1360"/>
      <c r="P141" s="1361"/>
      <c r="Q141" s="1361"/>
      <c r="R141" s="1364"/>
      <c r="S141" s="1365"/>
      <c r="T141" s="1363"/>
      <c r="U141" s="1366">
        <f t="shared" si="42"/>
        <v>110.6739699069778</v>
      </c>
      <c r="V141" s="1363">
        <f t="shared" si="42"/>
        <v>117.70358798469731</v>
      </c>
      <c r="W141" s="1363">
        <f t="shared" si="42"/>
        <v>120.7083697132297</v>
      </c>
      <c r="X141" s="1363">
        <f t="shared" si="42"/>
        <v>145.55207239509519</v>
      </c>
      <c r="Y141" s="1365">
        <v>494.63799999999998</v>
      </c>
      <c r="Z141" s="1363"/>
      <c r="AA141" s="1366">
        <f t="shared" si="43"/>
        <v>132.76550375867552</v>
      </c>
      <c r="AB141" s="1363">
        <f t="shared" si="43"/>
        <v>138.98271095147757</v>
      </c>
      <c r="AC141" s="1363">
        <f t="shared" si="43"/>
        <v>141.12725000864313</v>
      </c>
      <c r="AD141" s="1363">
        <f t="shared" si="43"/>
        <v>161.89453528120376</v>
      </c>
      <c r="AE141" s="1365">
        <v>574.77</v>
      </c>
      <c r="AF141" s="1363"/>
      <c r="AG141" s="1360">
        <v>124.90600000000001</v>
      </c>
      <c r="AH141" s="1361">
        <v>125.41500000000001</v>
      </c>
      <c r="AI141" s="1361">
        <v>126.881</v>
      </c>
      <c r="AJ141" s="1363">
        <f>AK141-SUM(AG141:AI141)</f>
        <v>172.13900000000001</v>
      </c>
      <c r="AK141" s="1365">
        <v>549.34100000000001</v>
      </c>
      <c r="AL141" s="1363"/>
      <c r="AM141" s="1360">
        <v>123.429</v>
      </c>
      <c r="AN141" s="1361">
        <v>134.185</v>
      </c>
      <c r="AO141" s="1361">
        <v>130.32599999999999</v>
      </c>
      <c r="AP141" s="1363">
        <f>AQ141-SUM(AM141:AO141)</f>
        <v>185.84599999999989</v>
      </c>
      <c r="AQ141" s="1365">
        <v>573.78599999999994</v>
      </c>
      <c r="AR141" s="1363"/>
      <c r="AS141" s="1360">
        <v>132.928</v>
      </c>
      <c r="AT141" s="1361">
        <v>143.71299999999999</v>
      </c>
      <c r="AU141" s="1361">
        <v>144.07599999999999</v>
      </c>
      <c r="AV141" s="1363">
        <f>AW141-SUM(AS141:AU141)</f>
        <v>186.36300000000006</v>
      </c>
      <c r="AW141" s="1365">
        <v>607.08000000000004</v>
      </c>
      <c r="AX141" s="1363"/>
      <c r="AY141" s="1360">
        <v>124.401</v>
      </c>
      <c r="AZ141" s="1361">
        <v>127.414</v>
      </c>
      <c r="BA141" s="1361">
        <v>132.10400000000001</v>
      </c>
      <c r="BB141" s="1361">
        <f>555.886-SUM(AY141:BA141)</f>
        <v>171.96699999999998</v>
      </c>
      <c r="BC141" s="1362">
        <f t="shared" si="44"/>
        <v>555.88599999999997</v>
      </c>
      <c r="BD141" s="1363"/>
      <c r="BE141" s="1360">
        <v>125.032</v>
      </c>
      <c r="BF141" s="1361">
        <v>143.31700000000001</v>
      </c>
      <c r="BG141" s="1361">
        <v>128.191</v>
      </c>
      <c r="BH141" s="1361">
        <f>577.257-SUM(BE141:BG141)</f>
        <v>180.71699999999998</v>
      </c>
      <c r="BI141" s="1362">
        <f t="shared" si="45"/>
        <v>577.25699999999995</v>
      </c>
      <c r="BJ141" s="1363"/>
      <c r="BK141" s="1360">
        <v>128.21299999999999</v>
      </c>
      <c r="BL141" s="1361">
        <v>145.96100000000001</v>
      </c>
      <c r="BM141" s="1361">
        <v>153.232</v>
      </c>
      <c r="BN141" s="1361">
        <f>636.472-SUM(BK141:BM141)</f>
        <v>209.06600000000003</v>
      </c>
      <c r="BO141" s="1362">
        <f t="shared" si="46"/>
        <v>636.47199999999998</v>
      </c>
      <c r="BP141" s="1363"/>
      <c r="BQ141" s="1366">
        <f t="shared" si="47"/>
        <v>149.15093591649523</v>
      </c>
      <c r="BR141" s="1363">
        <f t="shared" si="47"/>
        <v>167.41470796220742</v>
      </c>
      <c r="BS141" s="1363">
        <f t="shared" si="47"/>
        <v>165.81399396080533</v>
      </c>
      <c r="BT141" s="1363">
        <f t="shared" si="47"/>
        <v>201.78305387187098</v>
      </c>
      <c r="BU141" s="1362">
        <f t="shared" si="47"/>
        <v>684.16269171137901</v>
      </c>
      <c r="BW141" s="1366">
        <f t="shared" si="48"/>
        <v>158.92228890434401</v>
      </c>
      <c r="BX141" s="1363">
        <f t="shared" si="48"/>
        <v>177.22014378509016</v>
      </c>
      <c r="BY141" s="1363">
        <f t="shared" si="48"/>
        <v>175.07967492147199</v>
      </c>
      <c r="BZ141" s="1363">
        <f t="shared" si="48"/>
        <v>211.70977706522601</v>
      </c>
      <c r="CA141" s="1362">
        <f t="shared" si="48"/>
        <v>722.9318846761322</v>
      </c>
      <c r="CC141" s="1366">
        <f t="shared" si="49"/>
        <v>168.07539800964702</v>
      </c>
      <c r="CD141" s="1363">
        <f t="shared" si="49"/>
        <v>186.187571015755</v>
      </c>
      <c r="CE141" s="1363">
        <f t="shared" si="49"/>
        <v>183.69366960003211</v>
      </c>
      <c r="CF141" s="1363">
        <f t="shared" si="49"/>
        <v>220.68890499694385</v>
      </c>
      <c r="CG141" s="1362">
        <f t="shared" si="49"/>
        <v>758.645543622378</v>
      </c>
      <c r="CI141" s="1366">
        <f t="shared" si="50"/>
        <v>177.76009406749273</v>
      </c>
      <c r="CJ141" s="1363">
        <f t="shared" si="50"/>
        <v>195.62447052219761</v>
      </c>
      <c r="CK141" s="1363">
        <f t="shared" si="50"/>
        <v>192.7409821319591</v>
      </c>
      <c r="CL141" s="1363">
        <f t="shared" si="50"/>
        <v>230.10218055322201</v>
      </c>
      <c r="CM141" s="1362">
        <f t="shared" si="50"/>
        <v>796.22772727487143</v>
      </c>
    </row>
    <row r="142" spans="1:93" s="1368" customFormat="1" ht="11.25">
      <c r="A142" s="1367" t="s">
        <v>461</v>
      </c>
      <c r="C142" s="1360"/>
      <c r="D142" s="1361"/>
      <c r="E142" s="1361"/>
      <c r="F142" s="1361"/>
      <c r="G142" s="1362"/>
      <c r="H142" s="1363"/>
      <c r="I142" s="1360"/>
      <c r="J142" s="1361"/>
      <c r="K142" s="1361"/>
      <c r="L142" s="1364"/>
      <c r="M142" s="1365"/>
      <c r="N142" s="1363"/>
      <c r="O142" s="1360"/>
      <c r="P142" s="1361"/>
      <c r="Q142" s="1361"/>
      <c r="R142" s="1364"/>
      <c r="S142" s="1365"/>
      <c r="T142" s="1363"/>
      <c r="U142" s="1366">
        <f>SUM(U143:U145)</f>
        <v>120.96881185076288</v>
      </c>
      <c r="V142" s="1363">
        <f>SUM(V143:V145)</f>
        <v>128.65232177943994</v>
      </c>
      <c r="W142" s="1363">
        <f>SUM(W143:W145)</f>
        <v>131.9366069268595</v>
      </c>
      <c r="X142" s="1363">
        <f>SUM(X143:X145)</f>
        <v>159.09125944293771</v>
      </c>
      <c r="Y142" s="1440">
        <f>SUM(Y143:Y145)</f>
        <v>540.649</v>
      </c>
      <c r="Z142" s="1363"/>
      <c r="AA142" s="1366">
        <f>SUM(AA143:AA145)</f>
        <v>140.7609543686635</v>
      </c>
      <c r="AB142" s="1363">
        <f>SUM(AB143:AB145)</f>
        <v>147.35257638786854</v>
      </c>
      <c r="AC142" s="1363">
        <f>SUM(AC143:AC145)</f>
        <v>149.62626462631485</v>
      </c>
      <c r="AD142" s="1363">
        <f>SUM(AD143:AD145)</f>
        <v>171.64420461715309</v>
      </c>
      <c r="AE142" s="1440">
        <f>SUM(AE143:AE145)</f>
        <v>609.38400000000001</v>
      </c>
      <c r="AF142" s="1363"/>
      <c r="AG142" s="1441">
        <f>SUM(AG143:AG145)</f>
        <v>151.90600000000001</v>
      </c>
      <c r="AH142" s="1442">
        <f>SUM(AH143:AH145)</f>
        <v>157.649</v>
      </c>
      <c r="AI142" s="1442">
        <f>SUM(AI143:AI145)</f>
        <v>158.16900000000001</v>
      </c>
      <c r="AJ142" s="1363">
        <f>SUM(AJ143:AJ145)</f>
        <v>167.929</v>
      </c>
      <c r="AK142" s="1440">
        <f>SUM(AK143:AK145)</f>
        <v>635.65300000000002</v>
      </c>
      <c r="AL142" s="1363"/>
      <c r="AM142" s="1441">
        <f>SUM(AM143:AM145)</f>
        <v>146.96600000000001</v>
      </c>
      <c r="AN142" s="1442">
        <f>SUM(AN143:AN145)</f>
        <v>148.48000000000002</v>
      </c>
      <c r="AO142" s="1442">
        <f>SUM(AO143:AO145)</f>
        <v>154.791</v>
      </c>
      <c r="AP142" s="1363">
        <f>SUM(AP143:AP145)</f>
        <v>176.642</v>
      </c>
      <c r="AQ142" s="1440">
        <f>SUM(AQ143:AQ145)</f>
        <v>626.87900000000002</v>
      </c>
      <c r="AR142" s="1363"/>
      <c r="AS142" s="1441">
        <f>SUM(AS143:AS145)</f>
        <v>146.268</v>
      </c>
      <c r="AT142" s="1442">
        <f>SUM(AT143:AT145)</f>
        <v>152.30700000000002</v>
      </c>
      <c r="AU142" s="1442">
        <f>SUM(AU143:AU145)</f>
        <v>160.62899999999999</v>
      </c>
      <c r="AV142" s="1363">
        <f>SUM(AV143:AV145)</f>
        <v>180.82400000000001</v>
      </c>
      <c r="AW142" s="1440">
        <f>SUM(AW143:AW145)</f>
        <v>640.02800000000002</v>
      </c>
      <c r="AX142" s="1363"/>
      <c r="AY142" s="1441">
        <f>SUM(AY143:AY145)</f>
        <v>158.423</v>
      </c>
      <c r="AZ142" s="1442">
        <f>SUM(AZ143:AZ145)</f>
        <v>174.67399999999998</v>
      </c>
      <c r="BA142" s="1442">
        <f>SUM(BA143:BA145)</f>
        <v>167.899</v>
      </c>
      <c r="BB142" s="1442">
        <f>SUM(BB143:BB145)</f>
        <v>194.96700000000001</v>
      </c>
      <c r="BC142" s="1440">
        <f t="shared" si="44"/>
        <v>695.96299999999997</v>
      </c>
      <c r="BD142" s="1363"/>
      <c r="BE142" s="1441">
        <f>SUM(BE143:BE145)</f>
        <v>171.47300000000001</v>
      </c>
      <c r="BF142" s="1442">
        <f>SUM(BF143:BF145)</f>
        <v>190.34800000000001</v>
      </c>
      <c r="BG142" s="1442">
        <f>SUM(BG143:BG145)</f>
        <v>195.51499999999999</v>
      </c>
      <c r="BH142" s="1442">
        <f>SUM(BH143:BH145)</f>
        <v>225.648</v>
      </c>
      <c r="BI142" s="1440">
        <f t="shared" si="45"/>
        <v>782.98400000000004</v>
      </c>
      <c r="BJ142" s="1363"/>
      <c r="BK142" s="1441">
        <f>SUM(BK143:BK145)</f>
        <v>195.10599999999999</v>
      </c>
      <c r="BL142" s="1442">
        <f>SUM(BL143:BL145)</f>
        <v>215.70300000000003</v>
      </c>
      <c r="BM142" s="1442">
        <f>SUM(BM143:BM145)</f>
        <v>209.339</v>
      </c>
      <c r="BN142" s="1442">
        <f>SUM(BN143:BN145)</f>
        <v>242.46900000000002</v>
      </c>
      <c r="BO142" s="1440">
        <f t="shared" si="46"/>
        <v>862.61700000000008</v>
      </c>
      <c r="BP142" s="1363"/>
      <c r="BQ142" s="1441">
        <f>SUM(BQ143:BQ145)</f>
        <v>202.14578628357478</v>
      </c>
      <c r="BR142" s="1442">
        <f>SUM(BR143:BR145)</f>
        <v>226.89886301084022</v>
      </c>
      <c r="BS142" s="1442">
        <f>SUM(BS143:BS145)</f>
        <v>224.72939898139751</v>
      </c>
      <c r="BT142" s="1363">
        <f>SUM(BT143:BT145)</f>
        <v>273.47863312414648</v>
      </c>
      <c r="BU142" s="1440">
        <f>SUM(BU143:BU145)</f>
        <v>927.2526813999591</v>
      </c>
      <c r="BW142" s="1441">
        <f>SUM(BW143:BW145)</f>
        <v>215.38900075384078</v>
      </c>
      <c r="BX142" s="1442">
        <f>SUM(BX143:BX145)</f>
        <v>240.18827029541464</v>
      </c>
      <c r="BY142" s="1442">
        <f>SUM(BY143:BY145)</f>
        <v>237.28727099029561</v>
      </c>
      <c r="BZ142" s="1363">
        <f>SUM(BZ143:BZ145)</f>
        <v>286.93242242027003</v>
      </c>
      <c r="CA142" s="1440">
        <f>SUM(CA143:CA145)</f>
        <v>979.79696445982108</v>
      </c>
      <c r="CC142" s="1441">
        <f>SUM(CC143:CC145)</f>
        <v>227.7943029778022</v>
      </c>
      <c r="CD142" s="1442">
        <f>SUM(CD143:CD145)</f>
        <v>252.34191597886092</v>
      </c>
      <c r="CE142" s="1442">
        <f>SUM(CE143:CE145)</f>
        <v>248.96190592731642</v>
      </c>
      <c r="CF142" s="1363">
        <f>SUM(CF143:CF145)</f>
        <v>299.10192618331797</v>
      </c>
      <c r="CG142" s="1440">
        <f>SUM(CG143:CG145)</f>
        <v>1028.2000510672974</v>
      </c>
      <c r="CI142" s="1441">
        <f>SUM(CI143:CI145)</f>
        <v>240.92007042606494</v>
      </c>
      <c r="CJ142" s="1442">
        <f>SUM(CJ143:CJ145)</f>
        <v>265.13184223099609</v>
      </c>
      <c r="CK142" s="1442">
        <f>SUM(CK143:CK145)</f>
        <v>261.22382097519483</v>
      </c>
      <c r="CL142" s="1363">
        <f>SUM(CL143:CL145)</f>
        <v>311.85983465459401</v>
      </c>
      <c r="CM142" s="1440">
        <f>SUM(CM143:CM145)</f>
        <v>1079.1355682868498</v>
      </c>
    </row>
    <row r="143" spans="1:93" s="1370" customFormat="1" ht="11.25" hidden="1" outlineLevel="1">
      <c r="A143" s="1369" t="s">
        <v>13</v>
      </c>
      <c r="C143" s="1371"/>
      <c r="D143" s="1372"/>
      <c r="E143" s="1372"/>
      <c r="F143" s="1372"/>
      <c r="G143" s="1373"/>
      <c r="H143" s="1372"/>
      <c r="I143" s="1371"/>
      <c r="J143" s="1372"/>
      <c r="K143" s="1372"/>
      <c r="L143" s="1374"/>
      <c r="M143" s="1373"/>
      <c r="N143" s="1372"/>
      <c r="O143" s="1371"/>
      <c r="P143" s="1372"/>
      <c r="Q143" s="1372"/>
      <c r="R143" s="1374"/>
      <c r="S143" s="1373"/>
      <c r="T143" s="1372"/>
      <c r="U143" s="1371">
        <f t="shared" si="42"/>
        <v>32.97790657130983</v>
      </c>
      <c r="V143" s="1372">
        <f t="shared" si="42"/>
        <v>35.072546244883235</v>
      </c>
      <c r="W143" s="1372">
        <f t="shared" si="42"/>
        <v>35.967891475509795</v>
      </c>
      <c r="X143" s="1372">
        <f t="shared" si="42"/>
        <v>43.370655708297157</v>
      </c>
      <c r="Y143" s="1373">
        <v>147.38900000000001</v>
      </c>
      <c r="Z143" s="1372"/>
      <c r="AA143" s="1371">
        <f t="shared" si="43"/>
        <v>40.517536142814542</v>
      </c>
      <c r="AB143" s="1372">
        <f t="shared" si="43"/>
        <v>42.41491091269156</v>
      </c>
      <c r="AC143" s="1372">
        <f t="shared" si="43"/>
        <v>43.069383921857579</v>
      </c>
      <c r="AD143" s="1372">
        <f t="shared" si="43"/>
        <v>49.40716902263631</v>
      </c>
      <c r="AE143" s="1373">
        <v>175.40899999999999</v>
      </c>
      <c r="AF143" s="1372"/>
      <c r="AG143" s="1371">
        <v>47.201000000000001</v>
      </c>
      <c r="AH143" s="1372">
        <v>50.423000000000002</v>
      </c>
      <c r="AI143" s="1372">
        <v>55.478999999999999</v>
      </c>
      <c r="AJ143" s="1372">
        <f>AK143-SUM(AG143:AI143)</f>
        <v>59.597999999999985</v>
      </c>
      <c r="AK143" s="1373">
        <v>212.70099999999999</v>
      </c>
      <c r="AL143" s="1372"/>
      <c r="AM143" s="1371">
        <v>51.613</v>
      </c>
      <c r="AN143" s="1372">
        <v>59.329000000000001</v>
      </c>
      <c r="AO143" s="1372">
        <v>59.136000000000003</v>
      </c>
      <c r="AP143" s="1372">
        <f>AQ143-SUM(AM143:AO143)</f>
        <v>70.456999999999994</v>
      </c>
      <c r="AQ143" s="1373">
        <v>240.535</v>
      </c>
      <c r="AR143" s="1372"/>
      <c r="AS143" s="1371">
        <v>53.179000000000002</v>
      </c>
      <c r="AT143" s="1372">
        <v>53.167999999999999</v>
      </c>
      <c r="AU143" s="1372">
        <v>56.01</v>
      </c>
      <c r="AV143" s="1372">
        <f>AW143-SUM(AS143:AU143)</f>
        <v>76.534999999999997</v>
      </c>
      <c r="AW143" s="1373">
        <v>238.892</v>
      </c>
      <c r="AX143" s="1372"/>
      <c r="AY143" s="1371">
        <v>62.173999999999999</v>
      </c>
      <c r="AZ143" s="1372">
        <v>66.941999999999993</v>
      </c>
      <c r="BA143" s="1372">
        <v>64.355999999999995</v>
      </c>
      <c r="BB143" s="1372">
        <f>278.6-SUM(AY143:BA143)</f>
        <v>85.128000000000043</v>
      </c>
      <c r="BC143" s="1373">
        <f t="shared" si="44"/>
        <v>278.60000000000002</v>
      </c>
      <c r="BD143" s="1372"/>
      <c r="BE143" s="1371">
        <v>70.820999999999998</v>
      </c>
      <c r="BF143" s="1372">
        <v>79.760000000000005</v>
      </c>
      <c r="BG143" s="1372">
        <v>84.051000000000002</v>
      </c>
      <c r="BH143" s="1372">
        <f>331.354-SUM(BE143:BG143)</f>
        <v>96.72199999999998</v>
      </c>
      <c r="BI143" s="1373">
        <f t="shared" si="45"/>
        <v>331.35399999999998</v>
      </c>
      <c r="BJ143" s="1372"/>
      <c r="BK143" s="1371">
        <v>85.122</v>
      </c>
      <c r="BL143" s="1372">
        <v>94.103999999999999</v>
      </c>
      <c r="BM143" s="1372">
        <v>96.141000000000005</v>
      </c>
      <c r="BN143" s="1372">
        <f>387.059-SUM(BK143:BM143)</f>
        <v>111.69200000000001</v>
      </c>
      <c r="BO143" s="1373">
        <f t="shared" si="46"/>
        <v>387.05900000000003</v>
      </c>
      <c r="BP143" s="1372"/>
      <c r="BQ143" s="1371">
        <f t="shared" ref="BQ143:BU146" si="51">IF(ISERROR(BQ$16*BQ153),"NM",BQ$16*BQ153)</f>
        <v>90.703459232932076</v>
      </c>
      <c r="BR143" s="1372">
        <f t="shared" si="51"/>
        <v>101.810243732865</v>
      </c>
      <c r="BS143" s="1372">
        <f t="shared" si="51"/>
        <v>100.8367983013791</v>
      </c>
      <c r="BT143" s="1372">
        <f t="shared" si="51"/>
        <v>122.71073519116713</v>
      </c>
      <c r="BU143" s="1373">
        <f t="shared" si="51"/>
        <v>416.06123645834333</v>
      </c>
      <c r="BW143" s="1371">
        <f t="shared" ref="BW143:CA146" si="52">IF(ISERROR(BW$16*BW153),"NM",BW$16*BW153)</f>
        <v>96.645731816995095</v>
      </c>
      <c r="BX143" s="1372">
        <f t="shared" si="52"/>
        <v>107.77324318008212</v>
      </c>
      <c r="BY143" s="1372">
        <f t="shared" si="52"/>
        <v>106.47155553650443</v>
      </c>
      <c r="BZ143" s="1372">
        <f t="shared" si="52"/>
        <v>128.74749337141199</v>
      </c>
      <c r="CA143" s="1373">
        <f t="shared" si="52"/>
        <v>439.63802390499364</v>
      </c>
      <c r="CC143" s="1371">
        <f t="shared" ref="CC143:CG146" si="53">IF(ISERROR(CC$16*CC153),"NM",CC$16*CC153)</f>
        <v>102.21203050285948</v>
      </c>
      <c r="CD143" s="1372">
        <f t="shared" si="53"/>
        <v>113.22662277333036</v>
      </c>
      <c r="CE143" s="1372">
        <f t="shared" si="53"/>
        <v>111.71000147959195</v>
      </c>
      <c r="CF143" s="1372">
        <f t="shared" si="53"/>
        <v>134.20798853557125</v>
      </c>
      <c r="CG143" s="1373">
        <f t="shared" si="53"/>
        <v>461.35664329135307</v>
      </c>
      <c r="CI143" s="1371">
        <f t="shared" ref="CI143:CM146" si="54">IF(ISERROR(CI$16*CI153),"NM",CI$16*CI153)</f>
        <v>108.10160423344576</v>
      </c>
      <c r="CJ143" s="1372">
        <f t="shared" si="54"/>
        <v>118.96550348774385</v>
      </c>
      <c r="CK143" s="1372">
        <f t="shared" si="54"/>
        <v>117.21196188208432</v>
      </c>
      <c r="CL143" s="1372">
        <f t="shared" si="54"/>
        <v>139.93250276956343</v>
      </c>
      <c r="CM143" s="1373">
        <f t="shared" si="54"/>
        <v>484.21157237283734</v>
      </c>
    </row>
    <row r="144" spans="1:93" s="1370" customFormat="1" ht="11.25" hidden="1" outlineLevel="1">
      <c r="A144" s="1369" t="s">
        <v>460</v>
      </c>
      <c r="C144" s="1371"/>
      <c r="D144" s="1372"/>
      <c r="E144" s="1372"/>
      <c r="F144" s="1372"/>
      <c r="G144" s="1373"/>
      <c r="H144" s="1372"/>
      <c r="I144" s="1371"/>
      <c r="J144" s="1372"/>
      <c r="K144" s="1372"/>
      <c r="L144" s="1374"/>
      <c r="M144" s="1373"/>
      <c r="N144" s="1372"/>
      <c r="O144" s="1371"/>
      <c r="P144" s="1372"/>
      <c r="Q144" s="1372"/>
      <c r="R144" s="1374"/>
      <c r="S144" s="1373"/>
      <c r="T144" s="1372"/>
      <c r="U144" s="1371">
        <f t="shared" si="42"/>
        <v>41.970762353722932</v>
      </c>
      <c r="V144" s="1372">
        <f t="shared" si="42"/>
        <v>44.63659633460734</v>
      </c>
      <c r="W144" s="1372">
        <f t="shared" si="42"/>
        <v>45.776096254588893</v>
      </c>
      <c r="X144" s="1372">
        <f t="shared" si="42"/>
        <v>55.197545057080838</v>
      </c>
      <c r="Y144" s="1373">
        <v>187.58099999999999</v>
      </c>
      <c r="Z144" s="1372"/>
      <c r="AA144" s="1371">
        <f t="shared" si="43"/>
        <v>48.944936040393607</v>
      </c>
      <c r="AB144" s="1372">
        <f t="shared" si="43"/>
        <v>51.236953166730054</v>
      </c>
      <c r="AC144" s="1372">
        <f t="shared" si="43"/>
        <v>52.027552562035972</v>
      </c>
      <c r="AD144" s="1372">
        <f t="shared" si="43"/>
        <v>59.683558230840347</v>
      </c>
      <c r="AE144" s="1373">
        <v>211.893</v>
      </c>
      <c r="AF144" s="1372"/>
      <c r="AG144" s="1371">
        <v>55.335000000000001</v>
      </c>
      <c r="AH144" s="1372">
        <v>49.987000000000002</v>
      </c>
      <c r="AI144" s="1372">
        <v>50.76</v>
      </c>
      <c r="AJ144" s="1372">
        <f>AK144-SUM(AG144:AI144)</f>
        <v>51.25800000000001</v>
      </c>
      <c r="AK144" s="1373">
        <v>207.34</v>
      </c>
      <c r="AL144" s="1372"/>
      <c r="AM144" s="1371">
        <v>46.192</v>
      </c>
      <c r="AN144" s="1372">
        <v>38.246000000000002</v>
      </c>
      <c r="AO144" s="1372">
        <v>42.466999999999999</v>
      </c>
      <c r="AP144" s="1372">
        <f>AQ144-SUM(AM144:AO144)</f>
        <v>43.210000000000008</v>
      </c>
      <c r="AQ144" s="1373">
        <v>170.11500000000001</v>
      </c>
      <c r="AR144" s="1372"/>
      <c r="AS144" s="1371">
        <v>45.606999999999999</v>
      </c>
      <c r="AT144" s="1372">
        <v>38.368000000000002</v>
      </c>
      <c r="AU144" s="1372">
        <v>41.594999999999999</v>
      </c>
      <c r="AV144" s="1372">
        <f>AW144-SUM(AS144:AU144)</f>
        <v>37.897999999999996</v>
      </c>
      <c r="AW144" s="1373">
        <v>163.46799999999999</v>
      </c>
      <c r="AX144" s="1372"/>
      <c r="AY144" s="1371">
        <v>39.191000000000003</v>
      </c>
      <c r="AZ144" s="1372">
        <v>33.488</v>
      </c>
      <c r="BA144" s="1372">
        <v>36.369</v>
      </c>
      <c r="BB144" s="1372">
        <f>145.184-SUM(AY144:BA144)</f>
        <v>36.135999999999996</v>
      </c>
      <c r="BC144" s="1373">
        <f t="shared" si="44"/>
        <v>145.184</v>
      </c>
      <c r="BD144" s="1372"/>
      <c r="BE144" s="1371">
        <v>44.423000000000002</v>
      </c>
      <c r="BF144" s="1372">
        <v>39.691000000000003</v>
      </c>
      <c r="BG144" s="1372">
        <v>42.191000000000003</v>
      </c>
      <c r="BH144" s="1372">
        <f>167.977-SUM(BE144:BG144)</f>
        <v>41.671999999999997</v>
      </c>
      <c r="BI144" s="1373">
        <f t="shared" si="45"/>
        <v>167.977</v>
      </c>
      <c r="BJ144" s="1372"/>
      <c r="BK144" s="1371">
        <v>41.296999999999997</v>
      </c>
      <c r="BL144" s="1372">
        <v>41.558999999999997</v>
      </c>
      <c r="BM144" s="1372">
        <v>42.201999999999998</v>
      </c>
      <c r="BN144" s="1372">
        <f>167.258-SUM(BK144:BM144)</f>
        <v>42.200000000000017</v>
      </c>
      <c r="BO144" s="1373">
        <f t="shared" si="46"/>
        <v>167.25800000000001</v>
      </c>
      <c r="BP144" s="1372"/>
      <c r="BQ144" s="1371">
        <f t="shared" si="51"/>
        <v>39.195262697371078</v>
      </c>
      <c r="BR144" s="1372">
        <f t="shared" si="51"/>
        <v>43.994785669036332</v>
      </c>
      <c r="BS144" s="1372">
        <f t="shared" si="51"/>
        <v>43.574135235951282</v>
      </c>
      <c r="BT144" s="1372">
        <f t="shared" si="51"/>
        <v>53.026417539972542</v>
      </c>
      <c r="BU144" s="1373">
        <f t="shared" si="51"/>
        <v>179.79060114233124</v>
      </c>
      <c r="BW144" s="1371">
        <f t="shared" si="52"/>
        <v>41.763069227810142</v>
      </c>
      <c r="BX144" s="1372">
        <f t="shared" si="52"/>
        <v>46.571548802157231</v>
      </c>
      <c r="BY144" s="1372">
        <f t="shared" si="52"/>
        <v>46.009056593244587</v>
      </c>
      <c r="BZ144" s="1372">
        <f t="shared" si="52"/>
        <v>55.635053690304645</v>
      </c>
      <c r="CA144" s="1373">
        <f t="shared" si="52"/>
        <v>189.9787283135166</v>
      </c>
      <c r="CC144" s="1371">
        <f t="shared" si="53"/>
        <v>44.168407911577489</v>
      </c>
      <c r="CD144" s="1372">
        <f t="shared" si="53"/>
        <v>48.928092285211534</v>
      </c>
      <c r="CE144" s="1372">
        <f t="shared" si="53"/>
        <v>48.272721800742495</v>
      </c>
      <c r="CF144" s="1372">
        <f t="shared" si="53"/>
        <v>57.994671991821861</v>
      </c>
      <c r="CG144" s="1373">
        <f t="shared" si="53"/>
        <v>199.36389398935339</v>
      </c>
      <c r="CI144" s="1371">
        <f t="shared" si="54"/>
        <v>46.713441932309209</v>
      </c>
      <c r="CJ144" s="1372">
        <f t="shared" si="54"/>
        <v>51.408008035862906</v>
      </c>
      <c r="CK144" s="1372">
        <f t="shared" si="54"/>
        <v>50.650258282260999</v>
      </c>
      <c r="CL144" s="1372">
        <f t="shared" si="54"/>
        <v>60.468379622309882</v>
      </c>
      <c r="CM144" s="1373">
        <f t="shared" si="54"/>
        <v>209.240087872743</v>
      </c>
    </row>
    <row r="145" spans="1:91" s="1370" customFormat="1" ht="11.25" hidden="1" outlineLevel="1">
      <c r="A145" s="1369" t="s">
        <v>14</v>
      </c>
      <c r="C145" s="1371"/>
      <c r="D145" s="1372"/>
      <c r="E145" s="1372"/>
      <c r="F145" s="1372"/>
      <c r="G145" s="1373"/>
      <c r="H145" s="1372"/>
      <c r="I145" s="1371"/>
      <c r="J145" s="1372"/>
      <c r="K145" s="1372"/>
      <c r="L145" s="1374"/>
      <c r="M145" s="1373"/>
      <c r="N145" s="1372"/>
      <c r="O145" s="1371"/>
      <c r="P145" s="1372"/>
      <c r="Q145" s="1372"/>
      <c r="R145" s="1374"/>
      <c r="S145" s="1373"/>
      <c r="T145" s="1372"/>
      <c r="U145" s="1371">
        <f t="shared" si="42"/>
        <v>46.020142925730106</v>
      </c>
      <c r="V145" s="1372">
        <f t="shared" si="42"/>
        <v>48.943179199949377</v>
      </c>
      <c r="W145" s="1372">
        <f t="shared" si="42"/>
        <v>50.192619196760809</v>
      </c>
      <c r="X145" s="1372">
        <f t="shared" si="42"/>
        <v>60.523058677559717</v>
      </c>
      <c r="Y145" s="1373">
        <v>205.679</v>
      </c>
      <c r="Z145" s="1372"/>
      <c r="AA145" s="1371">
        <f t="shared" si="43"/>
        <v>51.298482185455363</v>
      </c>
      <c r="AB145" s="1372">
        <f t="shared" si="43"/>
        <v>53.700712308446924</v>
      </c>
      <c r="AC145" s="1372">
        <f t="shared" si="43"/>
        <v>54.529328142421285</v>
      </c>
      <c r="AD145" s="1372">
        <f t="shared" si="43"/>
        <v>62.553477363676421</v>
      </c>
      <c r="AE145" s="1373">
        <v>222.08199999999999</v>
      </c>
      <c r="AF145" s="1372"/>
      <c r="AG145" s="1371">
        <v>49.37</v>
      </c>
      <c r="AH145" s="1372">
        <v>57.238999999999997</v>
      </c>
      <c r="AI145" s="1372">
        <v>51.93</v>
      </c>
      <c r="AJ145" s="1372">
        <f>AK145-SUM(AG145:AI145)</f>
        <v>57.073000000000008</v>
      </c>
      <c r="AK145" s="1373">
        <v>215.61199999999999</v>
      </c>
      <c r="AL145" s="1372"/>
      <c r="AM145" s="1371">
        <v>49.161000000000001</v>
      </c>
      <c r="AN145" s="1372">
        <v>50.905000000000001</v>
      </c>
      <c r="AO145" s="1372">
        <v>53.188000000000002</v>
      </c>
      <c r="AP145" s="1372">
        <f>AQ145-SUM(AM145:AO145)</f>
        <v>62.974999999999994</v>
      </c>
      <c r="AQ145" s="1373">
        <v>216.22900000000001</v>
      </c>
      <c r="AR145" s="1372"/>
      <c r="AS145" s="1371">
        <v>47.481999999999999</v>
      </c>
      <c r="AT145" s="1372">
        <v>60.771000000000001</v>
      </c>
      <c r="AU145" s="1372">
        <v>63.024000000000001</v>
      </c>
      <c r="AV145" s="1372">
        <f>AW145-SUM(AS145:AU145)</f>
        <v>66.39100000000002</v>
      </c>
      <c r="AW145" s="1373">
        <v>237.66800000000001</v>
      </c>
      <c r="AX145" s="1372"/>
      <c r="AY145" s="1371">
        <v>57.058</v>
      </c>
      <c r="AZ145" s="1372">
        <v>74.244</v>
      </c>
      <c r="BA145" s="1372">
        <v>67.174000000000007</v>
      </c>
      <c r="BB145" s="1372">
        <f>272.179-SUM(AY145:BA145)</f>
        <v>73.702999999999975</v>
      </c>
      <c r="BC145" s="1373">
        <f t="shared" si="44"/>
        <v>272.17899999999997</v>
      </c>
      <c r="BD145" s="1372"/>
      <c r="BE145" s="1371">
        <v>56.228999999999999</v>
      </c>
      <c r="BF145" s="1372">
        <v>70.897000000000006</v>
      </c>
      <c r="BG145" s="1372">
        <v>69.272999999999996</v>
      </c>
      <c r="BH145" s="1372">
        <f>283.653-SUM(BE145:BG145)</f>
        <v>87.254000000000019</v>
      </c>
      <c r="BI145" s="1373">
        <f t="shared" si="45"/>
        <v>283.65300000000002</v>
      </c>
      <c r="BJ145" s="1372"/>
      <c r="BK145" s="1371">
        <v>68.686999999999998</v>
      </c>
      <c r="BL145" s="1372">
        <v>80.040000000000006</v>
      </c>
      <c r="BM145" s="1372">
        <v>70.995999999999995</v>
      </c>
      <c r="BN145" s="1372">
        <f>308.3-SUM(BK145:BM145)</f>
        <v>88.576999999999998</v>
      </c>
      <c r="BO145" s="1373">
        <f t="shared" si="46"/>
        <v>308.3</v>
      </c>
      <c r="BP145" s="1372"/>
      <c r="BQ145" s="1371">
        <f t="shared" si="51"/>
        <v>72.247064353271611</v>
      </c>
      <c r="BR145" s="1372">
        <f t="shared" si="51"/>
        <v>81.093833608938894</v>
      </c>
      <c r="BS145" s="1372">
        <f t="shared" si="51"/>
        <v>80.31846544406713</v>
      </c>
      <c r="BT145" s="1372">
        <f t="shared" si="51"/>
        <v>97.74148039300681</v>
      </c>
      <c r="BU145" s="1373">
        <f t="shared" si="51"/>
        <v>331.40084379928447</v>
      </c>
      <c r="BW145" s="1371">
        <f t="shared" si="52"/>
        <v>76.980199709035531</v>
      </c>
      <c r="BX145" s="1372">
        <f t="shared" si="52"/>
        <v>85.843478313175297</v>
      </c>
      <c r="BY145" s="1372">
        <f t="shared" si="52"/>
        <v>84.806658860546619</v>
      </c>
      <c r="BZ145" s="1372">
        <f t="shared" si="52"/>
        <v>102.54987535855338</v>
      </c>
      <c r="CA145" s="1373">
        <f t="shared" si="52"/>
        <v>350.18021224131087</v>
      </c>
      <c r="CC145" s="1371">
        <f t="shared" si="53"/>
        <v>81.413864563365209</v>
      </c>
      <c r="CD145" s="1372">
        <f t="shared" si="53"/>
        <v>90.187200920319</v>
      </c>
      <c r="CE145" s="1372">
        <f t="shared" si="53"/>
        <v>88.979182646981968</v>
      </c>
      <c r="CF145" s="1372">
        <f t="shared" si="53"/>
        <v>106.89926565592485</v>
      </c>
      <c r="CG145" s="1373">
        <f t="shared" si="53"/>
        <v>367.47951378659104</v>
      </c>
      <c r="CI145" s="1371">
        <f t="shared" si="54"/>
        <v>86.105024260309989</v>
      </c>
      <c r="CJ145" s="1372">
        <f t="shared" si="54"/>
        <v>94.758330707389376</v>
      </c>
      <c r="CK145" s="1372">
        <f t="shared" si="54"/>
        <v>93.361600810849495</v>
      </c>
      <c r="CL145" s="1372">
        <f t="shared" si="54"/>
        <v>111.45895226272069</v>
      </c>
      <c r="CM145" s="1373">
        <f t="shared" si="54"/>
        <v>385.68390804126955</v>
      </c>
    </row>
    <row r="146" spans="1:91" s="1368" customFormat="1" ht="11.25" collapsed="1">
      <c r="A146" s="1367" t="s">
        <v>300</v>
      </c>
      <c r="C146" s="1360"/>
      <c r="D146" s="1361"/>
      <c r="E146" s="1361"/>
      <c r="F146" s="1361"/>
      <c r="G146" s="1362"/>
      <c r="H146" s="1363"/>
      <c r="I146" s="1360"/>
      <c r="J146" s="1361"/>
      <c r="K146" s="1361"/>
      <c r="L146" s="1364"/>
      <c r="M146" s="1365"/>
      <c r="N146" s="1363"/>
      <c r="O146" s="1360"/>
      <c r="P146" s="1361"/>
      <c r="Q146" s="1361"/>
      <c r="R146" s="1364"/>
      <c r="S146" s="1365"/>
      <c r="T146" s="1363"/>
      <c r="U146" s="1366">
        <f t="shared" si="42"/>
        <v>24.287557283169782</v>
      </c>
      <c r="V146" s="1363">
        <f t="shared" si="42"/>
        <v>25.830216789148647</v>
      </c>
      <c r="W146" s="1363">
        <f t="shared" si="42"/>
        <v>26.489620336491274</v>
      </c>
      <c r="X146" s="1363">
        <f t="shared" si="42"/>
        <v>31.941605591190303</v>
      </c>
      <c r="Y146" s="1365">
        <v>108.54900000000001</v>
      </c>
      <c r="Z146" s="1363"/>
      <c r="AA146" s="1366">
        <f t="shared" si="43"/>
        <v>31.512432946697899</v>
      </c>
      <c r="AB146" s="1363">
        <f t="shared" si="43"/>
        <v>32.988112390772613</v>
      </c>
      <c r="AC146" s="1363">
        <f t="shared" si="43"/>
        <v>33.497127468690309</v>
      </c>
      <c r="AD146" s="1363">
        <f t="shared" si="43"/>
        <v>38.426327193839178</v>
      </c>
      <c r="AE146" s="1365">
        <v>136.42400000000001</v>
      </c>
      <c r="AF146" s="1363"/>
      <c r="AG146" s="1360">
        <v>26.391999999999999</v>
      </c>
      <c r="AH146" s="1361">
        <v>30.850999999999999</v>
      </c>
      <c r="AI146" s="1361">
        <v>32.603999999999999</v>
      </c>
      <c r="AJ146" s="1363">
        <f>AK146-SUM(AG146:AI146)</f>
        <v>36.888000000000005</v>
      </c>
      <c r="AK146" s="1365">
        <v>126.735</v>
      </c>
      <c r="AL146" s="1363"/>
      <c r="AM146" s="1360">
        <v>35.389000000000003</v>
      </c>
      <c r="AN146" s="1361">
        <v>33.869999999999997</v>
      </c>
      <c r="AO146" s="1361">
        <v>32.597000000000001</v>
      </c>
      <c r="AP146" s="1363">
        <f>AQ146-SUM(AM146:AO146)</f>
        <v>43.962999999999994</v>
      </c>
      <c r="AQ146" s="1365">
        <v>145.81899999999999</v>
      </c>
      <c r="AR146" s="1363"/>
      <c r="AS146" s="1360">
        <v>29.132999999999999</v>
      </c>
      <c r="AT146" s="1361">
        <v>36.588999999999999</v>
      </c>
      <c r="AU146" s="1361">
        <v>37.625</v>
      </c>
      <c r="AV146" s="1363">
        <f>AW146-SUM(AS146:AU146)</f>
        <v>42.340000000000018</v>
      </c>
      <c r="AW146" s="1365">
        <v>145.68700000000001</v>
      </c>
      <c r="AX146" s="1363"/>
      <c r="AY146" s="1360">
        <v>31.204999999999998</v>
      </c>
      <c r="AZ146" s="1361">
        <v>32.956000000000003</v>
      </c>
      <c r="BA146" s="1361">
        <v>30.792000000000002</v>
      </c>
      <c r="BB146" s="1361">
        <f>134.122-SUM(AY146:BA146)</f>
        <v>39.169000000000011</v>
      </c>
      <c r="BC146" s="1418">
        <f>+SUM(AY146:BB146)</f>
        <v>134.12200000000001</v>
      </c>
      <c r="BD146" s="1363"/>
      <c r="BE146" s="1360">
        <v>29.786999999999999</v>
      </c>
      <c r="BF146" s="1361">
        <v>34.518000000000001</v>
      </c>
      <c r="BG146" s="1361">
        <v>34.51</v>
      </c>
      <c r="BH146" s="1361">
        <f>141.902-SUM(BE146:BG146)</f>
        <v>43.086999999999989</v>
      </c>
      <c r="BI146" s="1418">
        <f>+SUM(BE146:BH146)</f>
        <v>141.90199999999999</v>
      </c>
      <c r="BJ146" s="1363"/>
      <c r="BK146" s="1360">
        <v>35.415999999999997</v>
      </c>
      <c r="BL146" s="1361">
        <v>32.212000000000003</v>
      </c>
      <c r="BM146" s="1361">
        <v>31.96</v>
      </c>
      <c r="BN146" s="1361">
        <f>140.715-SUM(BK146:BM146)</f>
        <v>41.12700000000001</v>
      </c>
      <c r="BO146" s="1418">
        <f>+SUM(BK146:BN146)</f>
        <v>140.715</v>
      </c>
      <c r="BP146" s="1363"/>
      <c r="BQ146" s="1366">
        <f t="shared" si="51"/>
        <v>32.975172430978319</v>
      </c>
      <c r="BR146" s="1363">
        <f t="shared" si="51"/>
        <v>37.013035343113316</v>
      </c>
      <c r="BS146" s="1363">
        <f t="shared" si="51"/>
        <v>36.659140009607221</v>
      </c>
      <c r="BT146" s="1363">
        <f t="shared" si="51"/>
        <v>44.61139284301639</v>
      </c>
      <c r="BU146" s="1418">
        <f t="shared" si="51"/>
        <v>151.25874062671525</v>
      </c>
      <c r="BW146" s="1366">
        <f t="shared" si="52"/>
        <v>35.135481031647537</v>
      </c>
      <c r="BX146" s="1363">
        <f t="shared" si="52"/>
        <v>39.180879178846773</v>
      </c>
      <c r="BY146" s="1363">
        <f t="shared" si="52"/>
        <v>38.707651643080823</v>
      </c>
      <c r="BZ146" s="1363">
        <f t="shared" si="52"/>
        <v>46.806051609078295</v>
      </c>
      <c r="CA146" s="1418">
        <f t="shared" si="52"/>
        <v>159.83006346265344</v>
      </c>
      <c r="CC146" s="1366">
        <f t="shared" si="53"/>
        <v>37.159104612500599</v>
      </c>
      <c r="CD146" s="1363">
        <f t="shared" si="53"/>
        <v>41.163451110939626</v>
      </c>
      <c r="CE146" s="1363">
        <f t="shared" si="53"/>
        <v>40.612084612942162</v>
      </c>
      <c r="CF146" s="1363">
        <f t="shared" si="53"/>
        <v>48.791210401470856</v>
      </c>
      <c r="CG146" s="1418">
        <f t="shared" si="53"/>
        <v>167.72585073785325</v>
      </c>
      <c r="CI146" s="1366">
        <f t="shared" si="54"/>
        <v>39.300254585759063</v>
      </c>
      <c r="CJ146" s="1363">
        <f t="shared" si="54"/>
        <v>43.249816754752821</v>
      </c>
      <c r="CK146" s="1363">
        <f t="shared" si="54"/>
        <v>42.612318060650942</v>
      </c>
      <c r="CL146" s="1363">
        <f t="shared" si="54"/>
        <v>50.872353122441588</v>
      </c>
      <c r="CM146" s="1418">
        <f t="shared" si="54"/>
        <v>176.03474252360442</v>
      </c>
    </row>
    <row r="147" spans="1:91" s="1368" customFormat="1" ht="11.25">
      <c r="A147" s="1375" t="s">
        <v>187</v>
      </c>
      <c r="B147" s="1376"/>
      <c r="C147" s="1377"/>
      <c r="D147" s="1378"/>
      <c r="E147" s="1378"/>
      <c r="F147" s="1378"/>
      <c r="G147" s="1379"/>
      <c r="H147" s="1380"/>
      <c r="I147" s="1377"/>
      <c r="J147" s="1378"/>
      <c r="K147" s="1378"/>
      <c r="L147" s="1381"/>
      <c r="M147" s="1379"/>
      <c r="N147" s="1380"/>
      <c r="O147" s="1377"/>
      <c r="P147" s="1378"/>
      <c r="Q147" s="1378"/>
      <c r="R147" s="1381"/>
      <c r="S147" s="1379"/>
      <c r="T147" s="1380"/>
      <c r="U147" s="1377">
        <f>SUM(U140:U141,U143:U146)</f>
        <v>367.7000000000001</v>
      </c>
      <c r="V147" s="1378">
        <f>SUM(V140:V141,V143:V146)</f>
        <v>391.05500000000006</v>
      </c>
      <c r="W147" s="1433">
        <f>SUM(W140:W141,W143:W146)</f>
        <v>401.03800000000001</v>
      </c>
      <c r="X147" s="1434">
        <f>SUM(X140:X141,X143:X146)</f>
        <v>483.57799999999997</v>
      </c>
      <c r="Y147" s="1379">
        <f>SUM(Y140:Y141,Y143:Y146)</f>
        <v>1643.3709999999999</v>
      </c>
      <c r="Z147" s="1380"/>
      <c r="AA147" s="1377">
        <f>SUM(AA140:AA141,AA143:AA146)</f>
        <v>427.60300000000001</v>
      </c>
      <c r="AB147" s="1378">
        <f>SUM(AB140:AB141,AB143:AB146)</f>
        <v>447.62700000000007</v>
      </c>
      <c r="AC147" s="1433">
        <f>SUM(AC140:AC141,AC143:AC146)</f>
        <v>454.53399999999999</v>
      </c>
      <c r="AD147" s="1434">
        <f>SUM(AD140:AD141,AD143:AD146)</f>
        <v>521.41999999999985</v>
      </c>
      <c r="AE147" s="1379">
        <f>SUM(AE140:AE141,AE143:AE146)</f>
        <v>1851.1839999999997</v>
      </c>
      <c r="AF147" s="1380"/>
      <c r="AG147" s="1377">
        <f>SUM(AG140:AG141,AG143:AG146)</f>
        <v>420.45800000000003</v>
      </c>
      <c r="AH147" s="1378">
        <f>SUM(AH140:AH141,AH143:AH146)</f>
        <v>451.46500000000003</v>
      </c>
      <c r="AI147" s="1433">
        <f>SUM(AI140:AI141,AI143:AI146)</f>
        <v>449.95199999999994</v>
      </c>
      <c r="AJ147" s="1434">
        <f>SUM(AJ140:AJ141,AJ143:AJ146)</f>
        <v>521.76600000000008</v>
      </c>
      <c r="AK147" s="1379">
        <f>SUM(AK140:AK141,AK143:AK146)</f>
        <v>1843.6410000000001</v>
      </c>
      <c r="AL147" s="1380"/>
      <c r="AM147" s="1377">
        <f>SUM(AM140:AM141,AM143:AM146)</f>
        <v>430.33800000000002</v>
      </c>
      <c r="AN147" s="1378">
        <f>SUM(AN140:AN141,AN143:AN146)</f>
        <v>451.11500000000001</v>
      </c>
      <c r="AO147" s="1378">
        <f>SUM(AO140:AO141,AO143:AO146)</f>
        <v>457.31699999999995</v>
      </c>
      <c r="AP147" s="1434">
        <f>SUM(AP140:AP141,AP143:AP146)</f>
        <v>565.44799999999987</v>
      </c>
      <c r="AQ147" s="1379">
        <f>SUM(AQ140:AQ141,AQ143:AQ146)</f>
        <v>1904.2180000000001</v>
      </c>
      <c r="AR147" s="1380"/>
      <c r="AS147" s="1377">
        <f>SUM(AS140:AS141,AS143:AS146)</f>
        <v>430.50799999999998</v>
      </c>
      <c r="AT147" s="1378">
        <f>SUM(AT140:AT141,AT143:AT146)</f>
        <v>481.80099999999999</v>
      </c>
      <c r="AU147" s="1378">
        <f>SUM(AU140:AU141,AU143:AU146)</f>
        <v>493.16499999999996</v>
      </c>
      <c r="AV147" s="1434">
        <f>SUM(AV140:AV141,AV143:AV146)</f>
        <v>583.87</v>
      </c>
      <c r="AW147" s="1379">
        <f>SUM(AW140:AW141,AW143:AW146)</f>
        <v>1989.3440000000001</v>
      </c>
      <c r="AX147" s="1380"/>
      <c r="AY147" s="1377">
        <f>SUM(AY140:AY141,AY143:AY146)</f>
        <v>460.40399999999994</v>
      </c>
      <c r="AZ147" s="1378">
        <f>SUM(AZ140:AZ141,AZ143:AZ146)</f>
        <v>494.74</v>
      </c>
      <c r="BA147" s="1378">
        <f>SUM(BA140:BA141,BA143:BA146)</f>
        <v>500.57799999999997</v>
      </c>
      <c r="BB147" s="1378">
        <f>SUM(BB140:BB141,BB143:BB146)</f>
        <v>586.6099999999999</v>
      </c>
      <c r="BC147" s="1847">
        <f>SUM(BC140:BC141,BC143:BC146)</f>
        <v>2042.3319999999997</v>
      </c>
      <c r="BD147" s="1380"/>
      <c r="BE147" s="1377">
        <f>SUM(BE140:BE141,BE143:BE146)</f>
        <v>475.24599999999998</v>
      </c>
      <c r="BF147" s="1378">
        <f>SUM(BF140:BF141,BF143:BF146)</f>
        <v>536.55999999999995</v>
      </c>
      <c r="BG147" s="1378">
        <f>SUM(BG140:BG141,BG143:BG146)</f>
        <v>526.83000000000004</v>
      </c>
      <c r="BH147" s="1378">
        <f>SUM(BH140:BH141,BH143:BH146)</f>
        <v>628.78699999999992</v>
      </c>
      <c r="BI147" s="1847">
        <f>SUM(BI140:BI141,BI143:BI146)</f>
        <v>2167.4229999999998</v>
      </c>
      <c r="BJ147" s="1380"/>
      <c r="BK147" s="1377">
        <f>SUM(BK140:BK141,BK143:BK146)</f>
        <v>497.96899999999999</v>
      </c>
      <c r="BL147" s="1378">
        <f>SUM(BL140:BL141,BL143:BL146)</f>
        <v>558.25</v>
      </c>
      <c r="BM147" s="1378">
        <f>SUM(BM140:BM141,BM143:BM146)</f>
        <v>565.58400000000006</v>
      </c>
      <c r="BN147" s="1378">
        <f>SUM(BN140:BN141,BN143:BN146)</f>
        <v>687.27500000000009</v>
      </c>
      <c r="BO147" s="1847">
        <f>SUM(BO140:BO141,BO143:BO146)</f>
        <v>2309.0780000000004</v>
      </c>
      <c r="BP147" s="1380"/>
      <c r="BQ147" s="1382">
        <f>IS!BQ166</f>
        <v>0</v>
      </c>
      <c r="BR147" s="1383">
        <f>IS!BR166</f>
        <v>0</v>
      </c>
      <c r="BS147" s="1383">
        <f>IS!BS166</f>
        <v>0</v>
      </c>
      <c r="BT147" s="1383">
        <f>IS!BT166</f>
        <v>0</v>
      </c>
      <c r="BU147" s="1384">
        <f>IS!BU166</f>
        <v>0</v>
      </c>
      <c r="BW147" s="1382">
        <f>IS!BW166</f>
        <v>0</v>
      </c>
      <c r="BX147" s="1383">
        <f>IS!BX166</f>
        <v>0</v>
      </c>
      <c r="BY147" s="1383">
        <f>IS!BY166</f>
        <v>0</v>
      </c>
      <c r="BZ147" s="1383">
        <f>IS!BZ166</f>
        <v>0</v>
      </c>
      <c r="CA147" s="1384">
        <f>IS!CA166</f>
        <v>0</v>
      </c>
      <c r="CC147" s="1382">
        <f>IS!CC166</f>
        <v>0</v>
      </c>
      <c r="CD147" s="1383">
        <f>IS!CD166</f>
        <v>0</v>
      </c>
      <c r="CE147" s="1383">
        <f>IS!CE166</f>
        <v>0</v>
      </c>
      <c r="CF147" s="1383">
        <f>IS!CF166</f>
        <v>0</v>
      </c>
      <c r="CG147" s="1384">
        <f>IS!CG166</f>
        <v>0</v>
      </c>
      <c r="CI147" s="1382">
        <f>IS!CI166</f>
        <v>0</v>
      </c>
      <c r="CJ147" s="1383">
        <f>IS!CJ166</f>
        <v>0</v>
      </c>
      <c r="CK147" s="1383">
        <f>IS!CK166</f>
        <v>0</v>
      </c>
      <c r="CL147" s="1383">
        <f>IS!CL166</f>
        <v>0</v>
      </c>
      <c r="CM147" s="1384">
        <f>IS!CM166</f>
        <v>0</v>
      </c>
    </row>
    <row r="148" spans="1:91" s="1386" customFormat="1" ht="11.25">
      <c r="A148" s="1385" t="s">
        <v>339</v>
      </c>
      <c r="B148" s="1385"/>
      <c r="C148" s="1385"/>
      <c r="D148" s="1385"/>
      <c r="E148" s="1385"/>
      <c r="F148" s="1385"/>
      <c r="G148" s="1385"/>
      <c r="H148" s="1385"/>
      <c r="I148" s="1385"/>
      <c r="J148" s="1385"/>
      <c r="K148" s="1385"/>
      <c r="L148" s="1385"/>
      <c r="M148" s="1385"/>
      <c r="N148" s="1385"/>
      <c r="O148" s="1385"/>
      <c r="P148" s="1385"/>
      <c r="Q148" s="1385"/>
      <c r="R148" s="1385"/>
      <c r="S148" s="1385"/>
      <c r="T148" s="1385"/>
      <c r="U148" s="1385"/>
      <c r="V148" s="1385"/>
      <c r="W148" s="1385"/>
      <c r="X148" s="1385"/>
      <c r="Y148" s="1385">
        <f>IS!Y9-Y147</f>
        <v>0</v>
      </c>
      <c r="Z148" s="1385"/>
      <c r="AA148" s="1385"/>
      <c r="AB148" s="1385"/>
      <c r="AC148" s="1385"/>
      <c r="AD148" s="1385"/>
      <c r="AE148" s="1385">
        <f>IS!AE9-AE147</f>
        <v>0</v>
      </c>
      <c r="AF148" s="1385"/>
      <c r="AG148" s="1385"/>
      <c r="AH148" s="1385"/>
      <c r="AI148" s="1385"/>
      <c r="AJ148" s="1385"/>
      <c r="AK148" s="1385">
        <f>IS!AK9-AK147</f>
        <v>0</v>
      </c>
      <c r="AL148" s="1385"/>
      <c r="AM148" s="1385">
        <f>IS!AM9-AM147</f>
        <v>0</v>
      </c>
      <c r="AN148" s="1385">
        <f>IS!AN9-AN147</f>
        <v>0</v>
      </c>
      <c r="AO148" s="1385">
        <f>IS!AO9-AO147</f>
        <v>0</v>
      </c>
      <c r="AP148" s="1385">
        <f>IS!AP9-AP147</f>
        <v>0</v>
      </c>
      <c r="AQ148" s="1385">
        <f>IS!AQ9-AQ147</f>
        <v>0</v>
      </c>
      <c r="AR148" s="1385"/>
      <c r="AS148" s="1385">
        <f>IS!AS9-AS147</f>
        <v>0</v>
      </c>
      <c r="AT148" s="1385">
        <f>IS!AT9-AT147</f>
        <v>0</v>
      </c>
      <c r="AU148" s="1385">
        <f>IS!AU9-AU147</f>
        <v>0</v>
      </c>
      <c r="AV148" s="1385">
        <f>IS!AV9-AV147</f>
        <v>0</v>
      </c>
      <c r="AW148" s="1385">
        <f>IS!AW9-AW147</f>
        <v>0</v>
      </c>
      <c r="AX148" s="1385"/>
      <c r="AY148" s="1385">
        <f>IS!AY9-AY147</f>
        <v>0</v>
      </c>
      <c r="AZ148" s="1385">
        <f>IS!AZ9-AZ147</f>
        <v>0</v>
      </c>
      <c r="BA148" s="1385">
        <f>IS!BA9-BA147</f>
        <v>0</v>
      </c>
      <c r="BB148" s="1385">
        <f>IS!BB9-BB147</f>
        <v>0</v>
      </c>
      <c r="BC148" s="1385">
        <f>IS!BC9-BC147</f>
        <v>0</v>
      </c>
      <c r="BD148" s="1385"/>
      <c r="BE148" s="1385">
        <f>IS!BE9-BE147</f>
        <v>0</v>
      </c>
      <c r="BF148" s="1385">
        <f>IS!BF9-BF147</f>
        <v>0</v>
      </c>
      <c r="BG148" s="1385">
        <f>IS!BG9-BG147</f>
        <v>0</v>
      </c>
      <c r="BH148" s="1385">
        <f>IS!BH9-BH147</f>
        <v>0</v>
      </c>
      <c r="BI148" s="1385">
        <f>IS!BI9-BI147</f>
        <v>0</v>
      </c>
      <c r="BJ148" s="1385"/>
      <c r="BK148" s="1385">
        <f>IS!BK9-BK147</f>
        <v>0</v>
      </c>
      <c r="BL148" s="1385">
        <f>IS!BL9-BL147</f>
        <v>0</v>
      </c>
      <c r="BM148" s="1385">
        <f>IS!BM9-BM147</f>
        <v>0</v>
      </c>
      <c r="BN148" s="1385">
        <f>IS!BN9-BN147</f>
        <v>0</v>
      </c>
      <c r="BO148" s="1385">
        <f>IS!BO9-BO147</f>
        <v>0</v>
      </c>
      <c r="BP148" s="1385"/>
      <c r="BQ148" s="1385"/>
      <c r="BR148" s="1385"/>
      <c r="BS148" s="1385"/>
      <c r="BT148" s="1385"/>
      <c r="BU148" s="1385"/>
      <c r="BW148" s="1385"/>
      <c r="BX148" s="1385"/>
      <c r="BY148" s="1385"/>
      <c r="BZ148" s="1385"/>
      <c r="CA148" s="1385"/>
      <c r="CC148" s="1385"/>
      <c r="CD148" s="1385"/>
      <c r="CE148" s="1385"/>
      <c r="CF148" s="1385"/>
      <c r="CG148" s="1385"/>
      <c r="CI148" s="1385"/>
      <c r="CJ148" s="1385"/>
      <c r="CK148" s="1385"/>
      <c r="CL148" s="1385"/>
      <c r="CM148" s="1385"/>
    </row>
    <row r="149" spans="1:91" s="1333" customFormat="1" ht="13.5" customHeight="1">
      <c r="A149" s="1387" t="s">
        <v>32</v>
      </c>
      <c r="B149" s="1388"/>
      <c r="C149" s="1389"/>
      <c r="D149" s="1388"/>
      <c r="E149" s="1388"/>
      <c r="F149" s="1388"/>
      <c r="G149" s="1390"/>
      <c r="H149" s="1388"/>
      <c r="I149" s="1389"/>
      <c r="J149" s="1388"/>
      <c r="K149" s="1388"/>
      <c r="L149" s="1391"/>
      <c r="M149" s="1390"/>
      <c r="N149" s="1388"/>
      <c r="O149" s="1389"/>
      <c r="P149" s="1388"/>
      <c r="Q149" s="1388"/>
      <c r="R149" s="1391"/>
      <c r="S149" s="1390"/>
      <c r="T149" s="1388"/>
      <c r="U149" s="1389"/>
      <c r="V149" s="1388"/>
      <c r="W149" s="1388"/>
      <c r="X149" s="1388"/>
      <c r="Y149" s="1390"/>
      <c r="Z149" s="1388"/>
      <c r="AA149" s="1389"/>
      <c r="AB149" s="1388"/>
      <c r="AC149" s="1388"/>
      <c r="AD149" s="1388"/>
      <c r="AE149" s="1390"/>
      <c r="AF149" s="1388"/>
      <c r="AG149" s="1389"/>
      <c r="AH149" s="1388"/>
      <c r="AI149" s="1388"/>
      <c r="AJ149" s="1388"/>
      <c r="AK149" s="1390"/>
      <c r="AL149" s="1388"/>
      <c r="AM149" s="1389"/>
      <c r="AN149" s="1388"/>
      <c r="AO149" s="1388"/>
      <c r="AP149" s="1388"/>
      <c r="AQ149" s="1390"/>
      <c r="AR149" s="1388"/>
      <c r="AS149" s="1389"/>
      <c r="AT149" s="1388"/>
      <c r="AU149" s="1388"/>
      <c r="AV149" s="1388"/>
      <c r="AW149" s="1390"/>
      <c r="AX149" s="1388"/>
      <c r="AY149" s="1389"/>
      <c r="AZ149" s="1388"/>
      <c r="BA149" s="1388"/>
      <c r="BB149" s="1388"/>
      <c r="BC149" s="1390"/>
      <c r="BD149" s="1388"/>
      <c r="BE149" s="1389"/>
      <c r="BF149" s="1388"/>
      <c r="BG149" s="1388"/>
      <c r="BH149" s="1388"/>
      <c r="BI149" s="1390"/>
      <c r="BJ149" s="1388"/>
      <c r="BK149" s="1389"/>
      <c r="BL149" s="1388"/>
      <c r="BM149" s="1388"/>
      <c r="BN149" s="1388"/>
      <c r="BO149" s="1390"/>
      <c r="BP149" s="1388"/>
      <c r="BQ149" s="1389"/>
      <c r="BR149" s="1388"/>
      <c r="BS149" s="1388"/>
      <c r="BT149" s="1388"/>
      <c r="BU149" s="1390"/>
      <c r="BV149" s="1924"/>
      <c r="BW149" s="1389"/>
      <c r="BX149" s="1388"/>
      <c r="BY149" s="1388"/>
      <c r="BZ149" s="1388"/>
      <c r="CA149" s="1390"/>
      <c r="CB149" s="1924"/>
      <c r="CC149" s="1389"/>
      <c r="CD149" s="1388"/>
      <c r="CE149" s="1388"/>
      <c r="CF149" s="1388"/>
      <c r="CG149" s="1390"/>
      <c r="CH149" s="1924"/>
      <c r="CI149" s="1389"/>
      <c r="CJ149" s="1388"/>
      <c r="CK149" s="1388"/>
      <c r="CL149" s="1388"/>
      <c r="CM149" s="1390"/>
    </row>
    <row r="150" spans="1:91" s="1359" customFormat="1" ht="11.25">
      <c r="A150" s="1392" t="str">
        <f t="shared" ref="A150:A157" si="55">A140</f>
        <v>United States</v>
      </c>
      <c r="B150" s="1393"/>
      <c r="C150" s="1394">
        <f t="shared" ref="C150:G157" si="56">IF(ISERROR(C140/C$16),"NM",C140/C$16)</f>
        <v>0</v>
      </c>
      <c r="D150" s="1395">
        <f t="shared" si="56"/>
        <v>0</v>
      </c>
      <c r="E150" s="1395">
        <f t="shared" si="56"/>
        <v>0</v>
      </c>
      <c r="F150" s="1395">
        <f t="shared" si="56"/>
        <v>0</v>
      </c>
      <c r="G150" s="1396">
        <f t="shared" si="56"/>
        <v>0</v>
      </c>
      <c r="H150" s="1395"/>
      <c r="I150" s="1394">
        <f t="shared" ref="I150:M157" si="57">IF(ISERROR(I140/I$16),"NM",I140/I$16)</f>
        <v>0</v>
      </c>
      <c r="J150" s="1395">
        <f t="shared" si="57"/>
        <v>0</v>
      </c>
      <c r="K150" s="1395">
        <f t="shared" si="57"/>
        <v>0</v>
      </c>
      <c r="L150" s="1395">
        <f t="shared" si="57"/>
        <v>0</v>
      </c>
      <c r="M150" s="1396">
        <f t="shared" si="57"/>
        <v>0</v>
      </c>
      <c r="N150" s="1395"/>
      <c r="O150" s="1394">
        <f t="shared" ref="O150:S157" si="58">IF(ISERROR(O140/O$16),"NM",O140/O$16)</f>
        <v>0</v>
      </c>
      <c r="P150" s="1395">
        <f t="shared" si="58"/>
        <v>0</v>
      </c>
      <c r="Q150" s="1395">
        <f t="shared" si="58"/>
        <v>0</v>
      </c>
      <c r="R150" s="1395">
        <f t="shared" si="58"/>
        <v>0</v>
      </c>
      <c r="S150" s="1396">
        <f t="shared" si="58"/>
        <v>0</v>
      </c>
      <c r="T150" s="1395"/>
      <c r="U150" s="1397">
        <f t="shared" ref="U150:X156" si="59">V150</f>
        <v>0.30396970617103508</v>
      </c>
      <c r="V150" s="1398">
        <f t="shared" si="59"/>
        <v>0.30396970617103508</v>
      </c>
      <c r="W150" s="1398">
        <f t="shared" si="59"/>
        <v>0.30396970617103508</v>
      </c>
      <c r="X150" s="1398">
        <f t="shared" si="59"/>
        <v>0.30396970617103508</v>
      </c>
      <c r="Y150" s="1396">
        <f t="shared" ref="Y150:Y157" si="60">IF(ISERROR(Y140/Y$16),"NM",Y140/Y$16)</f>
        <v>0.30396970617103508</v>
      </c>
      <c r="Z150" s="1395"/>
      <c r="AA150" s="1397">
        <f t="shared" ref="AA150:AD156" si="61">AB150</f>
        <v>0.28663061046335753</v>
      </c>
      <c r="AB150" s="1398">
        <f t="shared" si="61"/>
        <v>0.28663061046335753</v>
      </c>
      <c r="AC150" s="1398">
        <f t="shared" si="61"/>
        <v>0.28663061046335753</v>
      </c>
      <c r="AD150" s="1398">
        <f t="shared" si="61"/>
        <v>0.28663061046335753</v>
      </c>
      <c r="AE150" s="1396">
        <f t="shared" ref="AE150:AE157" si="62">IF(ISERROR(AE140/AE$16),"NM",AE140/AE$16)</f>
        <v>0.28663061046335753</v>
      </c>
      <c r="AF150" s="1395"/>
      <c r="AG150" s="1394">
        <f t="shared" ref="AG150:AK157" si="63">IF(ISERROR(AG140/AG$16),"NM",AG140/AG$16)</f>
        <v>0.2788720871050141</v>
      </c>
      <c r="AH150" s="1395">
        <f t="shared" si="63"/>
        <v>0.3046747809907745</v>
      </c>
      <c r="AI150" s="1395">
        <f t="shared" si="63"/>
        <v>0.29402691842685441</v>
      </c>
      <c r="AJ150" s="1435">
        <f t="shared" si="63"/>
        <v>0.2775382067823508</v>
      </c>
      <c r="AK150" s="1396">
        <f t="shared" si="63"/>
        <v>0.28851170048832719</v>
      </c>
      <c r="AL150" s="1395"/>
      <c r="AM150" s="1394">
        <f t="shared" ref="AM150:AQ157" si="64">IF(ISERROR(AM140/AM$16),"NM",AM140/AM$16)</f>
        <v>0.28943295734980412</v>
      </c>
      <c r="AN150" s="1395">
        <f t="shared" si="64"/>
        <v>0.29832747747248489</v>
      </c>
      <c r="AO150" s="1395">
        <f t="shared" si="64"/>
        <v>0.30526527550911076</v>
      </c>
      <c r="AP150" s="1435">
        <f t="shared" si="64"/>
        <v>0.28118766005008428</v>
      </c>
      <c r="AQ150" s="1396">
        <f t="shared" si="64"/>
        <v>0.29289398587766741</v>
      </c>
      <c r="AR150" s="1395"/>
      <c r="AS150" s="1486">
        <f t="shared" ref="AS150:AW157" si="65">IF(ISERROR(AS140/AS$16),"NM",AS140/AS$16)</f>
        <v>0.2838019270257463</v>
      </c>
      <c r="AT150" s="1395">
        <f t="shared" si="65"/>
        <v>0.30965481599249484</v>
      </c>
      <c r="AU150" s="1395">
        <f t="shared" si="65"/>
        <v>0.30585098293674529</v>
      </c>
      <c r="AV150" s="1435">
        <f t="shared" si="65"/>
        <v>0.29859900320276772</v>
      </c>
      <c r="AW150" s="1396">
        <f t="shared" si="65"/>
        <v>0.29987221918381135</v>
      </c>
      <c r="AX150" s="1395"/>
      <c r="AY150" s="1486">
        <f t="shared" ref="AY150:BA157" si="66">IF(ISERROR(AY140/AY$16),"NM",AY140/AY$16)</f>
        <v>0.31792729863337416</v>
      </c>
      <c r="AZ150" s="1395">
        <f t="shared" si="66"/>
        <v>0.32278772688684965</v>
      </c>
      <c r="BA150" s="1395">
        <f t="shared" si="66"/>
        <v>0.33917391495431276</v>
      </c>
      <c r="BB150" s="1395">
        <f t="shared" ref="BB150:BC157" si="67">IF(ISERROR(BB140/BB$16),"NM",BB140/BB$16)</f>
        <v>0.30771210855593994</v>
      </c>
      <c r="BC150" s="1848">
        <f t="shared" si="67"/>
        <v>0.32137820883186474</v>
      </c>
      <c r="BD150" s="1395"/>
      <c r="BE150" s="1486">
        <f t="shared" ref="BE150:BF157" si="68">IF(ISERROR(BE140/BE$16),"NM",BE140/BE$16)</f>
        <v>0.31342504723869319</v>
      </c>
      <c r="BF150" s="1395">
        <f>IF(ISERROR(BF140/BF$16),"NM",BF140/BF$16)</f>
        <v>0.31380833457581636</v>
      </c>
      <c r="BG150" s="1395">
        <f>IF(ISERROR(BG140/BG$16),"NM",BG140/BG$16)</f>
        <v>0.32005390733253619</v>
      </c>
      <c r="BH150" s="1395">
        <f t="shared" ref="BH150:BI157" si="69">IF(ISERROR(BH140/BH$16),"NM",BH140/BH$16)</f>
        <v>0.28520786848328594</v>
      </c>
      <c r="BI150" s="1848">
        <f t="shared" si="69"/>
        <v>0.30694516022022467</v>
      </c>
      <c r="BJ150" s="1395"/>
      <c r="BK150" s="1486">
        <f t="shared" ref="BK150:BL157" si="70">IF(ISERROR(BK140/BK$16),"NM",BK140/BK$16)</f>
        <v>0.279603750434264</v>
      </c>
      <c r="BL150" s="1395">
        <f t="shared" si="70"/>
        <v>0.2944451410658307</v>
      </c>
      <c r="BM150" s="1395">
        <f t="shared" ref="BM150:BO150" si="71">IF(ISERROR(BM140/BM$16),"NM",BM140/BM$16)</f>
        <v>0.30243606608390616</v>
      </c>
      <c r="BN150" s="1395">
        <f t="shared" si="71"/>
        <v>0.28316612709614059</v>
      </c>
      <c r="BO150" s="1848">
        <f t="shared" si="71"/>
        <v>0.28984469125772278</v>
      </c>
      <c r="BP150" s="1395"/>
      <c r="BQ150" s="1397">
        <f>BO150</f>
        <v>0.28984469125772278</v>
      </c>
      <c r="BR150" s="1398">
        <f t="shared" ref="BR150:BR157" si="72">BQ150</f>
        <v>0.28984469125772278</v>
      </c>
      <c r="BS150" s="1398">
        <f t="shared" ref="BS150:BS157" si="73">BR150</f>
        <v>0.28984469125772278</v>
      </c>
      <c r="BT150" s="1398">
        <f t="shared" ref="BT150:BT157" si="74">BS150</f>
        <v>0.28984469125772278</v>
      </c>
      <c r="BU150" s="1416">
        <f t="shared" ref="BU150:BU157" si="75">BT150</f>
        <v>0.28984469125772278</v>
      </c>
      <c r="BW150" s="1397">
        <f>BU150</f>
        <v>0.28984469125772278</v>
      </c>
      <c r="BX150" s="1398">
        <f t="shared" ref="BX150:BX157" si="76">BW150</f>
        <v>0.28984469125772278</v>
      </c>
      <c r="BY150" s="1398">
        <f t="shared" ref="BY150:BY157" si="77">BX150</f>
        <v>0.28984469125772278</v>
      </c>
      <c r="BZ150" s="1398">
        <f t="shared" ref="BZ150:BZ157" si="78">BY150</f>
        <v>0.28984469125772278</v>
      </c>
      <c r="CA150" s="1416">
        <f t="shared" ref="CA150:CA157" si="79">BZ150</f>
        <v>0.28984469125772278</v>
      </c>
      <c r="CC150" s="1397">
        <f>CA150</f>
        <v>0.28984469125772278</v>
      </c>
      <c r="CD150" s="1398">
        <f t="shared" ref="CD150:CD157" si="80">CC150</f>
        <v>0.28984469125772278</v>
      </c>
      <c r="CE150" s="1398">
        <f t="shared" ref="CE150:CE157" si="81">CD150</f>
        <v>0.28984469125772278</v>
      </c>
      <c r="CF150" s="1398">
        <f t="shared" ref="CF150:CF157" si="82">CE150</f>
        <v>0.28984469125772278</v>
      </c>
      <c r="CG150" s="1416">
        <f t="shared" ref="CG150:CG157" si="83">CF150</f>
        <v>0.28984469125772278</v>
      </c>
      <c r="CI150" s="1397">
        <f>CG150</f>
        <v>0.28984469125772278</v>
      </c>
      <c r="CJ150" s="1398">
        <f t="shared" ref="CJ150:CJ157" si="84">CI150</f>
        <v>0.28984469125772278</v>
      </c>
      <c r="CK150" s="1398">
        <f t="shared" ref="CK150:CK157" si="85">CJ150</f>
        <v>0.28984469125772278</v>
      </c>
      <c r="CL150" s="1398">
        <f t="shared" ref="CL150:CL157" si="86">CK150</f>
        <v>0.28984469125772278</v>
      </c>
      <c r="CM150" s="1416">
        <f t="shared" ref="CM150:CM157" si="87">CL150</f>
        <v>0.28984469125772278</v>
      </c>
    </row>
    <row r="151" spans="1:91" s="1368" customFormat="1" ht="11.25">
      <c r="A151" s="1400" t="str">
        <f t="shared" si="55"/>
        <v>Europe</v>
      </c>
      <c r="B151" s="1393"/>
      <c r="C151" s="1394">
        <f t="shared" si="56"/>
        <v>0</v>
      </c>
      <c r="D151" s="1395">
        <f t="shared" si="56"/>
        <v>0</v>
      </c>
      <c r="E151" s="1395">
        <f t="shared" si="56"/>
        <v>0</v>
      </c>
      <c r="F151" s="1395">
        <f t="shared" si="56"/>
        <v>0</v>
      </c>
      <c r="G151" s="1396">
        <f t="shared" si="56"/>
        <v>0</v>
      </c>
      <c r="H151" s="1395"/>
      <c r="I151" s="1394">
        <f t="shared" si="57"/>
        <v>0</v>
      </c>
      <c r="J151" s="1395">
        <f t="shared" si="57"/>
        <v>0</v>
      </c>
      <c r="K151" s="1395">
        <f t="shared" si="57"/>
        <v>0</v>
      </c>
      <c r="L151" s="1395">
        <f t="shared" si="57"/>
        <v>0</v>
      </c>
      <c r="M151" s="1396">
        <f t="shared" si="57"/>
        <v>0</v>
      </c>
      <c r="N151" s="1395"/>
      <c r="O151" s="1394">
        <f t="shared" si="58"/>
        <v>0</v>
      </c>
      <c r="P151" s="1395">
        <f t="shared" si="58"/>
        <v>0</v>
      </c>
      <c r="Q151" s="1395">
        <f t="shared" si="58"/>
        <v>0</v>
      </c>
      <c r="R151" s="1395">
        <f t="shared" si="58"/>
        <v>0</v>
      </c>
      <c r="S151" s="1396">
        <f t="shared" si="58"/>
        <v>0</v>
      </c>
      <c r="T151" s="1395"/>
      <c r="U151" s="1397">
        <f t="shared" si="59"/>
        <v>0.30098985560777208</v>
      </c>
      <c r="V151" s="1398">
        <f t="shared" si="59"/>
        <v>0.30098985560777208</v>
      </c>
      <c r="W151" s="1398">
        <f t="shared" si="59"/>
        <v>0.30098985560777208</v>
      </c>
      <c r="X151" s="1398">
        <f t="shared" si="59"/>
        <v>0.30098985560777208</v>
      </c>
      <c r="Y151" s="1396">
        <f t="shared" si="60"/>
        <v>0.30098985560777208</v>
      </c>
      <c r="Z151" s="1395"/>
      <c r="AA151" s="1397">
        <f t="shared" si="61"/>
        <v>0.3104877743109275</v>
      </c>
      <c r="AB151" s="1398">
        <f t="shared" si="61"/>
        <v>0.3104877743109275</v>
      </c>
      <c r="AC151" s="1398">
        <f t="shared" si="61"/>
        <v>0.3104877743109275</v>
      </c>
      <c r="AD151" s="1398">
        <f t="shared" si="61"/>
        <v>0.3104877743109275</v>
      </c>
      <c r="AE151" s="1396">
        <f t="shared" si="62"/>
        <v>0.3104877743109275</v>
      </c>
      <c r="AF151" s="1395"/>
      <c r="AG151" s="1394">
        <f t="shared" si="63"/>
        <v>0.29707128892778828</v>
      </c>
      <c r="AH151" s="1395">
        <f t="shared" si="63"/>
        <v>0.27779562092299515</v>
      </c>
      <c r="AI151" s="1395">
        <f t="shared" si="63"/>
        <v>0.28198785648246927</v>
      </c>
      <c r="AJ151" s="1436">
        <f t="shared" si="63"/>
        <v>0.32991609265456173</v>
      </c>
      <c r="AK151" s="1396">
        <f t="shared" si="63"/>
        <v>0.29796527632006453</v>
      </c>
      <c r="AL151" s="1395"/>
      <c r="AM151" s="1394">
        <f t="shared" si="64"/>
        <v>0.28681873318182455</v>
      </c>
      <c r="AN151" s="1395">
        <f t="shared" si="64"/>
        <v>0.29745186925728478</v>
      </c>
      <c r="AO151" s="1395">
        <f t="shared" si="64"/>
        <v>0.28497956559673049</v>
      </c>
      <c r="AP151" s="1436">
        <f t="shared" si="64"/>
        <v>0.32867036402993721</v>
      </c>
      <c r="AQ151" s="1396">
        <f t="shared" si="64"/>
        <v>0.30132369298053058</v>
      </c>
      <c r="AR151" s="1395"/>
      <c r="AS151" s="1394">
        <f t="shared" si="65"/>
        <v>0.3087701041560203</v>
      </c>
      <c r="AT151" s="1395">
        <f t="shared" si="65"/>
        <v>0.29828290103175376</v>
      </c>
      <c r="AU151" s="1395">
        <f t="shared" si="65"/>
        <v>0.29214563077266226</v>
      </c>
      <c r="AV151" s="1436">
        <f t="shared" si="65"/>
        <v>0.31918577765598521</v>
      </c>
      <c r="AW151" s="1396">
        <f t="shared" si="65"/>
        <v>0.30516592404330278</v>
      </c>
      <c r="AX151" s="1395"/>
      <c r="AY151" s="1394">
        <f t="shared" si="66"/>
        <v>0.27019965074152263</v>
      </c>
      <c r="AZ151" s="1395">
        <f t="shared" si="66"/>
        <v>0.25753729231515543</v>
      </c>
      <c r="BA151" s="1395">
        <f t="shared" si="66"/>
        <v>0.26390292821498351</v>
      </c>
      <c r="BB151" s="1395">
        <f t="shared" si="67"/>
        <v>0.29315388418199484</v>
      </c>
      <c r="BC151" s="1849">
        <f t="shared" si="67"/>
        <v>0.27218199587530328</v>
      </c>
      <c r="BD151" s="1395"/>
      <c r="BE151" s="1394">
        <f t="shared" si="68"/>
        <v>0.26308901074390945</v>
      </c>
      <c r="BF151" s="1395">
        <f t="shared" si="68"/>
        <v>0.26710339943342781</v>
      </c>
      <c r="BG151" s="1395">
        <f t="shared" ref="BG151:BH157" si="88">IF(ISERROR(BG141/BG$16),"NM",BG141/BG$16)</f>
        <v>0.24332517130763248</v>
      </c>
      <c r="BH151" s="1395">
        <f t="shared" si="88"/>
        <v>0.28740575107309785</v>
      </c>
      <c r="BI151" s="1849">
        <f t="shared" si="69"/>
        <v>0.2663333368705601</v>
      </c>
      <c r="BJ151" s="1395"/>
      <c r="BK151" s="1394">
        <f t="shared" si="70"/>
        <v>0.25747185065737022</v>
      </c>
      <c r="BL151" s="1395">
        <f t="shared" si="70"/>
        <v>0.26146171070309004</v>
      </c>
      <c r="BM151" s="1395">
        <f t="shared" ref="BM151:BO151" si="89">IF(ISERROR(BM141/BM$16),"NM",BM141/BM$16)</f>
        <v>0.27092704178336019</v>
      </c>
      <c r="BN151" s="1395">
        <f t="shared" si="89"/>
        <v>0.30419555490887934</v>
      </c>
      <c r="BO151" s="1849">
        <f t="shared" si="89"/>
        <v>0.27563902128901663</v>
      </c>
      <c r="BP151" s="1395"/>
      <c r="BQ151" s="1397">
        <f t="shared" ref="BQ151:BQ157" si="90">BO151</f>
        <v>0.27563902128901663</v>
      </c>
      <c r="BR151" s="1398">
        <f t="shared" si="72"/>
        <v>0.27563902128901663</v>
      </c>
      <c r="BS151" s="1398">
        <f t="shared" si="73"/>
        <v>0.27563902128901663</v>
      </c>
      <c r="BT151" s="1398">
        <f t="shared" si="74"/>
        <v>0.27563902128901663</v>
      </c>
      <c r="BU151" s="1399">
        <f t="shared" si="75"/>
        <v>0.27563902128901663</v>
      </c>
      <c r="BW151" s="1397">
        <f t="shared" ref="BW151:BW157" si="91">BU151</f>
        <v>0.27563902128901663</v>
      </c>
      <c r="BX151" s="1398">
        <f t="shared" si="76"/>
        <v>0.27563902128901663</v>
      </c>
      <c r="BY151" s="1398">
        <f t="shared" si="77"/>
        <v>0.27563902128901663</v>
      </c>
      <c r="BZ151" s="1398">
        <f t="shared" si="78"/>
        <v>0.27563902128901663</v>
      </c>
      <c r="CA151" s="1399">
        <f t="shared" si="79"/>
        <v>0.27563902128901663</v>
      </c>
      <c r="CC151" s="1397">
        <f t="shared" ref="CC151:CC157" si="92">CA151</f>
        <v>0.27563902128901663</v>
      </c>
      <c r="CD151" s="1398">
        <f t="shared" si="80"/>
        <v>0.27563902128901663</v>
      </c>
      <c r="CE151" s="1398">
        <f t="shared" si="81"/>
        <v>0.27563902128901663</v>
      </c>
      <c r="CF151" s="1398">
        <f t="shared" si="82"/>
        <v>0.27563902128901663</v>
      </c>
      <c r="CG151" s="1399">
        <f t="shared" si="83"/>
        <v>0.27563902128901663</v>
      </c>
      <c r="CI151" s="1397">
        <f t="shared" ref="CI151:CI157" si="93">CG151</f>
        <v>0.27563902128901663</v>
      </c>
      <c r="CJ151" s="1398">
        <f t="shared" si="84"/>
        <v>0.27563902128901663</v>
      </c>
      <c r="CK151" s="1398">
        <f t="shared" si="85"/>
        <v>0.27563902128901663</v>
      </c>
      <c r="CL151" s="1398">
        <f t="shared" si="86"/>
        <v>0.27563902128901663</v>
      </c>
      <c r="CM151" s="1399">
        <f t="shared" si="87"/>
        <v>0.27563902128901663</v>
      </c>
    </row>
    <row r="152" spans="1:91" s="1368" customFormat="1" ht="11.25">
      <c r="A152" s="1400" t="str">
        <f t="shared" si="55"/>
        <v>Asia</v>
      </c>
      <c r="B152" s="1393"/>
      <c r="C152" s="1394">
        <f t="shared" si="56"/>
        <v>0</v>
      </c>
      <c r="D152" s="1395">
        <f t="shared" si="56"/>
        <v>0</v>
      </c>
      <c r="E152" s="1395">
        <f t="shared" si="56"/>
        <v>0</v>
      </c>
      <c r="F152" s="1395">
        <f t="shared" si="56"/>
        <v>0</v>
      </c>
      <c r="G152" s="1396">
        <f t="shared" si="56"/>
        <v>0</v>
      </c>
      <c r="H152" s="1395"/>
      <c r="I152" s="1394">
        <f t="shared" si="57"/>
        <v>0</v>
      </c>
      <c r="J152" s="1395">
        <f t="shared" si="57"/>
        <v>0</v>
      </c>
      <c r="K152" s="1395">
        <f t="shared" si="57"/>
        <v>0</v>
      </c>
      <c r="L152" s="1395">
        <f t="shared" si="57"/>
        <v>0</v>
      </c>
      <c r="M152" s="1396">
        <f t="shared" si="57"/>
        <v>0</v>
      </c>
      <c r="N152" s="1395"/>
      <c r="O152" s="1394">
        <f t="shared" si="58"/>
        <v>0</v>
      </c>
      <c r="P152" s="1395">
        <f t="shared" si="58"/>
        <v>0</v>
      </c>
      <c r="Q152" s="1395">
        <f t="shared" si="58"/>
        <v>0</v>
      </c>
      <c r="R152" s="1395">
        <f t="shared" si="58"/>
        <v>0</v>
      </c>
      <c r="S152" s="1396">
        <f t="shared" si="58"/>
        <v>0</v>
      </c>
      <c r="T152" s="1395"/>
      <c r="U152" s="1397">
        <f t="shared" si="59"/>
        <v>0.32898779399174016</v>
      </c>
      <c r="V152" s="1398">
        <f t="shared" si="59"/>
        <v>0.32898779399174016</v>
      </c>
      <c r="W152" s="1398">
        <f t="shared" si="59"/>
        <v>0.32898779399174016</v>
      </c>
      <c r="X152" s="1398">
        <f t="shared" si="59"/>
        <v>0.32898779399174016</v>
      </c>
      <c r="Y152" s="1396">
        <f t="shared" si="60"/>
        <v>0.32898779399174016</v>
      </c>
      <c r="Z152" s="1395"/>
      <c r="AA152" s="1397">
        <f t="shared" si="61"/>
        <v>0.32918607766704988</v>
      </c>
      <c r="AB152" s="1398">
        <f t="shared" si="61"/>
        <v>0.32918607766704988</v>
      </c>
      <c r="AC152" s="1398">
        <f t="shared" si="61"/>
        <v>0.32918607766704988</v>
      </c>
      <c r="AD152" s="1398">
        <f t="shared" si="61"/>
        <v>0.32918607766704988</v>
      </c>
      <c r="AE152" s="1396">
        <f t="shared" si="62"/>
        <v>0.32918607766704988</v>
      </c>
      <c r="AF152" s="1395"/>
      <c r="AG152" s="1394">
        <f t="shared" si="63"/>
        <v>0.36128697753402245</v>
      </c>
      <c r="AH152" s="1395">
        <f t="shared" si="63"/>
        <v>0.34919428970130573</v>
      </c>
      <c r="AI152" s="1395">
        <f t="shared" si="63"/>
        <v>0.35152416257734159</v>
      </c>
      <c r="AJ152" s="1436">
        <f t="shared" si="63"/>
        <v>0.32184734152857802</v>
      </c>
      <c r="AK152" s="1396">
        <f t="shared" si="63"/>
        <v>0.34478133215739942</v>
      </c>
      <c r="AL152" s="1395"/>
      <c r="AM152" s="1394">
        <f t="shared" si="64"/>
        <v>0.34151295028558953</v>
      </c>
      <c r="AN152" s="1395">
        <f t="shared" si="64"/>
        <v>0.32914001972889406</v>
      </c>
      <c r="AO152" s="1395">
        <f t="shared" si="64"/>
        <v>0.33847637415621984</v>
      </c>
      <c r="AP152" s="1436">
        <f t="shared" si="64"/>
        <v>0.31239300519234314</v>
      </c>
      <c r="AQ152" s="1396">
        <f t="shared" si="64"/>
        <v>0.32920547962470686</v>
      </c>
      <c r="AR152" s="1395"/>
      <c r="AS152" s="1394">
        <f t="shared" si="65"/>
        <v>0.33975675248775861</v>
      </c>
      <c r="AT152" s="1395">
        <f t="shared" si="65"/>
        <v>0.31612014088804302</v>
      </c>
      <c r="AU152" s="1395">
        <f t="shared" si="65"/>
        <v>0.32571046201575532</v>
      </c>
      <c r="AV152" s="1436">
        <f t="shared" si="65"/>
        <v>0.3096990768492987</v>
      </c>
      <c r="AW152" s="1396">
        <f t="shared" si="65"/>
        <v>0.32172816767738516</v>
      </c>
      <c r="AX152" s="1395"/>
      <c r="AY152" s="1394">
        <f t="shared" si="66"/>
        <v>0.34409562036819835</v>
      </c>
      <c r="AZ152" s="1395">
        <f t="shared" si="66"/>
        <v>0.35306221449650316</v>
      </c>
      <c r="BA152" s="1395">
        <f t="shared" si="66"/>
        <v>0.33541026573281285</v>
      </c>
      <c r="BB152" s="1395">
        <f t="shared" si="67"/>
        <v>0.33236221680503231</v>
      </c>
      <c r="BC152" s="1849">
        <f t="shared" si="67"/>
        <v>0.34076878783664943</v>
      </c>
      <c r="BD152" s="1395"/>
      <c r="BE152" s="1394">
        <f t="shared" si="68"/>
        <v>0.36080892842864537</v>
      </c>
      <c r="BF152" s="1395">
        <f t="shared" si="68"/>
        <v>0.35475622483971975</v>
      </c>
      <c r="BG152" s="1395">
        <f t="shared" si="88"/>
        <v>0.37111591974640779</v>
      </c>
      <c r="BH152" s="1395">
        <f t="shared" si="88"/>
        <v>0.35886238106067714</v>
      </c>
      <c r="BI152" s="1849">
        <f t="shared" si="69"/>
        <v>0.36125112633759082</v>
      </c>
      <c r="BJ152" s="1395"/>
      <c r="BK152" s="1394">
        <f t="shared" si="70"/>
        <v>0.39180350584072504</v>
      </c>
      <c r="BL152" s="1395">
        <f t="shared" si="70"/>
        <v>0.38639140170174657</v>
      </c>
      <c r="BM152" s="1395">
        <f t="shared" ref="BM152:BO152" si="94">IF(ISERROR(BM142/BM$16),"NM",BM142/BM$16)</f>
        <v>0.37012892868256525</v>
      </c>
      <c r="BN152" s="1395">
        <f t="shared" si="94"/>
        <v>0.35279764286493764</v>
      </c>
      <c r="BO152" s="1849">
        <f t="shared" si="94"/>
        <v>0.37357637983645425</v>
      </c>
      <c r="BP152" s="1395"/>
      <c r="BQ152" s="1397">
        <f t="shared" si="90"/>
        <v>0.37357637983645425</v>
      </c>
      <c r="BR152" s="1398">
        <f t="shared" si="72"/>
        <v>0.37357637983645425</v>
      </c>
      <c r="BS152" s="1398">
        <f t="shared" si="73"/>
        <v>0.37357637983645425</v>
      </c>
      <c r="BT152" s="1398">
        <f t="shared" si="74"/>
        <v>0.37357637983645425</v>
      </c>
      <c r="BU152" s="1399">
        <f t="shared" si="75"/>
        <v>0.37357637983645425</v>
      </c>
      <c r="BW152" s="1397">
        <f t="shared" si="91"/>
        <v>0.37357637983645425</v>
      </c>
      <c r="BX152" s="1398">
        <f t="shared" si="76"/>
        <v>0.37357637983645425</v>
      </c>
      <c r="BY152" s="1398">
        <f t="shared" si="77"/>
        <v>0.37357637983645425</v>
      </c>
      <c r="BZ152" s="1398">
        <f t="shared" si="78"/>
        <v>0.37357637983645425</v>
      </c>
      <c r="CA152" s="1399">
        <f t="shared" si="79"/>
        <v>0.37357637983645425</v>
      </c>
      <c r="CC152" s="1397">
        <f t="shared" si="92"/>
        <v>0.37357637983645425</v>
      </c>
      <c r="CD152" s="1398">
        <f t="shared" si="80"/>
        <v>0.37357637983645425</v>
      </c>
      <c r="CE152" s="1398">
        <f t="shared" si="81"/>
        <v>0.37357637983645425</v>
      </c>
      <c r="CF152" s="1398">
        <f t="shared" si="82"/>
        <v>0.37357637983645425</v>
      </c>
      <c r="CG152" s="1399">
        <f t="shared" si="83"/>
        <v>0.37357637983645425</v>
      </c>
      <c r="CI152" s="1397">
        <f t="shared" si="93"/>
        <v>0.37357637983645425</v>
      </c>
      <c r="CJ152" s="1398">
        <f t="shared" si="84"/>
        <v>0.37357637983645425</v>
      </c>
      <c r="CK152" s="1398">
        <f t="shared" si="85"/>
        <v>0.37357637983645425</v>
      </c>
      <c r="CL152" s="1398">
        <f t="shared" si="86"/>
        <v>0.37357637983645425</v>
      </c>
      <c r="CM152" s="1399">
        <f t="shared" si="87"/>
        <v>0.37357637983645425</v>
      </c>
    </row>
    <row r="153" spans="1:91" s="1370" customFormat="1" ht="11.25" hidden="1" outlineLevel="1">
      <c r="A153" s="1401" t="str">
        <f t="shared" si="55"/>
        <v>China</v>
      </c>
      <c r="B153" s="1402"/>
      <c r="C153" s="1403">
        <f t="shared" si="56"/>
        <v>0</v>
      </c>
      <c r="D153" s="1404">
        <f t="shared" si="56"/>
        <v>0</v>
      </c>
      <c r="E153" s="1404">
        <f t="shared" si="56"/>
        <v>0</v>
      </c>
      <c r="F153" s="1404">
        <f t="shared" si="56"/>
        <v>0</v>
      </c>
      <c r="G153" s="1405">
        <f t="shared" si="56"/>
        <v>0</v>
      </c>
      <c r="H153" s="1404"/>
      <c r="I153" s="1403">
        <f t="shared" si="57"/>
        <v>0</v>
      </c>
      <c r="J153" s="1404">
        <f t="shared" si="57"/>
        <v>0</v>
      </c>
      <c r="K153" s="1404">
        <f t="shared" si="57"/>
        <v>0</v>
      </c>
      <c r="L153" s="1404">
        <f t="shared" si="57"/>
        <v>0</v>
      </c>
      <c r="M153" s="1405">
        <f t="shared" si="57"/>
        <v>0</v>
      </c>
      <c r="N153" s="1404"/>
      <c r="O153" s="1403">
        <f t="shared" si="58"/>
        <v>0</v>
      </c>
      <c r="P153" s="1404">
        <f t="shared" si="58"/>
        <v>0</v>
      </c>
      <c r="Q153" s="1404">
        <f t="shared" si="58"/>
        <v>0</v>
      </c>
      <c r="R153" s="1404">
        <f t="shared" si="58"/>
        <v>0</v>
      </c>
      <c r="S153" s="1405">
        <f t="shared" si="58"/>
        <v>0</v>
      </c>
      <c r="T153" s="1404"/>
      <c r="U153" s="1403">
        <f t="shared" si="59"/>
        <v>8.9686990947266329E-2</v>
      </c>
      <c r="V153" s="1404">
        <f t="shared" si="59"/>
        <v>8.9686990947266329E-2</v>
      </c>
      <c r="W153" s="1404">
        <f t="shared" si="59"/>
        <v>8.9686990947266329E-2</v>
      </c>
      <c r="X153" s="1404">
        <f t="shared" si="59"/>
        <v>8.9686990947266329E-2</v>
      </c>
      <c r="Y153" s="1405">
        <f t="shared" si="60"/>
        <v>8.9686990947266329E-2</v>
      </c>
      <c r="Z153" s="1404"/>
      <c r="AA153" s="1403">
        <f t="shared" si="61"/>
        <v>9.4755032454904534E-2</v>
      </c>
      <c r="AB153" s="1404">
        <f t="shared" si="61"/>
        <v>9.4755032454904534E-2</v>
      </c>
      <c r="AC153" s="1404">
        <f t="shared" si="61"/>
        <v>9.4755032454904534E-2</v>
      </c>
      <c r="AD153" s="1404">
        <f t="shared" si="61"/>
        <v>9.4755032454904534E-2</v>
      </c>
      <c r="AE153" s="1405">
        <f t="shared" si="62"/>
        <v>9.4755032454904534E-2</v>
      </c>
      <c r="AF153" s="1404"/>
      <c r="AG153" s="1403">
        <f t="shared" si="63"/>
        <v>0.11226091547788365</v>
      </c>
      <c r="AH153" s="1404">
        <f t="shared" si="63"/>
        <v>0.11168750622971881</v>
      </c>
      <c r="AI153" s="1404">
        <f t="shared" si="63"/>
        <v>0.12329981864732238</v>
      </c>
      <c r="AJ153" s="1437">
        <f t="shared" si="63"/>
        <v>0.11422361748369959</v>
      </c>
      <c r="AK153" s="1405">
        <f t="shared" si="63"/>
        <v>0.11537007475967394</v>
      </c>
      <c r="AL153" s="1404"/>
      <c r="AM153" s="1403">
        <f t="shared" si="64"/>
        <v>0.11993595731727155</v>
      </c>
      <c r="AN153" s="1404">
        <f t="shared" si="64"/>
        <v>0.13151635392305733</v>
      </c>
      <c r="AO153" s="1404">
        <f t="shared" si="64"/>
        <v>0.12931074068971851</v>
      </c>
      <c r="AP153" s="1437">
        <f t="shared" si="64"/>
        <v>0.12460385393528672</v>
      </c>
      <c r="AQ153" s="1405">
        <f t="shared" si="64"/>
        <v>0.12631694480358868</v>
      </c>
      <c r="AR153" s="1404"/>
      <c r="AS153" s="1403">
        <f t="shared" si="65"/>
        <v>0.12352615979261709</v>
      </c>
      <c r="AT153" s="1404">
        <f t="shared" si="65"/>
        <v>0.1103526144611572</v>
      </c>
      <c r="AU153" s="1404">
        <f t="shared" si="65"/>
        <v>0.11357253657497997</v>
      </c>
      <c r="AV153" s="1437">
        <f t="shared" si="65"/>
        <v>0.13108226146231183</v>
      </c>
      <c r="AW153" s="1405">
        <f t="shared" si="65"/>
        <v>0.12008581723422396</v>
      </c>
      <c r="AX153" s="1404"/>
      <c r="AY153" s="1403">
        <f t="shared" si="66"/>
        <v>0.13504226722617527</v>
      </c>
      <c r="AZ153" s="1404">
        <f t="shared" si="66"/>
        <v>0.13530743420786673</v>
      </c>
      <c r="BA153" s="1404">
        <f t="shared" si="66"/>
        <v>0.12856338073187393</v>
      </c>
      <c r="BB153" s="1404">
        <f t="shared" si="67"/>
        <v>0.14511856258843189</v>
      </c>
      <c r="BC153" s="1405">
        <f t="shared" si="67"/>
        <v>0.13641268902411557</v>
      </c>
      <c r="BD153" s="1404"/>
      <c r="BE153" s="1403">
        <f t="shared" si="68"/>
        <v>0.14901966560476046</v>
      </c>
      <c r="BF153" s="1404">
        <f t="shared" si="68"/>
        <v>0.14865066348591027</v>
      </c>
      <c r="BG153" s="1404">
        <f t="shared" si="88"/>
        <v>0.15954102841523835</v>
      </c>
      <c r="BH153" s="1404">
        <f t="shared" si="88"/>
        <v>0.15382315474079453</v>
      </c>
      <c r="BI153" s="1405">
        <f t="shared" si="69"/>
        <v>0.15287924876685355</v>
      </c>
      <c r="BJ153" s="1404"/>
      <c r="BK153" s="1403">
        <f t="shared" si="70"/>
        <v>0.17093835158413476</v>
      </c>
      <c r="BL153" s="1404">
        <f t="shared" si="70"/>
        <v>0.16856963725929244</v>
      </c>
      <c r="BM153" s="1404">
        <f t="shared" ref="BM153:BO153" si="95">IF(ISERROR(BM143/BM$16),"NM",BM143/BM$16)</f>
        <v>0.16998536026478825</v>
      </c>
      <c r="BN153" s="1404">
        <f t="shared" si="95"/>
        <v>0.16251427739987634</v>
      </c>
      <c r="BO153" s="1405">
        <f t="shared" si="95"/>
        <v>0.16762491349361089</v>
      </c>
      <c r="BP153" s="1404"/>
      <c r="BQ153" s="1403">
        <f t="shared" si="90"/>
        <v>0.16762491349361089</v>
      </c>
      <c r="BR153" s="1404">
        <f t="shared" si="72"/>
        <v>0.16762491349361089</v>
      </c>
      <c r="BS153" s="1404">
        <f t="shared" si="73"/>
        <v>0.16762491349361089</v>
      </c>
      <c r="BT153" s="1404">
        <f t="shared" si="74"/>
        <v>0.16762491349361089</v>
      </c>
      <c r="BU153" s="1405">
        <f t="shared" si="75"/>
        <v>0.16762491349361089</v>
      </c>
      <c r="BW153" s="1403">
        <f t="shared" si="91"/>
        <v>0.16762491349361089</v>
      </c>
      <c r="BX153" s="1404">
        <f t="shared" si="76"/>
        <v>0.16762491349361089</v>
      </c>
      <c r="BY153" s="1404">
        <f t="shared" si="77"/>
        <v>0.16762491349361089</v>
      </c>
      <c r="BZ153" s="1404">
        <f t="shared" si="78"/>
        <v>0.16762491349361089</v>
      </c>
      <c r="CA153" s="1405">
        <f t="shared" si="79"/>
        <v>0.16762491349361089</v>
      </c>
      <c r="CC153" s="1403">
        <f t="shared" si="92"/>
        <v>0.16762491349361089</v>
      </c>
      <c r="CD153" s="1404">
        <f t="shared" si="80"/>
        <v>0.16762491349361089</v>
      </c>
      <c r="CE153" s="1404">
        <f t="shared" si="81"/>
        <v>0.16762491349361089</v>
      </c>
      <c r="CF153" s="1404">
        <f t="shared" si="82"/>
        <v>0.16762491349361089</v>
      </c>
      <c r="CG153" s="1405">
        <f t="shared" si="83"/>
        <v>0.16762491349361089</v>
      </c>
      <c r="CI153" s="1403">
        <f t="shared" si="93"/>
        <v>0.16762491349361089</v>
      </c>
      <c r="CJ153" s="1404">
        <f t="shared" si="84"/>
        <v>0.16762491349361089</v>
      </c>
      <c r="CK153" s="1404">
        <f t="shared" si="85"/>
        <v>0.16762491349361089</v>
      </c>
      <c r="CL153" s="1404">
        <f t="shared" si="86"/>
        <v>0.16762491349361089</v>
      </c>
      <c r="CM153" s="1405">
        <f t="shared" si="87"/>
        <v>0.16762491349361089</v>
      </c>
    </row>
    <row r="154" spans="1:91" s="1370" customFormat="1" ht="11.25" hidden="1" outlineLevel="1">
      <c r="A154" s="1401" t="str">
        <f t="shared" si="55"/>
        <v>Japan</v>
      </c>
      <c r="B154" s="1402"/>
      <c r="C154" s="1403">
        <f t="shared" si="56"/>
        <v>0</v>
      </c>
      <c r="D154" s="1404">
        <f t="shared" si="56"/>
        <v>0</v>
      </c>
      <c r="E154" s="1404">
        <f t="shared" si="56"/>
        <v>0</v>
      </c>
      <c r="F154" s="1404">
        <f t="shared" si="56"/>
        <v>0</v>
      </c>
      <c r="G154" s="1405">
        <f t="shared" si="56"/>
        <v>0</v>
      </c>
      <c r="H154" s="1404"/>
      <c r="I154" s="1403">
        <f t="shared" si="57"/>
        <v>0</v>
      </c>
      <c r="J154" s="1404">
        <f t="shared" si="57"/>
        <v>0</v>
      </c>
      <c r="K154" s="1404">
        <f t="shared" si="57"/>
        <v>0</v>
      </c>
      <c r="L154" s="1404">
        <f t="shared" si="57"/>
        <v>0</v>
      </c>
      <c r="M154" s="1405">
        <f t="shared" si="57"/>
        <v>0</v>
      </c>
      <c r="N154" s="1404"/>
      <c r="O154" s="1403">
        <f t="shared" si="58"/>
        <v>0</v>
      </c>
      <c r="P154" s="1404">
        <f t="shared" si="58"/>
        <v>0</v>
      </c>
      <c r="Q154" s="1404">
        <f t="shared" si="58"/>
        <v>0</v>
      </c>
      <c r="R154" s="1404">
        <f t="shared" si="58"/>
        <v>0</v>
      </c>
      <c r="S154" s="1405">
        <f t="shared" si="58"/>
        <v>0</v>
      </c>
      <c r="T154" s="1404"/>
      <c r="U154" s="1403">
        <f t="shared" si="59"/>
        <v>0.11414403686081841</v>
      </c>
      <c r="V154" s="1404">
        <f t="shared" si="59"/>
        <v>0.11414403686081841</v>
      </c>
      <c r="W154" s="1404">
        <f t="shared" si="59"/>
        <v>0.11414403686081841</v>
      </c>
      <c r="X154" s="1404">
        <f t="shared" si="59"/>
        <v>0.11414403686081841</v>
      </c>
      <c r="Y154" s="1405">
        <f t="shared" si="60"/>
        <v>0.11414403686081841</v>
      </c>
      <c r="Z154" s="1404"/>
      <c r="AA154" s="1403">
        <f t="shared" si="61"/>
        <v>0.11446350011668208</v>
      </c>
      <c r="AB154" s="1404">
        <f t="shared" si="61"/>
        <v>0.11446350011668208</v>
      </c>
      <c r="AC154" s="1404">
        <f t="shared" si="61"/>
        <v>0.11446350011668208</v>
      </c>
      <c r="AD154" s="1404">
        <f t="shared" si="61"/>
        <v>0.11446350011668208</v>
      </c>
      <c r="AE154" s="1405">
        <f t="shared" si="62"/>
        <v>0.11446350011668208</v>
      </c>
      <c r="AF154" s="1404"/>
      <c r="AG154" s="1403">
        <f t="shared" si="63"/>
        <v>0.13160648626022101</v>
      </c>
      <c r="AH154" s="1404">
        <f t="shared" si="63"/>
        <v>0.11072176137685091</v>
      </c>
      <c r="AI154" s="1404">
        <f t="shared" si="63"/>
        <v>0.11281203328355024</v>
      </c>
      <c r="AJ154" s="1437">
        <f t="shared" si="63"/>
        <v>9.8239440668805605E-2</v>
      </c>
      <c r="AK154" s="1405">
        <f t="shared" si="63"/>
        <v>0.11246224183558513</v>
      </c>
      <c r="AL154" s="1404"/>
      <c r="AM154" s="1403">
        <f t="shared" si="64"/>
        <v>0.1073388824598339</v>
      </c>
      <c r="AN154" s="1404">
        <f t="shared" si="64"/>
        <v>8.4781042527958511E-2</v>
      </c>
      <c r="AO154" s="1404">
        <f t="shared" si="64"/>
        <v>9.2861188191123434E-2</v>
      </c>
      <c r="AP154" s="1437">
        <f t="shared" si="64"/>
        <v>7.6417283286880522E-2</v>
      </c>
      <c r="AQ154" s="1405">
        <f t="shared" si="64"/>
        <v>8.9335884861922329E-2</v>
      </c>
      <c r="AR154" s="1404"/>
      <c r="AS154" s="1403">
        <f t="shared" si="65"/>
        <v>0.10593763646668586</v>
      </c>
      <c r="AT154" s="1404">
        <f t="shared" si="65"/>
        <v>7.9634537910880224E-2</v>
      </c>
      <c r="AU154" s="1404">
        <f t="shared" si="65"/>
        <v>8.4342968377723468E-2</v>
      </c>
      <c r="AV154" s="1437">
        <f t="shared" si="65"/>
        <v>6.49082843783719E-2</v>
      </c>
      <c r="AW154" s="1405">
        <f t="shared" si="65"/>
        <v>8.2171811411198864E-2</v>
      </c>
      <c r="AX154" s="1404"/>
      <c r="AY154" s="1403">
        <f t="shared" si="66"/>
        <v>8.5123065829141364E-2</v>
      </c>
      <c r="AZ154" s="1404">
        <f t="shared" si="66"/>
        <v>6.7688078586732425E-2</v>
      </c>
      <c r="BA154" s="1404">
        <f t="shared" si="66"/>
        <v>7.2654011962171722E-2</v>
      </c>
      <c r="BB154" s="1404">
        <f t="shared" si="67"/>
        <v>6.1601404681133967E-2</v>
      </c>
      <c r="BC154" s="1405">
        <f t="shared" si="67"/>
        <v>7.1087364835883682E-2</v>
      </c>
      <c r="BD154" s="1404"/>
      <c r="BE154" s="1403">
        <f t="shared" si="68"/>
        <v>9.3473695728107126E-2</v>
      </c>
      <c r="BF154" s="1404">
        <f t="shared" si="68"/>
        <v>7.3973087818696895E-2</v>
      </c>
      <c r="BG154" s="1404">
        <f t="shared" si="88"/>
        <v>8.008465728982786E-2</v>
      </c>
      <c r="BH154" s="1404">
        <f t="shared" si="88"/>
        <v>6.6273634792067895E-2</v>
      </c>
      <c r="BI154" s="1405">
        <f t="shared" si="69"/>
        <v>7.7500792415693673E-2</v>
      </c>
      <c r="BJ154" s="1404"/>
      <c r="BK154" s="1403">
        <f t="shared" si="70"/>
        <v>8.2930865174338161E-2</v>
      </c>
      <c r="BL154" s="1404">
        <f t="shared" si="70"/>
        <v>7.4445141065830722E-2</v>
      </c>
      <c r="BM154" s="1404">
        <f t="shared" ref="BM154:BO154" si="96">IF(ISERROR(BM144/BM$16),"NM",BM144/BM$16)</f>
        <v>7.4616679396871194E-2</v>
      </c>
      <c r="BN154" s="1404">
        <f t="shared" si="96"/>
        <v>6.1401913353461159E-2</v>
      </c>
      <c r="BO154" s="1405">
        <f t="shared" si="96"/>
        <v>7.2434971880551466E-2</v>
      </c>
      <c r="BP154" s="1404"/>
      <c r="BQ154" s="1403">
        <f t="shared" si="90"/>
        <v>7.2434971880551466E-2</v>
      </c>
      <c r="BR154" s="1404">
        <f t="shared" si="72"/>
        <v>7.2434971880551466E-2</v>
      </c>
      <c r="BS154" s="1404">
        <f t="shared" si="73"/>
        <v>7.2434971880551466E-2</v>
      </c>
      <c r="BT154" s="1404">
        <f t="shared" si="74"/>
        <v>7.2434971880551466E-2</v>
      </c>
      <c r="BU154" s="1405">
        <f t="shared" si="75"/>
        <v>7.2434971880551466E-2</v>
      </c>
      <c r="BW154" s="1403">
        <f t="shared" si="91"/>
        <v>7.2434971880551466E-2</v>
      </c>
      <c r="BX154" s="1404">
        <f t="shared" si="76"/>
        <v>7.2434971880551466E-2</v>
      </c>
      <c r="BY154" s="1404">
        <f t="shared" si="77"/>
        <v>7.2434971880551466E-2</v>
      </c>
      <c r="BZ154" s="1404">
        <f t="shared" si="78"/>
        <v>7.2434971880551466E-2</v>
      </c>
      <c r="CA154" s="1405">
        <f t="shared" si="79"/>
        <v>7.2434971880551466E-2</v>
      </c>
      <c r="CC154" s="1403">
        <f t="shared" si="92"/>
        <v>7.2434971880551466E-2</v>
      </c>
      <c r="CD154" s="1404">
        <f t="shared" si="80"/>
        <v>7.2434971880551466E-2</v>
      </c>
      <c r="CE154" s="1404">
        <f t="shared" si="81"/>
        <v>7.2434971880551466E-2</v>
      </c>
      <c r="CF154" s="1404">
        <f t="shared" si="82"/>
        <v>7.2434971880551466E-2</v>
      </c>
      <c r="CG154" s="1405">
        <f t="shared" si="83"/>
        <v>7.2434971880551466E-2</v>
      </c>
      <c r="CI154" s="1403">
        <f t="shared" si="93"/>
        <v>7.2434971880551466E-2</v>
      </c>
      <c r="CJ154" s="1404">
        <f t="shared" si="84"/>
        <v>7.2434971880551466E-2</v>
      </c>
      <c r="CK154" s="1404">
        <f t="shared" si="85"/>
        <v>7.2434971880551466E-2</v>
      </c>
      <c r="CL154" s="1404">
        <f t="shared" si="86"/>
        <v>7.2434971880551466E-2</v>
      </c>
      <c r="CM154" s="1405">
        <f t="shared" si="87"/>
        <v>7.2434971880551466E-2</v>
      </c>
    </row>
    <row r="155" spans="1:91" s="1370" customFormat="1" ht="11.25" hidden="1" outlineLevel="1">
      <c r="A155" s="1401" t="str">
        <f t="shared" si="55"/>
        <v>Asia Other</v>
      </c>
      <c r="B155" s="1402"/>
      <c r="C155" s="1403">
        <f t="shared" si="56"/>
        <v>0</v>
      </c>
      <c r="D155" s="1404">
        <f t="shared" si="56"/>
        <v>0</v>
      </c>
      <c r="E155" s="1404">
        <f t="shared" si="56"/>
        <v>0</v>
      </c>
      <c r="F155" s="1404">
        <f t="shared" si="56"/>
        <v>0</v>
      </c>
      <c r="G155" s="1405">
        <f t="shared" si="56"/>
        <v>0</v>
      </c>
      <c r="H155" s="1404"/>
      <c r="I155" s="1403">
        <f t="shared" si="57"/>
        <v>0</v>
      </c>
      <c r="J155" s="1404">
        <f t="shared" si="57"/>
        <v>0</v>
      </c>
      <c r="K155" s="1404">
        <f t="shared" si="57"/>
        <v>0</v>
      </c>
      <c r="L155" s="1404">
        <f t="shared" si="57"/>
        <v>0</v>
      </c>
      <c r="M155" s="1405">
        <f t="shared" si="57"/>
        <v>0</v>
      </c>
      <c r="N155" s="1404"/>
      <c r="O155" s="1403">
        <f t="shared" si="58"/>
        <v>0</v>
      </c>
      <c r="P155" s="1404">
        <f t="shared" si="58"/>
        <v>0</v>
      </c>
      <c r="Q155" s="1404">
        <f t="shared" si="58"/>
        <v>0</v>
      </c>
      <c r="R155" s="1404">
        <f t="shared" si="58"/>
        <v>0</v>
      </c>
      <c r="S155" s="1405">
        <f t="shared" si="58"/>
        <v>0</v>
      </c>
      <c r="T155" s="1404"/>
      <c r="U155" s="1403">
        <f t="shared" si="59"/>
        <v>0.12515676618365543</v>
      </c>
      <c r="V155" s="1404">
        <f t="shared" si="59"/>
        <v>0.12515676618365543</v>
      </c>
      <c r="W155" s="1404">
        <f t="shared" si="59"/>
        <v>0.12515676618365543</v>
      </c>
      <c r="X155" s="1404">
        <f t="shared" si="59"/>
        <v>0.12515676618365543</v>
      </c>
      <c r="Y155" s="1405">
        <f t="shared" si="60"/>
        <v>0.12515676618365543</v>
      </c>
      <c r="Z155" s="1404"/>
      <c r="AA155" s="1403">
        <f t="shared" si="61"/>
        <v>0.11996754509546323</v>
      </c>
      <c r="AB155" s="1404">
        <f t="shared" si="61"/>
        <v>0.11996754509546323</v>
      </c>
      <c r="AC155" s="1404">
        <f t="shared" si="61"/>
        <v>0.11996754509546323</v>
      </c>
      <c r="AD155" s="1404">
        <f t="shared" si="61"/>
        <v>0.11996754509546323</v>
      </c>
      <c r="AE155" s="1405">
        <f t="shared" si="62"/>
        <v>0.11996754509546323</v>
      </c>
      <c r="AF155" s="1404"/>
      <c r="AG155" s="1403">
        <f t="shared" si="63"/>
        <v>0.11741957579591779</v>
      </c>
      <c r="AH155" s="1404">
        <f t="shared" si="63"/>
        <v>0.12678502209473602</v>
      </c>
      <c r="AI155" s="1404">
        <f t="shared" si="63"/>
        <v>0.11541231064646895</v>
      </c>
      <c r="AJ155" s="1437">
        <f t="shared" si="63"/>
        <v>0.10938428337607284</v>
      </c>
      <c r="AK155" s="1405">
        <f t="shared" si="63"/>
        <v>0.11694901556214035</v>
      </c>
      <c r="AL155" s="1404"/>
      <c r="AM155" s="1403">
        <f t="shared" si="64"/>
        <v>0.11423811050848404</v>
      </c>
      <c r="AN155" s="1404">
        <f t="shared" si="64"/>
        <v>0.11284262327787815</v>
      </c>
      <c r="AO155" s="1404">
        <f t="shared" si="64"/>
        <v>0.11630444527537791</v>
      </c>
      <c r="AP155" s="1437">
        <f t="shared" si="64"/>
        <v>0.11137186797017588</v>
      </c>
      <c r="AQ155" s="1405">
        <f t="shared" si="64"/>
        <v>0.11355264995919587</v>
      </c>
      <c r="AR155" s="1404"/>
      <c r="AS155" s="1403">
        <f t="shared" si="65"/>
        <v>0.11029295622845567</v>
      </c>
      <c r="AT155" s="1404">
        <f t="shared" si="65"/>
        <v>0.12613298851600557</v>
      </c>
      <c r="AU155" s="1404">
        <f t="shared" si="65"/>
        <v>0.12779495706305191</v>
      </c>
      <c r="AV155" s="1437">
        <f t="shared" si="65"/>
        <v>0.11370853100861499</v>
      </c>
      <c r="AW155" s="1405">
        <f t="shared" si="65"/>
        <v>0.11947053903196231</v>
      </c>
      <c r="AX155" s="1404"/>
      <c r="AY155" s="1403">
        <f t="shared" si="66"/>
        <v>0.12393028731288173</v>
      </c>
      <c r="AZ155" s="1404">
        <f t="shared" si="66"/>
        <v>0.15006670170190403</v>
      </c>
      <c r="BA155" s="1404">
        <f t="shared" si="66"/>
        <v>0.1341928730387672</v>
      </c>
      <c r="BB155" s="1404">
        <f t="shared" si="67"/>
        <v>0.12564224953546646</v>
      </c>
      <c r="BC155" s="1405">
        <f t="shared" si="67"/>
        <v>0.13326873397665021</v>
      </c>
      <c r="BD155" s="1404"/>
      <c r="BE155" s="1403">
        <f t="shared" si="68"/>
        <v>0.11831556709577776</v>
      </c>
      <c r="BF155" s="1404">
        <f t="shared" si="68"/>
        <v>0.13213247353511259</v>
      </c>
      <c r="BG155" s="1404">
        <f t="shared" si="88"/>
        <v>0.13149023404134161</v>
      </c>
      <c r="BH155" s="1404">
        <f t="shared" si="88"/>
        <v>0.13876559152781467</v>
      </c>
      <c r="BI155" s="1405">
        <f t="shared" si="69"/>
        <v>0.13087108515504359</v>
      </c>
      <c r="BJ155" s="1404"/>
      <c r="BK155" s="1403">
        <f t="shared" si="70"/>
        <v>0.13793428908225211</v>
      </c>
      <c r="BL155" s="1404">
        <f t="shared" si="70"/>
        <v>0.14337662337662338</v>
      </c>
      <c r="BM155" s="1404">
        <f t="shared" ref="BM155:BO155" si="97">IF(ISERROR(BM145/BM$16),"NM",BM145/BM$16)</f>
        <v>0.12552688902090581</v>
      </c>
      <c r="BN155" s="1404">
        <f t="shared" si="97"/>
        <v>0.12888145211160015</v>
      </c>
      <c r="BO155" s="1405">
        <f t="shared" si="97"/>
        <v>0.13351649446229188</v>
      </c>
      <c r="BP155" s="1404"/>
      <c r="BQ155" s="1403">
        <f t="shared" si="90"/>
        <v>0.13351649446229188</v>
      </c>
      <c r="BR155" s="1404">
        <f t="shared" si="72"/>
        <v>0.13351649446229188</v>
      </c>
      <c r="BS155" s="1404">
        <f t="shared" si="73"/>
        <v>0.13351649446229188</v>
      </c>
      <c r="BT155" s="1404">
        <f t="shared" si="74"/>
        <v>0.13351649446229188</v>
      </c>
      <c r="BU155" s="1405">
        <f t="shared" si="75"/>
        <v>0.13351649446229188</v>
      </c>
      <c r="BW155" s="1403">
        <f t="shared" si="91"/>
        <v>0.13351649446229188</v>
      </c>
      <c r="BX155" s="1404">
        <f t="shared" si="76"/>
        <v>0.13351649446229188</v>
      </c>
      <c r="BY155" s="1404">
        <f t="shared" si="77"/>
        <v>0.13351649446229188</v>
      </c>
      <c r="BZ155" s="1404">
        <f t="shared" si="78"/>
        <v>0.13351649446229188</v>
      </c>
      <c r="CA155" s="1405">
        <f t="shared" si="79"/>
        <v>0.13351649446229188</v>
      </c>
      <c r="CC155" s="1403">
        <f t="shared" si="92"/>
        <v>0.13351649446229188</v>
      </c>
      <c r="CD155" s="1404">
        <f t="shared" si="80"/>
        <v>0.13351649446229188</v>
      </c>
      <c r="CE155" s="1404">
        <f t="shared" si="81"/>
        <v>0.13351649446229188</v>
      </c>
      <c r="CF155" s="1404">
        <f t="shared" si="82"/>
        <v>0.13351649446229188</v>
      </c>
      <c r="CG155" s="1405">
        <f t="shared" si="83"/>
        <v>0.13351649446229188</v>
      </c>
      <c r="CI155" s="1403">
        <f t="shared" si="93"/>
        <v>0.13351649446229188</v>
      </c>
      <c r="CJ155" s="1404">
        <f t="shared" si="84"/>
        <v>0.13351649446229188</v>
      </c>
      <c r="CK155" s="1404">
        <f t="shared" si="85"/>
        <v>0.13351649446229188</v>
      </c>
      <c r="CL155" s="1404">
        <f t="shared" si="86"/>
        <v>0.13351649446229188</v>
      </c>
      <c r="CM155" s="1405">
        <f t="shared" si="87"/>
        <v>0.13351649446229188</v>
      </c>
    </row>
    <row r="156" spans="1:91" s="1368" customFormat="1" ht="11.25" collapsed="1">
      <c r="A156" s="1400" t="str">
        <f t="shared" si="55"/>
        <v>Other</v>
      </c>
      <c r="B156" s="1393"/>
      <c r="C156" s="1394">
        <f t="shared" si="56"/>
        <v>0</v>
      </c>
      <c r="D156" s="1395">
        <f t="shared" si="56"/>
        <v>0</v>
      </c>
      <c r="E156" s="1395">
        <f t="shared" si="56"/>
        <v>0</v>
      </c>
      <c r="F156" s="1395">
        <f t="shared" si="56"/>
        <v>0</v>
      </c>
      <c r="G156" s="1396">
        <f t="shared" si="56"/>
        <v>0</v>
      </c>
      <c r="H156" s="1395"/>
      <c r="I156" s="1394">
        <f t="shared" si="57"/>
        <v>0</v>
      </c>
      <c r="J156" s="1395">
        <f t="shared" si="57"/>
        <v>0</v>
      </c>
      <c r="K156" s="1395">
        <f t="shared" si="57"/>
        <v>0</v>
      </c>
      <c r="L156" s="1395">
        <f t="shared" si="57"/>
        <v>0</v>
      </c>
      <c r="M156" s="1396">
        <f t="shared" si="57"/>
        <v>0</v>
      </c>
      <c r="N156" s="1395"/>
      <c r="O156" s="1394">
        <f t="shared" si="58"/>
        <v>0</v>
      </c>
      <c r="P156" s="1395">
        <f t="shared" si="58"/>
        <v>0</v>
      </c>
      <c r="Q156" s="1395">
        <f t="shared" si="58"/>
        <v>0</v>
      </c>
      <c r="R156" s="1395">
        <f t="shared" si="58"/>
        <v>0</v>
      </c>
      <c r="S156" s="1396">
        <f t="shared" si="58"/>
        <v>0</v>
      </c>
      <c r="T156" s="1395"/>
      <c r="U156" s="1397">
        <f t="shared" si="59"/>
        <v>6.6052644229452756E-2</v>
      </c>
      <c r="V156" s="1398">
        <f t="shared" si="59"/>
        <v>6.6052644229452756E-2</v>
      </c>
      <c r="W156" s="1398">
        <f t="shared" si="59"/>
        <v>6.6052644229452756E-2</v>
      </c>
      <c r="X156" s="1398">
        <f t="shared" si="59"/>
        <v>6.6052644229452756E-2</v>
      </c>
      <c r="Y156" s="1396">
        <f t="shared" si="60"/>
        <v>6.6052644229452756E-2</v>
      </c>
      <c r="Z156" s="1395"/>
      <c r="AA156" s="1397">
        <f t="shared" si="61"/>
        <v>7.3695537558665161E-2</v>
      </c>
      <c r="AB156" s="1398">
        <f t="shared" si="61"/>
        <v>7.3695537558665161E-2</v>
      </c>
      <c r="AC156" s="1398">
        <f t="shared" si="61"/>
        <v>7.3695537558665161E-2</v>
      </c>
      <c r="AD156" s="1398">
        <f t="shared" si="61"/>
        <v>7.3695537558665161E-2</v>
      </c>
      <c r="AE156" s="1396">
        <f t="shared" si="62"/>
        <v>7.3695537558665161E-2</v>
      </c>
      <c r="AF156" s="1395"/>
      <c r="AG156" s="1438">
        <f t="shared" si="63"/>
        <v>6.2769646433175258E-2</v>
      </c>
      <c r="AH156" s="1395">
        <f t="shared" si="63"/>
        <v>6.8335308384924631E-2</v>
      </c>
      <c r="AI156" s="1395">
        <f t="shared" si="63"/>
        <v>7.2461062513334756E-2</v>
      </c>
      <c r="AJ156" s="1436">
        <f t="shared" si="63"/>
        <v>7.0698359034509758E-2</v>
      </c>
      <c r="AK156" s="1396">
        <f t="shared" si="63"/>
        <v>6.8741691034208949E-2</v>
      </c>
      <c r="AL156" s="1395"/>
      <c r="AM156" s="1438">
        <f t="shared" si="64"/>
        <v>8.2235359182781922E-2</v>
      </c>
      <c r="AN156" s="1395">
        <f t="shared" si="64"/>
        <v>7.5080633541336469E-2</v>
      </c>
      <c r="AO156" s="1395">
        <f t="shared" si="64"/>
        <v>7.1278784737938888E-2</v>
      </c>
      <c r="AP156" s="1436">
        <f t="shared" si="64"/>
        <v>7.7748970727635439E-2</v>
      </c>
      <c r="AQ156" s="1396">
        <f t="shared" si="64"/>
        <v>7.6576841517095207E-2</v>
      </c>
      <c r="AR156" s="1395"/>
      <c r="AS156" s="1438">
        <f t="shared" si="65"/>
        <v>6.7671216330474682E-2</v>
      </c>
      <c r="AT156" s="1421">
        <f t="shared" si="65"/>
        <v>7.5942142087708414E-2</v>
      </c>
      <c r="AU156" s="1421">
        <f t="shared" si="65"/>
        <v>7.6292924274837012E-2</v>
      </c>
      <c r="AV156" s="1436">
        <f t="shared" si="65"/>
        <v>7.2516142291948596E-2</v>
      </c>
      <c r="AW156" s="1396">
        <f t="shared" si="65"/>
        <v>7.3233689095500834E-2</v>
      </c>
      <c r="AX156" s="1395"/>
      <c r="AY156" s="1438">
        <f t="shared" si="66"/>
        <v>6.7777430256904803E-2</v>
      </c>
      <c r="AZ156" s="1421">
        <f t="shared" si="66"/>
        <v>6.6612766301491697E-2</v>
      </c>
      <c r="BA156" s="1421">
        <f t="shared" si="66"/>
        <v>6.1512891097890834E-2</v>
      </c>
      <c r="BB156" s="1421">
        <f t="shared" si="67"/>
        <v>6.6771790457032798E-2</v>
      </c>
      <c r="BC156" s="1849">
        <f t="shared" si="67"/>
        <v>6.5671007456182443E-2</v>
      </c>
      <c r="BD156" s="1395"/>
      <c r="BE156" s="1438">
        <f t="shared" si="68"/>
        <v>6.2677013588751926E-2</v>
      </c>
      <c r="BF156" s="1421">
        <f t="shared" si="68"/>
        <v>6.4332041151036246E-2</v>
      </c>
      <c r="BG156" s="1421">
        <f t="shared" si="88"/>
        <v>6.5505001613423694E-2</v>
      </c>
      <c r="BH156" s="1421">
        <f t="shared" si="88"/>
        <v>6.8523999382938877E-2</v>
      </c>
      <c r="BI156" s="1849">
        <f t="shared" si="69"/>
        <v>6.5470376571624453E-2</v>
      </c>
      <c r="BJ156" s="1395"/>
      <c r="BK156" s="1438">
        <f t="shared" si="70"/>
        <v>7.1120893067640745E-2</v>
      </c>
      <c r="BL156" s="1421">
        <f t="shared" si="70"/>
        <v>5.7701746529332743E-2</v>
      </c>
      <c r="BM156" s="1421">
        <f t="shared" ref="BM156:BO156" si="98">IF(ISERROR(BM146/BM$16),"NM",BM146/BM$16)</f>
        <v>5.6507963450168314E-2</v>
      </c>
      <c r="BN156" s="1421">
        <f t="shared" si="98"/>
        <v>5.9840675130042577E-2</v>
      </c>
      <c r="BO156" s="1849">
        <f t="shared" si="98"/>
        <v>6.0939907616806364E-2</v>
      </c>
      <c r="BP156" s="1395"/>
      <c r="BQ156" s="1397">
        <f t="shared" si="90"/>
        <v>6.0939907616806364E-2</v>
      </c>
      <c r="BR156" s="1398">
        <f t="shared" si="72"/>
        <v>6.0939907616806364E-2</v>
      </c>
      <c r="BS156" s="1398">
        <f t="shared" si="73"/>
        <v>6.0939907616806364E-2</v>
      </c>
      <c r="BT156" s="1398">
        <f t="shared" si="74"/>
        <v>6.0939907616806364E-2</v>
      </c>
      <c r="BU156" s="1399">
        <f t="shared" si="75"/>
        <v>6.0939907616806364E-2</v>
      </c>
      <c r="BW156" s="1397">
        <f t="shared" si="91"/>
        <v>6.0939907616806364E-2</v>
      </c>
      <c r="BX156" s="1398">
        <f t="shared" si="76"/>
        <v>6.0939907616806364E-2</v>
      </c>
      <c r="BY156" s="1398">
        <f t="shared" si="77"/>
        <v>6.0939907616806364E-2</v>
      </c>
      <c r="BZ156" s="1398">
        <f t="shared" si="78"/>
        <v>6.0939907616806364E-2</v>
      </c>
      <c r="CA156" s="1399">
        <f t="shared" si="79"/>
        <v>6.0939907616806364E-2</v>
      </c>
      <c r="CC156" s="1397">
        <f t="shared" si="92"/>
        <v>6.0939907616806364E-2</v>
      </c>
      <c r="CD156" s="1398">
        <f t="shared" si="80"/>
        <v>6.0939907616806364E-2</v>
      </c>
      <c r="CE156" s="1398">
        <f t="shared" si="81"/>
        <v>6.0939907616806364E-2</v>
      </c>
      <c r="CF156" s="1398">
        <f t="shared" si="82"/>
        <v>6.0939907616806364E-2</v>
      </c>
      <c r="CG156" s="1399">
        <f t="shared" si="83"/>
        <v>6.0939907616806364E-2</v>
      </c>
      <c r="CI156" s="1397">
        <f t="shared" si="93"/>
        <v>6.0939907616806364E-2</v>
      </c>
      <c r="CJ156" s="1398">
        <f t="shared" si="84"/>
        <v>6.0939907616806364E-2</v>
      </c>
      <c r="CK156" s="1398">
        <f t="shared" si="85"/>
        <v>6.0939907616806364E-2</v>
      </c>
      <c r="CL156" s="1398">
        <f t="shared" si="86"/>
        <v>6.0939907616806364E-2</v>
      </c>
      <c r="CM156" s="1399">
        <f t="shared" si="87"/>
        <v>6.0939907616806364E-2</v>
      </c>
    </row>
    <row r="157" spans="1:91" s="1368" customFormat="1" ht="11.25">
      <c r="A157" s="1406" t="str">
        <f t="shared" si="55"/>
        <v>Total Revenue</v>
      </c>
      <c r="B157" s="1407"/>
      <c r="C157" s="1408">
        <f t="shared" si="56"/>
        <v>0</v>
      </c>
      <c r="D157" s="1409">
        <f t="shared" si="56"/>
        <v>0</v>
      </c>
      <c r="E157" s="1409">
        <f t="shared" si="56"/>
        <v>0</v>
      </c>
      <c r="F157" s="1409">
        <f t="shared" si="56"/>
        <v>0</v>
      </c>
      <c r="G157" s="1410">
        <f t="shared" si="56"/>
        <v>0</v>
      </c>
      <c r="H157" s="1411"/>
      <c r="I157" s="1408">
        <f t="shared" si="57"/>
        <v>0</v>
      </c>
      <c r="J157" s="1409">
        <f t="shared" si="57"/>
        <v>0</v>
      </c>
      <c r="K157" s="1409">
        <f t="shared" si="57"/>
        <v>0</v>
      </c>
      <c r="L157" s="1409">
        <f t="shared" si="57"/>
        <v>0</v>
      </c>
      <c r="M157" s="1410">
        <f t="shared" si="57"/>
        <v>0</v>
      </c>
      <c r="N157" s="1411"/>
      <c r="O157" s="1408">
        <f t="shared" si="58"/>
        <v>0</v>
      </c>
      <c r="P157" s="1409">
        <f t="shared" si="58"/>
        <v>0</v>
      </c>
      <c r="Q157" s="1409">
        <f t="shared" si="58"/>
        <v>0</v>
      </c>
      <c r="R157" s="1409">
        <f t="shared" si="58"/>
        <v>0</v>
      </c>
      <c r="S157" s="1410">
        <f t="shared" si="58"/>
        <v>0</v>
      </c>
      <c r="T157" s="1411"/>
      <c r="U157" s="1408">
        <f>IF(ISERROR(U147/U$16),"NM",U147/U$16)</f>
        <v>1.0000000000000002</v>
      </c>
      <c r="V157" s="1409">
        <f>IF(ISERROR(V147/V$16),"NM",V147/V$16)</f>
        <v>1.0000000000000002</v>
      </c>
      <c r="W157" s="1409">
        <f>IF(ISERROR(W147/W$16),"NM",W147/W$16)</f>
        <v>1</v>
      </c>
      <c r="X157" s="1409">
        <f>IF(ISERROR(X147/X$16),"NM",X147/X$16)</f>
        <v>1</v>
      </c>
      <c r="Y157" s="1410">
        <f t="shared" si="60"/>
        <v>1</v>
      </c>
      <c r="Z157" s="1411"/>
      <c r="AA157" s="1408">
        <f>IF(ISERROR(AA147/AA$16),"NM",AA147/AA$16)</f>
        <v>1</v>
      </c>
      <c r="AB157" s="1409">
        <f>IF(ISERROR(AB147/AB$16),"NM",AB147/AB$16)</f>
        <v>1</v>
      </c>
      <c r="AC157" s="1409">
        <f>IF(ISERROR(AC147/AC$16),"NM",AC147/AC$16)</f>
        <v>1</v>
      </c>
      <c r="AD157" s="1409">
        <f>IF(ISERROR(AD147/AD$16),"NM",AD147/AD$16)</f>
        <v>1</v>
      </c>
      <c r="AE157" s="1410">
        <f t="shared" si="62"/>
        <v>0.99999999999999989</v>
      </c>
      <c r="AF157" s="1411"/>
      <c r="AG157" s="1423">
        <f t="shared" si="63"/>
        <v>1.0000000000000002</v>
      </c>
      <c r="AH157" s="1409">
        <f t="shared" si="63"/>
        <v>1</v>
      </c>
      <c r="AI157" s="1409">
        <f t="shared" si="63"/>
        <v>0.99999999999999989</v>
      </c>
      <c r="AJ157" s="1439">
        <f t="shared" si="63"/>
        <v>1.0000000000000004</v>
      </c>
      <c r="AK157" s="1410">
        <f t="shared" si="63"/>
        <v>1.0000000000000002</v>
      </c>
      <c r="AL157" s="1411"/>
      <c r="AM157" s="1423">
        <f t="shared" si="64"/>
        <v>1.0000000000000002</v>
      </c>
      <c r="AN157" s="1409">
        <f t="shared" si="64"/>
        <v>1.0000000000000002</v>
      </c>
      <c r="AO157" s="1409">
        <f t="shared" si="64"/>
        <v>0.99999999999999989</v>
      </c>
      <c r="AP157" s="1439">
        <f t="shared" si="64"/>
        <v>1</v>
      </c>
      <c r="AQ157" s="1410">
        <f t="shared" si="64"/>
        <v>1.0000000000000002</v>
      </c>
      <c r="AR157" s="1411"/>
      <c r="AS157" s="1423">
        <f t="shared" si="65"/>
        <v>0.99999999999999989</v>
      </c>
      <c r="AT157" s="1422">
        <f t="shared" si="65"/>
        <v>1</v>
      </c>
      <c r="AU157" s="1422">
        <f t="shared" si="65"/>
        <v>0.99999999999999989</v>
      </c>
      <c r="AV157" s="1439">
        <f t="shared" si="65"/>
        <v>1.0000000000000002</v>
      </c>
      <c r="AW157" s="1410">
        <f t="shared" si="65"/>
        <v>1.0000000000000002</v>
      </c>
      <c r="AX157" s="1411"/>
      <c r="AY157" s="1423">
        <f t="shared" si="66"/>
        <v>0.99999999999999989</v>
      </c>
      <c r="AZ157" s="1422">
        <f t="shared" si="66"/>
        <v>1</v>
      </c>
      <c r="BA157" s="1422">
        <f t="shared" si="66"/>
        <v>0.99999999999999989</v>
      </c>
      <c r="BB157" s="1422">
        <f t="shared" si="67"/>
        <v>0.99999999999999978</v>
      </c>
      <c r="BC157" s="1850">
        <f t="shared" si="67"/>
        <v>0.99999999999999978</v>
      </c>
      <c r="BD157" s="1411"/>
      <c r="BE157" s="1423">
        <f t="shared" si="68"/>
        <v>0.99999999999999989</v>
      </c>
      <c r="BF157" s="1422">
        <f t="shared" si="68"/>
        <v>1</v>
      </c>
      <c r="BG157" s="1422">
        <f t="shared" si="88"/>
        <v>1.0000000000000002</v>
      </c>
      <c r="BH157" s="1422">
        <f t="shared" si="88"/>
        <v>0.99999999999999978</v>
      </c>
      <c r="BI157" s="1850">
        <f t="shared" si="69"/>
        <v>1</v>
      </c>
      <c r="BJ157" s="1411"/>
      <c r="BK157" s="1423">
        <f t="shared" si="70"/>
        <v>1</v>
      </c>
      <c r="BL157" s="1422">
        <f t="shared" si="70"/>
        <v>1</v>
      </c>
      <c r="BM157" s="1422">
        <f t="shared" ref="BM157:BO157" si="99">IF(ISERROR(BM147/BM$16),"NM",BM147/BM$16)</f>
        <v>1</v>
      </c>
      <c r="BN157" s="1422">
        <f t="shared" si="99"/>
        <v>1.0000000000000002</v>
      </c>
      <c r="BO157" s="1850">
        <f t="shared" si="99"/>
        <v>1.0000000000000002</v>
      </c>
      <c r="BP157" s="1411"/>
      <c r="BQ157" s="1412">
        <f t="shared" si="90"/>
        <v>1.0000000000000002</v>
      </c>
      <c r="BR157" s="1413">
        <f t="shared" si="72"/>
        <v>1.0000000000000002</v>
      </c>
      <c r="BS157" s="1413">
        <f t="shared" si="73"/>
        <v>1.0000000000000002</v>
      </c>
      <c r="BT157" s="1413">
        <f t="shared" si="74"/>
        <v>1.0000000000000002</v>
      </c>
      <c r="BU157" s="1414">
        <f t="shared" si="75"/>
        <v>1.0000000000000002</v>
      </c>
      <c r="BW157" s="1412">
        <f t="shared" si="91"/>
        <v>1.0000000000000002</v>
      </c>
      <c r="BX157" s="1413">
        <f t="shared" si="76"/>
        <v>1.0000000000000002</v>
      </c>
      <c r="BY157" s="1413">
        <f t="shared" si="77"/>
        <v>1.0000000000000002</v>
      </c>
      <c r="BZ157" s="1413">
        <f t="shared" si="78"/>
        <v>1.0000000000000002</v>
      </c>
      <c r="CA157" s="1414">
        <f t="shared" si="79"/>
        <v>1.0000000000000002</v>
      </c>
      <c r="CC157" s="1412">
        <f t="shared" si="92"/>
        <v>1.0000000000000002</v>
      </c>
      <c r="CD157" s="1413">
        <f t="shared" si="80"/>
        <v>1.0000000000000002</v>
      </c>
      <c r="CE157" s="1413">
        <f t="shared" si="81"/>
        <v>1.0000000000000002</v>
      </c>
      <c r="CF157" s="1413">
        <f t="shared" si="82"/>
        <v>1.0000000000000002</v>
      </c>
      <c r="CG157" s="1414">
        <f t="shared" si="83"/>
        <v>1.0000000000000002</v>
      </c>
      <c r="CI157" s="1412">
        <f t="shared" si="93"/>
        <v>1.0000000000000002</v>
      </c>
      <c r="CJ157" s="1413">
        <f t="shared" si="84"/>
        <v>1.0000000000000002</v>
      </c>
      <c r="CK157" s="1413">
        <f t="shared" si="85"/>
        <v>1.0000000000000002</v>
      </c>
      <c r="CL157" s="1413">
        <f t="shared" si="86"/>
        <v>1.0000000000000002</v>
      </c>
      <c r="CM157" s="1414">
        <f t="shared" si="87"/>
        <v>1.0000000000000002</v>
      </c>
    </row>
    <row r="158" spans="1:91" s="1333" customFormat="1" ht="11.25">
      <c r="A158" s="1415"/>
      <c r="B158" s="1415"/>
      <c r="C158" s="1415"/>
      <c r="D158" s="1415"/>
      <c r="E158" s="1415"/>
      <c r="F158" s="1415"/>
      <c r="G158" s="1415"/>
      <c r="H158" s="1415"/>
      <c r="I158" s="1415"/>
      <c r="J158" s="1415"/>
      <c r="K158" s="1415"/>
      <c r="L158" s="1415"/>
      <c r="M158" s="1415"/>
      <c r="N158" s="1415"/>
      <c r="O158" s="1415"/>
      <c r="P158" s="1415"/>
      <c r="Q158" s="1415"/>
      <c r="R158" s="1415"/>
      <c r="S158" s="1415"/>
      <c r="T158" s="1415"/>
      <c r="U158" s="1415"/>
      <c r="V158" s="1415"/>
      <c r="W158" s="1415"/>
      <c r="X158" s="1415"/>
      <c r="Y158" s="1415"/>
      <c r="Z158" s="1415"/>
      <c r="AA158" s="1415"/>
      <c r="AB158" s="1415"/>
      <c r="AC158" s="1415"/>
      <c r="AD158" s="1415"/>
      <c r="AE158" s="1415"/>
      <c r="AF158" s="1415"/>
      <c r="AG158" s="1415"/>
      <c r="AH158" s="1415"/>
      <c r="AI158" s="1415"/>
      <c r="AJ158" s="1415"/>
      <c r="AK158" s="1415"/>
      <c r="AL158" s="1415"/>
      <c r="AM158" s="1415"/>
      <c r="AN158" s="1415"/>
      <c r="AO158" s="1415"/>
      <c r="AP158" s="1415"/>
      <c r="AQ158" s="1415"/>
      <c r="AR158" s="1415"/>
      <c r="AT158" s="1415"/>
      <c r="AU158" s="1415"/>
      <c r="AV158" s="1415"/>
      <c r="AW158" s="1415"/>
      <c r="AX158" s="1415"/>
      <c r="AY158" s="1415"/>
      <c r="AZ158" s="1415"/>
      <c r="BA158" s="1415"/>
      <c r="BB158" s="1415"/>
      <c r="BC158" s="1415"/>
      <c r="BD158" s="1415"/>
      <c r="BE158" s="1415"/>
      <c r="BF158" s="1415"/>
      <c r="BG158" s="1415"/>
      <c r="BH158" s="1415"/>
      <c r="BI158" s="1415"/>
      <c r="BJ158" s="1415"/>
      <c r="BK158" s="1415"/>
      <c r="BL158" s="1415"/>
      <c r="BM158" s="1415"/>
      <c r="BN158" s="1415"/>
      <c r="BO158" s="1415"/>
      <c r="BP158" s="1415"/>
      <c r="BQ158" s="1415"/>
      <c r="BR158" s="1415"/>
      <c r="BS158" s="1415"/>
      <c r="BT158" s="1415"/>
      <c r="BU158" s="1415"/>
      <c r="BW158" s="1415"/>
      <c r="BX158" s="1415"/>
      <c r="BY158" s="1415"/>
      <c r="BZ158" s="1415"/>
      <c r="CA158" s="1415"/>
      <c r="CC158" s="1415"/>
      <c r="CD158" s="1415"/>
      <c r="CE158" s="1415"/>
      <c r="CF158" s="1415"/>
      <c r="CG158" s="1415"/>
      <c r="CI158" s="1415"/>
      <c r="CJ158" s="1415"/>
      <c r="CK158" s="1415"/>
      <c r="CL158" s="1415"/>
      <c r="CM158" s="1415"/>
    </row>
    <row r="159" spans="1:91" s="1333" customFormat="1" ht="11.25">
      <c r="A159" s="1415"/>
      <c r="B159" s="1415"/>
      <c r="C159" s="1415"/>
      <c r="D159" s="1415"/>
      <c r="E159" s="1415"/>
      <c r="F159" s="1415"/>
      <c r="G159" s="1415"/>
      <c r="H159" s="1415"/>
      <c r="I159" s="1415"/>
      <c r="J159" s="1415"/>
      <c r="K159" s="1415"/>
      <c r="L159" s="1415"/>
      <c r="M159" s="1415"/>
      <c r="N159" s="1415"/>
      <c r="O159" s="1415"/>
      <c r="P159" s="1415"/>
      <c r="Q159" s="1415"/>
      <c r="R159" s="1415"/>
      <c r="S159" s="1415"/>
      <c r="T159" s="1415"/>
      <c r="U159" s="1415"/>
      <c r="V159" s="1415"/>
      <c r="W159" s="1415"/>
      <c r="X159" s="1415"/>
      <c r="Y159" s="1415"/>
      <c r="Z159" s="1415"/>
      <c r="AA159" s="1415"/>
      <c r="AB159" s="1415"/>
      <c r="AC159" s="1415"/>
      <c r="AD159" s="1415"/>
      <c r="AE159" s="1415"/>
      <c r="AF159" s="1415"/>
      <c r="AG159" s="1415"/>
      <c r="AH159" s="1415"/>
      <c r="AI159" s="1415"/>
      <c r="AJ159" s="1415"/>
      <c r="AK159" s="1415"/>
      <c r="AL159" s="1415"/>
      <c r="AM159" s="1415"/>
      <c r="AN159" s="1415"/>
      <c r="AO159" s="1415"/>
      <c r="AP159" s="1415"/>
      <c r="AQ159" s="1415"/>
      <c r="AR159" s="1415"/>
      <c r="AS159" s="1415"/>
      <c r="AT159" s="1415"/>
      <c r="AU159" s="1415"/>
      <c r="AV159" s="1415"/>
      <c r="AW159" s="1415"/>
      <c r="AX159" s="1415"/>
      <c r="AY159" s="1415"/>
      <c r="AZ159" s="1415"/>
      <c r="BA159" s="1415"/>
      <c r="BB159" s="1415"/>
      <c r="BC159" s="1415"/>
      <c r="BD159" s="1415"/>
      <c r="BE159" s="1415"/>
      <c r="BF159" s="1415"/>
      <c r="BG159" s="1415"/>
      <c r="BH159" s="1415"/>
      <c r="BI159" s="1415"/>
      <c r="BJ159" s="1415"/>
      <c r="BK159" s="1415"/>
      <c r="BL159" s="1415"/>
      <c r="BM159" s="1415"/>
      <c r="BN159" s="1415"/>
      <c r="BO159" s="1415"/>
      <c r="BP159" s="1415"/>
      <c r="BQ159" s="1415"/>
      <c r="BR159" s="1415"/>
      <c r="BS159" s="1415"/>
      <c r="BT159" s="1415"/>
      <c r="BU159" s="1415"/>
      <c r="BW159" s="1415"/>
      <c r="BX159" s="1415"/>
      <c r="BY159" s="1415"/>
      <c r="BZ159" s="1415"/>
      <c r="CA159" s="1415"/>
      <c r="CC159" s="1415"/>
      <c r="CD159" s="1415"/>
      <c r="CE159" s="1415"/>
      <c r="CF159" s="1415"/>
      <c r="CG159" s="1415"/>
      <c r="CI159" s="1415"/>
      <c r="CJ159" s="1415"/>
      <c r="CK159" s="1415"/>
      <c r="CL159" s="1415"/>
      <c r="CM159" s="1415"/>
    </row>
    <row r="160" spans="1:91" s="1333" customFormat="1" ht="11.25">
      <c r="A160" s="1387" t="s">
        <v>485</v>
      </c>
      <c r="B160" s="1388"/>
      <c r="C160" s="1389"/>
      <c r="D160" s="1388"/>
      <c r="E160" s="1388"/>
      <c r="F160" s="1388"/>
      <c r="G160" s="1390"/>
      <c r="H160" s="1388"/>
      <c r="I160" s="1389"/>
      <c r="J160" s="1388"/>
      <c r="K160" s="1388"/>
      <c r="L160" s="1391"/>
      <c r="M160" s="1390"/>
      <c r="N160" s="1388"/>
      <c r="O160" s="1389"/>
      <c r="P160" s="1388"/>
      <c r="Q160" s="1388"/>
      <c r="R160" s="1391"/>
      <c r="S160" s="1390"/>
      <c r="T160" s="1388"/>
      <c r="U160" s="1389"/>
      <c r="V160" s="1388"/>
      <c r="W160" s="1388"/>
      <c r="X160" s="1388"/>
      <c r="Y160" s="1390"/>
      <c r="Z160" s="1388"/>
      <c r="AA160" s="1389"/>
      <c r="AB160" s="1388"/>
      <c r="AC160" s="1388"/>
      <c r="AD160" s="1388"/>
      <c r="AE160" s="1390"/>
      <c r="AF160" s="1388"/>
      <c r="AG160" s="1389"/>
      <c r="AH160" s="1388"/>
      <c r="AI160" s="1388"/>
      <c r="AJ160" s="1388"/>
      <c r="AK160" s="1390"/>
      <c r="AL160" s="1388"/>
      <c r="AM160" s="1389"/>
      <c r="AN160" s="1388"/>
      <c r="AO160" s="1388"/>
      <c r="AP160" s="1388"/>
      <c r="AQ160" s="1390"/>
      <c r="AR160" s="1388"/>
      <c r="AS160" s="1389"/>
      <c r="AT160" s="1388"/>
      <c r="AU160" s="1388"/>
      <c r="AV160" s="1388"/>
      <c r="AW160" s="1390"/>
      <c r="AX160" s="1388"/>
      <c r="AY160" s="1389"/>
      <c r="AZ160" s="1388"/>
      <c r="BA160" s="1388"/>
      <c r="BB160" s="1388"/>
      <c r="BC160" s="1390"/>
      <c r="BD160" s="1388"/>
      <c r="BE160" s="1389"/>
      <c r="BF160" s="1388"/>
      <c r="BG160" s="1388"/>
      <c r="BH160" s="1388"/>
      <c r="BI160" s="1390"/>
      <c r="BJ160" s="1388"/>
      <c r="BK160" s="1389"/>
      <c r="BL160" s="1388"/>
      <c r="BM160" s="1388"/>
      <c r="BN160" s="1388"/>
      <c r="BO160" s="1390"/>
      <c r="BP160" s="1388"/>
      <c r="BQ160" s="1389"/>
      <c r="BR160" s="1388"/>
      <c r="BS160" s="1388"/>
      <c r="BT160" s="1388"/>
      <c r="BU160" s="1390"/>
      <c r="BV160" s="1924"/>
      <c r="BW160" s="1389"/>
      <c r="BX160" s="1388"/>
      <c r="BY160" s="1388"/>
      <c r="BZ160" s="1388"/>
      <c r="CA160" s="1390"/>
      <c r="CB160" s="1924"/>
      <c r="CC160" s="1389"/>
      <c r="CD160" s="1388"/>
      <c r="CE160" s="1388"/>
      <c r="CF160" s="1388"/>
      <c r="CG160" s="1390"/>
      <c r="CH160" s="1924"/>
      <c r="CI160" s="1389"/>
      <c r="CJ160" s="1388"/>
      <c r="CK160" s="1388"/>
      <c r="CL160" s="1388"/>
      <c r="CM160" s="1390"/>
    </row>
    <row r="161" spans="1:91" s="1333" customFormat="1" ht="11.25">
      <c r="A161" s="1415"/>
      <c r="B161" s="1415"/>
      <c r="C161" s="1415"/>
      <c r="D161" s="1415"/>
      <c r="E161" s="1415"/>
      <c r="F161" s="1415"/>
      <c r="G161" s="1415"/>
      <c r="H161" s="1415"/>
      <c r="I161" s="1415"/>
      <c r="J161" s="1415"/>
      <c r="K161" s="1415"/>
      <c r="L161" s="1415"/>
      <c r="M161" s="1415"/>
      <c r="N161" s="1415"/>
      <c r="O161" s="1415"/>
      <c r="P161" s="1415"/>
      <c r="Q161" s="1415"/>
      <c r="R161" s="1415"/>
      <c r="S161" s="1415"/>
      <c r="T161" s="1415"/>
      <c r="U161" s="1415"/>
      <c r="V161" s="1415"/>
      <c r="W161" s="1415"/>
      <c r="X161" s="1415"/>
      <c r="Y161" s="1415"/>
      <c r="Z161" s="1415"/>
      <c r="AA161" s="1415"/>
      <c r="AB161" s="1415"/>
      <c r="AC161" s="1415"/>
      <c r="AD161" s="1415"/>
      <c r="AE161" s="1415"/>
      <c r="AF161" s="1415"/>
      <c r="AG161" s="1415"/>
      <c r="AH161" s="1415"/>
      <c r="AI161" s="1415"/>
      <c r="AJ161" s="1415"/>
      <c r="AK161" s="1415"/>
      <c r="AL161" s="1415"/>
      <c r="AM161" s="1415"/>
      <c r="AN161" s="1415"/>
      <c r="AO161" s="1415"/>
      <c r="AP161" s="1415"/>
      <c r="AQ161" s="1415"/>
      <c r="AR161" s="1415"/>
      <c r="AS161" s="1415"/>
      <c r="AT161" s="1415"/>
      <c r="AU161" s="1415"/>
      <c r="AV161" s="1415"/>
      <c r="AW161" s="1415"/>
      <c r="AX161" s="1415"/>
      <c r="AY161" s="1415"/>
      <c r="AZ161" s="1415"/>
      <c r="BA161" s="1415"/>
      <c r="BB161" s="1415"/>
      <c r="BC161" s="1415"/>
      <c r="BD161" s="1415"/>
      <c r="BE161" s="1415"/>
      <c r="BF161" s="1415"/>
      <c r="BG161" s="1415"/>
      <c r="BH161" s="1415"/>
      <c r="BI161" s="1415"/>
      <c r="BJ161" s="1415"/>
      <c r="BK161" s="1415"/>
      <c r="BL161" s="1415"/>
      <c r="BM161" s="1415"/>
      <c r="BN161" s="1415"/>
      <c r="BO161" s="1415"/>
      <c r="BP161" s="1415"/>
      <c r="BQ161" s="1415"/>
      <c r="BR161" s="1415"/>
      <c r="BS161" s="1415"/>
      <c r="BT161" s="1415"/>
      <c r="BU161" s="1415"/>
      <c r="BW161" s="1415"/>
      <c r="BX161" s="1415"/>
      <c r="BY161" s="1415"/>
      <c r="BZ161" s="1415"/>
      <c r="CA161" s="1415"/>
      <c r="CC161" s="1415"/>
      <c r="CD161" s="1415"/>
      <c r="CE161" s="1415"/>
      <c r="CF161" s="1415"/>
      <c r="CG161" s="1415"/>
      <c r="CI161" s="1415"/>
      <c r="CJ161" s="1415"/>
      <c r="CK161" s="1415"/>
      <c r="CL161" s="1415"/>
      <c r="CM161" s="1415"/>
    </row>
    <row r="162" spans="1:91" s="1333" customFormat="1" ht="11.25">
      <c r="A162" s="1415" t="s">
        <v>486</v>
      </c>
      <c r="B162" s="1415"/>
      <c r="C162" s="1415"/>
      <c r="D162" s="1415"/>
      <c r="E162" s="1415"/>
      <c r="F162" s="1415"/>
      <c r="G162" s="1415"/>
      <c r="H162" s="1415"/>
      <c r="I162" s="1415"/>
      <c r="J162" s="1415"/>
      <c r="K162" s="1415"/>
      <c r="L162" s="1415"/>
      <c r="M162" s="1415"/>
      <c r="N162" s="1415"/>
      <c r="O162" s="1415"/>
      <c r="P162" s="1415"/>
      <c r="Q162" s="1415"/>
      <c r="R162" s="1415"/>
      <c r="S162" s="1415"/>
      <c r="T162" s="1415"/>
      <c r="U162" s="1415"/>
      <c r="V162" s="1415"/>
      <c r="W162" s="1415"/>
      <c r="X162" s="1415"/>
      <c r="Y162" s="1415"/>
      <c r="Z162" s="1415"/>
      <c r="AA162" s="1415"/>
      <c r="AB162" s="1415"/>
      <c r="AC162" s="1415"/>
      <c r="AD162" s="1415"/>
      <c r="AE162" s="1415"/>
      <c r="AF162" s="1415"/>
      <c r="AG162" s="1415"/>
      <c r="AH162" s="1415"/>
      <c r="AI162" s="1415"/>
      <c r="AJ162" s="1415"/>
      <c r="AK162" s="1415"/>
      <c r="AL162" s="1415"/>
      <c r="AM162" s="1506">
        <f>+AM143/AG143-1</f>
        <v>9.3472595919577905E-2</v>
      </c>
      <c r="AN162" s="1506">
        <f>+AN143/AH143-1</f>
        <v>0.17662574618725579</v>
      </c>
      <c r="AO162" s="1506">
        <f>+AO143/AI143-1</f>
        <v>6.5916833396420405E-2</v>
      </c>
      <c r="AP162" s="1506">
        <f>+AP143/AJ143-1</f>
        <v>0.18220410080875227</v>
      </c>
      <c r="AQ162" s="1506"/>
      <c r="AR162" s="1506"/>
      <c r="AS162" s="1506">
        <f>+AS143/AM143-1</f>
        <v>3.0341193110263065E-2</v>
      </c>
      <c r="AT162" s="1506">
        <f>+AT143/AN143-1</f>
        <v>-0.10384466281245264</v>
      </c>
      <c r="AU162" s="1506">
        <f>+AU143/AO143-1</f>
        <v>-5.2861201298701421E-2</v>
      </c>
      <c r="AV162" s="1506">
        <f>+AV143/AP143-1</f>
        <v>8.626538172218523E-2</v>
      </c>
      <c r="AW162" s="1415"/>
      <c r="AX162" s="1415"/>
      <c r="AY162" s="1506">
        <f>+AY143/AS143-1</f>
        <v>0.16914571541397905</v>
      </c>
      <c r="AZ162" s="1506">
        <f>+AZ143/AT143-1</f>
        <v>0.25906560337044837</v>
      </c>
      <c r="BA162" s="1506">
        <f>+BA143/AU143-1</f>
        <v>0.14900910551687185</v>
      </c>
      <c r="BB162" s="1506">
        <v>0.09</v>
      </c>
      <c r="BC162" s="1415"/>
      <c r="BD162" s="1415"/>
      <c r="BE162" s="1506">
        <f>+BE143/AY143-1</f>
        <v>0.13907742786373722</v>
      </c>
      <c r="BF162" s="1506">
        <f>+BF143/AZ143-1</f>
        <v>0.19147919094141219</v>
      </c>
      <c r="BG162" s="1506">
        <f>+BG143/BA143-1</f>
        <v>0.30603207160171553</v>
      </c>
      <c r="BH162" s="1506">
        <f>+BH143/BB143-1</f>
        <v>0.13619490649374977</v>
      </c>
      <c r="BI162" s="1415"/>
      <c r="BJ162" s="1415"/>
      <c r="BK162" s="1506">
        <f>+BK143/BE143-1</f>
        <v>0.20193163044859586</v>
      </c>
      <c r="BL162" s="1506">
        <f>+BL143/BF143-1</f>
        <v>0.17983951855566693</v>
      </c>
      <c r="BM162" s="1506">
        <f>+BM143/BG143-1</f>
        <v>0.14384123924759962</v>
      </c>
      <c r="BN162" s="1506">
        <f>+BN143/BH143-1</f>
        <v>0.15477347449391066</v>
      </c>
      <c r="BO162" s="1415"/>
      <c r="BP162" s="1415"/>
      <c r="BQ162" s="1415"/>
      <c r="BR162" s="1415"/>
      <c r="BS162" s="1415"/>
      <c r="BT162" s="1415"/>
      <c r="BU162" s="1415"/>
      <c r="BW162" s="1415"/>
      <c r="BX162" s="1415"/>
      <c r="BY162" s="1415"/>
      <c r="BZ162" s="1415"/>
      <c r="CA162" s="1415"/>
      <c r="CC162" s="1415"/>
      <c r="CD162" s="1415"/>
      <c r="CE162" s="1415"/>
      <c r="CF162" s="1415"/>
      <c r="CG162" s="1415"/>
      <c r="CI162" s="1415"/>
      <c r="CJ162" s="1415"/>
      <c r="CK162" s="1415"/>
      <c r="CL162" s="1415"/>
      <c r="CM162" s="1415"/>
    </row>
    <row r="163" spans="1:91" s="1333" customFormat="1" ht="11.25">
      <c r="A163" s="1415" t="s">
        <v>487</v>
      </c>
      <c r="B163" s="1415"/>
      <c r="C163" s="1415"/>
      <c r="D163" s="1415"/>
      <c r="E163" s="1415"/>
      <c r="F163" s="1415"/>
      <c r="G163" s="1415"/>
      <c r="H163" s="1415"/>
      <c r="I163" s="1415"/>
      <c r="J163" s="1415"/>
      <c r="K163" s="1415"/>
      <c r="L163" s="1415"/>
      <c r="M163" s="1415"/>
      <c r="N163" s="1415"/>
      <c r="O163" s="1415"/>
      <c r="P163" s="1415"/>
      <c r="Q163" s="1415"/>
      <c r="R163" s="1415"/>
      <c r="S163" s="1415"/>
      <c r="T163" s="1415"/>
      <c r="U163" s="1415"/>
      <c r="V163" s="1415"/>
      <c r="W163" s="1415"/>
      <c r="X163" s="1415"/>
      <c r="Y163" s="1415"/>
      <c r="Z163" s="1415"/>
      <c r="AA163" s="1415"/>
      <c r="AB163" s="1415"/>
      <c r="AC163" s="1415"/>
      <c r="AD163" s="1415"/>
      <c r="AE163" s="1415"/>
      <c r="AF163" s="1415"/>
      <c r="AG163" s="1415"/>
      <c r="AH163" s="1415"/>
      <c r="AI163" s="1415"/>
      <c r="AJ163" s="1415"/>
      <c r="AK163" s="1415"/>
      <c r="AL163" s="1415"/>
      <c r="AM163" s="1506">
        <v>9.3472595919577905E-2</v>
      </c>
      <c r="AN163" s="1506">
        <v>0.17662574618725579</v>
      </c>
      <c r="AO163" s="1506">
        <v>6.5916833396420405E-2</v>
      </c>
      <c r="AP163" s="1506">
        <v>0.18220410080875227</v>
      </c>
      <c r="AQ163" s="1415"/>
      <c r="AR163" s="1415"/>
      <c r="AS163" s="1506">
        <v>1.0352199387265726E-2</v>
      </c>
      <c r="AT163" s="1506">
        <v>-9.1456953410444575E-2</v>
      </c>
      <c r="AU163" s="1506">
        <v>-4.6476451288326892E-2</v>
      </c>
      <c r="AV163" s="1506">
        <v>9.5713629934273903E-2</v>
      </c>
      <c r="AW163" s="1415"/>
      <c r="AX163" s="1415"/>
      <c r="AY163" s="1506">
        <f>19.0843959010567%-0.035</f>
        <v>0.15584395901056697</v>
      </c>
      <c r="AZ163" s="1506">
        <v>0.25460815418816685</v>
      </c>
      <c r="BA163" s="1506">
        <v>0.2</v>
      </c>
      <c r="BB163" s="1506">
        <f>+BB162+0.035</f>
        <v>0.125</v>
      </c>
      <c r="BC163" s="1415"/>
      <c r="BD163" s="1415"/>
      <c r="BE163" s="1506">
        <f>BE101</f>
        <v>0.15</v>
      </c>
      <c r="BF163" s="1506">
        <f>BF101</f>
        <v>0.16</v>
      </c>
      <c r="BG163" s="1506">
        <f>BG101</f>
        <v>0.18</v>
      </c>
      <c r="BH163" s="1506">
        <f>BH101</f>
        <v>0.16</v>
      </c>
      <c r="BI163" s="1415"/>
      <c r="BJ163" s="1415"/>
      <c r="BK163" s="1506">
        <f>BK101</f>
        <v>0.18</v>
      </c>
      <c r="BL163" s="1506">
        <f>BL101</f>
        <v>0.16</v>
      </c>
      <c r="BM163" s="1506">
        <f>BM101</f>
        <v>0.16</v>
      </c>
      <c r="BN163" s="1506">
        <f>BN101</f>
        <v>0.14000000000000001</v>
      </c>
      <c r="BO163" s="1415"/>
      <c r="BP163" s="1415"/>
      <c r="BQ163" s="1415"/>
      <c r="BR163" s="1415"/>
      <c r="BS163" s="1415"/>
      <c r="BT163" s="1415"/>
      <c r="BU163" s="1415"/>
      <c r="BW163" s="1415"/>
      <c r="BX163" s="1415"/>
      <c r="BY163" s="1415"/>
      <c r="BZ163" s="1415"/>
      <c r="CA163" s="1415"/>
      <c r="CC163" s="1415"/>
      <c r="CD163" s="1415"/>
      <c r="CE163" s="1415"/>
      <c r="CF163" s="1415"/>
      <c r="CG163" s="1415"/>
      <c r="CI163" s="1415"/>
      <c r="CJ163" s="1415"/>
      <c r="CK163" s="1415"/>
      <c r="CL163" s="1415"/>
      <c r="CM163" s="1415"/>
    </row>
    <row r="167" spans="1:91">
      <c r="BG167" s="2044"/>
    </row>
    <row r="171" spans="1:91">
      <c r="BG171" s="1199"/>
    </row>
  </sheetData>
  <phoneticPr fontId="7" type="noConversion"/>
  <pageMargins left="0" right="0" top="0" bottom="0" header="0" footer="0"/>
  <pageSetup scale="89" orientation="landscape" r:id="rId1"/>
  <headerFooter alignWithMargins="0"/>
  <rowBreaks count="2" manualBreakCount="2">
    <brk id="56" max="84" man="1"/>
    <brk id="84" max="84" man="1"/>
  </rowBreaks>
  <ignoredErrors>
    <ignoredError sqref="M42" evalError="1"/>
    <ignoredError sqref="A142:X142" formula="1"/>
    <ignoredError sqref="Y142:BA142 BH142 BD142:BE142 BJ142 BP142:BU142" formula="1" formulaRange="1"/>
    <ignoredError sqref="BF14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DQ125"/>
  <sheetViews>
    <sheetView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2" sqref="A2"/>
    </sheetView>
  </sheetViews>
  <sheetFormatPr defaultRowHeight="12.75" outlineLevelRow="1" outlineLevelCol="1"/>
  <cols>
    <col min="1" max="1" width="22.5703125" customWidth="1"/>
    <col min="2" max="2" width="0.85546875" style="42" customWidth="1"/>
    <col min="3" max="7" width="6.140625" hidden="1" customWidth="1" outlineLevel="1"/>
    <col min="8" max="8" width="0.85546875" hidden="1" customWidth="1" outlineLevel="1"/>
    <col min="9" max="13" width="6.140625" hidden="1" customWidth="1" outlineLevel="1"/>
    <col min="14" max="14" width="0.85546875" hidden="1" customWidth="1" outlineLevel="1"/>
    <col min="15" max="18" width="6.140625" hidden="1" customWidth="1" outlineLevel="1"/>
    <col min="19" max="19" width="6.140625" customWidth="1" collapsed="1"/>
    <col min="20" max="20" width="0.85546875" customWidth="1"/>
    <col min="21" max="24" width="6.140625" hidden="1" customWidth="1" outlineLevel="1"/>
    <col min="25" max="25" width="6.140625" customWidth="1" collapsed="1"/>
    <col min="26" max="26" width="0.85546875" customWidth="1"/>
    <col min="27" max="30" width="6.140625" hidden="1" customWidth="1" outlineLevel="1"/>
    <col min="31" max="31" width="6.140625" customWidth="1" collapsed="1"/>
    <col min="32" max="32" width="0.85546875" customWidth="1"/>
    <col min="33" max="36" width="6.140625" hidden="1" customWidth="1" outlineLevel="1"/>
    <col min="37" max="37" width="6.140625" customWidth="1" collapsed="1"/>
    <col min="38" max="38" width="0.85546875" customWidth="1"/>
    <col min="39" max="42" width="6.140625" hidden="1" customWidth="1" outlineLevel="1"/>
    <col min="43" max="43" width="6.140625" customWidth="1" collapsed="1"/>
    <col min="44" max="44" width="0.85546875" customWidth="1"/>
    <col min="45" max="48" width="6.140625" hidden="1" customWidth="1" outlineLevel="1"/>
    <col min="49" max="49" width="6.140625" customWidth="1" collapsed="1"/>
    <col min="50" max="50" width="0.85546875" customWidth="1"/>
    <col min="51" max="54" width="6.140625" hidden="1" customWidth="1" outlineLevel="1"/>
    <col min="55" max="55" width="6.140625" customWidth="1" collapsed="1"/>
    <col min="56" max="56" width="0.85546875" customWidth="1"/>
    <col min="57" max="60" width="6.140625" hidden="1" customWidth="1" outlineLevel="1"/>
    <col min="61" max="61" width="6.140625" customWidth="1" collapsed="1"/>
    <col min="62" max="62" width="0.85546875" customWidth="1"/>
    <col min="63" max="66" width="6.140625" hidden="1" customWidth="1" outlineLevel="1"/>
    <col min="67" max="67" width="6.140625" customWidth="1" collapsed="1"/>
    <col min="68" max="68" width="0.85546875" customWidth="1"/>
    <col min="69" max="72" width="6.140625" customWidth="1" outlineLevel="1"/>
    <col min="73" max="73" width="6.140625" customWidth="1"/>
    <col min="74" max="74" width="0.85546875" customWidth="1"/>
    <col min="75" max="78" width="6.140625" customWidth="1" outlineLevel="1"/>
    <col min="79" max="79" width="6.140625" customWidth="1"/>
    <col min="80" max="80" width="0.85546875" customWidth="1"/>
    <col min="81" max="84" width="6.140625" hidden="1" customWidth="1" outlineLevel="1"/>
    <col min="85" max="85" width="6.140625" customWidth="1" collapsed="1"/>
    <col min="86" max="86" width="0.85546875" customWidth="1"/>
    <col min="87" max="90" width="6.140625" hidden="1" customWidth="1" outlineLevel="1"/>
    <col min="91" max="91" width="6.140625" customWidth="1" collapsed="1"/>
    <col min="93" max="93" width="20.42578125" customWidth="1"/>
    <col min="94" max="97" width="6.7109375" hidden="1" customWidth="1" outlineLevel="1"/>
    <col min="98" max="98" width="6.7109375" hidden="1" customWidth="1" outlineLevel="1" collapsed="1"/>
    <col min="99" max="105" width="6.7109375" hidden="1" customWidth="1" outlineLevel="1"/>
    <col min="106" max="106" width="6.7109375" customWidth="1" collapsed="1"/>
    <col min="107" max="121" width="6.7109375" customWidth="1"/>
  </cols>
  <sheetData>
    <row r="1" spans="1:121" ht="5.25" customHeight="1"/>
    <row r="2" spans="1:121">
      <c r="A2" s="151" t="s">
        <v>263</v>
      </c>
      <c r="AZ2" s="1199"/>
      <c r="BA2" s="1199"/>
    </row>
    <row r="3" spans="1:121">
      <c r="A3" s="151" t="s">
        <v>8</v>
      </c>
      <c r="AZ3" s="1199"/>
      <c r="BA3" s="1199"/>
      <c r="BB3" s="1199"/>
    </row>
    <row r="4" spans="1:121" ht="5.25" customHeight="1">
      <c r="A4" s="1065"/>
      <c r="B4" s="71"/>
    </row>
    <row r="5" spans="1:121">
      <c r="A5" s="358"/>
      <c r="B5" s="67"/>
      <c r="C5" s="133">
        <v>2007</v>
      </c>
      <c r="D5" s="134"/>
      <c r="E5" s="134"/>
      <c r="F5" s="134"/>
      <c r="G5" s="135">
        <v>2007</v>
      </c>
      <c r="H5" s="136"/>
      <c r="I5" s="133">
        <f>C5+1</f>
        <v>2008</v>
      </c>
      <c r="J5" s="134"/>
      <c r="K5" s="134"/>
      <c r="L5" s="134"/>
      <c r="M5" s="135">
        <f>G5+1</f>
        <v>2008</v>
      </c>
      <c r="N5" s="137"/>
      <c r="O5" s="133">
        <f>I5+1</f>
        <v>2009</v>
      </c>
      <c r="P5" s="134"/>
      <c r="Q5" s="134"/>
      <c r="R5" s="134"/>
      <c r="S5" s="135">
        <f>M5+1</f>
        <v>2009</v>
      </c>
      <c r="T5" s="137"/>
      <c r="U5" s="133">
        <f>O5+1</f>
        <v>2010</v>
      </c>
      <c r="V5" s="134"/>
      <c r="W5" s="134"/>
      <c r="X5" s="134"/>
      <c r="Y5" s="135">
        <f>S5+1</f>
        <v>2010</v>
      </c>
      <c r="Z5" s="137"/>
      <c r="AA5" s="133">
        <f>U5+1</f>
        <v>2011</v>
      </c>
      <c r="AB5" s="134"/>
      <c r="AC5" s="134"/>
      <c r="AD5" s="134"/>
      <c r="AE5" s="135">
        <f>Y5+1</f>
        <v>2011</v>
      </c>
      <c r="AF5" s="137"/>
      <c r="AG5" s="133">
        <f>AA5+1</f>
        <v>2012</v>
      </c>
      <c r="AH5" s="134"/>
      <c r="AI5" s="134"/>
      <c r="AJ5" s="134"/>
      <c r="AK5" s="135">
        <f>AE5+1</f>
        <v>2012</v>
      </c>
      <c r="AL5" s="137"/>
      <c r="AM5" s="133">
        <f>AG5+1</f>
        <v>2013</v>
      </c>
      <c r="AN5" s="134"/>
      <c r="AO5" s="134"/>
      <c r="AP5" s="134"/>
      <c r="AQ5" s="135">
        <f>AK5+1</f>
        <v>2013</v>
      </c>
      <c r="AR5" s="137"/>
      <c r="AS5" s="133">
        <f>AM5+1</f>
        <v>2014</v>
      </c>
      <c r="AT5" s="134"/>
      <c r="AU5" s="134"/>
      <c r="AV5" s="134"/>
      <c r="AW5" s="135">
        <f>AQ5+1</f>
        <v>2014</v>
      </c>
      <c r="AX5" s="137"/>
      <c r="AY5" s="133">
        <f>AS5+1</f>
        <v>2015</v>
      </c>
      <c r="AZ5" s="1667"/>
      <c r="BA5" s="134"/>
      <c r="BB5" s="134"/>
      <c r="BC5" s="135">
        <f>AW5+1</f>
        <v>2015</v>
      </c>
      <c r="BD5" s="137"/>
      <c r="BE5" s="133">
        <f>AY5+1</f>
        <v>2016</v>
      </c>
      <c r="BF5" s="1667"/>
      <c r="BG5" s="134"/>
      <c r="BH5" s="134"/>
      <c r="BI5" s="135">
        <f>BC5+1</f>
        <v>2016</v>
      </c>
      <c r="BJ5" s="137"/>
      <c r="BK5" s="133">
        <f>BE5+1</f>
        <v>2017</v>
      </c>
      <c r="BL5" s="1667"/>
      <c r="BM5" s="134"/>
      <c r="BN5" s="134"/>
      <c r="BO5" s="135">
        <f>BI5+1</f>
        <v>2017</v>
      </c>
      <c r="BP5" s="137"/>
      <c r="BQ5" s="138">
        <f>BK5+1</f>
        <v>2018</v>
      </c>
      <c r="BR5" s="134"/>
      <c r="BS5" s="134"/>
      <c r="BT5" s="134"/>
      <c r="BU5" s="139">
        <f>BO5+1</f>
        <v>2018</v>
      </c>
      <c r="BV5" s="137"/>
      <c r="BW5" s="138">
        <f>BQ5+1</f>
        <v>2019</v>
      </c>
      <c r="BX5" s="134"/>
      <c r="BY5" s="134"/>
      <c r="BZ5" s="134"/>
      <c r="CA5" s="139">
        <f>BU5+1</f>
        <v>2019</v>
      </c>
      <c r="CB5" s="137"/>
      <c r="CC5" s="138">
        <f>BW5+1</f>
        <v>2020</v>
      </c>
      <c r="CD5" s="134"/>
      <c r="CE5" s="134"/>
      <c r="CF5" s="134"/>
      <c r="CG5" s="139">
        <f>CA5+1</f>
        <v>2020</v>
      </c>
      <c r="CH5" s="137"/>
      <c r="CI5" s="138">
        <f>CC5+1</f>
        <v>2021</v>
      </c>
      <c r="CJ5" s="134"/>
      <c r="CK5" s="134"/>
      <c r="CL5" s="134"/>
      <c r="CM5" s="139">
        <f>CG5+1</f>
        <v>2021</v>
      </c>
      <c r="CO5" s="340" t="s">
        <v>519</v>
      </c>
      <c r="CP5" s="1066"/>
      <c r="CQ5" s="1066"/>
      <c r="CR5" s="1066"/>
      <c r="CS5" s="1066"/>
      <c r="CT5" s="1066"/>
      <c r="CU5" s="1066"/>
      <c r="CV5" s="1066"/>
      <c r="CW5" s="1066"/>
      <c r="CX5" s="1066"/>
      <c r="CY5" s="1066"/>
      <c r="CZ5" s="1066"/>
      <c r="DA5" s="73"/>
    </row>
    <row r="6" spans="1:121" ht="13.5" thickBot="1">
      <c r="A6" s="387"/>
      <c r="B6" s="1684"/>
      <c r="C6" s="1685">
        <v>39172</v>
      </c>
      <c r="D6" s="1686">
        <f>C6+FLOOR(365/4,1)</f>
        <v>39263</v>
      </c>
      <c r="E6" s="1686">
        <f>D6+FLOOR(365/4,1)+1</f>
        <v>39355</v>
      </c>
      <c r="F6" s="1686">
        <f>E6+FLOOR(365/4,1)+1</f>
        <v>39447</v>
      </c>
      <c r="G6" s="1687"/>
      <c r="H6" s="1688"/>
      <c r="I6" s="1685">
        <f>C6+366</f>
        <v>39538</v>
      </c>
      <c r="J6" s="1686">
        <f>I6+FLOOR(365/4,1)</f>
        <v>39629</v>
      </c>
      <c r="K6" s="1686">
        <f>J6+FLOOR(365/4,1)+1</f>
        <v>39721</v>
      </c>
      <c r="L6" s="1686">
        <f>K6+FLOOR(365/4,1)+1</f>
        <v>39813</v>
      </c>
      <c r="M6" s="1689"/>
      <c r="N6" s="1690"/>
      <c r="O6" s="1685">
        <f>I6+365</f>
        <v>39903</v>
      </c>
      <c r="P6" s="1686">
        <f>O6+FLOOR(365/4,1)</f>
        <v>39994</v>
      </c>
      <c r="Q6" s="1686">
        <f>P6+FLOOR(365/4,1)+1</f>
        <v>40086</v>
      </c>
      <c r="R6" s="1686">
        <f>Q6+FLOOR(365/4,1)+1</f>
        <v>40178</v>
      </c>
      <c r="S6" s="1687"/>
      <c r="T6" s="1690"/>
      <c r="U6" s="1685">
        <f>O6+365</f>
        <v>40268</v>
      </c>
      <c r="V6" s="1686">
        <f>U6+FLOOR(365/4,1)</f>
        <v>40359</v>
      </c>
      <c r="W6" s="1686">
        <f>V6+FLOOR(365/4,1)+1</f>
        <v>40451</v>
      </c>
      <c r="X6" s="1686">
        <f>W6+FLOOR(365/4,1)+1</f>
        <v>40543</v>
      </c>
      <c r="Y6" s="1687"/>
      <c r="Z6" s="1690"/>
      <c r="AA6" s="1685">
        <f>U6+365</f>
        <v>40633</v>
      </c>
      <c r="AB6" s="1686">
        <f>AA6+FLOOR(365/4,1)</f>
        <v>40724</v>
      </c>
      <c r="AC6" s="1686">
        <f>AB6+FLOOR(365/4,1)+1</f>
        <v>40816</v>
      </c>
      <c r="AD6" s="1686">
        <f>AC6+FLOOR(365/4,1)+1</f>
        <v>40908</v>
      </c>
      <c r="AE6" s="1687"/>
      <c r="AF6" s="1690"/>
      <c r="AG6" s="1685">
        <f>AA6+366</f>
        <v>40999</v>
      </c>
      <c r="AH6" s="1686">
        <f>AG6+FLOOR(365/4,1)</f>
        <v>41090</v>
      </c>
      <c r="AI6" s="1686">
        <f>AH6+FLOOR(365/4,1)+1</f>
        <v>41182</v>
      </c>
      <c r="AJ6" s="1686">
        <f>AI6+FLOOR(365/4,1)+1</f>
        <v>41274</v>
      </c>
      <c r="AK6" s="1687"/>
      <c r="AL6" s="1690"/>
      <c r="AM6" s="1685">
        <f>AG6+365</f>
        <v>41364</v>
      </c>
      <c r="AN6" s="1686">
        <f>AM6+FLOOR(365/4,1)</f>
        <v>41455</v>
      </c>
      <c r="AO6" s="1686">
        <f>AN6+FLOOR(365/4,1)+1</f>
        <v>41547</v>
      </c>
      <c r="AP6" s="1686">
        <f>AO6+FLOOR(365/4,1)+1</f>
        <v>41639</v>
      </c>
      <c r="AQ6" s="1687"/>
      <c r="AR6" s="1690"/>
      <c r="AS6" s="1685">
        <f>AM6+365</f>
        <v>41729</v>
      </c>
      <c r="AT6" s="1686">
        <f>AS6+FLOOR(365/4,1)</f>
        <v>41820</v>
      </c>
      <c r="AU6" s="1686">
        <f>AT6+FLOOR(365/4,1)+1</f>
        <v>41912</v>
      </c>
      <c r="AV6" s="1686">
        <f>AU6+FLOOR(365/4,1)+1</f>
        <v>42004</v>
      </c>
      <c r="AW6" s="1687"/>
      <c r="AX6" s="1690"/>
      <c r="AY6" s="1685">
        <f>AS6+365</f>
        <v>42094</v>
      </c>
      <c r="AZ6" s="1686">
        <f>AY6+FLOOR(365/4,1)</f>
        <v>42185</v>
      </c>
      <c r="BA6" s="1686">
        <f>AZ6+FLOOR(365/4,1)+1</f>
        <v>42277</v>
      </c>
      <c r="BB6" s="1686">
        <f>BA6+FLOOR(365/4,1)+1</f>
        <v>42369</v>
      </c>
      <c r="BC6" s="1687"/>
      <c r="BD6" s="1690"/>
      <c r="BE6" s="1685">
        <f>AY6+365+1</f>
        <v>42460</v>
      </c>
      <c r="BF6" s="1686">
        <f>BE6+FLOOR(365/4,1)</f>
        <v>42551</v>
      </c>
      <c r="BG6" s="1686">
        <f>BF6+FLOOR(365/4,1)+1</f>
        <v>42643</v>
      </c>
      <c r="BH6" s="1686">
        <f>BG6+FLOOR(365/4,1)+1</f>
        <v>42735</v>
      </c>
      <c r="BI6" s="1687"/>
      <c r="BJ6" s="1690"/>
      <c r="BK6" s="1685">
        <f>BE6+365</f>
        <v>42825</v>
      </c>
      <c r="BL6" s="1686">
        <f>BK6+FLOOR(365/4,1)</f>
        <v>42916</v>
      </c>
      <c r="BM6" s="1686">
        <f>BL6+FLOOR(365/4,1)+1</f>
        <v>43008</v>
      </c>
      <c r="BN6" s="1686">
        <f>BM6+FLOOR(365/4,1)+1</f>
        <v>43100</v>
      </c>
      <c r="BO6" s="1687"/>
      <c r="BP6" s="1690"/>
      <c r="BQ6" s="1693">
        <f>BK6+365</f>
        <v>43190</v>
      </c>
      <c r="BR6" s="1691">
        <f>BQ6+FLOOR(365/4,1)</f>
        <v>43281</v>
      </c>
      <c r="BS6" s="1691">
        <f>BR6+FLOOR(365/4,1)+1</f>
        <v>43373</v>
      </c>
      <c r="BT6" s="1692">
        <f>BS6+FLOOR(365/4,1)+1</f>
        <v>43465</v>
      </c>
      <c r="BU6" s="1687"/>
      <c r="BV6" s="1690"/>
      <c r="BW6" s="1693">
        <f>BQ6+365</f>
        <v>43555</v>
      </c>
      <c r="BX6" s="1691">
        <f>BW6+FLOOR(365/4,1)</f>
        <v>43646</v>
      </c>
      <c r="BY6" s="1691">
        <f>BX6+FLOOR(365/4,1)+1</f>
        <v>43738</v>
      </c>
      <c r="BZ6" s="1692">
        <f>BY6+FLOOR(365/4,1)+1</f>
        <v>43830</v>
      </c>
      <c r="CA6" s="1687"/>
      <c r="CB6" s="1690"/>
      <c r="CC6" s="1693">
        <f>BW6+365</f>
        <v>43920</v>
      </c>
      <c r="CD6" s="1691">
        <f>CC6+FLOOR(365/4,1)</f>
        <v>44011</v>
      </c>
      <c r="CE6" s="1691">
        <f>CD6+FLOOR(365/4,1)+1</f>
        <v>44103</v>
      </c>
      <c r="CF6" s="1692">
        <f>CE6+FLOOR(365/4,1)+1</f>
        <v>44195</v>
      </c>
      <c r="CG6" s="1687"/>
      <c r="CH6" s="1690"/>
      <c r="CI6" s="1693">
        <f>CC6+365</f>
        <v>44285</v>
      </c>
      <c r="CJ6" s="1691">
        <f>CI6+FLOOR(365/4,1)</f>
        <v>44376</v>
      </c>
      <c r="CK6" s="1691">
        <f>CJ6+FLOOR(365/4,1)+1</f>
        <v>44468</v>
      </c>
      <c r="CL6" s="1692">
        <f>CK6+FLOOR(365/4,1)+1</f>
        <v>44560</v>
      </c>
      <c r="CM6" s="1687"/>
      <c r="CO6" s="1449"/>
      <c r="CP6" s="1450" t="s">
        <v>474</v>
      </c>
      <c r="CQ6" s="1450" t="s">
        <v>33</v>
      </c>
      <c r="CR6" s="1450" t="s">
        <v>72</v>
      </c>
      <c r="CS6" s="1450" t="s">
        <v>30</v>
      </c>
      <c r="CT6" s="1450" t="s">
        <v>25</v>
      </c>
      <c r="CU6" s="1450" t="s">
        <v>29</v>
      </c>
      <c r="CV6" s="1450" t="s">
        <v>28</v>
      </c>
      <c r="CW6" s="1450" t="s">
        <v>27</v>
      </c>
      <c r="CX6" s="1450" t="s">
        <v>26</v>
      </c>
      <c r="CY6" s="1450" t="s">
        <v>475</v>
      </c>
      <c r="CZ6" s="1450" t="s">
        <v>476</v>
      </c>
      <c r="DA6" s="1450" t="s">
        <v>477</v>
      </c>
      <c r="DB6" s="1450" t="s">
        <v>488</v>
      </c>
      <c r="DC6" s="1450" t="s">
        <v>491</v>
      </c>
      <c r="DD6" s="1450" t="s">
        <v>498</v>
      </c>
      <c r="DE6" s="1450" t="s">
        <v>500</v>
      </c>
      <c r="DF6" s="1450" t="s">
        <v>510</v>
      </c>
      <c r="DG6" s="1450" t="s">
        <v>525</v>
      </c>
      <c r="DH6" s="1450" t="s">
        <v>529</v>
      </c>
      <c r="DI6" s="1450" t="s">
        <v>540</v>
      </c>
      <c r="DJ6" s="1450" t="s">
        <v>546</v>
      </c>
      <c r="DK6" s="1450" t="s">
        <v>551</v>
      </c>
      <c r="DL6" s="1450" t="s">
        <v>569</v>
      </c>
      <c r="DM6" s="1450" t="s">
        <v>596</v>
      </c>
      <c r="DN6" s="1450" t="s">
        <v>594</v>
      </c>
      <c r="DO6" s="1450" t="s">
        <v>595</v>
      </c>
      <c r="DP6" s="1450" t="s">
        <v>567</v>
      </c>
      <c r="DQ6" s="1450" t="s">
        <v>568</v>
      </c>
    </row>
    <row r="7" spans="1:121" s="24" customFormat="1">
      <c r="A7" s="1576" t="s">
        <v>467</v>
      </c>
      <c r="B7" s="1066"/>
      <c r="C7" s="1067"/>
      <c r="D7" s="1067"/>
      <c r="E7" s="1067"/>
      <c r="F7" s="1067"/>
      <c r="G7" s="1068"/>
      <c r="H7" s="1067"/>
      <c r="I7" s="1161">
        <f>(RevBuild!I10+RevBuild!I11+RevBuild!I14)/(RevBuild!C10+RevBuild!C11+RevBuild!C14)-1-I12</f>
        <v>5.9239053365262528E-2</v>
      </c>
      <c r="J7" s="1162">
        <f>(RevBuild!J10+RevBuild!J11+RevBuild!J14)/(RevBuild!D10+RevBuild!D11+RevBuild!D14)-1-J12</f>
        <v>6.4417886999943719E-2</v>
      </c>
      <c r="K7" s="1162">
        <f>(RevBuild!K10+RevBuild!K11+RevBuild!K14)/(RevBuild!E10+RevBuild!E11+RevBuild!E14)-1-K12</f>
        <v>5.8342832562641195E-2</v>
      </c>
      <c r="L7" s="1160">
        <f>(RevBuild!L10+RevBuild!L11+RevBuild!L14)/(RevBuild!F10+RevBuild!F11+RevBuild!F14)-1-L12</f>
        <v>-2.1899193694555966E-3</v>
      </c>
      <c r="M7" s="1163">
        <f>(RevBuild!M10+RevBuild!M11+RevBuild!M14)/(RevBuild!G10+RevBuild!G11+RevBuild!G14)-1-M12</f>
        <v>3.845461139238035E-2</v>
      </c>
      <c r="N7" s="1067"/>
      <c r="O7" s="1161">
        <f>(RevBuild!O10+RevBuild!O11+RevBuild!O14)/(RevBuild!I10+RevBuild!I11+RevBuild!I14)-1-O12</f>
        <v>-5.6287800913198557E-2</v>
      </c>
      <c r="P7" s="1162">
        <f>(RevBuild!P10+RevBuild!P11+RevBuild!P14)/(RevBuild!J10+RevBuild!J11+RevBuild!J14)-1-P12</f>
        <v>-3.3600154132326462E-2</v>
      </c>
      <c r="Q7" s="1162">
        <f>(RevBuild!Q10+RevBuild!Q11+RevBuild!Q14)/(RevBuild!K10+RevBuild!K11+RevBuild!K14)-1-Q12</f>
        <v>-4.4581324452117686E-3</v>
      </c>
      <c r="R7" s="1160">
        <f>(RevBuild!R10+RevBuild!R11+RevBuild!R14)/(RevBuild!L10+RevBuild!L11+RevBuild!L14)-1-R12</f>
        <v>-6.3703799822656046E-3</v>
      </c>
      <c r="S7" s="2045">
        <f>(RevBuild!S10+RevBuild!S11+RevBuild!S14)/(RevBuild!M10+RevBuild!M11+RevBuild!M14)-1-S12</f>
        <v>-2.3837859181232116E-2</v>
      </c>
      <c r="T7" s="2046"/>
      <c r="U7" s="2047">
        <f>(RevBuild!U10+RevBuild!U11+RevBuild!U14)/(RevBuild!O10+RevBuild!O11+RevBuild!O14)-1-U12</f>
        <v>6.4233329655375676E-2</v>
      </c>
      <c r="V7" s="2048">
        <f>(RevBuild!V10+RevBuild!V11+RevBuild!V14)/(RevBuild!P10+RevBuild!P11+RevBuild!P14)-1-V12</f>
        <v>6.9651150127657532E-2</v>
      </c>
      <c r="W7" s="2048">
        <f>(RevBuild!W10+RevBuild!W11+RevBuild!W14)/(RevBuild!Q10+RevBuild!Q11+RevBuild!Q14)-1-W12</f>
        <v>7.868979305382727E-2</v>
      </c>
      <c r="X7" s="2049">
        <f>(RevBuild!X10+RevBuild!X11+RevBuild!X14)/(RevBuild!R10+RevBuild!R11+RevBuild!R14)-1-X12</f>
        <v>0.11927877976314984</v>
      </c>
      <c r="Y7" s="2045">
        <f>(RevBuild!Y10+RevBuild!Y11+RevBuild!Y14)/(RevBuild!S10+RevBuild!S11+RevBuild!S14)-1-Y12</f>
        <v>8.3982144509205381E-2</v>
      </c>
      <c r="Z7" s="2046"/>
      <c r="AA7" s="2047">
        <f>(RevBuild!AA10+RevBuild!AA11+RevBuild!AA14)/(RevBuild!U10+RevBuild!U11+RevBuild!U14)-1-AA12</f>
        <v>0.14468283406963736</v>
      </c>
      <c r="AB7" s="2048">
        <f>(RevBuild!AB10+RevBuild!AB11+RevBuild!AB14)/(RevBuild!V10+RevBuild!V11+RevBuild!V14)-1-AB12</f>
        <v>8.3594896814362996E-2</v>
      </c>
      <c r="AC7" s="2048">
        <f>(RevBuild!AC10+RevBuild!AC11+RevBuild!AC14)/(RevBuild!W10+RevBuild!W11+RevBuild!W14)-1-AC12</f>
        <v>9.0876679896943174E-2</v>
      </c>
      <c r="AD7" s="2049">
        <f>(RevBuild!AD10+RevBuild!AD11+RevBuild!AD14)/(RevBuild!X10+RevBuild!X11+RevBuild!X14)-1-AD12</f>
        <v>6.5773932215793973E-2</v>
      </c>
      <c r="AE7" s="2045">
        <f>(RevBuild!AE10+RevBuild!AE11+RevBuild!AE14)/(RevBuild!Y10+RevBuild!Y11+RevBuild!Y14)-1-AE12</f>
        <v>9.238752004110487E-2</v>
      </c>
      <c r="AF7" s="2046"/>
      <c r="AG7" s="2047">
        <f>(RevBuild!AG10+RevBuild!AG11+RevBuild!AG14)/(RevBuild!AA10+RevBuild!AA11+RevBuild!AA14)-1-AG12</f>
        <v>-9.6095049916805793E-3</v>
      </c>
      <c r="AH7" s="2048">
        <f>(RevBuild!AH10+RevBuild!AH11+RevBuild!AH14)/(RevBuild!AB10+RevBuild!AB11+RevBuild!AB14)-1-AH12</f>
        <v>2.9750368830053525E-2</v>
      </c>
      <c r="AI7" s="2048">
        <f>(RevBuild!AI10+RevBuild!AI11+RevBuild!AI14)/(RevBuild!AC10+RevBuild!AC11+RevBuild!AC14)-1-AI12</f>
        <v>2.0295877225606079E-2</v>
      </c>
      <c r="AJ7" s="2049">
        <f>(RevBuild!AJ10+RevBuild!AJ11+RevBuild!AJ14)/(RevBuild!AD10+RevBuild!AD11+RevBuild!AD14)-1-AJ12</f>
        <v>6.7420020774390122E-3</v>
      </c>
      <c r="AK7" s="2045">
        <f>(RevBuild!AK10+RevBuild!AK11+RevBuild!AK14)/(RevBuild!AE10+RevBuild!AE11+RevBuild!AE14)-1-AK12</f>
        <v>1.2134670884435685E-2</v>
      </c>
      <c r="AL7" s="2046"/>
      <c r="AM7" s="2047">
        <f>(RevBuild!AM10+RevBuild!AM11+RevBuild!AM14)/(RevBuild!AG10+RevBuild!AG11+RevBuild!AG14)-1-AM12</f>
        <v>5.18994724729471E-2</v>
      </c>
      <c r="AN7" s="2048">
        <f>(RevBuild!AN10+RevBuild!AN11+RevBuild!AN14)/(RevBuild!AH10+RevBuild!AH11+RevBuild!AH14)-1-AN12</f>
        <v>2.4212329365703705E-2</v>
      </c>
      <c r="AO7" s="2048">
        <f>(RevBuild!AO10+RevBuild!AO11+RevBuild!AO14)/(RevBuild!AI10+RevBuild!AI11+RevBuild!AI14)-1-AO12</f>
        <v>2.1584289420080376E-2</v>
      </c>
      <c r="AP7" s="2049">
        <f>(RevBuild!AP10+RevBuild!AP11+RevBuild!AP14)/(RevBuild!AJ10+RevBuild!AJ11+RevBuild!AJ14)-1-AP12</f>
        <v>9.4218219865949346E-2</v>
      </c>
      <c r="AQ7" s="2045">
        <f>(RevBuild!AQ10+RevBuild!AQ11+RevBuild!AQ14)/(RevBuild!AK10+RevBuild!AK11+RevBuild!AK14)-1-AQ12</f>
        <v>4.9697384386310037E-2</v>
      </c>
      <c r="AR7" s="2046"/>
      <c r="AS7" s="1072">
        <f>(RevBuild!AS10+RevBuild!AS11+RevBuild!AS14)/(RevBuild!AM10+RevBuild!AM11+RevBuild!AM14)-1-AS12-AS16-AS15/RevBuild!AS87</f>
        <v>5.7258963098907323E-3</v>
      </c>
      <c r="AT7" s="2048">
        <f>(RevBuild!AT10+RevBuild!AT11+RevBuild!AT14)/(RevBuild!AN10+RevBuild!AN11+RevBuild!AN14)-1-AT12-AT16-AT15/RevBuild!AT87</f>
        <v>5.5797621948490368E-2</v>
      </c>
      <c r="AU7" s="2048">
        <f>(RevBuild!AU10+RevBuild!AU11+RevBuild!AU14)/(RevBuild!AO10+RevBuild!AO11+RevBuild!AO14)-1-AU12-AU16-AU15/RevBuild!AU87</f>
        <v>8.5180402771225072E-2</v>
      </c>
      <c r="AV7" s="2049">
        <f>(RevBuild!AV10+RevBuild!AV11+RevBuild!AV14)/(RevBuild!AP10+RevBuild!AP11+RevBuild!AP14)-1-AV12-AV16-AV15/RevBuild!AV87</f>
        <v>9.9905450455223657E-2</v>
      </c>
      <c r="AW7" s="166">
        <f>AVERAGE(AS7:AV7)</f>
        <v>6.1652342871207452E-2</v>
      </c>
      <c r="AX7" s="2046"/>
      <c r="AY7" s="1072">
        <f>(RevBuild!AY10+RevBuild!AY11+RevBuild!AY14)/(RevBuild!AS10+RevBuild!AS11+RevBuild!AS14)-1-AY12-AY16-AY15/RevBuild!AY87</f>
        <v>0.11293114864354056</v>
      </c>
      <c r="AZ7" s="2048">
        <f>(RevBuild!AZ10+RevBuild!AZ11+RevBuild!AZ14)/(RevBuild!AT10+RevBuild!AT11+RevBuild!AT14)-1-AZ12-AZ16-AZ15/RevBuild!AZ87</f>
        <v>8.2392460228964029E-2</v>
      </c>
      <c r="BA7" s="2048">
        <f>(RevBuild!BA10+RevBuild!BA11+RevBuild!BA14)/(RevBuild!AU10+RevBuild!AU11+RevBuild!AU14)-1-BA12-BA16-BA15/RevBuild!BA87</f>
        <v>7.2246682406400448E-2</v>
      </c>
      <c r="BB7" s="2049">
        <f>(RevBuild!BB10+RevBuild!BB11+RevBuild!BB14)/(RevBuild!AV10+RevBuild!AV11+RevBuild!AV14)-1-BB12-BB16-BB15/RevBuild!BB87</f>
        <v>6.3077804250005878E-2</v>
      </c>
      <c r="BC7" s="166">
        <f>AVERAGE(AY7:BB7)</f>
        <v>8.2662023882227736E-2</v>
      </c>
      <c r="BD7" s="2046"/>
      <c r="BE7" s="2047">
        <f>(RevBuild!BE10+RevBuild!BE11+RevBuild!BE14)/(RevBuild!AY10+RevBuild!AY11+RevBuild!AY14)-1-BE12</f>
        <v>5.2330737190283534E-2</v>
      </c>
      <c r="BF7" s="2048">
        <f>(RevBuild!BF10+RevBuild!BF11+RevBuild!BF14)/(RevBuild!AZ10+RevBuild!AZ11+RevBuild!AZ14)-1-BF12</f>
        <v>8.1866585253070293E-2</v>
      </c>
      <c r="BG7" s="2048">
        <f>(RevBuild!BG10+RevBuild!BG11+RevBuild!BG14)/(RevBuild!BA10+RevBuild!BA11+RevBuild!BA14)-1-BG12</f>
        <v>5.4119022829739981E-2</v>
      </c>
      <c r="BH7" s="2049">
        <f>(RevBuild!BH10+RevBuild!BH11+RevBuild!BH14)/(RevBuild!BB10+RevBuild!BB11+RevBuild!BB14)-1-BH12</f>
        <v>0.10801259538313256</v>
      </c>
      <c r="BI7" s="2045">
        <f>(RevBuild!BI10+RevBuild!BI11+RevBuild!BI14)/(RevBuild!BC10+RevBuild!BC11+RevBuild!BC14)-1-BI12</f>
        <v>7.5439967557045795E-2</v>
      </c>
      <c r="BJ7" s="2046"/>
      <c r="BK7" s="2047">
        <f>(RevBuild!BK10+RevBuild!BK11+RevBuild!BK14)/(RevBuild!BE10+RevBuild!BE11+RevBuild!BE14)-1-BK12</f>
        <v>5.5340210705975716E-2</v>
      </c>
      <c r="BL7" s="2048">
        <f>(RevBuild!BL10+RevBuild!BL11+RevBuild!BL14)/(RevBuild!BF10+RevBuild!BF11+RevBuild!BF14)-1-BL12</f>
        <v>4.9790613100049834E-2</v>
      </c>
      <c r="BM7" s="2048">
        <f>(RevBuild!BM10+RevBuild!BM11+RevBuild!BM14)/(RevBuild!BG10+RevBuild!BG11+RevBuild!BG14)-1-BM12</f>
        <v>6.0057526549490044E-2</v>
      </c>
      <c r="BN7" s="2049">
        <f>(RevBuild!BN10+RevBuild!BN11+RevBuild!BN14)/(RevBuild!BH10+RevBuild!BH11+RevBuild!BH14)-1-BN12</f>
        <v>5.7016848722362373E-2</v>
      </c>
      <c r="BO7" s="2045">
        <f>(RevBuild!BO10+RevBuild!BO11+RevBuild!BO14)/(RevBuild!BI10+RevBuild!BI11+RevBuild!BI14)-1-BO12</f>
        <v>5.6979302543537121E-2</v>
      </c>
      <c r="BP7" s="2046"/>
      <c r="BQ7" s="2047">
        <f>(RevBuild!BQ10+RevBuild!BQ11+RevBuild!BQ14)/(RevBuild!BK10+RevBuild!BK11+RevBuild!BK14)-1-BQ12</f>
        <v>6.9049603689869801E-2</v>
      </c>
      <c r="BR7" s="2048">
        <f>(RevBuild!BR10+RevBuild!BR11+RevBuild!BR14)/(RevBuild!BL10+RevBuild!BL11+RevBuild!BL14)-1-BR12</f>
        <v>7.3021432011263779E-2</v>
      </c>
      <c r="BS7" s="2048">
        <f>(RevBuild!BS10+RevBuild!BS11+RevBuild!BS14)/(RevBuild!BM10+RevBuild!BM11+RevBuild!BM14)-1-BS12</f>
        <v>5.9942878070699201E-2</v>
      </c>
      <c r="BT7" s="2049">
        <f>(RevBuild!BT10+RevBuild!BT11+RevBuild!BT14)/(RevBuild!BN10+RevBuild!BN11+RevBuild!BN14)-1-BT12</f>
        <v>5.599269019959497E-2</v>
      </c>
      <c r="BU7" s="2045">
        <f>(RevBuild!BU10+RevBuild!BU11+RevBuild!BU14)/(RevBuild!BO10+RevBuild!BO11+RevBuild!BO14)-1-BU12</f>
        <v>6.3373532200232854E-2</v>
      </c>
      <c r="BV7" s="2046"/>
      <c r="BW7" s="2047">
        <f>(RevBuild!BW10+RevBuild!BW11+RevBuild!BW14)/(RevBuild!BQ10+RevBuild!BQ11+RevBuild!BQ14)-1-BW12</f>
        <v>6.4880528822609751E-2</v>
      </c>
      <c r="BX7" s="2048">
        <f>(RevBuild!BX10+RevBuild!BX11+RevBuild!BX14)/(RevBuild!BR10+RevBuild!BR11+RevBuild!BR14)-1-BX12</f>
        <v>5.7034078138787692E-2</v>
      </c>
      <c r="BY7" s="2048">
        <f>(RevBuild!BY10+RevBuild!BY11+RevBuild!BY14)/(RevBuild!BS10+RevBuild!BS11+RevBuild!BS14)-1-BY12</f>
        <v>5.3954096483424197E-2</v>
      </c>
      <c r="BZ7" s="2049">
        <f>(RevBuild!BZ10+RevBuild!BZ11+RevBuild!BZ14)/(RevBuild!BT10+RevBuild!BT11+RevBuild!BT14)-1-BZ12</f>
        <v>4.5880439519460525E-2</v>
      </c>
      <c r="CA7" s="2045">
        <f>(RevBuild!CA10+RevBuild!CA11+RevBuild!CA14)/(RevBuild!BU10+RevBuild!BU11+RevBuild!BU14)-1-CA12</f>
        <v>5.4765417374286862E-2</v>
      </c>
      <c r="CB7" s="2046"/>
      <c r="CC7" s="2047">
        <f>(RevBuild!CC10+RevBuild!CC11+RevBuild!CC14)/(RevBuild!BW10+RevBuild!BW11+RevBuild!BW14)-1-CC12</f>
        <v>5.8515201865292354E-2</v>
      </c>
      <c r="CD7" s="2048">
        <f>(RevBuild!CD10+RevBuild!CD11+RevBuild!CD14)/(RevBuild!BX10+RevBuild!BX11+RevBuild!BX14)-1-CD12</f>
        <v>5.0674401988025197E-2</v>
      </c>
      <c r="CE7" s="2048">
        <f>(RevBuild!CE10+RevBuild!CE11+RevBuild!CE14)/(RevBuild!BY10+RevBuild!BY11+RevBuild!BY14)-1-CE12</f>
        <v>4.9099501978854709E-2</v>
      </c>
      <c r="CF7" s="2049">
        <f>(RevBuild!CF10+RevBuild!CF11+RevBuild!CF14)/(RevBuild!BZ10+RevBuild!BZ11+RevBuild!BZ14)-1-CF12</f>
        <v>4.128264309265961E-2</v>
      </c>
      <c r="CG7" s="2045">
        <f>(RevBuild!CG10+RevBuild!CG11+RevBuild!CG14)/(RevBuild!CA10+RevBuild!CA11+RevBuild!CA14)-1-CG12</f>
        <v>4.9322770304980335E-2</v>
      </c>
      <c r="CH7" s="2046"/>
      <c r="CI7" s="2047">
        <f>(RevBuild!CI10+RevBuild!CI11+RevBuild!CI14)/(RevBuild!CC10+RevBuild!CC11+RevBuild!CC14)-1-CI12</f>
        <v>5.8537222377880838E-2</v>
      </c>
      <c r="CJ7" s="2048">
        <f>(RevBuild!CJ10+RevBuild!CJ11+RevBuild!CJ14)/(RevBuild!CD10+RevBuild!CD11+RevBuild!CD14)-1-CJ12</f>
        <v>5.0769146070274163E-2</v>
      </c>
      <c r="CK7" s="2048">
        <f>(RevBuild!CK10+RevBuild!CK11+RevBuild!CK14)/(RevBuild!CE10+RevBuild!CE11+RevBuild!CE14)-1-CK12</f>
        <v>4.9157699891091422E-2</v>
      </c>
      <c r="CL7" s="2049">
        <f>(RevBuild!CL10+RevBuild!CL11+RevBuild!CL14)/(RevBuild!CF10+RevBuild!CF11+RevBuild!CF14)-1-CL12</f>
        <v>4.1551073267624972E-2</v>
      </c>
      <c r="CM7" s="2045">
        <f>(RevBuild!CM10+RevBuild!CM11+RevBuild!CM14)/(RevBuild!CG10+RevBuild!CG11+RevBuild!CG14)-1-CM12</f>
        <v>4.9478099163450695E-2</v>
      </c>
      <c r="CO7" s="1452" t="str">
        <f t="shared" ref="CO7:CO13" si="0">A7</f>
        <v>WAT Division</v>
      </c>
      <c r="CP7" s="1453">
        <f t="shared" ref="CP7:CS13" si="1">AG7</f>
        <v>-9.6095049916805793E-3</v>
      </c>
      <c r="CQ7" s="1453">
        <f t="shared" si="1"/>
        <v>2.9750368830053525E-2</v>
      </c>
      <c r="CR7" s="1453">
        <f t="shared" si="1"/>
        <v>2.0295877225606079E-2</v>
      </c>
      <c r="CS7" s="1453">
        <f t="shared" si="1"/>
        <v>6.7420020774390122E-3</v>
      </c>
      <c r="CT7" s="1453">
        <f t="shared" ref="CT7:CW13" si="2">AM7</f>
        <v>5.18994724729471E-2</v>
      </c>
      <c r="CU7" s="1453">
        <f t="shared" si="2"/>
        <v>2.4212329365703705E-2</v>
      </c>
      <c r="CV7" s="1453">
        <f t="shared" si="2"/>
        <v>2.1584289420080376E-2</v>
      </c>
      <c r="CW7" s="1453">
        <f t="shared" si="2"/>
        <v>9.4218219865949346E-2</v>
      </c>
      <c r="CX7" s="1453">
        <f t="shared" ref="CX7:DA13" si="3">AS7</f>
        <v>5.7258963098907323E-3</v>
      </c>
      <c r="CY7" s="1453">
        <f t="shared" si="3"/>
        <v>5.5797621948490368E-2</v>
      </c>
      <c r="CZ7" s="1453">
        <f t="shared" si="3"/>
        <v>8.5180402771225072E-2</v>
      </c>
      <c r="DA7" s="1453">
        <f t="shared" si="3"/>
        <v>9.9905450455223657E-2</v>
      </c>
      <c r="DB7" s="1453">
        <f t="shared" ref="DB7:DE13" si="4">AY7</f>
        <v>0.11293114864354056</v>
      </c>
      <c r="DC7" s="1453">
        <f t="shared" si="4"/>
        <v>8.2392460228964029E-2</v>
      </c>
      <c r="DD7" s="1453">
        <f t="shared" si="4"/>
        <v>7.2246682406400448E-2</v>
      </c>
      <c r="DE7" s="1453">
        <f t="shared" si="4"/>
        <v>6.3077804250005878E-2</v>
      </c>
      <c r="DF7" s="1453">
        <f t="shared" ref="DF7:DI13" si="5">BE7</f>
        <v>5.2330737190283534E-2</v>
      </c>
      <c r="DG7" s="1453">
        <f t="shared" si="5"/>
        <v>8.1866585253070293E-2</v>
      </c>
      <c r="DH7" s="1453">
        <f t="shared" si="5"/>
        <v>5.4119022829739981E-2</v>
      </c>
      <c r="DI7" s="1453">
        <f t="shared" si="5"/>
        <v>0.10801259538313256</v>
      </c>
      <c r="DJ7" s="1453">
        <f t="shared" ref="DJ7:DM13" si="6">BK7</f>
        <v>5.5340210705975716E-2</v>
      </c>
      <c r="DK7" s="1453">
        <f t="shared" si="6"/>
        <v>4.9790613100049834E-2</v>
      </c>
      <c r="DL7" s="1453">
        <f t="shared" si="6"/>
        <v>6.0057526549490044E-2</v>
      </c>
      <c r="DM7" s="1453">
        <f t="shared" si="6"/>
        <v>5.7016848722362373E-2</v>
      </c>
      <c r="DN7" s="1453">
        <f t="shared" ref="DN7:DN13" si="7">BQ7</f>
        <v>6.9049603689869801E-2</v>
      </c>
      <c r="DO7" s="1453">
        <f t="shared" ref="DO7:DQ13" si="8">BR7</f>
        <v>7.3021432011263779E-2</v>
      </c>
      <c r="DP7" s="1453">
        <f t="shared" si="8"/>
        <v>5.9942878070699201E-2</v>
      </c>
      <c r="DQ7" s="1453">
        <f t="shared" si="8"/>
        <v>5.599269019959497E-2</v>
      </c>
    </row>
    <row r="8" spans="1:121" s="24" customFormat="1">
      <c r="A8" s="1577" t="s">
        <v>468</v>
      </c>
      <c r="B8" s="71"/>
      <c r="C8" s="195">
        <v>0.12</v>
      </c>
      <c r="D8" s="195">
        <v>0.18</v>
      </c>
      <c r="E8" s="195">
        <v>0.12</v>
      </c>
      <c r="F8" s="195">
        <v>0.03</v>
      </c>
      <c r="G8" s="168">
        <f>AVERAGE(C8:F8)</f>
        <v>0.11249999999999999</v>
      </c>
      <c r="H8" s="495"/>
      <c r="I8" s="196">
        <v>0.05</v>
      </c>
      <c r="J8" s="197">
        <v>0.03</v>
      </c>
      <c r="K8" s="197">
        <v>0.03</v>
      </c>
      <c r="L8" s="197">
        <v>-0.05</v>
      </c>
      <c r="M8" s="168">
        <f>AVERAGE(I8:L8)</f>
        <v>1.4999999999999999E-2</v>
      </c>
      <c r="N8" s="495"/>
      <c r="O8" s="196">
        <v>-0.16</v>
      </c>
      <c r="P8" s="197">
        <v>-0.08</v>
      </c>
      <c r="Q8" s="197">
        <v>-0.06</v>
      </c>
      <c r="R8" s="197">
        <v>0</v>
      </c>
      <c r="S8" s="168">
        <f>AVERAGE(O8:R8)</f>
        <v>-7.4999999999999997E-2</v>
      </c>
      <c r="T8" s="495"/>
      <c r="U8" s="196">
        <v>7.0000000000000007E-2</v>
      </c>
      <c r="V8" s="197">
        <v>0.08</v>
      </c>
      <c r="W8" s="197">
        <v>0.09</v>
      </c>
      <c r="X8" s="197">
        <v>0.16</v>
      </c>
      <c r="Y8" s="168">
        <f>AVERAGE(U8:X8)</f>
        <v>0.1</v>
      </c>
      <c r="Z8" s="495"/>
      <c r="AA8" s="196">
        <v>0.23</v>
      </c>
      <c r="AB8" s="197">
        <v>0.06</v>
      </c>
      <c r="AC8" s="197">
        <v>0.1</v>
      </c>
      <c r="AD8" s="197">
        <v>7.0000000000000007E-2</v>
      </c>
      <c r="AE8" s="168">
        <f>AVERAGE(AA8:AD8)</f>
        <v>0.115</v>
      </c>
      <c r="AF8" s="495"/>
      <c r="AG8" s="196">
        <v>-0.09</v>
      </c>
      <c r="AH8" s="104">
        <v>0.02</v>
      </c>
      <c r="AI8" s="104">
        <v>-0.02</v>
      </c>
      <c r="AJ8" s="104">
        <v>-0.05</v>
      </c>
      <c r="AK8" s="492">
        <f>(RevBuild!AK10/RevBuild!AE10)-OrgRev!AK12-1</f>
        <v>-3.3320212963374063E-2</v>
      </c>
      <c r="AL8" s="495"/>
      <c r="AM8" s="1070">
        <f>(RevBuild!AM10/RevBuild!AG10)-OrgRev!AM12-1-AM13</f>
        <v>7.3473500993394336E-2</v>
      </c>
      <c r="AN8" s="495">
        <f>(RevBuild!AN10/RevBuild!AH10)-OrgRev!AN12-1-AN13</f>
        <v>-2.1358306236850311E-2</v>
      </c>
      <c r="AO8" s="495">
        <f>(RevBuild!AO10/RevBuild!AI10)-OrgRev!AO12-1-AO13</f>
        <v>-7.2772612128604308E-3</v>
      </c>
      <c r="AP8" s="1621">
        <f>(RevBuild!AP10/RevBuild!AJ10)-OrgRev!AP12-1-AP13</f>
        <v>9.4375348952835836E-2</v>
      </c>
      <c r="AQ8" s="492">
        <f>(RevBuild!AQ10/RevBuild!AK10)-OrgRev!AQ12-1</f>
        <v>3.7165800801006066E-2</v>
      </c>
      <c r="AR8" s="495"/>
      <c r="AS8" s="1070">
        <f>(RevBuild!AS10/RevBuild!AM10)-OrgRev!AS12-1-AS16-AS15/RevBuild!AS87</f>
        <v>-4.4221889835468486E-2</v>
      </c>
      <c r="AT8" s="495">
        <f>(RevBuild!AT10/RevBuild!AN10)-OrgRev!AT12-1-AT16-AT15/RevBuild!AT87</f>
        <v>4.6822272699367673E-2</v>
      </c>
      <c r="AU8" s="495">
        <f>(RevBuild!AU10/RevBuild!AO10)-OrgRev!AU12-1-AU16-AU15/RevBuild!AU87</f>
        <v>8.1897973998548146E-2</v>
      </c>
      <c r="AV8" s="495">
        <f>(RevBuild!AV10/RevBuild!AP10)-OrgRev!AV12-1-AV16-AV15/RevBuild!AV87</f>
        <v>9.4574341778345783E-2</v>
      </c>
      <c r="AW8" s="168">
        <f>AVERAGE(AS8:AV8)</f>
        <v>4.4768174660198279E-2</v>
      </c>
      <c r="AX8" s="495"/>
      <c r="AY8" s="1070">
        <f>(RevBuild!AY10/RevBuild!AS10)-OrgRev!AY12-1-AY16-AY15</f>
        <v>0.11383490961874312</v>
      </c>
      <c r="AZ8" s="495">
        <f>(RevBuild!AZ10/RevBuild!AT10)-OrgRev!AZ12-1-AZ16-AZ15</f>
        <v>0.10625161991231148</v>
      </c>
      <c r="BA8" s="495">
        <f>(RevBuild!BA10/RevBuild!AU10)-OrgRev!BA12-1-BA16-BA15</f>
        <v>8.3500107919407665E-2</v>
      </c>
      <c r="BB8" s="495">
        <f>(RevBuild!BB10/RevBuild!AV10)-OrgRev!BB12-1-BB16-BB15</f>
        <v>5.6165455875287304E-2</v>
      </c>
      <c r="BC8" s="168">
        <f>AVERAGE(AY8:BB8)</f>
        <v>8.9938023331437397E-2</v>
      </c>
      <c r="BD8" s="495"/>
      <c r="BE8" s="1070">
        <f>(RevBuild!BE10/RevBuild!AY10)-OrgRev!BE12-1-BE16-BE15</f>
        <v>2.2007820763011329E-2</v>
      </c>
      <c r="BF8" s="495">
        <f>(RevBuild!BF10/RevBuild!AZ10)-OrgRev!BF12-1-BF16-BF15</f>
        <v>6.4975952564605866E-2</v>
      </c>
      <c r="BG8" s="495">
        <f>(RevBuild!BG10/RevBuild!BA10)-OrgRev!BG12-1-BG16-BG15</f>
        <v>2.9518088922632968E-2</v>
      </c>
      <c r="BH8" s="495">
        <f>(RevBuild!BH10/RevBuild!BB10)-OrgRev!BH12-1-BH16-BH15</f>
        <v>0.10745145182171247</v>
      </c>
      <c r="BI8" s="492">
        <f>(RevBuild!BI10/RevBuild!BC10)-OrgRev!BI12-1-BI13</f>
        <v>5.9277843746564654E-2</v>
      </c>
      <c r="BJ8" s="495"/>
      <c r="BK8" s="1070">
        <f>(RevBuild!BK10/RevBuild!BE10)-OrgRev!BK12-1-BK16-BK15</f>
        <v>6.9440669605206548E-2</v>
      </c>
      <c r="BL8" s="495">
        <f>(RevBuild!BL10/RevBuild!BF10)-OrgRev!BL12-1-BL16-BL15</f>
        <v>3.883513011112405E-2</v>
      </c>
      <c r="BM8" s="495">
        <f>(RevBuild!BM10/RevBuild!BG10)-OrgRev!BM12-1-BM16-BM15</f>
        <v>5.1749191408588795E-2</v>
      </c>
      <c r="BN8" s="495">
        <f>(RevBuild!BN10/RevBuild!BH10)-OrgRev!BN12-1-BN16-BN15</f>
        <v>3.1149560261094278E-2</v>
      </c>
      <c r="BO8" s="492">
        <f>(RevBuild!BO10/RevBuild!BI10)-OrgRev!BO12-1-BO13</f>
        <v>4.7987516461164489E-2</v>
      </c>
      <c r="BP8" s="495"/>
      <c r="BQ8" s="1070">
        <f>(RevBuild!BQ10/RevBuild!BK10)-OrgRev!BQ12-1-BQ16-BQ15</f>
        <v>4.96687726022692E-2</v>
      </c>
      <c r="BR8" s="495">
        <f>(RevBuild!BR10/RevBuild!BL10)-OrgRev!BR12-1-BR16-BR15</f>
        <v>5.5311600925615823E-2</v>
      </c>
      <c r="BS8" s="495">
        <f>(RevBuild!BS10/RevBuild!BM10)-OrgRev!BS12-1-BS16-BS15</f>
        <v>4.3837346376636832E-2</v>
      </c>
      <c r="BT8" s="495">
        <f>(RevBuild!BT10/RevBuild!BN10)-OrgRev!BT12-1-BT16-BT15</f>
        <v>5.1936133291938358E-2</v>
      </c>
      <c r="BU8" s="492">
        <f>(RevBuild!BU10/RevBuild!BO10)-OrgRev!BU12-1-BU13</f>
        <v>4.9788090819750358E-2</v>
      </c>
      <c r="BV8" s="495"/>
      <c r="BW8" s="1070">
        <f>(RevBuild!BW10/RevBuild!BQ10)-OrgRev!BW12-1-BW16-BW15</f>
        <v>6.0615766861290332E-2</v>
      </c>
      <c r="BX8" s="495">
        <f>(RevBuild!BX10/RevBuild!BR10)-OrgRev!BX12-1-BX16-BX15</f>
        <v>4.5518802808017567E-2</v>
      </c>
      <c r="BY8" s="495">
        <f>(RevBuild!BY10/RevBuild!BS10)-OrgRev!BY12-1-BY16-BY15</f>
        <v>4.6325534576004301E-2</v>
      </c>
      <c r="BZ8" s="495">
        <f>(RevBuild!BZ10/RevBuild!BT10)-OrgRev!BZ12-1-BZ16-BZ15</f>
        <v>3.2205971128183242E-2</v>
      </c>
      <c r="CA8" s="492">
        <f>(RevBuild!CA10/RevBuild!BU10)-OrgRev!CA12-1-CA13</f>
        <v>4.4517326129029477E-2</v>
      </c>
      <c r="CB8" s="495"/>
      <c r="CC8" s="1070">
        <f>(RevBuild!CC10/RevBuild!BW10)-OrgRev!CC12-1-CC16-CC15</f>
        <v>5.5354847106976024E-2</v>
      </c>
      <c r="CD8" s="495">
        <f>(RevBuild!CD10/RevBuild!BX10)-OrgRev!CD12-1-CD16-CD15</f>
        <v>3.9999999999999813E-2</v>
      </c>
      <c r="CE8" s="495">
        <f>(RevBuild!CE10/RevBuild!BY10)-OrgRev!CE12-1-CE16-CE15</f>
        <v>4.3860486418748845E-2</v>
      </c>
      <c r="CF8" s="495">
        <f>(RevBuild!CF10/RevBuild!BZ10)-OrgRev!CF12-1-CF16-CF15</f>
        <v>2.958710527378372E-2</v>
      </c>
      <c r="CG8" s="492">
        <f>(RevBuild!CG10/RevBuild!CA10)-OrgRev!CG12-1-CG13</f>
        <v>4.0785167078475792E-2</v>
      </c>
      <c r="CH8" s="495"/>
      <c r="CI8" s="1070">
        <f>(RevBuild!CI10/RevBuild!CC10)-OrgRev!CI12-1-CI16-CI15</f>
        <v>5.5378416509815898E-2</v>
      </c>
      <c r="CJ8" s="495">
        <f>(RevBuild!CJ10/RevBuild!CD10)-OrgRev!CJ12-1-CJ16-CJ15</f>
        <v>4.0000000000000258E-2</v>
      </c>
      <c r="CK8" s="495">
        <f>(RevBuild!CK10/RevBuild!CE10)-OrgRev!CK12-1-CK16-CK15</f>
        <v>4.3912599778160644E-2</v>
      </c>
      <c r="CL8" s="495">
        <f>(RevBuild!CL10/RevBuild!CF10)-OrgRev!CL12-1-CL16-CL15</f>
        <v>2.9820962989711042E-2</v>
      </c>
      <c r="CM8" s="492">
        <f>(RevBuild!CM10/RevBuild!CG10)-OrgRev!CM12-1-CM13</f>
        <v>4.0956871251121907E-2</v>
      </c>
      <c r="CO8" s="1474" t="str">
        <f t="shared" si="0"/>
        <v>Instruments</v>
      </c>
      <c r="CP8" s="1475">
        <f t="shared" si="1"/>
        <v>-0.09</v>
      </c>
      <c r="CQ8" s="1475">
        <f t="shared" si="1"/>
        <v>0.02</v>
      </c>
      <c r="CR8" s="1475">
        <f t="shared" si="1"/>
        <v>-0.02</v>
      </c>
      <c r="CS8" s="1475">
        <f t="shared" si="1"/>
        <v>-0.05</v>
      </c>
      <c r="CT8" s="1475">
        <f t="shared" si="2"/>
        <v>7.3473500993394336E-2</v>
      </c>
      <c r="CU8" s="1475">
        <f t="shared" si="2"/>
        <v>-2.1358306236850311E-2</v>
      </c>
      <c r="CV8" s="1475">
        <f t="shared" si="2"/>
        <v>-7.2772612128604308E-3</v>
      </c>
      <c r="CW8" s="1475">
        <f t="shared" si="2"/>
        <v>9.4375348952835836E-2</v>
      </c>
      <c r="CX8" s="1475">
        <f t="shared" si="3"/>
        <v>-4.4221889835468486E-2</v>
      </c>
      <c r="CY8" s="1475">
        <f t="shared" si="3"/>
        <v>4.6822272699367673E-2</v>
      </c>
      <c r="CZ8" s="1475">
        <f t="shared" si="3"/>
        <v>8.1897973998548146E-2</v>
      </c>
      <c r="DA8" s="1475">
        <f t="shared" si="3"/>
        <v>9.4574341778345783E-2</v>
      </c>
      <c r="DB8" s="1475">
        <f t="shared" si="4"/>
        <v>0.11383490961874312</v>
      </c>
      <c r="DC8" s="1475">
        <f t="shared" si="4"/>
        <v>0.10625161991231148</v>
      </c>
      <c r="DD8" s="1475">
        <f t="shared" si="4"/>
        <v>8.3500107919407665E-2</v>
      </c>
      <c r="DE8" s="1475">
        <f t="shared" si="4"/>
        <v>5.6165455875287304E-2</v>
      </c>
      <c r="DF8" s="1475">
        <f t="shared" si="5"/>
        <v>2.2007820763011329E-2</v>
      </c>
      <c r="DG8" s="1475">
        <f t="shared" si="5"/>
        <v>6.4975952564605866E-2</v>
      </c>
      <c r="DH8" s="1475">
        <f t="shared" si="5"/>
        <v>2.9518088922632968E-2</v>
      </c>
      <c r="DI8" s="1475">
        <f t="shared" si="5"/>
        <v>0.10745145182171247</v>
      </c>
      <c r="DJ8" s="1475">
        <f t="shared" si="6"/>
        <v>6.9440669605206548E-2</v>
      </c>
      <c r="DK8" s="1475">
        <f t="shared" si="6"/>
        <v>3.883513011112405E-2</v>
      </c>
      <c r="DL8" s="1475">
        <f t="shared" si="6"/>
        <v>5.1749191408588795E-2</v>
      </c>
      <c r="DM8" s="1475">
        <f t="shared" si="6"/>
        <v>3.1149560261094278E-2</v>
      </c>
      <c r="DN8" s="1475">
        <f t="shared" si="7"/>
        <v>4.96687726022692E-2</v>
      </c>
      <c r="DO8" s="1475">
        <f t="shared" si="8"/>
        <v>5.5311600925615823E-2</v>
      </c>
      <c r="DP8" s="1475">
        <f t="shared" si="8"/>
        <v>4.3837346376636832E-2</v>
      </c>
      <c r="DQ8" s="1475">
        <f t="shared" si="8"/>
        <v>5.1936133291938358E-2</v>
      </c>
    </row>
    <row r="9" spans="1:121" s="24" customFormat="1">
      <c r="A9" s="1577" t="s">
        <v>471</v>
      </c>
      <c r="B9" s="71"/>
      <c r="C9" s="195">
        <v>0.09</v>
      </c>
      <c r="D9" s="195">
        <f>+(8%+10%)/2</f>
        <v>0.09</v>
      </c>
      <c r="E9" s="195">
        <f>+(7%+10%)/2</f>
        <v>8.5000000000000006E-2</v>
      </c>
      <c r="F9" s="195">
        <f>+(7%+11%)/2</f>
        <v>0.09</v>
      </c>
      <c r="G9" s="168">
        <f t="shared" ref="G9:G17" si="9">AVERAGE(C9:F9)</f>
        <v>8.8749999999999996E-2</v>
      </c>
      <c r="H9" s="1071"/>
      <c r="I9" s="196">
        <v>0.05</v>
      </c>
      <c r="J9" s="197">
        <v>0.11</v>
      </c>
      <c r="K9" s="197">
        <v>0.09</v>
      </c>
      <c r="L9" s="197">
        <v>7.0000000000000007E-2</v>
      </c>
      <c r="M9" s="168">
        <f>AVERAGE(I9:L9)</f>
        <v>0.08</v>
      </c>
      <c r="N9" s="1071"/>
      <c r="O9" s="196">
        <v>0.09</v>
      </c>
      <c r="P9" s="197">
        <v>0.02</v>
      </c>
      <c r="Q9" s="197">
        <v>0.06</v>
      </c>
      <c r="R9" s="197">
        <v>-0.01</v>
      </c>
      <c r="S9" s="168">
        <f t="shared" ref="S9:S17" si="10">AVERAGE(O9:R9)</f>
        <v>3.9999999999999994E-2</v>
      </c>
      <c r="T9" s="1071"/>
      <c r="U9" s="196">
        <v>0.06</v>
      </c>
      <c r="V9" s="197">
        <v>7.0000000000000007E-2</v>
      </c>
      <c r="W9" s="197">
        <v>0.06</v>
      </c>
      <c r="X9" s="197">
        <v>0.1</v>
      </c>
      <c r="Y9" s="168">
        <f t="shared" ref="Y9:Y17" si="11">AVERAGE(U9:X9)</f>
        <v>7.2500000000000009E-2</v>
      </c>
      <c r="Z9" s="1071"/>
      <c r="AA9" s="196">
        <v>7.0000000000000007E-2</v>
      </c>
      <c r="AB9" s="197">
        <v>0.09</v>
      </c>
      <c r="AC9" s="197">
        <v>0.08</v>
      </c>
      <c r="AD9" s="197">
        <v>7.0000000000000007E-2</v>
      </c>
      <c r="AE9" s="168">
        <f t="shared" ref="AE9:AE17" si="12">AVERAGE(AA9:AD9)</f>
        <v>7.7499999999999999E-2</v>
      </c>
      <c r="AF9" s="1071"/>
      <c r="AG9" s="196">
        <v>7.0000000000000007E-2</v>
      </c>
      <c r="AH9" s="197">
        <v>0.05</v>
      </c>
      <c r="AI9" s="197">
        <v>7.0000000000000007E-2</v>
      </c>
      <c r="AJ9" s="197">
        <v>0.08</v>
      </c>
      <c r="AK9" s="168">
        <f>(RevBuild!AK11+RevBuild!AK14)/(RevBuild!AE11+RevBuild!AE14)-OrgRev!AK12-1</f>
        <v>6.3781530905144379E-2</v>
      </c>
      <c r="AL9" s="1071"/>
      <c r="AM9" s="1072">
        <f>(RevBuild!AM11+RevBuild!AM14)/(RevBuild!AG11+RevBuild!AG14)-OrgRev!AM12-1-AM13</f>
        <v>3.0612542221137073E-2</v>
      </c>
      <c r="AN9" s="1071">
        <f>(RevBuild!AN11+RevBuild!AN14)/(RevBuild!AH11+RevBuild!AH14)-OrgRev!AN12-1-AN13</f>
        <v>7.1477694694541904E-2</v>
      </c>
      <c r="AO9" s="1071">
        <f>(RevBuild!AO11+RevBuild!AO14)/(RevBuild!AI11+RevBuild!AI14)-OrgRev!AO12-1-AO13</f>
        <v>5.0872920424934964E-2</v>
      </c>
      <c r="AP9" s="1622">
        <f>(RevBuild!AP11+RevBuild!AP14)/(RevBuild!AJ11+RevBuild!AJ14)-OrgRev!AP12-1-AP13</f>
        <v>9.4035892464473969E-2</v>
      </c>
      <c r="AQ9" s="168">
        <f>(RevBuild!AQ11+RevBuild!AQ14)/(RevBuild!AK11+RevBuild!AK14)-OrgRev!AQ12-1</f>
        <v>6.2606988444402489E-2</v>
      </c>
      <c r="AR9" s="1071"/>
      <c r="AS9" s="1072">
        <f>(RevBuild!AS11+RevBuild!AS14)/(RevBuild!AM11+RevBuild!AM14)-OrgRev!AS12-1-AS16-AS15/RevBuild!AS87</f>
        <v>5.2534014555537967E-2</v>
      </c>
      <c r="AT9" s="1071">
        <f>(RevBuild!AT11+RevBuild!AT14)/(RevBuild!AN11+RevBuild!AN14)-OrgRev!AT12-1-AT16-AT15/RevBuild!AT87</f>
        <v>6.4284843500556299E-2</v>
      </c>
      <c r="AU9" s="1071">
        <f>(RevBuild!AU11+RevBuild!AU14)/(RevBuild!AO11+RevBuild!AO14)-OrgRev!AU12-1-AU16-AU15/RevBuild!AU87</f>
        <v>8.8323506107786942E-2</v>
      </c>
      <c r="AV9" s="1071">
        <f>(RevBuild!AV11+RevBuild!AV14)/(RevBuild!AP11+RevBuild!AP14)-OrgRev!AV12-1-AV16-AV15/RevBuild!AV87</f>
        <v>0.10609344798587572</v>
      </c>
      <c r="AW9" s="168">
        <f>AVERAGE(AS9:AV9)</f>
        <v>7.7808953037439232E-2</v>
      </c>
      <c r="AX9" s="1071"/>
      <c r="AY9" s="1070">
        <f>(RevBuild!AY11+RevBuild!AY14)/(RevBuild!AS11+RevBuild!AS14)-OrgRev!AY12-1-AY16-AY15</f>
        <v>0.11216205457308984</v>
      </c>
      <c r="AZ9" s="1071">
        <f>(RevBuild!AZ11+RevBuild!AZ14)/(RevBuild!AT11+RevBuild!AT14)-OrgRev!AZ12-1-AZ16-AZ15</f>
        <v>6.4552776424304917E-2</v>
      </c>
      <c r="BA9" s="1071">
        <f>(RevBuild!BA11+RevBuild!BA14)/(RevBuild!AU11+RevBuild!AU14)-OrgRev!BA12-1-BA16-BA15</f>
        <v>6.6112550303495735E-2</v>
      </c>
      <c r="BB9" s="1071">
        <f>(RevBuild!BB11+RevBuild!BB14)/(RevBuild!AV11+RevBuild!AV14)-OrgRev!BB12-1-BB16-BB15</f>
        <v>7.1013686576575571E-2</v>
      </c>
      <c r="BC9" s="168">
        <f>AVERAGE(AY9:BB9)</f>
        <v>7.8460266969366518E-2</v>
      </c>
      <c r="BD9" s="1071"/>
      <c r="BE9" s="1070">
        <f>(RevBuild!BE11+RevBuild!BE14)/(RevBuild!AY11+RevBuild!AY14)-OrgRev!BE12-1-BE16-BE15</f>
        <v>8.7437404813434427E-2</v>
      </c>
      <c r="BF9" s="1071">
        <f>(RevBuild!BF11+RevBuild!BF14)/(RevBuild!AZ11+RevBuild!AZ14)-OrgRev!BF12-1-BF16-BF15</f>
        <v>9.822491219659879E-2</v>
      </c>
      <c r="BG9" s="1071">
        <f>(RevBuild!BG11+RevBuild!BG14)/(RevBuild!BA11+RevBuild!BA14)-OrgRev!BG12-1-BG16-BG15</f>
        <v>7.7939369720141594E-2</v>
      </c>
      <c r="BH9" s="1071">
        <f>(RevBuild!BH11+RevBuild!BH14)/(RevBuild!BB11+RevBuild!BB14)-OrgRev!BH12-1-BH16-BH15</f>
        <v>8.7337550147881485E-2</v>
      </c>
      <c r="BI9" s="168">
        <f>(RevBuild!BI11+RevBuild!BI14)/(RevBuild!BC11+RevBuild!BC14)-OrgRev!BI12-1</f>
        <v>8.8990820733135356E-2</v>
      </c>
      <c r="BJ9" s="1071"/>
      <c r="BK9" s="1072">
        <f>(RevBuild!BK11+RevBuild!BK14)/(RevBuild!BE11+RevBuild!BE14)-OrgRev!BK12-1-BK16-BK15</f>
        <v>6.2059881865707205E-2</v>
      </c>
      <c r="BL9" s="1071">
        <f>(RevBuild!BL11+RevBuild!BL14)/(RevBuild!BF11+RevBuild!BF14)-OrgRev!BL12-1-BL16-BL15</f>
        <v>6.0079804248955648E-2</v>
      </c>
      <c r="BM9" s="1071">
        <f>(RevBuild!BM11+RevBuild!BM14)/(RevBuild!BG11+RevBuild!BG14)-OrgRev!BM12-1-BM16-BM15</f>
        <v>8.6990643342210502E-2</v>
      </c>
      <c r="BN9" s="1071">
        <f>(RevBuild!BN11+RevBuild!BN14)/(RevBuild!BH11+RevBuild!BH14)-OrgRev!BN12-1-BN16-BN15</f>
        <v>8.6818118544536249E-2</v>
      </c>
      <c r="BO9" s="168">
        <f>(RevBuild!BO11+RevBuild!BO14)/(RevBuild!BI11+RevBuild!BI14)-OrgRev!BO12-1</f>
        <v>6.9784659518215442E-2</v>
      </c>
      <c r="BP9" s="1071"/>
      <c r="BQ9" s="1072">
        <f>(RevBuild!BQ11+RevBuild!BQ14)/(RevBuild!BK11+RevBuild!BK14)-OrgRev!BQ12-1-BQ16-BQ15</f>
        <v>9.3692188595079107E-2</v>
      </c>
      <c r="BR9" s="1071">
        <f>(RevBuild!BR11+RevBuild!BR14)/(RevBuild!BL11+RevBuild!BL14)-OrgRev!BR12-1-BR16-BR15</f>
        <v>8.9317679239637959E-2</v>
      </c>
      <c r="BS9" s="1071">
        <f>(RevBuild!BS11+RevBuild!BS14)/(RevBuild!BM11+RevBuild!BM14)-OrgRev!BS12-1-BS16-BS15</f>
        <v>7.4355715830134228E-2</v>
      </c>
      <c r="BT9" s="1071">
        <f>(RevBuild!BT11+RevBuild!BT14)/(RevBuild!BN11+RevBuild!BN14)-OrgRev!BT12-1-BT16-BT15</f>
        <v>6.0433228125979843E-2</v>
      </c>
      <c r="BU9" s="168">
        <f>(RevBuild!BU11+RevBuild!BU14)/(RevBuild!BO11+RevBuild!BO14)-OrgRev!BU12-1</f>
        <v>7.7239773133083611E-2</v>
      </c>
      <c r="BV9" s="1071"/>
      <c r="BW9" s="1072">
        <f>(RevBuild!BW11+RevBuild!BW14)/(RevBuild!BQ11+RevBuild!BQ14)-OrgRev!BW12-1-BW16-BW15</f>
        <v>6.8180031292479626E-2</v>
      </c>
      <c r="BX9" s="1071">
        <f>(RevBuild!BX11+RevBuild!BX14)/(RevBuild!BR11+RevBuild!BR14)-OrgRev!BX12-1-BX16-BX15</f>
        <v>6.730391914119771E-2</v>
      </c>
      <c r="BY9" s="1071">
        <f>(RevBuild!BY11+RevBuild!BY14)/(RevBuild!BS11+RevBuild!BS14)-OrgRev!BY12-1-BY16-BY15</f>
        <v>6.058733220610546E-2</v>
      </c>
      <c r="BZ9" s="1071">
        <f>(RevBuild!BZ11+RevBuild!BZ14)/(RevBuild!BT11+RevBuild!BT14)-OrgRev!BZ12-1-BZ16-BZ15</f>
        <v>6.0729910111808838E-2</v>
      </c>
      <c r="CA9" s="168">
        <f>(RevBuild!CA11+RevBuild!CA14)/(RevBuild!BU11+RevBuild!BU14)-OrgRev!CA12-1</f>
        <v>6.4091254488053639E-2</v>
      </c>
      <c r="CB9" s="1071"/>
      <c r="CC9" s="1072">
        <f>(RevBuild!CC11+RevBuild!CC14)/(RevBuild!BW11+RevBuild!BW14)-OrgRev!CC12-1-CC16-CC15</f>
        <v>6.0942947164837058E-2</v>
      </c>
      <c r="CD9" s="1071">
        <f>(RevBuild!CD11+RevBuild!CD14)/(RevBuild!BX11+RevBuild!BX14)-OrgRev!CD12-1-CD16-CD15</f>
        <v>6.0000000000000053E-2</v>
      </c>
      <c r="CE9" s="1071">
        <f>(RevBuild!CE11+RevBuild!CE14)/(RevBuild!BY11+RevBuild!BY14)-OrgRev!CE12-1-CE16-CE15</f>
        <v>5.3593706504366567E-2</v>
      </c>
      <c r="CF9" s="1071">
        <f>(RevBuild!CF11+RevBuild!CF14)/(RevBuild!BZ11+RevBuild!BZ14)-OrgRev!CF12-1-CF16-CF15</f>
        <v>5.3641612820971574E-2</v>
      </c>
      <c r="CG9" s="168">
        <f>(RevBuild!CG11+RevBuild!CG14)/(RevBuild!CA11+RevBuild!CA14)-OrgRev!CG12-1</f>
        <v>5.6949135260440098E-2</v>
      </c>
      <c r="CH9" s="1071"/>
      <c r="CI9" s="1072">
        <f>(RevBuild!CI11+RevBuild!CI14)/(RevBuild!CC11+RevBuild!CC14)-OrgRev!CI12-1-CI16-CI15</f>
        <v>6.0950996911824706E-2</v>
      </c>
      <c r="CJ9" s="1071">
        <f>(RevBuild!CJ11+RevBuild!CJ14)/(RevBuild!CD11+RevBuild!CD14)-OrgRev!CJ12-1-CJ16-CJ15</f>
        <v>6.0000000000000053E-2</v>
      </c>
      <c r="CK9" s="1071">
        <f>(RevBuild!CK11+RevBuild!CK14)/(RevBuild!CE11+RevBuild!CE14)-OrgRev!CK12-1-CK16-CK15</f>
        <v>5.3615557753535992E-2</v>
      </c>
      <c r="CL9" s="1071">
        <f>(RevBuild!CL11+RevBuild!CL14)/(RevBuild!CF11+RevBuild!CF14)-OrgRev!CL12-1-CL16-CL15</f>
        <v>5.366358877939037E-2</v>
      </c>
      <c r="CM9" s="168">
        <f>(RevBuild!CM11+RevBuild!CM14)/(RevBuild!CG11+RevBuild!CG14)-OrgRev!CM12-1</f>
        <v>5.6973429955351707E-2</v>
      </c>
      <c r="CO9" s="1454" t="str">
        <f t="shared" si="0"/>
        <v>Recurring (Chem/Svs)</v>
      </c>
      <c r="CP9" s="1451">
        <f t="shared" si="1"/>
        <v>7.0000000000000007E-2</v>
      </c>
      <c r="CQ9" s="1451">
        <f t="shared" si="1"/>
        <v>0.05</v>
      </c>
      <c r="CR9" s="1451">
        <f t="shared" si="1"/>
        <v>7.0000000000000007E-2</v>
      </c>
      <c r="CS9" s="1451">
        <f t="shared" si="1"/>
        <v>0.08</v>
      </c>
      <c r="CT9" s="1451">
        <f t="shared" si="2"/>
        <v>3.0612542221137073E-2</v>
      </c>
      <c r="CU9" s="1451">
        <f t="shared" si="2"/>
        <v>7.1477694694541904E-2</v>
      </c>
      <c r="CV9" s="1451">
        <f t="shared" si="2"/>
        <v>5.0872920424934964E-2</v>
      </c>
      <c r="CW9" s="1451">
        <f t="shared" si="2"/>
        <v>9.4035892464473969E-2</v>
      </c>
      <c r="CX9" s="1451">
        <f t="shared" si="3"/>
        <v>5.2534014555537967E-2</v>
      </c>
      <c r="CY9" s="1451">
        <f t="shared" si="3"/>
        <v>6.4284843500556299E-2</v>
      </c>
      <c r="CZ9" s="1451">
        <f t="shared" si="3"/>
        <v>8.8323506107786942E-2</v>
      </c>
      <c r="DA9" s="1451">
        <f t="shared" si="3"/>
        <v>0.10609344798587572</v>
      </c>
      <c r="DB9" s="1451">
        <f t="shared" si="4"/>
        <v>0.11216205457308984</v>
      </c>
      <c r="DC9" s="1451">
        <f t="shared" si="4"/>
        <v>6.4552776424304917E-2</v>
      </c>
      <c r="DD9" s="1451">
        <f t="shared" si="4"/>
        <v>6.6112550303495735E-2</v>
      </c>
      <c r="DE9" s="1451">
        <f t="shared" si="4"/>
        <v>7.1013686576575571E-2</v>
      </c>
      <c r="DF9" s="1451">
        <f t="shared" si="5"/>
        <v>8.7437404813434427E-2</v>
      </c>
      <c r="DG9" s="1451">
        <f t="shared" si="5"/>
        <v>9.822491219659879E-2</v>
      </c>
      <c r="DH9" s="1451">
        <f t="shared" si="5"/>
        <v>7.7939369720141594E-2</v>
      </c>
      <c r="DI9" s="1451">
        <f t="shared" si="5"/>
        <v>8.7337550147881485E-2</v>
      </c>
      <c r="DJ9" s="1451">
        <f t="shared" si="6"/>
        <v>6.2059881865707205E-2</v>
      </c>
      <c r="DK9" s="1451">
        <f t="shared" si="6"/>
        <v>6.0079804248955648E-2</v>
      </c>
      <c r="DL9" s="1451">
        <f t="shared" si="6"/>
        <v>8.6990643342210502E-2</v>
      </c>
      <c r="DM9" s="1451">
        <f t="shared" si="6"/>
        <v>8.6818118544536249E-2</v>
      </c>
      <c r="DN9" s="1451">
        <f t="shared" si="7"/>
        <v>9.3692188595079107E-2</v>
      </c>
      <c r="DO9" s="1451">
        <f t="shared" si="8"/>
        <v>8.9317679239637959E-2</v>
      </c>
      <c r="DP9" s="1451">
        <f t="shared" si="8"/>
        <v>7.4355715830134228E-2</v>
      </c>
      <c r="DQ9" s="1451">
        <f t="shared" si="8"/>
        <v>6.0433228125979843E-2</v>
      </c>
    </row>
    <row r="10" spans="1:121" s="24" customFormat="1">
      <c r="A10" s="1578" t="s">
        <v>0</v>
      </c>
      <c r="B10" s="167"/>
      <c r="C10" s="195">
        <v>0.33</v>
      </c>
      <c r="D10" s="195">
        <v>0.13</v>
      </c>
      <c r="E10" s="195">
        <v>0.37</v>
      </c>
      <c r="F10" s="195">
        <v>0.19</v>
      </c>
      <c r="G10" s="168">
        <f t="shared" si="9"/>
        <v>0.255</v>
      </c>
      <c r="H10" s="1071"/>
      <c r="I10" s="196">
        <v>0.12</v>
      </c>
      <c r="J10" s="197">
        <v>0.15</v>
      </c>
      <c r="K10" s="197">
        <v>0.14000000000000001</v>
      </c>
      <c r="L10" s="197">
        <v>-0.02</v>
      </c>
      <c r="M10" s="168">
        <f>AVERAGE(I10:L10)</f>
        <v>9.7500000000000003E-2</v>
      </c>
      <c r="N10" s="1071"/>
      <c r="O10" s="196">
        <v>-0.06</v>
      </c>
      <c r="P10" s="197">
        <v>-0.12</v>
      </c>
      <c r="Q10" s="197">
        <v>-0.17</v>
      </c>
      <c r="R10" s="197">
        <v>-7.0000000000000007E-2</v>
      </c>
      <c r="S10" s="168">
        <f t="shared" si="10"/>
        <v>-0.105</v>
      </c>
      <c r="T10" s="1071"/>
      <c r="U10" s="196">
        <v>0.08</v>
      </c>
      <c r="V10" s="197">
        <v>0.28000000000000003</v>
      </c>
      <c r="W10" s="197">
        <v>0.21</v>
      </c>
      <c r="X10" s="197">
        <v>0.12</v>
      </c>
      <c r="Y10" s="168">
        <f t="shared" si="11"/>
        <v>0.17250000000000001</v>
      </c>
      <c r="Z10" s="1071"/>
      <c r="AA10" s="196">
        <v>0.12</v>
      </c>
      <c r="AB10" s="197">
        <v>0.1</v>
      </c>
      <c r="AC10" s="197">
        <v>0.11</v>
      </c>
      <c r="AD10" s="1073">
        <f>RevBuild!AD60</f>
        <v>0.17880894044702278</v>
      </c>
      <c r="AE10" s="168">
        <f t="shared" si="12"/>
        <v>0.12720223511175571</v>
      </c>
      <c r="AF10" s="1071"/>
      <c r="AG10" s="196">
        <v>0.1</v>
      </c>
      <c r="AH10" s="197">
        <v>0.11</v>
      </c>
      <c r="AI10" s="197">
        <v>0.01</v>
      </c>
      <c r="AJ10" s="197">
        <v>7.0000000000000007E-2</v>
      </c>
      <c r="AK10" s="168">
        <f>(RevBuild!AK12+RevBuild!AK15)/(RevBuild!AE12+RevBuild!AE15)-OrgRev!AK12-1</f>
        <v>7.9697999579491308E-2</v>
      </c>
      <c r="AL10" s="1071"/>
      <c r="AM10" s="1072">
        <f>(RevBuild!AM12+RevBuild!AM15)/(RevBuild!AG12+RevBuild!AG15)-OrgRev!AM12-1-AM13</f>
        <v>6.513870824242185E-2</v>
      </c>
      <c r="AN10" s="1071">
        <f>(RevBuild!AN12+RevBuild!AN15)/(RevBuild!AH12+RevBuild!AH15)-OrgRev!AN12-1-AN13</f>
        <v>-1.9961549024993253E-2</v>
      </c>
      <c r="AO10" s="1071">
        <f>(RevBuild!AO12+RevBuild!AO15)/(RevBuild!AI12+RevBuild!AI15)-OrgRev!AO12-1-AO13</f>
        <v>0.16052089642640821</v>
      </c>
      <c r="AP10" s="1622">
        <f>(RevBuild!AP12+RevBuild!AP15)/(RevBuild!AJ12+RevBuild!AJ15)-OrgRev!AP12-1-AP13</f>
        <v>0.17057605816031018</v>
      </c>
      <c r="AQ10" s="168">
        <f>(RevBuild!AQ12+RevBuild!AQ15)/(RevBuild!AK12+RevBuild!AK15)-OrgRev!AQ12-1</f>
        <v>9.9155101808667823E-2</v>
      </c>
      <c r="AR10" s="1071"/>
      <c r="AS10" s="1072">
        <f>(RevBuild!AS12+RevBuild!AS15)/(RevBuild!AM12+RevBuild!AM15)-OrgRev!AS12-1-AS16-AS14/RevBuild!AS88</f>
        <v>-4.1175147711242421E-2</v>
      </c>
      <c r="AT10" s="1071">
        <f>(RevBuild!AT12+RevBuild!AT15)/(RevBuild!AN12+RevBuild!AN15)-OrgRev!AT12-1-AT16-AT14/RevBuild!AT88</f>
        <v>5.4640705179761773E-3</v>
      </c>
      <c r="AU10" s="1071">
        <f>(RevBuild!AU12+RevBuild!AU15)/(RevBuild!AO12+RevBuild!AO15)-OrgRev!AU12-1-AU16-AU14/RevBuild!AU88</f>
        <v>-5.9533715586480046E-2</v>
      </c>
      <c r="AV10" s="1071">
        <f>(RevBuild!AV12+RevBuild!AV15)/(RevBuild!AP12+RevBuild!AP15)-OrgRev!AV12-1-AV16-AV14/RevBuild!AV88</f>
        <v>-0.11631878038885449</v>
      </c>
      <c r="AW10" s="168">
        <f>AVERAGE(AS10:AV10)</f>
        <v>-5.2890893292150194E-2</v>
      </c>
      <c r="AX10" s="1071"/>
      <c r="AY10" s="1070">
        <f>(RevBuild!AY12+RevBuild!AY15)/(RevBuild!AS12+RevBuild!AS15)-OrgRev!AY12-1-AY16-AY14</f>
        <v>0.12181411117507859</v>
      </c>
      <c r="AZ10" s="1071">
        <f>(RevBuild!AZ12+RevBuild!AZ15)/(RevBuild!AT12+RevBuild!AT15)-OrgRev!AZ12-1-AZ16-AZ14</f>
        <v>4.1001019179097487E-2</v>
      </c>
      <c r="BA10" s="1071">
        <f>(RevBuild!BA12+RevBuild!BA15)/(RevBuild!AU12+RevBuild!AU15)-OrgRev!BA12-1-BA16-BA14</f>
        <v>4.6537683430688211E-2</v>
      </c>
      <c r="BB10" s="1071">
        <f>(RevBuild!BB12+RevBuild!BB15)/(RevBuild!AV12+RevBuild!AV15)-OrgRev!BB12-1-BB16-BB14</f>
        <v>0.19952781110669623</v>
      </c>
      <c r="BC10" s="168">
        <f>AVERAGE(AY10:BB10)</f>
        <v>0.10222015622289013</v>
      </c>
      <c r="BD10" s="1071"/>
      <c r="BE10" s="1072">
        <f>(RevBuild!BE12+RevBuild!BE15)/(RevBuild!AY12+RevBuild!AY15)-OrgRev!BE12-1-BE16-BE14</f>
        <v>2.8123226595530789E-2</v>
      </c>
      <c r="BF10" s="1071">
        <f>(RevBuild!BF12+RevBuild!BF15)/(RevBuild!AZ12+RevBuild!AZ15)-OrgRev!BF12-1-BF16-BF14</f>
        <v>9.8169922114044128E-2</v>
      </c>
      <c r="BG10" s="1071">
        <f>(RevBuild!BG12+RevBuild!BG15)/(RevBuild!BA12+RevBuild!BA15)-OrgRev!BG12-1-BG16-BG14</f>
        <v>1.1870450750659957E-2</v>
      </c>
      <c r="BH10" s="1071">
        <f>(RevBuild!BH12+RevBuild!BH15)/(RevBuild!BB12+RevBuild!BB15)-OrgRev!BH12-1-BH16-BH14</f>
        <v>-2.4396570703342217E-2</v>
      </c>
      <c r="BI10" s="168">
        <f>(RevBuild!BI12+RevBuild!BI15)/(RevBuild!BC12+RevBuild!BC15)-OrgRev!BI12-1</f>
        <v>2.4911392722413161E-2</v>
      </c>
      <c r="BJ10" s="1071"/>
      <c r="BK10" s="1072">
        <f>(RevBuild!BK12+RevBuild!BK15)/(RevBuild!BE12+RevBuild!BE15)-OrgRev!BK12-1-BK16-BK14</f>
        <v>8.8360331420288749E-2</v>
      </c>
      <c r="BL10" s="1071">
        <f>(RevBuild!BL12+RevBuild!BL15)/(RevBuild!BF12+RevBuild!BF15)-OrgRev!BL12-1-BL16-BL14</f>
        <v>5.5669127946186059E-2</v>
      </c>
      <c r="BM10" s="1071">
        <f>(RevBuild!BM12+RevBuild!BM15)/(RevBuild!BG12+RevBuild!BG15)-OrgRev!BM12-1-BM16-BM14</f>
        <v>0.10056346907022921</v>
      </c>
      <c r="BN10" s="1071">
        <f>(RevBuild!BN12+RevBuild!BN15)/(RevBuild!BH12+RevBuild!BH15)-OrgRev!BN12-1-BN16-BN14</f>
        <v>0.10761886240796126</v>
      </c>
      <c r="BO10" s="168">
        <f>(RevBuild!BO12+RevBuild!BO15)/(RevBuild!BI12+RevBuild!BI15)-OrgRev!BO12-1</f>
        <v>8.7559324866310462E-2</v>
      </c>
      <c r="BP10" s="1071"/>
      <c r="BQ10" s="1072">
        <f>(RevBuild!BQ12+RevBuild!BQ15)/(RevBuild!BK12+RevBuild!BK15)-OrgRev!BQ12-1-BQ16-BQ14</f>
        <v>5.1988360889458345E-2</v>
      </c>
      <c r="BR10" s="1071">
        <f>(RevBuild!BR12+RevBuild!BR15)/(RevBuild!BL12+RevBuild!BL15)-OrgRev!BR12-1-BR16-BR14</f>
        <v>7.2714488970940572E-2</v>
      </c>
      <c r="BS10" s="1071">
        <f>(RevBuild!BS12+RevBuild!BS15)/(RevBuild!BM12+RevBuild!BM15)-OrgRev!BS12-1-BS16-BS14</f>
        <v>7.5251229273405329E-2</v>
      </c>
      <c r="BT10" s="1071">
        <f>(RevBuild!BT12+RevBuild!BT15)/(RevBuild!BN12+RevBuild!BN15)-OrgRev!BT12-1-BT16-BT14</f>
        <v>8.9730647216454518E-2</v>
      </c>
      <c r="BU10" s="168">
        <f>(RevBuild!BU12+RevBuild!BU15)/(RevBuild!BO12+RevBuild!BO15)-OrgRev!BU12-1</f>
        <v>7.2699587388272757E-2</v>
      </c>
      <c r="BV10" s="1071"/>
      <c r="BW10" s="1072">
        <f>(RevBuild!BW12+RevBuild!BW15)/(RevBuild!BQ12+RevBuild!BQ15)-OrgRev!BW12-1-BW16-BW14</f>
        <v>7.076293396286748E-2</v>
      </c>
      <c r="BX10" s="1071">
        <f>(RevBuild!BX12+RevBuild!BX15)/(RevBuild!BR12+RevBuild!BR15)-OrgRev!BX12-1-BX16-BX14</f>
        <v>7.1214640916440697E-2</v>
      </c>
      <c r="BY10" s="1071">
        <f>(RevBuild!BY12+RevBuild!BY15)/(RevBuild!BS12+RevBuild!BS15)-OrgRev!BY12-1-BY16-BY14</f>
        <v>7.1390094631867296E-2</v>
      </c>
      <c r="BZ10" s="1071">
        <f>(RevBuild!BZ12+RevBuild!BZ15)/(RevBuild!BT12+RevBuild!BT15)-OrgRev!BZ12-1-BZ16-BZ14</f>
        <v>7.2011555554563733E-2</v>
      </c>
      <c r="CA10" s="168">
        <f>(RevBuild!CA12+RevBuild!CA15)/(RevBuild!BU12+RevBuild!BU15)-OrgRev!CA12-1</f>
        <v>7.1424224712388629E-2</v>
      </c>
      <c r="CB10" s="1071"/>
      <c r="CC10" s="1072">
        <f>(RevBuild!CC12+RevBuild!CC15)/(RevBuild!BW12+RevBuild!BW15)-OrgRev!CC12-1-CC16-CC14</f>
        <v>5.0000000000000044E-2</v>
      </c>
      <c r="CD10" s="1071">
        <f>(RevBuild!CD12+RevBuild!CD15)/(RevBuild!BX12+RevBuild!BX15)-OrgRev!CD12-1-CD16-CD14</f>
        <v>5.0000000000000266E-2</v>
      </c>
      <c r="CE10" s="1071">
        <f>(RevBuild!CE12+RevBuild!CE15)/(RevBuild!BY12+RevBuild!BY15)-OrgRev!CE12-1-CE16-CE14</f>
        <v>5.0000000000000044E-2</v>
      </c>
      <c r="CF10" s="1071">
        <f>(RevBuild!CF12+RevBuild!CF15)/(RevBuild!BZ12+RevBuild!BZ15)-OrgRev!CF12-1-CF16-CF14</f>
        <v>5.0000000000000266E-2</v>
      </c>
      <c r="CG10" s="168">
        <f>(RevBuild!CG12+RevBuild!CG15)/(RevBuild!CA12+RevBuild!CA15)-OrgRev!CG12-1</f>
        <v>5.0000000000000044E-2</v>
      </c>
      <c r="CH10" s="1071"/>
      <c r="CI10" s="1072">
        <f>(RevBuild!CI12+RevBuild!CI15)/(RevBuild!CC12+RevBuild!CC15)-OrgRev!CI12-1-CI16-CI14</f>
        <v>5.0000000000000266E-2</v>
      </c>
      <c r="CJ10" s="1071">
        <f>(RevBuild!CJ12+RevBuild!CJ15)/(RevBuild!CD12+RevBuild!CD15)-OrgRev!CJ12-1-CJ16-CJ14</f>
        <v>5.0000000000000044E-2</v>
      </c>
      <c r="CK10" s="1071">
        <f>(RevBuild!CK12+RevBuild!CK15)/(RevBuild!CE12+RevBuild!CE15)-OrgRev!CK12-1-CK16-CK14</f>
        <v>5.0000000000000044E-2</v>
      </c>
      <c r="CL10" s="1071">
        <f>(RevBuild!CL12+RevBuild!CL15)/(RevBuild!CF12+RevBuild!CF15)-OrgRev!CL12-1-CL16-CL14</f>
        <v>5.0000000000000044E-2</v>
      </c>
      <c r="CM10" s="168">
        <f>(RevBuild!CM12+RevBuild!CM15)/(RevBuild!CG12+RevBuild!CG15)-OrgRev!CM12-1</f>
        <v>4.9999999999999822E-2</v>
      </c>
      <c r="CO10" s="1476" t="str">
        <f t="shared" si="0"/>
        <v>TA Division</v>
      </c>
      <c r="CP10" s="1477">
        <f t="shared" si="1"/>
        <v>0.1</v>
      </c>
      <c r="CQ10" s="1477">
        <f t="shared" si="1"/>
        <v>0.11</v>
      </c>
      <c r="CR10" s="1477">
        <f t="shared" si="1"/>
        <v>0.01</v>
      </c>
      <c r="CS10" s="1477">
        <f t="shared" si="1"/>
        <v>7.0000000000000007E-2</v>
      </c>
      <c r="CT10" s="1477">
        <f t="shared" si="2"/>
        <v>6.513870824242185E-2</v>
      </c>
      <c r="CU10" s="1477">
        <f t="shared" si="2"/>
        <v>-1.9961549024993253E-2</v>
      </c>
      <c r="CV10" s="1477">
        <f t="shared" si="2"/>
        <v>0.16052089642640821</v>
      </c>
      <c r="CW10" s="1477">
        <f t="shared" si="2"/>
        <v>0.17057605816031018</v>
      </c>
      <c r="CX10" s="1477">
        <f t="shared" si="3"/>
        <v>-4.1175147711242421E-2</v>
      </c>
      <c r="CY10" s="1477">
        <f t="shared" si="3"/>
        <v>5.4640705179761773E-3</v>
      </c>
      <c r="CZ10" s="1477">
        <f t="shared" si="3"/>
        <v>-5.9533715586480046E-2</v>
      </c>
      <c r="DA10" s="1477">
        <f t="shared" si="3"/>
        <v>-0.11631878038885449</v>
      </c>
      <c r="DB10" s="1477">
        <f t="shared" si="4"/>
        <v>0.12181411117507859</v>
      </c>
      <c r="DC10" s="1477">
        <f t="shared" si="4"/>
        <v>4.1001019179097487E-2</v>
      </c>
      <c r="DD10" s="1477">
        <f t="shared" si="4"/>
        <v>4.6537683430688211E-2</v>
      </c>
      <c r="DE10" s="1477">
        <f t="shared" si="4"/>
        <v>0.19952781110669623</v>
      </c>
      <c r="DF10" s="1477">
        <f t="shared" si="5"/>
        <v>2.8123226595530789E-2</v>
      </c>
      <c r="DG10" s="1477">
        <f t="shared" si="5"/>
        <v>9.8169922114044128E-2</v>
      </c>
      <c r="DH10" s="1477">
        <f t="shared" si="5"/>
        <v>1.1870450750659957E-2</v>
      </c>
      <c r="DI10" s="1477">
        <f t="shared" si="5"/>
        <v>-2.4396570703342217E-2</v>
      </c>
      <c r="DJ10" s="1477">
        <f t="shared" si="6"/>
        <v>8.8360331420288749E-2</v>
      </c>
      <c r="DK10" s="1477">
        <f t="shared" si="6"/>
        <v>5.5669127946186059E-2</v>
      </c>
      <c r="DL10" s="1477">
        <f t="shared" si="6"/>
        <v>0.10056346907022921</v>
      </c>
      <c r="DM10" s="1477">
        <f t="shared" si="6"/>
        <v>0.10761886240796126</v>
      </c>
      <c r="DN10" s="1477">
        <f t="shared" si="7"/>
        <v>5.1988360889458345E-2</v>
      </c>
      <c r="DO10" s="1477">
        <f t="shared" si="8"/>
        <v>7.2714488970940572E-2</v>
      </c>
      <c r="DP10" s="1477">
        <f t="shared" si="8"/>
        <v>7.5251229273405329E-2</v>
      </c>
      <c r="DQ10" s="1477">
        <f t="shared" si="8"/>
        <v>8.9730647216454518E-2</v>
      </c>
    </row>
    <row r="11" spans="1:121" s="24" customFormat="1">
      <c r="A11" s="1578" t="s">
        <v>463</v>
      </c>
      <c r="B11" s="167"/>
      <c r="C11" s="150">
        <v>0.14000000000000001</v>
      </c>
      <c r="D11" s="150">
        <v>0.17</v>
      </c>
      <c r="E11" s="150">
        <v>0.17</v>
      </c>
      <c r="F11" s="150">
        <v>0.13</v>
      </c>
      <c r="G11" s="166">
        <f t="shared" si="9"/>
        <v>0.15250000000000002</v>
      </c>
      <c r="H11" s="164"/>
      <c r="I11" s="165">
        <f>IS!I57</f>
        <v>0.12461870081656246</v>
      </c>
      <c r="J11" s="164">
        <f>IS!J57</f>
        <v>0.13003714942007205</v>
      </c>
      <c r="K11" s="164">
        <f>IS!K57</f>
        <v>9.548602249332161E-2</v>
      </c>
      <c r="L11" s="164">
        <f>IS!L57</f>
        <v>-4.2727395464104312E-2</v>
      </c>
      <c r="M11" s="166">
        <f>IS!M57</f>
        <v>6.9295773118051907E-2</v>
      </c>
      <c r="N11" s="164"/>
      <c r="O11" s="165">
        <f>IS!O57</f>
        <v>-0.10469411125866279</v>
      </c>
      <c r="P11" s="164">
        <f>IS!P57</f>
        <v>-8.9458825300826939E-2</v>
      </c>
      <c r="Q11" s="164">
        <f>IS!Q57</f>
        <v>-3.1961378167792542E-2</v>
      </c>
      <c r="R11" s="164">
        <f>IS!R57</f>
        <v>2.5140379269047886E-2</v>
      </c>
      <c r="S11" s="166">
        <f>IS!S57</f>
        <v>-4.8519354666680226E-2</v>
      </c>
      <c r="T11" s="164"/>
      <c r="U11" s="165">
        <f>IS!U57</f>
        <v>0.1040318028415983</v>
      </c>
      <c r="V11" s="164">
        <f>IS!V57</f>
        <v>7.7770458911301743E-2</v>
      </c>
      <c r="W11" s="164">
        <f>IS!W57</f>
        <v>7.2400210716033309E-2</v>
      </c>
      <c r="X11" s="164">
        <f>IS!X57</f>
        <v>0.12762097526396299</v>
      </c>
      <c r="Y11" s="166">
        <f>IS!Y57</f>
        <v>9.6530993527724096E-2</v>
      </c>
      <c r="Z11" s="164"/>
      <c r="AA11" s="165">
        <f>IS!AA57</f>
        <v>0.16291270057111773</v>
      </c>
      <c r="AB11" s="164">
        <f>IS!AB57</f>
        <v>0.14466507268798523</v>
      </c>
      <c r="AC11" s="164">
        <f>IS!AC57</f>
        <v>0.13339384297747348</v>
      </c>
      <c r="AD11" s="164">
        <f>IS!AD57</f>
        <v>7.8254180297697484E-2</v>
      </c>
      <c r="AE11" s="166">
        <f>IS!AE57</f>
        <v>0.12645531654142594</v>
      </c>
      <c r="AF11" s="164"/>
      <c r="AG11" s="165">
        <f>IS!AG57</f>
        <v>-1.6709424395993433E-2</v>
      </c>
      <c r="AH11" s="164">
        <f>IS!AH57</f>
        <v>8.574102991999899E-3</v>
      </c>
      <c r="AI11" s="164">
        <f>IS!AI57</f>
        <v>-1.0080654032481595E-2</v>
      </c>
      <c r="AJ11" s="2050">
        <f>IS!AJ57</f>
        <v>6.6357255187754483E-4</v>
      </c>
      <c r="AK11" s="166">
        <f>IS!AK57</f>
        <v>-4.0746894960197455E-3</v>
      </c>
      <c r="AL11" s="164"/>
      <c r="AM11" s="165">
        <f>IS!AM57</f>
        <v>2.3498185312207154E-2</v>
      </c>
      <c r="AN11" s="164">
        <f>IS!AN57</f>
        <v>-7.7525389565069602E-4</v>
      </c>
      <c r="AO11" s="164">
        <f>IS!AO57</f>
        <v>1.6368412630680673E-2</v>
      </c>
      <c r="AP11" s="164">
        <f>IS!AP57</f>
        <v>8.3719521777961825E-2</v>
      </c>
      <c r="AQ11" s="166">
        <f>IS!AQ57</f>
        <v>3.2857264510823825E-2</v>
      </c>
      <c r="AR11" s="164"/>
      <c r="AS11" s="165">
        <f>IS!AS57</f>
        <v>3.9503831871678941E-4</v>
      </c>
      <c r="AT11" s="164">
        <f>IS!AT57</f>
        <v>6.8022566307925914E-2</v>
      </c>
      <c r="AU11" s="164">
        <f>IS!AU57</f>
        <v>7.8387639208689075E-2</v>
      </c>
      <c r="AV11" s="164">
        <f>IS!AV57</f>
        <v>3.2579476804233121E-2</v>
      </c>
      <c r="AW11" s="166">
        <f>IS!AW57</f>
        <v>4.4703915202986222E-2</v>
      </c>
      <c r="AX11" s="164"/>
      <c r="AY11" s="165">
        <f>IS!AY57</f>
        <v>6.9443541118864305E-2</v>
      </c>
      <c r="AZ11" s="164">
        <f>IS!AZ57</f>
        <v>2.685548597865095E-2</v>
      </c>
      <c r="BA11" s="164">
        <f>IS!BA57</f>
        <v>1.5031480336195724E-2</v>
      </c>
      <c r="BB11" s="164">
        <f>IS!BB57</f>
        <v>4.692825457721872E-3</v>
      </c>
      <c r="BC11" s="166">
        <f>IS!BC57</f>
        <v>2.6635916161307449E-2</v>
      </c>
      <c r="BD11" s="164"/>
      <c r="BE11" s="165">
        <f>IS!BE57</f>
        <v>3.2236904979105363E-2</v>
      </c>
      <c r="BF11" s="164">
        <f>IS!BF57</f>
        <v>8.4529247685652953E-2</v>
      </c>
      <c r="BG11" s="164">
        <f>IS!BG57</f>
        <v>5.2443375457970731E-2</v>
      </c>
      <c r="BH11" s="164">
        <f>IS!BH57</f>
        <v>7.1899558480080561E-2</v>
      </c>
      <c r="BI11" s="166">
        <f>IS!BI57</f>
        <v>6.1249101517285132E-2</v>
      </c>
      <c r="BJ11" s="164"/>
      <c r="BK11" s="165">
        <f>IS!BK57</f>
        <v>4.7813132567133598E-2</v>
      </c>
      <c r="BL11" s="164">
        <f>IS!BL57</f>
        <v>4.0424183688683613E-2</v>
      </c>
      <c r="BM11" s="164">
        <f>IS!BM57</f>
        <v>7.3560731165650983E-2</v>
      </c>
      <c r="BN11" s="164">
        <f>IS!BN57</f>
        <v>9.3017190240892278E-2</v>
      </c>
      <c r="BO11" s="166">
        <f>IS!BO57</f>
        <v>6.5356416352507107E-2</v>
      </c>
      <c r="BP11" s="164"/>
      <c r="BQ11" s="165">
        <f>IS!BQ57</f>
        <v>8.6633215589279278E-2</v>
      </c>
      <c r="BR11" s="164">
        <f>IS!BR57</f>
        <v>8.7988183743196835E-2</v>
      </c>
      <c r="BS11" s="164">
        <f>IS!BS57</f>
        <v>6.3612336722611129E-2</v>
      </c>
      <c r="BT11" s="164">
        <f>IS!BT57</f>
        <v>6.5156556177673686E-2</v>
      </c>
      <c r="BU11" s="166">
        <f>IS!BU57</f>
        <v>7.4929756079417542E-2</v>
      </c>
      <c r="BV11" s="164"/>
      <c r="BW11" s="165">
        <f>IS!BW57</f>
        <v>6.5513185873130819E-2</v>
      </c>
      <c r="BX11" s="164">
        <f>IS!BX57</f>
        <v>5.856973943469912E-2</v>
      </c>
      <c r="BY11" s="164">
        <f>IS!BY57</f>
        <v>5.5879969713876321E-2</v>
      </c>
      <c r="BZ11" s="164">
        <f>IS!BZ57</f>
        <v>4.9195029031815274E-2</v>
      </c>
      <c r="CA11" s="166">
        <f>IS!CA57</f>
        <v>5.666662832458047E-2</v>
      </c>
      <c r="CB11" s="164"/>
      <c r="CC11" s="165">
        <f>IS!CC57</f>
        <v>5.7594873371175082E-2</v>
      </c>
      <c r="CD11" s="164">
        <f>IS!CD57</f>
        <v>5.060049630441199E-2</v>
      </c>
      <c r="CE11" s="164">
        <f>IS!CE57</f>
        <v>4.9200426505382255E-2</v>
      </c>
      <c r="CF11" s="164">
        <f>IS!CF57</f>
        <v>4.2412438651576512E-2</v>
      </c>
      <c r="CG11" s="166">
        <f>IS!CG57</f>
        <v>4.9401139586263021E-2</v>
      </c>
      <c r="CH11" s="164"/>
      <c r="CI11" s="165">
        <f>IS!CI57</f>
        <v>5.7621140110522662E-2</v>
      </c>
      <c r="CJ11" s="164">
        <f>IS!CJ57</f>
        <v>5.0684905844998962E-2</v>
      </c>
      <c r="CK11" s="164">
        <f>IS!CK57</f>
        <v>4.9252173750060413E-2</v>
      </c>
      <c r="CL11" s="164">
        <f>IS!CL57</f>
        <v>4.2654049855422205E-2</v>
      </c>
      <c r="CM11" s="166">
        <f>IS!CM57</f>
        <v>4.9538528194664089E-2</v>
      </c>
      <c r="CO11" s="1452" t="str">
        <f t="shared" si="0"/>
        <v>Reported</v>
      </c>
      <c r="CP11" s="1453">
        <f t="shared" si="1"/>
        <v>-1.6709424395993433E-2</v>
      </c>
      <c r="CQ11" s="1453">
        <f t="shared" si="1"/>
        <v>8.574102991999899E-3</v>
      </c>
      <c r="CR11" s="1453">
        <f t="shared" si="1"/>
        <v>-1.0080654032481595E-2</v>
      </c>
      <c r="CS11" s="1453">
        <f t="shared" si="1"/>
        <v>6.6357255187754483E-4</v>
      </c>
      <c r="CT11" s="1453">
        <f t="shared" si="2"/>
        <v>2.3498185312207154E-2</v>
      </c>
      <c r="CU11" s="1453">
        <f t="shared" si="2"/>
        <v>-7.7525389565069602E-4</v>
      </c>
      <c r="CV11" s="1453">
        <f t="shared" si="2"/>
        <v>1.6368412630680673E-2</v>
      </c>
      <c r="CW11" s="1453">
        <f t="shared" si="2"/>
        <v>8.3719521777961825E-2</v>
      </c>
      <c r="CX11" s="1453">
        <f t="shared" si="3"/>
        <v>3.9503831871678941E-4</v>
      </c>
      <c r="CY11" s="1453">
        <f t="shared" si="3"/>
        <v>6.8022566307925914E-2</v>
      </c>
      <c r="CZ11" s="1453">
        <f t="shared" si="3"/>
        <v>7.8387639208689075E-2</v>
      </c>
      <c r="DA11" s="1453">
        <f t="shared" si="3"/>
        <v>3.2579476804233121E-2</v>
      </c>
      <c r="DB11" s="1453">
        <f t="shared" si="4"/>
        <v>6.9443541118864305E-2</v>
      </c>
      <c r="DC11" s="1453">
        <f t="shared" si="4"/>
        <v>2.685548597865095E-2</v>
      </c>
      <c r="DD11" s="1453">
        <f t="shared" si="4"/>
        <v>1.5031480336195724E-2</v>
      </c>
      <c r="DE11" s="1453">
        <f t="shared" si="4"/>
        <v>4.692825457721872E-3</v>
      </c>
      <c r="DF11" s="1453">
        <f t="shared" si="5"/>
        <v>3.2236904979105363E-2</v>
      </c>
      <c r="DG11" s="1453">
        <f t="shared" si="5"/>
        <v>8.4529247685652953E-2</v>
      </c>
      <c r="DH11" s="1453">
        <f t="shared" si="5"/>
        <v>5.2443375457970731E-2</v>
      </c>
      <c r="DI11" s="1453">
        <f t="shared" si="5"/>
        <v>7.1899558480080561E-2</v>
      </c>
      <c r="DJ11" s="1453">
        <f t="shared" si="6"/>
        <v>4.7813132567133598E-2</v>
      </c>
      <c r="DK11" s="1453">
        <f t="shared" si="6"/>
        <v>4.0424183688683613E-2</v>
      </c>
      <c r="DL11" s="1453">
        <f t="shared" si="6"/>
        <v>7.3560731165650983E-2</v>
      </c>
      <c r="DM11" s="1453">
        <f t="shared" si="6"/>
        <v>9.3017190240892278E-2</v>
      </c>
      <c r="DN11" s="1453">
        <f t="shared" si="7"/>
        <v>8.6633215589279278E-2</v>
      </c>
      <c r="DO11" s="1453">
        <f t="shared" si="8"/>
        <v>8.7988183743196835E-2</v>
      </c>
      <c r="DP11" s="1453">
        <f t="shared" si="8"/>
        <v>6.3612336722611129E-2</v>
      </c>
      <c r="DQ11" s="1453">
        <f t="shared" si="8"/>
        <v>6.5156556177673686E-2</v>
      </c>
    </row>
    <row r="12" spans="1:121" s="24" customFormat="1">
      <c r="A12" s="1579" t="s">
        <v>122</v>
      </c>
      <c r="B12" s="71"/>
      <c r="C12" s="195">
        <v>0.03</v>
      </c>
      <c r="D12" s="195">
        <v>0.02</v>
      </c>
      <c r="E12" s="195">
        <v>0.03</v>
      </c>
      <c r="F12" s="195">
        <v>0.05</v>
      </c>
      <c r="G12" s="168">
        <f t="shared" si="9"/>
        <v>3.2500000000000001E-2</v>
      </c>
      <c r="H12" s="1071"/>
      <c r="I12" s="196">
        <v>0.06</v>
      </c>
      <c r="J12" s="197">
        <v>0.06</v>
      </c>
      <c r="K12" s="197">
        <v>0.03</v>
      </c>
      <c r="L12" s="197">
        <v>-0.04</v>
      </c>
      <c r="M12" s="168">
        <f>AVERAGE(I12:L12)</f>
        <v>2.7499999999999997E-2</v>
      </c>
      <c r="N12" s="1071"/>
      <c r="O12" s="196">
        <v>-0.05</v>
      </c>
      <c r="P12" s="197">
        <v>-0.05</v>
      </c>
      <c r="Q12" s="197">
        <v>-0.01</v>
      </c>
      <c r="R12" s="197">
        <v>0.04</v>
      </c>
      <c r="S12" s="168">
        <f t="shared" si="10"/>
        <v>-1.7500000000000002E-2</v>
      </c>
      <c r="T12" s="1071"/>
      <c r="U12" s="196">
        <v>0.04</v>
      </c>
      <c r="V12" s="197">
        <v>-0.01</v>
      </c>
      <c r="W12" s="197">
        <v>-0.02</v>
      </c>
      <c r="X12" s="197">
        <v>0.01</v>
      </c>
      <c r="Y12" s="168">
        <f t="shared" si="11"/>
        <v>4.9999999999999992E-3</v>
      </c>
      <c r="Z12" s="1071"/>
      <c r="AA12" s="196">
        <v>0.02</v>
      </c>
      <c r="AB12" s="197">
        <v>0.06</v>
      </c>
      <c r="AC12" s="197">
        <v>0.04</v>
      </c>
      <c r="AD12" s="197">
        <v>0</v>
      </c>
      <c r="AE12" s="168">
        <f t="shared" si="12"/>
        <v>0.03</v>
      </c>
      <c r="AF12" s="1071"/>
      <c r="AG12" s="196">
        <v>-0.02</v>
      </c>
      <c r="AH12" s="197">
        <v>-0.03</v>
      </c>
      <c r="AI12" s="197">
        <v>-0.03</v>
      </c>
      <c r="AJ12" s="198">
        <v>-1.4E-2</v>
      </c>
      <c r="AK12" s="168">
        <f>AVERAGE(AG12:AJ12)</f>
        <v>-2.35E-2</v>
      </c>
      <c r="AL12" s="1071"/>
      <c r="AM12" s="196">
        <v>-0.03</v>
      </c>
      <c r="AN12" s="197">
        <v>-0.02</v>
      </c>
      <c r="AO12" s="197">
        <v>-0.02</v>
      </c>
      <c r="AP12" s="197">
        <v>-0.02</v>
      </c>
      <c r="AQ12" s="168">
        <f>AVERAGE(AM12:AP12)</f>
        <v>-2.2500000000000003E-2</v>
      </c>
      <c r="AR12" s="1071"/>
      <c r="AS12" s="1444">
        <v>0</v>
      </c>
      <c r="AT12" s="197">
        <v>8.0000000000000002E-3</v>
      </c>
      <c r="AU12" s="197">
        <v>0</v>
      </c>
      <c r="AV12" s="197">
        <v>-0.05</v>
      </c>
      <c r="AW12" s="168">
        <f>AVERAGE(AS12:AV12)</f>
        <v>-1.0500000000000001E-2</v>
      </c>
      <c r="AX12" s="1071"/>
      <c r="AY12" s="196">
        <v>-0.08</v>
      </c>
      <c r="AZ12" s="197">
        <v>-7.0000000000000007E-2</v>
      </c>
      <c r="BA12" s="197">
        <v>-7.3999999999999996E-2</v>
      </c>
      <c r="BB12" s="197">
        <v>-5.4423995046898356E-2</v>
      </c>
      <c r="BC12" s="168">
        <f>AVERAGE(AY12:BB12)</f>
        <v>-6.9605998761724602E-2</v>
      </c>
      <c r="BD12" s="1071"/>
      <c r="BE12" s="196">
        <v>-1.6875197582601205E-2</v>
      </c>
      <c r="BF12" s="1677">
        <f>0.33/494.74</f>
        <v>6.6701701904030406E-4</v>
      </c>
      <c r="BG12" s="1677">
        <f>1.375/500.578</f>
        <v>2.7468246706806934E-3</v>
      </c>
      <c r="BH12" s="1677">
        <v>-0.02</v>
      </c>
      <c r="BI12" s="168">
        <f>AVERAGE(BE12:BH12)</f>
        <v>-8.3653389732200531E-3</v>
      </c>
      <c r="BJ12" s="1071"/>
      <c r="BK12" s="1910">
        <v>-0.01</v>
      </c>
      <c r="BL12" s="1677">
        <v>-0.01</v>
      </c>
      <c r="BM12" s="1677">
        <v>0.01</v>
      </c>
      <c r="BN12" s="1677">
        <v>0.03</v>
      </c>
      <c r="BO12" s="168">
        <f>AVERAGE(BK12:BN12)</f>
        <v>4.9999999999999992E-3</v>
      </c>
      <c r="BP12" s="1071"/>
      <c r="BQ12" s="1074">
        <v>0.02</v>
      </c>
      <c r="BR12" s="1073">
        <v>1.4999999999999999E-2</v>
      </c>
      <c r="BS12" s="1073">
        <v>2E-3</v>
      </c>
      <c r="BT12" s="1073">
        <v>5.0000000000000001E-3</v>
      </c>
      <c r="BU12" s="168">
        <f>AVERAGE(BQ12:BT12)</f>
        <v>1.0500000000000001E-2</v>
      </c>
      <c r="BV12" s="1071"/>
      <c r="BW12" s="1074">
        <v>0</v>
      </c>
      <c r="BX12" s="1073">
        <v>0</v>
      </c>
      <c r="BY12" s="1073">
        <v>0</v>
      </c>
      <c r="BZ12" s="1073">
        <v>0</v>
      </c>
      <c r="CA12" s="168">
        <f>AVERAGE(BW12:BZ12)</f>
        <v>0</v>
      </c>
      <c r="CB12" s="1071"/>
      <c r="CC12" s="1074">
        <v>0</v>
      </c>
      <c r="CD12" s="1073">
        <v>0</v>
      </c>
      <c r="CE12" s="1073">
        <v>0</v>
      </c>
      <c r="CF12" s="1073">
        <v>0</v>
      </c>
      <c r="CG12" s="168">
        <f>AVERAGE(CC12:CF12)</f>
        <v>0</v>
      </c>
      <c r="CH12" s="1071"/>
      <c r="CI12" s="1074">
        <v>0</v>
      </c>
      <c r="CJ12" s="1073">
        <v>0</v>
      </c>
      <c r="CK12" s="1073">
        <v>0</v>
      </c>
      <c r="CL12" s="1073">
        <v>0</v>
      </c>
      <c r="CM12" s="168">
        <f>AVERAGE(CI12:CL12)</f>
        <v>0</v>
      </c>
      <c r="CO12" s="1474" t="str">
        <f t="shared" si="0"/>
        <v>Currency</v>
      </c>
      <c r="CP12" s="1475">
        <f t="shared" si="1"/>
        <v>-0.02</v>
      </c>
      <c r="CQ12" s="1475">
        <f t="shared" si="1"/>
        <v>-0.03</v>
      </c>
      <c r="CR12" s="1475">
        <f t="shared" si="1"/>
        <v>-0.03</v>
      </c>
      <c r="CS12" s="1475">
        <f t="shared" si="1"/>
        <v>-1.4E-2</v>
      </c>
      <c r="CT12" s="1475">
        <f t="shared" si="2"/>
        <v>-0.03</v>
      </c>
      <c r="CU12" s="1475">
        <f t="shared" si="2"/>
        <v>-0.02</v>
      </c>
      <c r="CV12" s="1475">
        <f t="shared" si="2"/>
        <v>-0.02</v>
      </c>
      <c r="CW12" s="1475">
        <f t="shared" si="2"/>
        <v>-0.02</v>
      </c>
      <c r="CX12" s="1475">
        <f t="shared" si="3"/>
        <v>0</v>
      </c>
      <c r="CY12" s="1475">
        <f t="shared" si="3"/>
        <v>8.0000000000000002E-3</v>
      </c>
      <c r="CZ12" s="1475">
        <f t="shared" si="3"/>
        <v>0</v>
      </c>
      <c r="DA12" s="1475">
        <f t="shared" si="3"/>
        <v>-0.05</v>
      </c>
      <c r="DB12" s="1475">
        <f t="shared" si="4"/>
        <v>-0.08</v>
      </c>
      <c r="DC12" s="1475">
        <f t="shared" si="4"/>
        <v>-7.0000000000000007E-2</v>
      </c>
      <c r="DD12" s="1475">
        <f t="shared" si="4"/>
        <v>-7.3999999999999996E-2</v>
      </c>
      <c r="DE12" s="1475">
        <f t="shared" si="4"/>
        <v>-5.4423995046898356E-2</v>
      </c>
      <c r="DF12" s="1475">
        <f t="shared" si="5"/>
        <v>-1.6875197582601205E-2</v>
      </c>
      <c r="DG12" s="1475">
        <f t="shared" si="5"/>
        <v>6.6701701904030406E-4</v>
      </c>
      <c r="DH12" s="1475">
        <f t="shared" si="5"/>
        <v>2.7468246706806934E-3</v>
      </c>
      <c r="DI12" s="1475">
        <f t="shared" si="5"/>
        <v>-0.02</v>
      </c>
      <c r="DJ12" s="1475">
        <f t="shared" si="6"/>
        <v>-0.01</v>
      </c>
      <c r="DK12" s="1475">
        <f t="shared" si="6"/>
        <v>-0.01</v>
      </c>
      <c r="DL12" s="1475">
        <f t="shared" si="6"/>
        <v>0.01</v>
      </c>
      <c r="DM12" s="1475">
        <f t="shared" si="6"/>
        <v>0.03</v>
      </c>
      <c r="DN12" s="1475">
        <f t="shared" si="7"/>
        <v>0.02</v>
      </c>
      <c r="DO12" s="1475">
        <f t="shared" si="8"/>
        <v>1.4999999999999999E-2</v>
      </c>
      <c r="DP12" s="1475">
        <f t="shared" si="8"/>
        <v>2E-3</v>
      </c>
      <c r="DQ12" s="1475">
        <f t="shared" si="8"/>
        <v>5.0000000000000001E-3</v>
      </c>
    </row>
    <row r="13" spans="1:121" s="24" customFormat="1">
      <c r="A13" s="1579" t="s">
        <v>489</v>
      </c>
      <c r="B13" s="71"/>
      <c r="C13" s="197">
        <v>0.02</v>
      </c>
      <c r="D13" s="197">
        <v>0.02</v>
      </c>
      <c r="E13" s="197">
        <v>0.02</v>
      </c>
      <c r="F13" s="197">
        <v>0.01</v>
      </c>
      <c r="G13" s="168">
        <f t="shared" si="9"/>
        <v>1.7499999999999998E-2</v>
      </c>
      <c r="H13" s="109"/>
      <c r="I13" s="1072"/>
      <c r="J13" s="1071"/>
      <c r="K13" s="1071"/>
      <c r="L13" s="1071"/>
      <c r="M13" s="168"/>
      <c r="N13" s="109"/>
      <c r="O13" s="196">
        <v>6.006006006006006E-3</v>
      </c>
      <c r="P13" s="197">
        <v>0.02</v>
      </c>
      <c r="Q13" s="197">
        <v>0.02</v>
      </c>
      <c r="R13" s="197">
        <v>0.02</v>
      </c>
      <c r="S13" s="168">
        <f t="shared" si="10"/>
        <v>1.6501501501501502E-2</v>
      </c>
      <c r="T13" s="109"/>
      <c r="U13" s="1072"/>
      <c r="V13" s="1071"/>
      <c r="W13" s="1071"/>
      <c r="X13" s="1071"/>
      <c r="Y13" s="168"/>
      <c r="Z13" s="109"/>
      <c r="AA13" s="1072"/>
      <c r="AB13" s="1071"/>
      <c r="AC13" s="1071"/>
      <c r="AD13" s="150"/>
      <c r="AE13" s="168"/>
      <c r="AF13" s="109"/>
      <c r="AG13" s="161"/>
      <c r="AH13" s="197">
        <v>3.0000000000000001E-3</v>
      </c>
      <c r="AI13" s="197">
        <v>3.0000000000000001E-3</v>
      </c>
      <c r="AJ13" s="198">
        <v>3.0000000000000001E-3</v>
      </c>
      <c r="AK13" s="168">
        <f>AVERAGE(AG13:AJ13)</f>
        <v>3.0000000000000005E-3</v>
      </c>
      <c r="AL13" s="176"/>
      <c r="AM13" s="196">
        <v>1E-3</v>
      </c>
      <c r="AN13" s="197">
        <v>0</v>
      </c>
      <c r="AO13" s="197">
        <v>0</v>
      </c>
      <c r="AP13" s="198">
        <v>0</v>
      </c>
      <c r="AQ13" s="168">
        <f>AVERAGE(AM13:AP13)</f>
        <v>2.5000000000000001E-4</v>
      </c>
      <c r="AR13" s="109"/>
      <c r="AS13" s="1640">
        <f>+SUM(AS14:AS16)</f>
        <v>0</v>
      </c>
      <c r="AT13" s="1071">
        <f>+SUM(AT14:AT16)</f>
        <v>0.01</v>
      </c>
      <c r="AU13" s="1071">
        <f>+SUM(AU14:AU16)</f>
        <v>0.01</v>
      </c>
      <c r="AV13" s="1622">
        <f>+SUM(AV14:AV16)</f>
        <v>0.01</v>
      </c>
      <c r="AW13" s="168">
        <f>AVERAGE(AS13:AV13)</f>
        <v>7.4999999999999997E-3</v>
      </c>
      <c r="AX13" s="109"/>
      <c r="AY13" s="1072">
        <f>+SUM(AY14:AY16)</f>
        <v>0.04</v>
      </c>
      <c r="AZ13" s="1071">
        <f>+SUM(AZ14:AZ16)</f>
        <v>2.0999999999999998E-2</v>
      </c>
      <c r="BA13" s="1071">
        <f>+SUM(BA14:BA16)</f>
        <v>2.5999999999999999E-2</v>
      </c>
      <c r="BB13" s="1622">
        <f>+SUM(BB14:BB16)</f>
        <v>-0.02</v>
      </c>
      <c r="BC13" s="168">
        <f>AVERAGE(AY13:BB13)</f>
        <v>1.6749999999999998E-2</v>
      </c>
      <c r="BD13" s="109"/>
      <c r="BE13" s="1072">
        <f>+SUM(BE14:BE16)</f>
        <v>-5.0000000000000001E-3</v>
      </c>
      <c r="BF13" s="1071">
        <f>+SUM(BF14:BF16)</f>
        <v>2.5000000000000001E-3</v>
      </c>
      <c r="BG13" s="1071">
        <f>+SUM(BG14:BG16)</f>
        <v>2E-3</v>
      </c>
      <c r="BH13" s="1622">
        <f>+SUM(BH14:BH16)</f>
        <v>0.01</v>
      </c>
      <c r="BI13" s="168">
        <f>AVERAGE(BE13:BH13)</f>
        <v>2.3749999999999999E-3</v>
      </c>
      <c r="BJ13" s="109"/>
      <c r="BK13" s="196">
        <f>+SUM(BK14:BK16)</f>
        <v>-0.01</v>
      </c>
      <c r="BL13" s="197">
        <f>+SUM(BL14:BL16)</f>
        <v>0</v>
      </c>
      <c r="BM13" s="197">
        <f>+SUM(BM14:BM16)</f>
        <v>-7.4999999999999997E-3</v>
      </c>
      <c r="BN13" s="198">
        <f>+SUM(BN14:BN16)</f>
        <v>0</v>
      </c>
      <c r="BO13" s="168">
        <f>AVERAGE(BK13:BN13)</f>
        <v>-4.3750000000000004E-3</v>
      </c>
      <c r="BP13" s="109"/>
      <c r="BQ13" s="1444">
        <f>+SUM(BQ14:BQ16)</f>
        <v>-5.0000000000000001E-3</v>
      </c>
      <c r="BR13" s="197">
        <v>0</v>
      </c>
      <c r="BS13" s="197">
        <v>0</v>
      </c>
      <c r="BT13" s="198">
        <v>0</v>
      </c>
      <c r="BU13" s="168">
        <f>AVERAGE(BQ13:BT13)</f>
        <v>-1.25E-3</v>
      </c>
      <c r="BV13" s="109"/>
      <c r="BW13" s="1444">
        <v>0</v>
      </c>
      <c r="BX13" s="197">
        <v>0</v>
      </c>
      <c r="BY13" s="197">
        <v>0</v>
      </c>
      <c r="BZ13" s="198">
        <v>0</v>
      </c>
      <c r="CA13" s="168">
        <f>AVERAGE(BW13:BZ13)</f>
        <v>0</v>
      </c>
      <c r="CB13" s="109"/>
      <c r="CC13" s="1444">
        <v>0</v>
      </c>
      <c r="CD13" s="197">
        <v>0</v>
      </c>
      <c r="CE13" s="197">
        <v>0</v>
      </c>
      <c r="CF13" s="198">
        <v>0</v>
      </c>
      <c r="CG13" s="168">
        <f>AVERAGE(CC13:CF13)</f>
        <v>0</v>
      </c>
      <c r="CH13" s="109"/>
      <c r="CI13" s="1444">
        <v>0</v>
      </c>
      <c r="CJ13" s="197">
        <v>0</v>
      </c>
      <c r="CK13" s="197">
        <v>0</v>
      </c>
      <c r="CL13" s="198">
        <v>0</v>
      </c>
      <c r="CM13" s="168">
        <f>AVERAGE(CI13:CL13)</f>
        <v>0</v>
      </c>
      <c r="CO13" s="1454" t="str">
        <f t="shared" si="0"/>
        <v xml:space="preserve">Acquisition and selling days </v>
      </c>
      <c r="CP13" s="1451">
        <f t="shared" si="1"/>
        <v>0</v>
      </c>
      <c r="CQ13" s="1451">
        <f t="shared" si="1"/>
        <v>3.0000000000000001E-3</v>
      </c>
      <c r="CR13" s="1451">
        <f t="shared" si="1"/>
        <v>3.0000000000000001E-3</v>
      </c>
      <c r="CS13" s="1451">
        <f t="shared" si="1"/>
        <v>3.0000000000000001E-3</v>
      </c>
      <c r="CT13" s="1451">
        <f t="shared" si="2"/>
        <v>1E-3</v>
      </c>
      <c r="CU13" s="1451">
        <f t="shared" si="2"/>
        <v>0</v>
      </c>
      <c r="CV13" s="1451">
        <f t="shared" si="2"/>
        <v>0</v>
      </c>
      <c r="CW13" s="1451">
        <f t="shared" si="2"/>
        <v>0</v>
      </c>
      <c r="CX13" s="1451">
        <f t="shared" si="3"/>
        <v>0</v>
      </c>
      <c r="CY13" s="1451">
        <f t="shared" si="3"/>
        <v>0.01</v>
      </c>
      <c r="CZ13" s="1451">
        <f t="shared" si="3"/>
        <v>0.01</v>
      </c>
      <c r="DA13" s="1451">
        <f t="shared" si="3"/>
        <v>0.01</v>
      </c>
      <c r="DB13" s="1451">
        <f t="shared" si="4"/>
        <v>0.04</v>
      </c>
      <c r="DC13" s="1451">
        <f t="shared" si="4"/>
        <v>2.0999999999999998E-2</v>
      </c>
      <c r="DD13" s="1451">
        <f t="shared" si="4"/>
        <v>2.5999999999999999E-2</v>
      </c>
      <c r="DE13" s="1451">
        <f t="shared" si="4"/>
        <v>-0.02</v>
      </c>
      <c r="DF13" s="1451">
        <f t="shared" si="5"/>
        <v>-5.0000000000000001E-3</v>
      </c>
      <c r="DG13" s="1451">
        <f t="shared" si="5"/>
        <v>2.5000000000000001E-3</v>
      </c>
      <c r="DH13" s="1451">
        <f t="shared" si="5"/>
        <v>2E-3</v>
      </c>
      <c r="DI13" s="1451">
        <f t="shared" si="5"/>
        <v>0.01</v>
      </c>
      <c r="DJ13" s="1451">
        <f t="shared" si="6"/>
        <v>-0.01</v>
      </c>
      <c r="DK13" s="1451">
        <f t="shared" si="6"/>
        <v>0</v>
      </c>
      <c r="DL13" s="1451">
        <f t="shared" si="6"/>
        <v>-7.4999999999999997E-3</v>
      </c>
      <c r="DM13" s="1451">
        <f t="shared" si="6"/>
        <v>0</v>
      </c>
      <c r="DN13" s="1451">
        <f t="shared" si="7"/>
        <v>-5.0000000000000001E-3</v>
      </c>
      <c r="DO13" s="1451">
        <f t="shared" si="8"/>
        <v>0</v>
      </c>
      <c r="DP13" s="1451">
        <f t="shared" si="8"/>
        <v>0</v>
      </c>
      <c r="DQ13" s="1451">
        <f t="shared" si="8"/>
        <v>0</v>
      </c>
    </row>
    <row r="14" spans="1:121" s="24" customFormat="1" hidden="1" outlineLevel="1">
      <c r="A14" s="1629" t="s">
        <v>506</v>
      </c>
      <c r="B14" s="1630"/>
      <c r="C14" s="1631"/>
      <c r="D14" s="1631"/>
      <c r="E14" s="1631"/>
      <c r="F14" s="1631"/>
      <c r="G14" s="1632"/>
      <c r="H14" s="1633"/>
      <c r="I14" s="1634"/>
      <c r="J14" s="1635"/>
      <c r="K14" s="1635"/>
      <c r="L14" s="1635"/>
      <c r="M14" s="1632"/>
      <c r="N14" s="1633"/>
      <c r="O14" s="1636"/>
      <c r="P14" s="1631"/>
      <c r="Q14" s="1631"/>
      <c r="R14" s="1631"/>
      <c r="S14" s="1632"/>
      <c r="T14" s="1633"/>
      <c r="U14" s="1634"/>
      <c r="V14" s="1635"/>
      <c r="W14" s="1635"/>
      <c r="X14" s="1635"/>
      <c r="Y14" s="1632"/>
      <c r="Z14" s="1633"/>
      <c r="AA14" s="1634"/>
      <c r="AB14" s="1635"/>
      <c r="AC14" s="1635"/>
      <c r="AD14" s="1637"/>
      <c r="AE14" s="1632"/>
      <c r="AF14" s="1633"/>
      <c r="AG14" s="1638"/>
      <c r="AH14" s="1631"/>
      <c r="AI14" s="1631"/>
      <c r="AJ14" s="1631"/>
      <c r="AK14" s="1632"/>
      <c r="AL14" s="1633"/>
      <c r="AM14" s="1636"/>
      <c r="AN14" s="1631"/>
      <c r="AO14" s="1631"/>
      <c r="AP14" s="1631"/>
      <c r="AQ14" s="1632"/>
      <c r="AR14" s="1633"/>
      <c r="AS14" s="1636">
        <v>0</v>
      </c>
      <c r="AT14" s="1631">
        <v>0.01</v>
      </c>
      <c r="AU14" s="1631">
        <v>0.01</v>
      </c>
      <c r="AV14" s="1631">
        <v>0.01</v>
      </c>
      <c r="AW14" s="1632">
        <f>AVERAGE(AS14:AV14)</f>
        <v>7.4999999999999997E-3</v>
      </c>
      <c r="AX14" s="1633"/>
      <c r="AY14" s="1636">
        <f>0.5%</f>
        <v>5.0000000000000001E-3</v>
      </c>
      <c r="AZ14" s="1631">
        <f>0.2%</f>
        <v>2E-3</v>
      </c>
      <c r="BA14" s="1631">
        <f>0.7%</f>
        <v>6.9999999999999993E-3</v>
      </c>
      <c r="BB14" s="1639">
        <v>0</v>
      </c>
      <c r="BC14" s="1632">
        <f>AVERAGE(AY14:BB14)</f>
        <v>3.4999999999999996E-3</v>
      </c>
      <c r="BD14" s="1633"/>
      <c r="BE14" s="1636">
        <v>0</v>
      </c>
      <c r="BF14" s="1631">
        <v>2.5000000000000001E-3</v>
      </c>
      <c r="BG14" s="1631">
        <v>2E-3</v>
      </c>
      <c r="BH14" s="1631">
        <v>0</v>
      </c>
      <c r="BI14" s="1632">
        <f>AVERAGE(BE14:BH14)</f>
        <v>1.1250000000000001E-3</v>
      </c>
      <c r="BJ14" s="1633"/>
      <c r="BK14" s="1636">
        <v>0</v>
      </c>
      <c r="BL14" s="1631">
        <v>0</v>
      </c>
      <c r="BM14" s="1631">
        <v>2.5000000000000001E-3</v>
      </c>
      <c r="BN14" s="1631">
        <v>0</v>
      </c>
      <c r="BO14" s="1632">
        <f>AVERAGE(BK14:BN14)</f>
        <v>6.2500000000000001E-4</v>
      </c>
      <c r="BP14" s="1633"/>
      <c r="BQ14" s="1636"/>
      <c r="BR14" s="1631"/>
      <c r="BS14" s="1631"/>
      <c r="BT14" s="1631"/>
      <c r="BU14" s="1632"/>
      <c r="BV14" s="1633"/>
      <c r="BW14" s="1636"/>
      <c r="BX14" s="1631"/>
      <c r="BY14" s="1631"/>
      <c r="BZ14" s="1631"/>
      <c r="CA14" s="1632"/>
      <c r="CB14" s="1633"/>
      <c r="CC14" s="1636"/>
      <c r="CD14" s="1631"/>
      <c r="CE14" s="1631"/>
      <c r="CF14" s="1631"/>
      <c r="CG14" s="1632"/>
      <c r="CH14" s="1633"/>
      <c r="CI14" s="1636"/>
      <c r="CJ14" s="1631"/>
      <c r="CK14" s="1631"/>
      <c r="CL14" s="1631"/>
      <c r="CM14" s="1632"/>
      <c r="CO14" s="1454"/>
      <c r="CP14" s="1451"/>
      <c r="CQ14" s="1451"/>
      <c r="CR14" s="1451"/>
      <c r="CS14" s="1451"/>
      <c r="CT14" s="1451"/>
      <c r="CU14" s="1451"/>
      <c r="CV14" s="1451"/>
      <c r="CW14" s="1451"/>
      <c r="CX14" s="1451"/>
      <c r="CY14" s="1451"/>
      <c r="CZ14" s="1451"/>
      <c r="DA14" s="1451"/>
      <c r="DB14" s="1451"/>
      <c r="DC14" s="1451"/>
      <c r="DD14" s="1451"/>
      <c r="DE14" s="1451"/>
      <c r="DF14" s="1451"/>
      <c r="DG14" s="1451"/>
      <c r="DH14" s="1451"/>
      <c r="DI14" s="1451"/>
      <c r="DJ14" s="1451"/>
      <c r="DK14" s="1451"/>
      <c r="DL14" s="1451"/>
      <c r="DM14" s="1451"/>
      <c r="DN14" s="1451"/>
      <c r="DO14" s="1451"/>
      <c r="DP14" s="1451"/>
      <c r="DQ14" s="1451"/>
    </row>
    <row r="15" spans="1:121" s="24" customFormat="1" hidden="1" outlineLevel="1">
      <c r="A15" s="1629" t="s">
        <v>507</v>
      </c>
      <c r="B15" s="1630"/>
      <c r="C15" s="1631"/>
      <c r="D15" s="1631"/>
      <c r="E15" s="1631"/>
      <c r="F15" s="1631"/>
      <c r="G15" s="1632"/>
      <c r="H15" s="1633"/>
      <c r="I15" s="1634"/>
      <c r="J15" s="1635"/>
      <c r="K15" s="1635"/>
      <c r="L15" s="1635"/>
      <c r="M15" s="1632"/>
      <c r="N15" s="1633"/>
      <c r="O15" s="1636"/>
      <c r="P15" s="1631"/>
      <c r="Q15" s="1631"/>
      <c r="R15" s="1631"/>
      <c r="S15" s="1632"/>
      <c r="T15" s="1633"/>
      <c r="U15" s="1634"/>
      <c r="V15" s="1635"/>
      <c r="W15" s="1635"/>
      <c r="X15" s="1635"/>
      <c r="Y15" s="1632"/>
      <c r="Z15" s="1633"/>
      <c r="AA15" s="1634"/>
      <c r="AB15" s="1635"/>
      <c r="AC15" s="1635"/>
      <c r="AD15" s="1637"/>
      <c r="AE15" s="1632"/>
      <c r="AF15" s="1633"/>
      <c r="AG15" s="1638"/>
      <c r="AH15" s="1631"/>
      <c r="AI15" s="1631"/>
      <c r="AJ15" s="1631"/>
      <c r="AK15" s="1632"/>
      <c r="AL15" s="1633"/>
      <c r="AM15" s="1636"/>
      <c r="AN15" s="1631"/>
      <c r="AO15" s="1631"/>
      <c r="AP15" s="1631"/>
      <c r="AQ15" s="1632"/>
      <c r="AR15" s="1633"/>
      <c r="AS15" s="1636">
        <v>0</v>
      </c>
      <c r="AT15" s="1631">
        <v>0</v>
      </c>
      <c r="AU15" s="1631">
        <v>0</v>
      </c>
      <c r="AV15" s="1631">
        <v>0</v>
      </c>
      <c r="AW15" s="1632">
        <f>AVERAGE(AS15:AV15)</f>
        <v>0</v>
      </c>
      <c r="AX15" s="1633"/>
      <c r="AY15" s="1636">
        <v>0</v>
      </c>
      <c r="AZ15" s="1631">
        <v>1.9E-2</v>
      </c>
      <c r="BA15" s="1631">
        <v>1.9E-2</v>
      </c>
      <c r="BB15" s="1639">
        <v>0</v>
      </c>
      <c r="BC15" s="1632">
        <f>AVERAGE(AY15:BB15)</f>
        <v>9.4999999999999998E-3</v>
      </c>
      <c r="BD15" s="1633"/>
      <c r="BE15" s="1636">
        <v>0</v>
      </c>
      <c r="BF15" s="1631">
        <v>0</v>
      </c>
      <c r="BG15" s="1631">
        <v>0</v>
      </c>
      <c r="BH15" s="1631">
        <v>0</v>
      </c>
      <c r="BI15" s="1632">
        <f>AVERAGE(BE15:BH15)</f>
        <v>0</v>
      </c>
      <c r="BJ15" s="1633"/>
      <c r="BK15" s="1636">
        <v>0</v>
      </c>
      <c r="BL15" s="1631">
        <v>0</v>
      </c>
      <c r="BM15" s="1631">
        <v>0</v>
      </c>
      <c r="BN15" s="1631">
        <v>0</v>
      </c>
      <c r="BO15" s="1632">
        <f>AVERAGE(BK15:BN15)</f>
        <v>0</v>
      </c>
      <c r="BP15" s="1633"/>
      <c r="BQ15" s="1636"/>
      <c r="BR15" s="1631"/>
      <c r="BS15" s="1631"/>
      <c r="BT15" s="1631"/>
      <c r="BU15" s="1632"/>
      <c r="BV15" s="1633"/>
      <c r="BW15" s="1636"/>
      <c r="BX15" s="1631"/>
      <c r="BY15" s="1631"/>
      <c r="BZ15" s="1631"/>
      <c r="CA15" s="1632"/>
      <c r="CB15" s="1633"/>
      <c r="CC15" s="1636"/>
      <c r="CD15" s="1631"/>
      <c r="CE15" s="1631"/>
      <c r="CF15" s="1631"/>
      <c r="CG15" s="1632"/>
      <c r="CH15" s="1633"/>
      <c r="CI15" s="1636"/>
      <c r="CJ15" s="1631"/>
      <c r="CK15" s="1631"/>
      <c r="CL15" s="1631"/>
      <c r="CM15" s="1632"/>
      <c r="CO15" s="1454"/>
      <c r="CP15" s="1451"/>
      <c r="CQ15" s="1451"/>
      <c r="CR15" s="1451"/>
      <c r="CS15" s="1451"/>
      <c r="CT15" s="1451"/>
      <c r="CU15" s="1451"/>
      <c r="CV15" s="1451"/>
      <c r="CW15" s="1451"/>
      <c r="CX15" s="1451"/>
      <c r="CY15" s="1451"/>
      <c r="CZ15" s="1451"/>
      <c r="DA15" s="1451"/>
      <c r="DB15" s="1451"/>
      <c r="DC15" s="1451"/>
      <c r="DD15" s="1451"/>
      <c r="DE15" s="1451"/>
      <c r="DF15" s="1451"/>
      <c r="DG15" s="1451"/>
      <c r="DH15" s="1451"/>
      <c r="DI15" s="1451"/>
      <c r="DJ15" s="1451"/>
      <c r="DK15" s="1451"/>
      <c r="DL15" s="1451"/>
      <c r="DM15" s="1451"/>
      <c r="DN15" s="1451"/>
      <c r="DO15" s="1451"/>
      <c r="DP15" s="1451"/>
      <c r="DQ15" s="1451"/>
    </row>
    <row r="16" spans="1:121" s="24" customFormat="1" hidden="1" outlineLevel="1">
      <c r="A16" s="1629" t="s">
        <v>508</v>
      </c>
      <c r="B16" s="1630"/>
      <c r="C16" s="1631"/>
      <c r="D16" s="1631"/>
      <c r="E16" s="1631"/>
      <c r="F16" s="1631"/>
      <c r="G16" s="1632"/>
      <c r="H16" s="1633"/>
      <c r="I16" s="1634"/>
      <c r="J16" s="1635"/>
      <c r="K16" s="1635"/>
      <c r="L16" s="1635"/>
      <c r="M16" s="1632"/>
      <c r="N16" s="1633"/>
      <c r="O16" s="1636"/>
      <c r="P16" s="1631"/>
      <c r="Q16" s="1631"/>
      <c r="R16" s="1631"/>
      <c r="S16" s="1632"/>
      <c r="T16" s="1633"/>
      <c r="U16" s="1634"/>
      <c r="V16" s="1635"/>
      <c r="W16" s="1635"/>
      <c r="X16" s="1635"/>
      <c r="Y16" s="1632"/>
      <c r="Z16" s="1633"/>
      <c r="AA16" s="1634"/>
      <c r="AB16" s="1635"/>
      <c r="AC16" s="1635"/>
      <c r="AD16" s="1637"/>
      <c r="AE16" s="1632"/>
      <c r="AF16" s="1633"/>
      <c r="AG16" s="1638"/>
      <c r="AH16" s="1631"/>
      <c r="AI16" s="1631"/>
      <c r="AJ16" s="1631"/>
      <c r="AK16" s="1632"/>
      <c r="AL16" s="1633"/>
      <c r="AM16" s="1636"/>
      <c r="AN16" s="1631"/>
      <c r="AO16" s="1631"/>
      <c r="AP16" s="1631"/>
      <c r="AQ16" s="1632"/>
      <c r="AR16" s="1633"/>
      <c r="AS16" s="1636">
        <v>0</v>
      </c>
      <c r="AT16" s="1631">
        <v>0</v>
      </c>
      <c r="AU16" s="1631">
        <v>0</v>
      </c>
      <c r="AV16" s="1631">
        <v>0</v>
      </c>
      <c r="AW16" s="1632">
        <f>AVERAGE(AS16:AV16)</f>
        <v>0</v>
      </c>
      <c r="AX16" s="1633"/>
      <c r="AY16" s="1636">
        <v>3.5000000000000003E-2</v>
      </c>
      <c r="AZ16" s="1631">
        <v>0</v>
      </c>
      <c r="BA16" s="1631">
        <v>0</v>
      </c>
      <c r="BB16" s="1631">
        <v>-0.02</v>
      </c>
      <c r="BC16" s="1632">
        <f>AVERAGE(AY16:BB16)</f>
        <v>3.7500000000000007E-3</v>
      </c>
      <c r="BD16" s="1633"/>
      <c r="BE16" s="1636">
        <v>-5.0000000000000001E-3</v>
      </c>
      <c r="BF16" s="1631">
        <v>0</v>
      </c>
      <c r="BG16" s="1631">
        <v>0</v>
      </c>
      <c r="BH16" s="1631">
        <v>0.01</v>
      </c>
      <c r="BI16" s="1632">
        <f>AVERAGE(BE16:BH16)</f>
        <v>1.25E-3</v>
      </c>
      <c r="BJ16" s="1633"/>
      <c r="BK16" s="1636">
        <v>-0.01</v>
      </c>
      <c r="BL16" s="1631">
        <v>0</v>
      </c>
      <c r="BM16" s="1631">
        <v>-0.01</v>
      </c>
      <c r="BN16" s="1631">
        <f>0.5%-0.5%</f>
        <v>0</v>
      </c>
      <c r="BO16" s="1632">
        <f>AVERAGE(BK16:BN16)</f>
        <v>-5.0000000000000001E-3</v>
      </c>
      <c r="BP16" s="1633"/>
      <c r="BQ16" s="1636">
        <v>-5.0000000000000001E-3</v>
      </c>
      <c r="BR16" s="1631"/>
      <c r="BS16" s="1631"/>
      <c r="BT16" s="1631"/>
      <c r="BU16" s="1632"/>
      <c r="BV16" s="1633"/>
      <c r="BW16" s="1636"/>
      <c r="BX16" s="1631"/>
      <c r="BY16" s="1631"/>
      <c r="BZ16" s="1631"/>
      <c r="CA16" s="1632"/>
      <c r="CB16" s="1633"/>
      <c r="CC16" s="1636"/>
      <c r="CD16" s="1631"/>
      <c r="CE16" s="1631"/>
      <c r="CF16" s="1631"/>
      <c r="CG16" s="1632"/>
      <c r="CH16" s="1633"/>
      <c r="CI16" s="1636"/>
      <c r="CJ16" s="1631"/>
      <c r="CK16" s="1631"/>
      <c r="CL16" s="1631"/>
      <c r="CM16" s="1632"/>
      <c r="CO16" s="1454"/>
      <c r="CP16" s="1451"/>
      <c r="CQ16" s="1451"/>
      <c r="CR16" s="1451"/>
      <c r="CS16" s="1451"/>
      <c r="CT16" s="1451"/>
      <c r="CU16" s="1451"/>
      <c r="CV16" s="1451"/>
      <c r="CW16" s="1451"/>
      <c r="CX16" s="1451"/>
      <c r="CY16" s="1451"/>
      <c r="CZ16" s="1451"/>
      <c r="DA16" s="1451"/>
      <c r="DB16" s="1451"/>
      <c r="DC16" s="1451"/>
      <c r="DD16" s="1451"/>
      <c r="DE16" s="1451"/>
      <c r="DF16" s="1451"/>
      <c r="DG16" s="1451"/>
      <c r="DH16" s="1451"/>
      <c r="DI16" s="1451"/>
      <c r="DJ16" s="1451"/>
      <c r="DK16" s="1451"/>
      <c r="DL16" s="1451"/>
      <c r="DM16" s="1451"/>
      <c r="DN16" s="1451"/>
      <c r="DO16" s="1451"/>
      <c r="DP16" s="1451"/>
      <c r="DQ16" s="1451"/>
    </row>
    <row r="17" spans="1:121" s="24" customFormat="1" collapsed="1">
      <c r="A17" s="1580" t="s">
        <v>7</v>
      </c>
      <c r="B17" s="1166"/>
      <c r="C17" s="1167">
        <f>C11-C12-C13</f>
        <v>9.0000000000000011E-2</v>
      </c>
      <c r="D17" s="1167">
        <f>D11-D12-D13</f>
        <v>0.13000000000000003</v>
      </c>
      <c r="E17" s="1167">
        <f>E11-E12-E13</f>
        <v>0.12000000000000001</v>
      </c>
      <c r="F17" s="1167">
        <f>F11-F12-F13</f>
        <v>7.0000000000000007E-2</v>
      </c>
      <c r="G17" s="1168">
        <f t="shared" si="9"/>
        <v>0.10250000000000001</v>
      </c>
      <c r="H17" s="1169"/>
      <c r="I17" s="1170">
        <f>I11-I12</f>
        <v>6.4618700816562458E-2</v>
      </c>
      <c r="J17" s="1169">
        <f>J11-J12</f>
        <v>7.0037149420072053E-2</v>
      </c>
      <c r="K17" s="1169">
        <f>K11-K12</f>
        <v>6.5486022493321611E-2</v>
      </c>
      <c r="L17" s="1169">
        <f>L11-L12</f>
        <v>-2.7273954641043111E-3</v>
      </c>
      <c r="M17" s="1168">
        <f>M11-M12</f>
        <v>4.179577311805191E-2</v>
      </c>
      <c r="N17" s="1169"/>
      <c r="O17" s="1170">
        <f>O11-O12-O13</f>
        <v>-6.0700117264668799E-2</v>
      </c>
      <c r="P17" s="1169">
        <f>P11-P12-P13</f>
        <v>-5.945882530082694E-2</v>
      </c>
      <c r="Q17" s="1169">
        <f>Q11-Q12-Q13</f>
        <v>-4.1961378167792537E-2</v>
      </c>
      <c r="R17" s="1169">
        <f>R11-R12-R13</f>
        <v>-3.4859620730952112E-2</v>
      </c>
      <c r="S17" s="1168">
        <f t="shared" si="10"/>
        <v>-4.9244985366060097E-2</v>
      </c>
      <c r="T17" s="1169"/>
      <c r="U17" s="1170">
        <f>U11-U12</f>
        <v>6.403180284159829E-2</v>
      </c>
      <c r="V17" s="1169">
        <f>V11-V12</f>
        <v>8.7770458911301738E-2</v>
      </c>
      <c r="W17" s="1169">
        <f>W11-W12</f>
        <v>9.2400210716033312E-2</v>
      </c>
      <c r="X17" s="1169">
        <f>X11-X12</f>
        <v>0.11762097526396299</v>
      </c>
      <c r="Y17" s="1168">
        <f t="shared" si="11"/>
        <v>9.045586193322408E-2</v>
      </c>
      <c r="Z17" s="1169"/>
      <c r="AA17" s="1170">
        <f>AA11-AA12-AA13</f>
        <v>0.14291270057111774</v>
      </c>
      <c r="AB17" s="1169">
        <f>AB11-AB12-AB13</f>
        <v>8.4665072687985232E-2</v>
      </c>
      <c r="AC17" s="1169">
        <f>AC11-AC12-AC13</f>
        <v>9.3393842977473468E-2</v>
      </c>
      <c r="AD17" s="1169">
        <f>AD11-AD12-AD13</f>
        <v>7.8254180297697484E-2</v>
      </c>
      <c r="AE17" s="1168">
        <f t="shared" si="12"/>
        <v>9.9806449133568481E-2</v>
      </c>
      <c r="AF17" s="1169"/>
      <c r="AG17" s="1170">
        <f>AG11-AG12-AG13</f>
        <v>3.2905756040065674E-3</v>
      </c>
      <c r="AH17" s="1169">
        <f>AH11-AH12-AH13</f>
        <v>3.5574102991999895E-2</v>
      </c>
      <c r="AI17" s="1169">
        <f>AI11-AI12-AI13</f>
        <v>1.6919345967518404E-2</v>
      </c>
      <c r="AJ17" s="1169">
        <f>AJ11-AJ12-AJ13</f>
        <v>1.1663572551877544E-2</v>
      </c>
      <c r="AK17" s="1168">
        <f>AK11-AK12-AK13</f>
        <v>1.6425310503980255E-2</v>
      </c>
      <c r="AL17" s="1169"/>
      <c r="AM17" s="1170">
        <f>AM11-AM12-AM13</f>
        <v>5.2498185312207152E-2</v>
      </c>
      <c r="AN17" s="1169">
        <f>AN11-AN12</f>
        <v>1.9224746104349304E-2</v>
      </c>
      <c r="AO17" s="1169">
        <f>AO11-AO12</f>
        <v>3.6368412630680677E-2</v>
      </c>
      <c r="AP17" s="1169">
        <f>AP11-AP12</f>
        <v>0.10371952177796183</v>
      </c>
      <c r="AQ17" s="1168">
        <f>AQ11-AQ12-AQ13</f>
        <v>5.5107264510823831E-2</v>
      </c>
      <c r="AR17" s="1169"/>
      <c r="AS17" s="1170">
        <f>AS11-AS12-AS13</f>
        <v>3.9503831871678941E-4</v>
      </c>
      <c r="AT17" s="1169">
        <f>AT11-AT12-AT13</f>
        <v>5.0022566307925911E-2</v>
      </c>
      <c r="AU17" s="1169">
        <f>AU11-AU12-AU13</f>
        <v>6.838763920868908E-2</v>
      </c>
      <c r="AV17" s="1169">
        <f>AV11-AV12-AV13</f>
        <v>7.2579476804233128E-2</v>
      </c>
      <c r="AW17" s="1168">
        <f>AW11-AW12-AW13</f>
        <v>4.7703915202986225E-2</v>
      </c>
      <c r="AX17" s="1169"/>
      <c r="AY17" s="1170">
        <f>AY11-AY12-AY13</f>
        <v>0.10944354111886431</v>
      </c>
      <c r="AZ17" s="1169">
        <f>AZ11-AZ12-AZ13</f>
        <v>7.5855485978650966E-2</v>
      </c>
      <c r="BA17" s="1169">
        <f>BA11-BA12-BA13</f>
        <v>6.3031480336195725E-2</v>
      </c>
      <c r="BB17" s="1169">
        <f>BB11-BB12-BB13</f>
        <v>7.9116820504620225E-2</v>
      </c>
      <c r="BC17" s="1168">
        <f>BC11-BC12-BC13</f>
        <v>7.949191492303205E-2</v>
      </c>
      <c r="BD17" s="1169"/>
      <c r="BE17" s="1170">
        <f>BE11-BE12-BE13</f>
        <v>5.4112102561706565E-2</v>
      </c>
      <c r="BF17" s="1169">
        <f>BF11-BF12-BF13</f>
        <v>8.1362230666612648E-2</v>
      </c>
      <c r="BG17" s="1169">
        <f>BG11-BG12-BG13</f>
        <v>4.7696550787290036E-2</v>
      </c>
      <c r="BH17" s="1169">
        <f>BH11-BH12-BH13</f>
        <v>8.189955848008057E-2</v>
      </c>
      <c r="BI17" s="1168">
        <f>BI11-BI12-BI13</f>
        <v>6.723944049050519E-2</v>
      </c>
      <c r="BJ17" s="1169"/>
      <c r="BK17" s="1170">
        <f>BK11-BK12-BK13</f>
        <v>6.7813132567133602E-2</v>
      </c>
      <c r="BL17" s="1169">
        <f>BL11-BL12-BL13</f>
        <v>5.0424183688683615E-2</v>
      </c>
      <c r="BM17" s="1169">
        <f>BM11-BM12-BM13</f>
        <v>7.1060731165650981E-2</v>
      </c>
      <c r="BN17" s="1169">
        <f>BN11-BN12-BN13</f>
        <v>6.3017190240892279E-2</v>
      </c>
      <c r="BO17" s="1168">
        <f>BO11-BO12-BO13</f>
        <v>6.4731416352507107E-2</v>
      </c>
      <c r="BP17" s="1169"/>
      <c r="BQ17" s="1170">
        <f>BQ11-BQ12-BQ13</f>
        <v>7.1633215589279278E-2</v>
      </c>
      <c r="BR17" s="1169">
        <f>BR11-BR12-BR13</f>
        <v>7.2988183743196836E-2</v>
      </c>
      <c r="BS17" s="1169">
        <f>BS11-BS12-BS13</f>
        <v>6.1612336722611127E-2</v>
      </c>
      <c r="BT17" s="1169">
        <f>BT11-BT12-BT13</f>
        <v>6.0156556177673688E-2</v>
      </c>
      <c r="BU17" s="1168">
        <f>BU11-BU12-BU13</f>
        <v>6.5679756079417548E-2</v>
      </c>
      <c r="BV17" s="1169"/>
      <c r="BW17" s="1170">
        <f>BW11-BW12-BW13</f>
        <v>6.5513185873130819E-2</v>
      </c>
      <c r="BX17" s="1169">
        <f>BX11-BX12-BX13</f>
        <v>5.856973943469912E-2</v>
      </c>
      <c r="BY17" s="1169">
        <f>BY11-BY12-BY13</f>
        <v>5.5879969713876321E-2</v>
      </c>
      <c r="BZ17" s="1169">
        <f>BZ11-BZ12-BZ13</f>
        <v>4.9195029031815274E-2</v>
      </c>
      <c r="CA17" s="1168">
        <f>CA11-CA12-CA13</f>
        <v>5.666662832458047E-2</v>
      </c>
      <c r="CB17" s="1169"/>
      <c r="CC17" s="1170">
        <f>CC11-CC12-CC13</f>
        <v>5.7594873371175082E-2</v>
      </c>
      <c r="CD17" s="1169">
        <f>CD11-CD12-CD13</f>
        <v>5.060049630441199E-2</v>
      </c>
      <c r="CE17" s="1169">
        <f>CE11-CE12-CE13</f>
        <v>4.9200426505382255E-2</v>
      </c>
      <c r="CF17" s="1169">
        <f>CF11-CF12-CF13</f>
        <v>4.2412438651576512E-2</v>
      </c>
      <c r="CG17" s="1168">
        <f>CG11-CG12-CG13</f>
        <v>4.9401139586263021E-2</v>
      </c>
      <c r="CH17" s="1169"/>
      <c r="CI17" s="1170">
        <f>CI11-CI12-CI13</f>
        <v>5.7621140110522662E-2</v>
      </c>
      <c r="CJ17" s="1169">
        <f>CJ11-CJ12-CJ13</f>
        <v>5.0684905844998962E-2</v>
      </c>
      <c r="CK17" s="1169">
        <f>CK11-CK12-CK13</f>
        <v>4.9252173750060413E-2</v>
      </c>
      <c r="CL17" s="1169">
        <f>CL11-CL12-CL13</f>
        <v>4.2654049855422205E-2</v>
      </c>
      <c r="CM17" s="1168">
        <f>CM11-CM12-CM13</f>
        <v>4.9538528194664089E-2</v>
      </c>
      <c r="CO17" s="1476" t="s">
        <v>466</v>
      </c>
      <c r="CP17" s="1477">
        <f>AG17</f>
        <v>3.2905756040065674E-3</v>
      </c>
      <c r="CQ17" s="1477">
        <f>AH17</f>
        <v>3.5574102991999895E-2</v>
      </c>
      <c r="CR17" s="1477">
        <f>AI17</f>
        <v>1.6919345967518404E-2</v>
      </c>
      <c r="CS17" s="1477">
        <f>AJ17</f>
        <v>1.1663572551877544E-2</v>
      </c>
      <c r="CT17" s="1477">
        <f>AM17</f>
        <v>5.2498185312207152E-2</v>
      </c>
      <c r="CU17" s="1477">
        <f>AN17</f>
        <v>1.9224746104349304E-2</v>
      </c>
      <c r="CV17" s="1477">
        <f>AO17</f>
        <v>3.6368412630680677E-2</v>
      </c>
      <c r="CW17" s="1477">
        <f>AP17</f>
        <v>0.10371952177796183</v>
      </c>
      <c r="CX17" s="1477">
        <f>AS17</f>
        <v>3.9503831871678941E-4</v>
      </c>
      <c r="CY17" s="1477">
        <f>AT17</f>
        <v>5.0022566307925911E-2</v>
      </c>
      <c r="CZ17" s="1477">
        <f>AU17</f>
        <v>6.838763920868908E-2</v>
      </c>
      <c r="DA17" s="1477">
        <f>AV17</f>
        <v>7.2579476804233128E-2</v>
      </c>
      <c r="DB17" s="1477">
        <f>AY17</f>
        <v>0.10944354111886431</v>
      </c>
      <c r="DC17" s="1477">
        <f>AZ17</f>
        <v>7.5855485978650966E-2</v>
      </c>
      <c r="DD17" s="1477">
        <f>BA17</f>
        <v>6.3031480336195725E-2</v>
      </c>
      <c r="DE17" s="1477">
        <f>BB17</f>
        <v>7.9116820504620225E-2</v>
      </c>
      <c r="DF17" s="1477">
        <f>BE17</f>
        <v>5.4112102561706565E-2</v>
      </c>
      <c r="DG17" s="1477">
        <f>BF17</f>
        <v>8.1362230666612648E-2</v>
      </c>
      <c r="DH17" s="1477">
        <f>BG17</f>
        <v>4.7696550787290036E-2</v>
      </c>
      <c r="DI17" s="1477">
        <f>BH17</f>
        <v>8.189955848008057E-2</v>
      </c>
      <c r="DJ17" s="1477">
        <f>BK17</f>
        <v>6.7813132567133602E-2</v>
      </c>
      <c r="DK17" s="1477">
        <f>BL17</f>
        <v>5.0424183688683615E-2</v>
      </c>
      <c r="DL17" s="1477">
        <f>BM17</f>
        <v>7.1060731165650981E-2</v>
      </c>
      <c r="DM17" s="1477">
        <f>BN17</f>
        <v>6.3017190240892279E-2</v>
      </c>
      <c r="DN17" s="1477">
        <f>BQ17</f>
        <v>7.1633215589279278E-2</v>
      </c>
      <c r="DO17" s="1477">
        <f>BR17</f>
        <v>7.2988183743196836E-2</v>
      </c>
      <c r="DP17" s="1477">
        <f>BS17</f>
        <v>6.1612336722611127E-2</v>
      </c>
      <c r="DQ17" s="1477">
        <f>BT17</f>
        <v>6.0156556177673688E-2</v>
      </c>
    </row>
    <row r="18" spans="1:121" s="71" customFormat="1" ht="5.25" customHeight="1">
      <c r="A18" s="174"/>
      <c r="AQ18" s="1159"/>
    </row>
    <row r="19" spans="1:121">
      <c r="A19" s="1581" t="s">
        <v>302</v>
      </c>
      <c r="B19" s="152"/>
      <c r="C19" s="152"/>
      <c r="D19" s="152"/>
      <c r="E19" s="152"/>
      <c r="F19" s="152"/>
      <c r="G19" s="152"/>
      <c r="H19" s="153"/>
      <c r="I19" s="154"/>
      <c r="J19" s="152"/>
      <c r="K19" s="152"/>
      <c r="L19" s="152"/>
      <c r="M19" s="152"/>
      <c r="N19" s="153"/>
      <c r="O19" s="154"/>
      <c r="P19" s="152"/>
      <c r="Q19" s="152"/>
      <c r="R19" s="152"/>
      <c r="S19" s="152"/>
      <c r="T19" s="153"/>
      <c r="U19" s="152"/>
      <c r="V19" s="153"/>
      <c r="W19" s="153"/>
      <c r="X19" s="153"/>
      <c r="Y19" s="153"/>
      <c r="Z19" s="153"/>
      <c r="AA19" s="153"/>
      <c r="AB19" s="153"/>
      <c r="AC19" s="152"/>
      <c r="AD19" s="153"/>
      <c r="AE19" s="153"/>
      <c r="AF19" s="153"/>
      <c r="AG19" s="153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  <c r="AV19" s="153"/>
      <c r="AW19" s="153"/>
      <c r="AX19" s="153"/>
      <c r="AY19" s="153"/>
      <c r="AZ19" s="153"/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53"/>
      <c r="CD19" s="153"/>
      <c r="CE19" s="153"/>
      <c r="CF19" s="153"/>
      <c r="CG19" s="153"/>
      <c r="CH19" s="153"/>
      <c r="CI19" s="153"/>
      <c r="CJ19" s="153"/>
      <c r="CK19" s="153"/>
      <c r="CL19" s="153"/>
      <c r="CM19" s="153"/>
      <c r="CO19" s="1479" t="s">
        <v>478</v>
      </c>
      <c r="CP19" s="1478"/>
      <c r="CQ19" s="1478"/>
      <c r="CR19" s="1478"/>
      <c r="CS19" s="1478"/>
      <c r="CT19" s="1478"/>
      <c r="CU19" s="1478"/>
      <c r="CV19" s="1478"/>
      <c r="CW19" s="1478"/>
      <c r="CX19" s="1478"/>
      <c r="CY19" s="1478"/>
      <c r="CZ19" s="1478"/>
      <c r="DA19" s="1478"/>
      <c r="DB19" s="1478"/>
      <c r="DC19" s="1478"/>
      <c r="DD19" s="1478"/>
      <c r="DE19" s="1478"/>
      <c r="DF19" s="1478"/>
      <c r="DG19" s="1478"/>
      <c r="DH19" s="1478"/>
      <c r="DI19" s="1478"/>
      <c r="DJ19" s="1478"/>
      <c r="DK19" s="1478"/>
      <c r="DL19" s="1478"/>
      <c r="DM19" s="1478"/>
      <c r="DN19" s="1478"/>
      <c r="DO19" s="1478"/>
      <c r="DP19" s="1478"/>
      <c r="DQ19" s="1478"/>
    </row>
    <row r="20" spans="1:121" s="24" customFormat="1">
      <c r="A20" s="1578" t="s">
        <v>467</v>
      </c>
      <c r="B20" s="1066"/>
      <c r="C20" s="150"/>
      <c r="D20" s="150"/>
      <c r="E20" s="150"/>
      <c r="F20" s="150"/>
      <c r="G20" s="163"/>
      <c r="H20" s="1076"/>
      <c r="I20" s="174"/>
      <c r="M20" s="174"/>
      <c r="N20" s="1076"/>
      <c r="O20" s="174"/>
      <c r="S20" s="1197">
        <f>S7+M7</f>
        <v>1.4616752211148235E-2</v>
      </c>
      <c r="T20" s="1076"/>
      <c r="U20" s="174"/>
      <c r="Y20" s="1197">
        <f t="shared" ref="Y20:AE26" si="13">Y7+S7</f>
        <v>6.0144285327973265E-2</v>
      </c>
      <c r="Z20" s="174"/>
      <c r="AA20" s="1174">
        <f t="shared" si="13"/>
        <v>0.20891616372501304</v>
      </c>
      <c r="AB20" s="1175">
        <f t="shared" si="13"/>
        <v>0.15324604694202054</v>
      </c>
      <c r="AC20" s="1175">
        <f t="shared" si="13"/>
        <v>0.16956647295077043</v>
      </c>
      <c r="AD20" s="1176">
        <f t="shared" si="13"/>
        <v>0.1850527119789438</v>
      </c>
      <c r="AE20" s="1197">
        <f t="shared" si="13"/>
        <v>0.17636966455031025</v>
      </c>
      <c r="AG20" s="1174">
        <f t="shared" ref="AG20:AK26" si="14">AG7+AA7</f>
        <v>0.13507332907795677</v>
      </c>
      <c r="AH20" s="1175">
        <f t="shared" si="14"/>
        <v>0.11334526564441652</v>
      </c>
      <c r="AI20" s="1175">
        <f t="shared" si="14"/>
        <v>0.11117255712254925</v>
      </c>
      <c r="AJ20" s="1176">
        <f t="shared" si="14"/>
        <v>7.2515934293232984E-2</v>
      </c>
      <c r="AK20" s="1197">
        <f t="shared" si="14"/>
        <v>0.10452219092554055</v>
      </c>
      <c r="AM20" s="1174">
        <f t="shared" ref="AM20:AQ26" si="15">AM7+AG7</f>
        <v>4.2289967481266524E-2</v>
      </c>
      <c r="AN20" s="1175">
        <f t="shared" si="15"/>
        <v>5.3962698195757233E-2</v>
      </c>
      <c r="AO20" s="1175">
        <f t="shared" si="15"/>
        <v>4.1880166645686459E-2</v>
      </c>
      <c r="AP20" s="1176">
        <f t="shared" si="15"/>
        <v>0.10096022194338836</v>
      </c>
      <c r="AQ20" s="1197">
        <f t="shared" si="15"/>
        <v>6.1832055270745721E-2</v>
      </c>
      <c r="AS20" s="1174">
        <f t="shared" ref="AS20:AW26" si="16">AS7+AM7</f>
        <v>5.7625368782837832E-2</v>
      </c>
      <c r="AT20" s="1175">
        <f t="shared" si="16"/>
        <v>8.0009951314194069E-2</v>
      </c>
      <c r="AU20" s="1175">
        <f t="shared" si="16"/>
        <v>0.10676469219130545</v>
      </c>
      <c r="AV20" s="1176">
        <f t="shared" si="16"/>
        <v>0.194123670321173</v>
      </c>
      <c r="AW20" s="1197">
        <f t="shared" si="16"/>
        <v>0.11134972725751749</v>
      </c>
      <c r="AX20" s="1076"/>
      <c r="AY20" s="1174">
        <f t="shared" ref="AY20:BC26" si="17">AY7+AS7</f>
        <v>0.1186570449534313</v>
      </c>
      <c r="AZ20" s="1175">
        <f t="shared" si="17"/>
        <v>0.1381900821774544</v>
      </c>
      <c r="BA20" s="1175">
        <f t="shared" si="17"/>
        <v>0.15742708517762552</v>
      </c>
      <c r="BB20" s="1176">
        <f t="shared" si="17"/>
        <v>0.16298325470522954</v>
      </c>
      <c r="BC20" s="1176">
        <f t="shared" si="17"/>
        <v>0.14431436675343517</v>
      </c>
      <c r="BD20" s="1076"/>
      <c r="BE20" s="1174">
        <f t="shared" ref="BE20:BI26" si="18">BE7+AY7</f>
        <v>0.16526188583382409</v>
      </c>
      <c r="BF20" s="1175">
        <f t="shared" si="18"/>
        <v>0.16425904548203432</v>
      </c>
      <c r="BG20" s="1175">
        <f t="shared" si="18"/>
        <v>0.12636570523614044</v>
      </c>
      <c r="BH20" s="1176">
        <f t="shared" si="18"/>
        <v>0.17109039963313843</v>
      </c>
      <c r="BI20" s="1176">
        <f t="shared" si="18"/>
        <v>0.15810199143927353</v>
      </c>
      <c r="BJ20" s="1076"/>
      <c r="BK20" s="1174">
        <f t="shared" ref="BK20:BO26" si="19">BK7+BE7</f>
        <v>0.10767094789625925</v>
      </c>
      <c r="BL20" s="1175">
        <f t="shared" si="19"/>
        <v>0.13165719835312012</v>
      </c>
      <c r="BM20" s="1175">
        <f t="shared" si="19"/>
        <v>0.11417654937923002</v>
      </c>
      <c r="BN20" s="1176">
        <f t="shared" si="19"/>
        <v>0.16502944410549492</v>
      </c>
      <c r="BO20" s="1176">
        <f t="shared" si="19"/>
        <v>0.13241927010058291</v>
      </c>
      <c r="BP20" s="1076"/>
      <c r="BQ20" s="1174">
        <f t="shared" ref="BQ20:BU26" si="20">BQ7+BK7</f>
        <v>0.12438981439584551</v>
      </c>
      <c r="BR20" s="1175">
        <f t="shared" si="20"/>
        <v>0.12281204511131361</v>
      </c>
      <c r="BS20" s="1175">
        <f t="shared" si="20"/>
        <v>0.12000040462018924</v>
      </c>
      <c r="BT20" s="1176">
        <f t="shared" si="20"/>
        <v>0.11300953892195734</v>
      </c>
      <c r="BU20" s="1176">
        <f t="shared" si="20"/>
        <v>0.12035283474376998</v>
      </c>
      <c r="BV20" s="1076"/>
      <c r="BW20" s="1174">
        <f t="shared" ref="BW20:BW26" si="21">BW7+BQ7</f>
        <v>0.13393013251247954</v>
      </c>
      <c r="BX20" s="1175">
        <f t="shared" ref="BX20:BX26" si="22">BX7+BR7</f>
        <v>0.13005551015005146</v>
      </c>
      <c r="BY20" s="1175">
        <f t="shared" ref="BY20:BY26" si="23">BY7+BS7</f>
        <v>0.1138969745541234</v>
      </c>
      <c r="BZ20" s="1176">
        <f t="shared" ref="BZ20:BZ26" si="24">BZ7+BT7</f>
        <v>0.10187312971905549</v>
      </c>
      <c r="CA20" s="1176">
        <f t="shared" ref="CA20:CA26" si="25">CA7+BU7</f>
        <v>0.11813894957451972</v>
      </c>
      <c r="CB20" s="1076"/>
      <c r="CC20" s="1174">
        <f t="shared" ref="CC20:CC26" si="26">CC7+BW7</f>
        <v>0.12339573068790211</v>
      </c>
      <c r="CD20" s="1175">
        <f t="shared" ref="CD20:CD26" si="27">CD7+BX7</f>
        <v>0.10770848012681289</v>
      </c>
      <c r="CE20" s="1175">
        <f t="shared" ref="CE20:CE26" si="28">CE7+BY7</f>
        <v>0.10305359846227891</v>
      </c>
      <c r="CF20" s="1176">
        <f t="shared" ref="CF20:CF26" si="29">CF7+BZ7</f>
        <v>8.7163082612120135E-2</v>
      </c>
      <c r="CG20" s="1176">
        <f t="shared" ref="CG20:CG26" si="30">CG7+CA7</f>
        <v>0.1040881876792672</v>
      </c>
      <c r="CH20" s="1076"/>
      <c r="CI20" s="1174">
        <f t="shared" ref="CI20:CI26" si="31">CI7+CC7</f>
        <v>0.11705242424317319</v>
      </c>
      <c r="CJ20" s="1175">
        <f t="shared" ref="CJ20:CJ26" si="32">CJ7+CD7</f>
        <v>0.10144354805829936</v>
      </c>
      <c r="CK20" s="1175">
        <f t="shared" ref="CK20:CK26" si="33">CK7+CE7</f>
        <v>9.8257201869946131E-2</v>
      </c>
      <c r="CL20" s="1176">
        <f t="shared" ref="CL20:CL26" si="34">CL7+CF7</f>
        <v>8.2833716360284582E-2</v>
      </c>
      <c r="CM20" s="1176">
        <f t="shared" ref="CM20:CM26" si="35">CM7+CG7</f>
        <v>9.880086946843103E-2</v>
      </c>
      <c r="CO20" s="1449"/>
      <c r="CP20" s="1450" t="s">
        <v>474</v>
      </c>
      <c r="CQ20" s="1450" t="s">
        <v>33</v>
      </c>
      <c r="CR20" s="1450" t="s">
        <v>72</v>
      </c>
      <c r="CS20" s="1450" t="s">
        <v>30</v>
      </c>
      <c r="CT20" s="1450" t="s">
        <v>25</v>
      </c>
      <c r="CU20" s="1450" t="s">
        <v>29</v>
      </c>
      <c r="CV20" s="1450" t="s">
        <v>28</v>
      </c>
      <c r="CW20" s="1450" t="s">
        <v>27</v>
      </c>
      <c r="CX20" s="1450" t="s">
        <v>26</v>
      </c>
      <c r="CY20" s="1450" t="s">
        <v>475</v>
      </c>
      <c r="CZ20" s="1450" t="s">
        <v>476</v>
      </c>
      <c r="DA20" s="1450" t="str">
        <f t="shared" ref="DA20:DI20" si="36">+DA6</f>
        <v>4Q14</v>
      </c>
      <c r="DB20" s="1450" t="str">
        <f t="shared" si="36"/>
        <v>1Q15</v>
      </c>
      <c r="DC20" s="1450" t="str">
        <f t="shared" si="36"/>
        <v>2Q15</v>
      </c>
      <c r="DD20" s="1450" t="str">
        <f t="shared" si="36"/>
        <v>3Q15</v>
      </c>
      <c r="DE20" s="1450" t="str">
        <f t="shared" si="36"/>
        <v>4Q15</v>
      </c>
      <c r="DF20" s="1450" t="str">
        <f t="shared" si="36"/>
        <v>1Q16</v>
      </c>
      <c r="DG20" s="1450" t="str">
        <f t="shared" si="36"/>
        <v>2Q16</v>
      </c>
      <c r="DH20" s="1450" t="str">
        <f t="shared" si="36"/>
        <v>3Q16</v>
      </c>
      <c r="DI20" s="1450" t="str">
        <f t="shared" si="36"/>
        <v>4Q16</v>
      </c>
      <c r="DJ20" s="1450" t="str">
        <f t="shared" ref="DJ20:DQ20" si="37">+DJ6</f>
        <v>1Q17</v>
      </c>
      <c r="DK20" s="1450" t="str">
        <f t="shared" si="37"/>
        <v>2Q17</v>
      </c>
      <c r="DL20" s="1450" t="str">
        <f t="shared" si="37"/>
        <v>3Q17</v>
      </c>
      <c r="DM20" s="1450" t="str">
        <f t="shared" si="37"/>
        <v>4Q17</v>
      </c>
      <c r="DN20" s="1450" t="str">
        <f t="shared" si="37"/>
        <v>1Q18E</v>
      </c>
      <c r="DO20" s="1450" t="str">
        <f t="shared" si="37"/>
        <v>2Q18E</v>
      </c>
      <c r="DP20" s="1450" t="str">
        <f t="shared" si="37"/>
        <v>3Q18E</v>
      </c>
      <c r="DQ20" s="1450" t="str">
        <f t="shared" si="37"/>
        <v>4Q18E</v>
      </c>
    </row>
    <row r="21" spans="1:121" s="24" customFormat="1">
      <c r="A21" s="1577" t="s">
        <v>468</v>
      </c>
      <c r="B21" s="71"/>
      <c r="C21" s="150"/>
      <c r="D21" s="150"/>
      <c r="E21" s="150"/>
      <c r="F21" s="150"/>
      <c r="G21" s="163"/>
      <c r="H21" s="1075"/>
      <c r="I21" s="176">
        <f t="shared" ref="I21:M26" si="38">I8+C8</f>
        <v>0.16999999999999998</v>
      </c>
      <c r="J21" s="109">
        <f t="shared" si="38"/>
        <v>0.21</v>
      </c>
      <c r="K21" s="109">
        <f t="shared" si="38"/>
        <v>0.15</v>
      </c>
      <c r="L21" s="109">
        <f t="shared" si="38"/>
        <v>-2.0000000000000004E-2</v>
      </c>
      <c r="M21" s="176">
        <f t="shared" si="38"/>
        <v>0.1275</v>
      </c>
      <c r="N21" s="1075"/>
      <c r="O21" s="176">
        <f t="shared" ref="O21:S26" si="39">O8+I8</f>
        <v>-0.11</v>
      </c>
      <c r="P21" s="109">
        <f t="shared" si="39"/>
        <v>-0.05</v>
      </c>
      <c r="Q21" s="109">
        <f t="shared" si="39"/>
        <v>-0.03</v>
      </c>
      <c r="R21" s="109">
        <f t="shared" si="39"/>
        <v>-0.05</v>
      </c>
      <c r="S21" s="1075">
        <f t="shared" si="39"/>
        <v>-0.06</v>
      </c>
      <c r="T21" s="1075"/>
      <c r="U21" s="176">
        <f t="shared" ref="U21:Y26" si="40">U8+O8</f>
        <v>-0.09</v>
      </c>
      <c r="V21" s="109">
        <f t="shared" si="40"/>
        <v>0</v>
      </c>
      <c r="W21" s="109">
        <f t="shared" si="40"/>
        <v>0.03</v>
      </c>
      <c r="X21" s="109">
        <f t="shared" si="40"/>
        <v>0.16</v>
      </c>
      <c r="Y21" s="1075">
        <f t="shared" si="40"/>
        <v>2.5000000000000008E-2</v>
      </c>
      <c r="Z21" s="1075"/>
      <c r="AA21" s="176">
        <f t="shared" si="13"/>
        <v>0.30000000000000004</v>
      </c>
      <c r="AB21" s="109">
        <f t="shared" si="13"/>
        <v>0.14000000000000001</v>
      </c>
      <c r="AC21" s="109">
        <f t="shared" si="13"/>
        <v>0.19</v>
      </c>
      <c r="AD21" s="109">
        <f t="shared" si="13"/>
        <v>0.23</v>
      </c>
      <c r="AE21" s="1075">
        <f t="shared" si="13"/>
        <v>0.21500000000000002</v>
      </c>
      <c r="AF21" s="109"/>
      <c r="AG21" s="176">
        <f t="shared" si="14"/>
        <v>0.14000000000000001</v>
      </c>
      <c r="AH21" s="109">
        <f t="shared" si="14"/>
        <v>0.08</v>
      </c>
      <c r="AI21" s="109">
        <f t="shared" si="14"/>
        <v>0.08</v>
      </c>
      <c r="AJ21" s="1077">
        <f t="shared" si="14"/>
        <v>2.0000000000000004E-2</v>
      </c>
      <c r="AK21" s="1075">
        <f t="shared" si="14"/>
        <v>8.1679787036625942E-2</v>
      </c>
      <c r="AL21" s="109"/>
      <c r="AM21" s="176">
        <f t="shared" si="15"/>
        <v>-1.6526499006605661E-2</v>
      </c>
      <c r="AN21" s="109">
        <f t="shared" si="15"/>
        <v>-1.3583062368503103E-3</v>
      </c>
      <c r="AO21" s="109">
        <f t="shared" si="15"/>
        <v>-2.7277261212860431E-2</v>
      </c>
      <c r="AP21" s="109">
        <f t="shared" si="15"/>
        <v>4.4375348952835833E-2</v>
      </c>
      <c r="AQ21" s="1075">
        <f t="shared" si="15"/>
        <v>3.845587837632003E-3</v>
      </c>
      <c r="AR21" s="109"/>
      <c r="AS21" s="176">
        <f t="shared" si="16"/>
        <v>2.925161115792585E-2</v>
      </c>
      <c r="AT21" s="109">
        <f t="shared" si="16"/>
        <v>2.5463966462517362E-2</v>
      </c>
      <c r="AU21" s="109">
        <f t="shared" si="16"/>
        <v>7.4620712785687715E-2</v>
      </c>
      <c r="AV21" s="109">
        <f t="shared" si="16"/>
        <v>0.18894969073118162</v>
      </c>
      <c r="AW21" s="1075">
        <f t="shared" si="16"/>
        <v>8.1933975461204345E-2</v>
      </c>
      <c r="AX21" s="1075"/>
      <c r="AY21" s="176">
        <f t="shared" si="17"/>
        <v>6.9613019783274638E-2</v>
      </c>
      <c r="AZ21" s="109">
        <f t="shared" si="17"/>
        <v>0.15307389261167914</v>
      </c>
      <c r="BA21" s="109">
        <f t="shared" si="17"/>
        <v>0.1653980819179558</v>
      </c>
      <c r="BB21" s="109">
        <f t="shared" si="17"/>
        <v>0.1507397976536331</v>
      </c>
      <c r="BC21" s="1075">
        <f t="shared" si="17"/>
        <v>0.13470619799163569</v>
      </c>
      <c r="BD21" s="1075"/>
      <c r="BE21" s="176">
        <f t="shared" si="18"/>
        <v>0.13584273038175446</v>
      </c>
      <c r="BF21" s="109">
        <f t="shared" si="18"/>
        <v>0.17122757247691733</v>
      </c>
      <c r="BG21" s="109">
        <f t="shared" si="18"/>
        <v>0.11301819684204063</v>
      </c>
      <c r="BH21" s="109">
        <f t="shared" si="18"/>
        <v>0.16361690769699977</v>
      </c>
      <c r="BI21" s="1075">
        <f t="shared" si="18"/>
        <v>0.14921586707800205</v>
      </c>
      <c r="BJ21" s="1075"/>
      <c r="BK21" s="176">
        <f t="shared" si="19"/>
        <v>9.144849036821788E-2</v>
      </c>
      <c r="BL21" s="109">
        <f t="shared" si="19"/>
        <v>0.10381108267572992</v>
      </c>
      <c r="BM21" s="109">
        <f t="shared" si="19"/>
        <v>8.126728033122177E-2</v>
      </c>
      <c r="BN21" s="109">
        <f t="shared" si="19"/>
        <v>0.13860101208280673</v>
      </c>
      <c r="BO21" s="1075">
        <f t="shared" si="19"/>
        <v>0.10726536020772914</v>
      </c>
      <c r="BP21" s="1075"/>
      <c r="BQ21" s="176">
        <f t="shared" si="20"/>
        <v>0.11910944220747574</v>
      </c>
      <c r="BR21" s="109">
        <f t="shared" si="20"/>
        <v>9.4146731036739872E-2</v>
      </c>
      <c r="BS21" s="109">
        <f t="shared" si="20"/>
        <v>9.5586537785225634E-2</v>
      </c>
      <c r="BT21" s="109">
        <f t="shared" si="20"/>
        <v>8.3085693553032636E-2</v>
      </c>
      <c r="BU21" s="1075">
        <f t="shared" si="20"/>
        <v>9.7775607280914847E-2</v>
      </c>
      <c r="BV21" s="1075"/>
      <c r="BW21" s="176">
        <f t="shared" si="21"/>
        <v>0.11028453946355954</v>
      </c>
      <c r="BX21" s="109">
        <f t="shared" si="22"/>
        <v>0.10083040373363339</v>
      </c>
      <c r="BY21" s="109">
        <f t="shared" si="23"/>
        <v>9.0162880952641133E-2</v>
      </c>
      <c r="BZ21" s="109">
        <f t="shared" si="24"/>
        <v>8.41421044201216E-2</v>
      </c>
      <c r="CA21" s="1075">
        <f t="shared" si="25"/>
        <v>9.4305416948779835E-2</v>
      </c>
      <c r="CB21" s="1075"/>
      <c r="CC21" s="176">
        <f t="shared" si="26"/>
        <v>0.11597061396826636</v>
      </c>
      <c r="CD21" s="109">
        <f t="shared" si="27"/>
        <v>8.551880280801738E-2</v>
      </c>
      <c r="CE21" s="109">
        <f t="shared" si="28"/>
        <v>9.0186020994753147E-2</v>
      </c>
      <c r="CF21" s="109">
        <f t="shared" si="29"/>
        <v>6.1793076401966962E-2</v>
      </c>
      <c r="CG21" s="1075">
        <f t="shared" si="30"/>
        <v>8.530249320750527E-2</v>
      </c>
      <c r="CH21" s="1075"/>
      <c r="CI21" s="176">
        <f t="shared" si="31"/>
        <v>0.11073326361679192</v>
      </c>
      <c r="CJ21" s="109">
        <f t="shared" si="32"/>
        <v>8.0000000000000071E-2</v>
      </c>
      <c r="CK21" s="109">
        <f t="shared" si="33"/>
        <v>8.7773086196909489E-2</v>
      </c>
      <c r="CL21" s="109">
        <f t="shared" si="34"/>
        <v>5.9408068263494762E-2</v>
      </c>
      <c r="CM21" s="1075">
        <f t="shared" si="35"/>
        <v>8.1742038329597699E-2</v>
      </c>
      <c r="CO21" s="1452" t="str">
        <f t="shared" ref="CO21:CO28" si="41">A20</f>
        <v>WAT Division</v>
      </c>
      <c r="CP21" s="1453">
        <f t="shared" ref="CP21:CS28" si="42">AG20</f>
        <v>0.13507332907795677</v>
      </c>
      <c r="CQ21" s="1453">
        <f t="shared" si="42"/>
        <v>0.11334526564441652</v>
      </c>
      <c r="CR21" s="1453">
        <f t="shared" si="42"/>
        <v>0.11117255712254925</v>
      </c>
      <c r="CS21" s="1453">
        <f t="shared" si="42"/>
        <v>7.2515934293232984E-2</v>
      </c>
      <c r="CT21" s="1453">
        <f t="shared" ref="CT21:CW28" si="43">AM20</f>
        <v>4.2289967481266524E-2</v>
      </c>
      <c r="CU21" s="1453">
        <f t="shared" si="43"/>
        <v>5.3962698195757233E-2</v>
      </c>
      <c r="CV21" s="1453">
        <f t="shared" si="43"/>
        <v>4.1880166645686459E-2</v>
      </c>
      <c r="CW21" s="1453">
        <f t="shared" si="43"/>
        <v>0.10096022194338836</v>
      </c>
      <c r="CX21" s="1453">
        <f t="shared" ref="CX21:DA28" si="44">AS20</f>
        <v>5.7625368782837832E-2</v>
      </c>
      <c r="CY21" s="1453">
        <f t="shared" si="44"/>
        <v>8.0009951314194069E-2</v>
      </c>
      <c r="CZ21" s="1453">
        <f t="shared" si="44"/>
        <v>0.10676469219130545</v>
      </c>
      <c r="DA21" s="1453">
        <f t="shared" si="44"/>
        <v>0.194123670321173</v>
      </c>
      <c r="DB21" s="1453">
        <f t="shared" ref="DB21:DE28" si="45">AY20</f>
        <v>0.1186570449534313</v>
      </c>
      <c r="DC21" s="1453">
        <f t="shared" si="45"/>
        <v>0.1381900821774544</v>
      </c>
      <c r="DD21" s="1453">
        <f t="shared" si="45"/>
        <v>0.15742708517762552</v>
      </c>
      <c r="DE21" s="1453">
        <f t="shared" si="45"/>
        <v>0.16298325470522954</v>
      </c>
      <c r="DF21" s="1453">
        <f t="shared" ref="DF21:DI28" si="46">BE20</f>
        <v>0.16526188583382409</v>
      </c>
      <c r="DG21" s="1453">
        <f t="shared" si="46"/>
        <v>0.16425904548203432</v>
      </c>
      <c r="DH21" s="1453">
        <f t="shared" si="46"/>
        <v>0.12636570523614044</v>
      </c>
      <c r="DI21" s="1453">
        <f t="shared" si="46"/>
        <v>0.17109039963313843</v>
      </c>
      <c r="DJ21" s="1453">
        <f t="shared" ref="DJ21:DM28" si="47">BK20</f>
        <v>0.10767094789625925</v>
      </c>
      <c r="DK21" s="1453">
        <f t="shared" si="47"/>
        <v>0.13165719835312012</v>
      </c>
      <c r="DL21" s="1453">
        <f t="shared" si="47"/>
        <v>0.11417654937923002</v>
      </c>
      <c r="DM21" s="1453">
        <f t="shared" si="47"/>
        <v>0.16502944410549492</v>
      </c>
      <c r="DN21" s="1453">
        <f t="shared" ref="DN21:DN28" si="48">BQ20</f>
        <v>0.12438981439584551</v>
      </c>
      <c r="DO21" s="1453">
        <f t="shared" ref="DO21:DQ28" si="49">BR20</f>
        <v>0.12281204511131361</v>
      </c>
      <c r="DP21" s="1453">
        <f t="shared" si="49"/>
        <v>0.12000040462018924</v>
      </c>
      <c r="DQ21" s="1453">
        <f t="shared" si="49"/>
        <v>0.11300953892195734</v>
      </c>
    </row>
    <row r="22" spans="1:121" s="24" customFormat="1">
      <c r="A22" s="1577" t="s">
        <v>471</v>
      </c>
      <c r="B22" s="71"/>
      <c r="C22" s="109"/>
      <c r="D22" s="109"/>
      <c r="E22" s="109"/>
      <c r="F22" s="109"/>
      <c r="G22" s="1075"/>
      <c r="H22" s="1075"/>
      <c r="I22" s="176">
        <f t="shared" si="38"/>
        <v>0.14000000000000001</v>
      </c>
      <c r="J22" s="109">
        <f t="shared" si="38"/>
        <v>0.2</v>
      </c>
      <c r="K22" s="109">
        <f t="shared" si="38"/>
        <v>0.17499999999999999</v>
      </c>
      <c r="L22" s="109">
        <f t="shared" si="38"/>
        <v>0.16</v>
      </c>
      <c r="M22" s="176">
        <f t="shared" si="38"/>
        <v>0.16875000000000001</v>
      </c>
      <c r="N22" s="1075"/>
      <c r="O22" s="176">
        <f t="shared" si="39"/>
        <v>0.14000000000000001</v>
      </c>
      <c r="P22" s="109">
        <f t="shared" si="39"/>
        <v>0.13</v>
      </c>
      <c r="Q22" s="109">
        <f t="shared" si="39"/>
        <v>0.15</v>
      </c>
      <c r="R22" s="109">
        <f t="shared" si="39"/>
        <v>6.0000000000000005E-2</v>
      </c>
      <c r="S22" s="1075">
        <f t="shared" si="39"/>
        <v>0.12</v>
      </c>
      <c r="T22" s="1075"/>
      <c r="U22" s="176">
        <f t="shared" si="40"/>
        <v>0.15</v>
      </c>
      <c r="V22" s="109">
        <f t="shared" si="40"/>
        <v>9.0000000000000011E-2</v>
      </c>
      <c r="W22" s="109">
        <f t="shared" si="40"/>
        <v>0.12</v>
      </c>
      <c r="X22" s="109">
        <f t="shared" si="40"/>
        <v>9.0000000000000011E-2</v>
      </c>
      <c r="Y22" s="1075">
        <f t="shared" si="40"/>
        <v>0.1125</v>
      </c>
      <c r="Z22" s="1075"/>
      <c r="AA22" s="176">
        <f t="shared" si="13"/>
        <v>0.13</v>
      </c>
      <c r="AB22" s="109">
        <f t="shared" si="13"/>
        <v>0.16</v>
      </c>
      <c r="AC22" s="109">
        <f t="shared" si="13"/>
        <v>0.14000000000000001</v>
      </c>
      <c r="AD22" s="109">
        <f t="shared" si="13"/>
        <v>0.17</v>
      </c>
      <c r="AE22" s="1075">
        <f t="shared" si="13"/>
        <v>0.15000000000000002</v>
      </c>
      <c r="AF22" s="109"/>
      <c r="AG22" s="176">
        <f t="shared" si="14"/>
        <v>0.14000000000000001</v>
      </c>
      <c r="AH22" s="109">
        <f t="shared" si="14"/>
        <v>0.14000000000000001</v>
      </c>
      <c r="AI22" s="109">
        <f t="shared" si="14"/>
        <v>0.15000000000000002</v>
      </c>
      <c r="AJ22" s="1077">
        <f t="shared" si="14"/>
        <v>0.15000000000000002</v>
      </c>
      <c r="AK22" s="1075">
        <f t="shared" si="14"/>
        <v>0.14128153090514439</v>
      </c>
      <c r="AL22" s="109"/>
      <c r="AM22" s="176">
        <f t="shared" si="15"/>
        <v>0.10061254222113708</v>
      </c>
      <c r="AN22" s="109">
        <f t="shared" si="15"/>
        <v>0.12147769469454191</v>
      </c>
      <c r="AO22" s="109">
        <f t="shared" si="15"/>
        <v>0.12087292042493497</v>
      </c>
      <c r="AP22" s="109">
        <f t="shared" si="15"/>
        <v>0.17403589246447398</v>
      </c>
      <c r="AQ22" s="1075">
        <f t="shared" si="15"/>
        <v>0.12638851934954687</v>
      </c>
      <c r="AR22" s="109"/>
      <c r="AS22" s="176">
        <f t="shared" si="16"/>
        <v>8.314655677667504E-2</v>
      </c>
      <c r="AT22" s="109">
        <f t="shared" si="16"/>
        <v>0.1357625381950982</v>
      </c>
      <c r="AU22" s="109">
        <f t="shared" si="16"/>
        <v>0.13919642653272191</v>
      </c>
      <c r="AV22" s="109">
        <f t="shared" si="16"/>
        <v>0.20012934045034969</v>
      </c>
      <c r="AW22" s="1075">
        <f t="shared" si="16"/>
        <v>0.14041594148184172</v>
      </c>
      <c r="AX22" s="1075"/>
      <c r="AY22" s="176">
        <f t="shared" si="17"/>
        <v>0.1646960691286278</v>
      </c>
      <c r="AZ22" s="109">
        <f t="shared" si="17"/>
        <v>0.1288376199248612</v>
      </c>
      <c r="BA22" s="109">
        <f t="shared" si="17"/>
        <v>0.15443605641128266</v>
      </c>
      <c r="BB22" s="109">
        <f t="shared" si="17"/>
        <v>0.17710713456245131</v>
      </c>
      <c r="BC22" s="1075">
        <f t="shared" si="17"/>
        <v>0.15626922000680576</v>
      </c>
      <c r="BD22" s="1075"/>
      <c r="BE22" s="176">
        <f t="shared" si="18"/>
        <v>0.19959945938652426</v>
      </c>
      <c r="BF22" s="109">
        <f t="shared" si="18"/>
        <v>0.16277768862090369</v>
      </c>
      <c r="BG22" s="109">
        <f t="shared" si="18"/>
        <v>0.14405192002363731</v>
      </c>
      <c r="BH22" s="109">
        <f t="shared" si="18"/>
        <v>0.15835123672445706</v>
      </c>
      <c r="BI22" s="1075">
        <f t="shared" si="18"/>
        <v>0.16745108770250189</v>
      </c>
      <c r="BJ22" s="1075"/>
      <c r="BK22" s="176">
        <f t="shared" si="19"/>
        <v>0.14949728667914164</v>
      </c>
      <c r="BL22" s="109">
        <f t="shared" si="19"/>
        <v>0.15830471644555444</v>
      </c>
      <c r="BM22" s="109">
        <f t="shared" si="19"/>
        <v>0.16493001306235211</v>
      </c>
      <c r="BN22" s="109">
        <f t="shared" si="19"/>
        <v>0.17415566869241772</v>
      </c>
      <c r="BO22" s="1075">
        <f t="shared" si="19"/>
        <v>0.1587754802513508</v>
      </c>
      <c r="BP22" s="1075"/>
      <c r="BQ22" s="176">
        <f t="shared" si="20"/>
        <v>0.15575207046078632</v>
      </c>
      <c r="BR22" s="109">
        <f t="shared" si="20"/>
        <v>0.14939748348859361</v>
      </c>
      <c r="BS22" s="109">
        <f t="shared" si="20"/>
        <v>0.16134635917234474</v>
      </c>
      <c r="BT22" s="109">
        <f t="shared" si="20"/>
        <v>0.14725134667051609</v>
      </c>
      <c r="BU22" s="1075">
        <f t="shared" si="20"/>
        <v>0.14702443265129905</v>
      </c>
      <c r="BV22" s="1075"/>
      <c r="BW22" s="176">
        <f t="shared" si="21"/>
        <v>0.16187221988755873</v>
      </c>
      <c r="BX22" s="109">
        <f t="shared" si="22"/>
        <v>0.15662159838083567</v>
      </c>
      <c r="BY22" s="109">
        <f t="shared" si="23"/>
        <v>0.13494304803623969</v>
      </c>
      <c r="BZ22" s="109">
        <f t="shared" si="24"/>
        <v>0.12116313823778868</v>
      </c>
      <c r="CA22" s="1075">
        <f t="shared" si="25"/>
        <v>0.14133102762113725</v>
      </c>
      <c r="CB22" s="1075"/>
      <c r="CC22" s="176">
        <f t="shared" si="26"/>
        <v>0.12912297845731668</v>
      </c>
      <c r="CD22" s="109">
        <f t="shared" si="27"/>
        <v>0.12730391914119776</v>
      </c>
      <c r="CE22" s="109">
        <f t="shared" si="28"/>
        <v>0.11418103871047203</v>
      </c>
      <c r="CF22" s="109">
        <f t="shared" si="29"/>
        <v>0.11437152293278041</v>
      </c>
      <c r="CG22" s="1075">
        <f t="shared" si="30"/>
        <v>0.12104038974849374</v>
      </c>
      <c r="CH22" s="1075"/>
      <c r="CI22" s="176">
        <f t="shared" si="31"/>
        <v>0.12189394407666176</v>
      </c>
      <c r="CJ22" s="109">
        <f t="shared" si="32"/>
        <v>0.12000000000000011</v>
      </c>
      <c r="CK22" s="109">
        <f t="shared" si="33"/>
        <v>0.10720926425790256</v>
      </c>
      <c r="CL22" s="109">
        <f t="shared" si="34"/>
        <v>0.10730520160036194</v>
      </c>
      <c r="CM22" s="1075">
        <f t="shared" si="35"/>
        <v>0.1139225652157918</v>
      </c>
      <c r="CO22" s="1474" t="str">
        <f t="shared" si="41"/>
        <v>Instruments</v>
      </c>
      <c r="CP22" s="1475">
        <f t="shared" si="42"/>
        <v>0.14000000000000001</v>
      </c>
      <c r="CQ22" s="1475">
        <f t="shared" si="42"/>
        <v>0.08</v>
      </c>
      <c r="CR22" s="1475">
        <f t="shared" si="42"/>
        <v>0.08</v>
      </c>
      <c r="CS22" s="1475">
        <f t="shared" si="42"/>
        <v>2.0000000000000004E-2</v>
      </c>
      <c r="CT22" s="1475">
        <f t="shared" si="43"/>
        <v>-1.6526499006605661E-2</v>
      </c>
      <c r="CU22" s="1475">
        <f t="shared" si="43"/>
        <v>-1.3583062368503103E-3</v>
      </c>
      <c r="CV22" s="1475">
        <f t="shared" si="43"/>
        <v>-2.7277261212860431E-2</v>
      </c>
      <c r="CW22" s="1475">
        <f t="shared" si="43"/>
        <v>4.4375348952835833E-2</v>
      </c>
      <c r="CX22" s="1475">
        <f t="shared" si="44"/>
        <v>2.925161115792585E-2</v>
      </c>
      <c r="CY22" s="1475">
        <f t="shared" si="44"/>
        <v>2.5463966462517362E-2</v>
      </c>
      <c r="CZ22" s="1475">
        <f t="shared" si="44"/>
        <v>7.4620712785687715E-2</v>
      </c>
      <c r="DA22" s="1475">
        <f t="shared" si="44"/>
        <v>0.18894969073118162</v>
      </c>
      <c r="DB22" s="1475">
        <f t="shared" si="45"/>
        <v>6.9613019783274638E-2</v>
      </c>
      <c r="DC22" s="1475">
        <f t="shared" si="45"/>
        <v>0.15307389261167914</v>
      </c>
      <c r="DD22" s="1475">
        <f t="shared" si="45"/>
        <v>0.1653980819179558</v>
      </c>
      <c r="DE22" s="1475">
        <f t="shared" si="45"/>
        <v>0.1507397976536331</v>
      </c>
      <c r="DF22" s="1475">
        <f t="shared" si="46"/>
        <v>0.13584273038175446</v>
      </c>
      <c r="DG22" s="1475">
        <f t="shared" si="46"/>
        <v>0.17122757247691733</v>
      </c>
      <c r="DH22" s="1475">
        <f t="shared" si="46"/>
        <v>0.11301819684204063</v>
      </c>
      <c r="DI22" s="1475">
        <f t="shared" si="46"/>
        <v>0.16361690769699977</v>
      </c>
      <c r="DJ22" s="1475">
        <f t="shared" si="47"/>
        <v>9.144849036821788E-2</v>
      </c>
      <c r="DK22" s="1475">
        <f t="shared" si="47"/>
        <v>0.10381108267572992</v>
      </c>
      <c r="DL22" s="1475">
        <f t="shared" si="47"/>
        <v>8.126728033122177E-2</v>
      </c>
      <c r="DM22" s="1475">
        <f t="shared" si="47"/>
        <v>0.13860101208280673</v>
      </c>
      <c r="DN22" s="1475">
        <f t="shared" si="48"/>
        <v>0.11910944220747574</v>
      </c>
      <c r="DO22" s="1475">
        <f t="shared" si="49"/>
        <v>9.4146731036739872E-2</v>
      </c>
      <c r="DP22" s="1475">
        <f t="shared" si="49"/>
        <v>9.5586537785225634E-2</v>
      </c>
      <c r="DQ22" s="1475">
        <f t="shared" si="49"/>
        <v>8.3085693553032636E-2</v>
      </c>
    </row>
    <row r="23" spans="1:121" s="24" customFormat="1">
      <c r="A23" s="1578" t="s">
        <v>0</v>
      </c>
      <c r="B23" s="167"/>
      <c r="C23" s="109"/>
      <c r="D23" s="109"/>
      <c r="E23" s="109"/>
      <c r="F23" s="109"/>
      <c r="G23" s="1075"/>
      <c r="H23" s="1075"/>
      <c r="I23" s="176">
        <f t="shared" si="38"/>
        <v>0.45</v>
      </c>
      <c r="J23" s="109">
        <f t="shared" si="38"/>
        <v>0.28000000000000003</v>
      </c>
      <c r="K23" s="109">
        <f t="shared" si="38"/>
        <v>0.51</v>
      </c>
      <c r="L23" s="109">
        <f t="shared" si="38"/>
        <v>0.17</v>
      </c>
      <c r="M23" s="176">
        <f t="shared" si="38"/>
        <v>0.35250000000000004</v>
      </c>
      <c r="N23" s="1075"/>
      <c r="O23" s="176">
        <f t="shared" si="39"/>
        <v>0.06</v>
      </c>
      <c r="P23" s="109">
        <f t="shared" si="39"/>
        <v>0.03</v>
      </c>
      <c r="Q23" s="109">
        <f t="shared" si="39"/>
        <v>-0.03</v>
      </c>
      <c r="R23" s="109">
        <f t="shared" si="39"/>
        <v>-9.0000000000000011E-2</v>
      </c>
      <c r="S23" s="1075">
        <f t="shared" si="39"/>
        <v>-7.4999999999999928E-3</v>
      </c>
      <c r="T23" s="1075"/>
      <c r="U23" s="176">
        <f t="shared" si="40"/>
        <v>2.0000000000000004E-2</v>
      </c>
      <c r="V23" s="109">
        <f t="shared" si="40"/>
        <v>0.16000000000000003</v>
      </c>
      <c r="W23" s="109">
        <f t="shared" si="40"/>
        <v>3.999999999999998E-2</v>
      </c>
      <c r="X23" s="109">
        <f t="shared" si="40"/>
        <v>4.9999999999999989E-2</v>
      </c>
      <c r="Y23" s="1075">
        <f t="shared" si="40"/>
        <v>6.7500000000000018E-2</v>
      </c>
      <c r="Z23" s="1075"/>
      <c r="AA23" s="176">
        <f t="shared" si="13"/>
        <v>0.2</v>
      </c>
      <c r="AB23" s="109">
        <f t="shared" si="13"/>
        <v>0.38</v>
      </c>
      <c r="AC23" s="109">
        <f t="shared" si="13"/>
        <v>0.32</v>
      </c>
      <c r="AD23" s="109">
        <f t="shared" si="13"/>
        <v>0.29880894044702278</v>
      </c>
      <c r="AE23" s="1075">
        <f t="shared" si="13"/>
        <v>0.29970223511175575</v>
      </c>
      <c r="AF23" s="109"/>
      <c r="AG23" s="176">
        <f t="shared" si="14"/>
        <v>0.22</v>
      </c>
      <c r="AH23" s="109">
        <f t="shared" si="14"/>
        <v>0.21000000000000002</v>
      </c>
      <c r="AI23" s="109">
        <f t="shared" si="14"/>
        <v>0.12</v>
      </c>
      <c r="AJ23" s="1077">
        <f t="shared" si="14"/>
        <v>0.24880894044702279</v>
      </c>
      <c r="AK23" s="1075">
        <f t="shared" si="14"/>
        <v>0.20690023469124702</v>
      </c>
      <c r="AL23" s="109"/>
      <c r="AM23" s="176">
        <f t="shared" si="15"/>
        <v>0.16513870824242186</v>
      </c>
      <c r="AN23" s="109">
        <f t="shared" si="15"/>
        <v>9.0038450975006748E-2</v>
      </c>
      <c r="AO23" s="109">
        <f t="shared" si="15"/>
        <v>0.17052089642640822</v>
      </c>
      <c r="AP23" s="109">
        <f t="shared" si="15"/>
        <v>0.24057605816031019</v>
      </c>
      <c r="AQ23" s="1075">
        <f t="shared" si="15"/>
        <v>0.17885310138815913</v>
      </c>
      <c r="AR23" s="109"/>
      <c r="AS23" s="176">
        <f t="shared" si="16"/>
        <v>2.3963560531179429E-2</v>
      </c>
      <c r="AT23" s="109">
        <f t="shared" si="16"/>
        <v>-1.4497478507017075E-2</v>
      </c>
      <c r="AU23" s="109">
        <f t="shared" si="16"/>
        <v>0.10098718083992816</v>
      </c>
      <c r="AV23" s="109">
        <f t="shared" si="16"/>
        <v>5.4257277771455698E-2</v>
      </c>
      <c r="AW23" s="1075">
        <f t="shared" si="16"/>
        <v>4.6264208516517628E-2</v>
      </c>
      <c r="AX23" s="1075"/>
      <c r="AY23" s="176">
        <f t="shared" si="17"/>
        <v>8.0638963463836172E-2</v>
      </c>
      <c r="AZ23" s="109">
        <f t="shared" si="17"/>
        <v>4.6465089697073664E-2</v>
      </c>
      <c r="BA23" s="109">
        <f t="shared" si="17"/>
        <v>-1.2996032155791835E-2</v>
      </c>
      <c r="BB23" s="109">
        <f t="shared" si="17"/>
        <v>8.3209030717841748E-2</v>
      </c>
      <c r="BC23" s="1075">
        <f t="shared" si="17"/>
        <v>4.9329262930739935E-2</v>
      </c>
      <c r="BD23" s="1075"/>
      <c r="BE23" s="176">
        <f t="shared" si="18"/>
        <v>0.14993733777060939</v>
      </c>
      <c r="BF23" s="109">
        <f t="shared" si="18"/>
        <v>0.13917094129314161</v>
      </c>
      <c r="BG23" s="109">
        <f t="shared" si="18"/>
        <v>5.8408134181348166E-2</v>
      </c>
      <c r="BH23" s="109">
        <f t="shared" si="18"/>
        <v>0.17513124040335401</v>
      </c>
      <c r="BI23" s="1075">
        <f t="shared" si="18"/>
        <v>0.12713154894530329</v>
      </c>
      <c r="BJ23" s="1075"/>
      <c r="BK23" s="176">
        <f t="shared" si="19"/>
        <v>0.11648355801581954</v>
      </c>
      <c r="BL23" s="109">
        <f t="shared" si="19"/>
        <v>0.15383905006023019</v>
      </c>
      <c r="BM23" s="109">
        <f t="shared" si="19"/>
        <v>0.11243391982088917</v>
      </c>
      <c r="BN23" s="109">
        <f t="shared" si="19"/>
        <v>8.3222291704619034E-2</v>
      </c>
      <c r="BO23" s="1075">
        <f t="shared" si="19"/>
        <v>0.11247071758872362</v>
      </c>
      <c r="BP23" s="1075"/>
      <c r="BQ23" s="176">
        <f t="shared" si="20"/>
        <v>0.14034869230974709</v>
      </c>
      <c r="BR23" s="109">
        <f t="shared" si="20"/>
        <v>0.12838361691712663</v>
      </c>
      <c r="BS23" s="109">
        <f t="shared" si="20"/>
        <v>0.17581469834363456</v>
      </c>
      <c r="BT23" s="109">
        <f t="shared" si="20"/>
        <v>0.19734950962441578</v>
      </c>
      <c r="BU23" s="1075">
        <f t="shared" si="20"/>
        <v>0.16025891225458322</v>
      </c>
      <c r="BV23" s="1075"/>
      <c r="BW23" s="176">
        <f t="shared" si="21"/>
        <v>0.12275129485232583</v>
      </c>
      <c r="BX23" s="109">
        <f t="shared" si="22"/>
        <v>0.14392912988738127</v>
      </c>
      <c r="BY23" s="109">
        <f t="shared" si="23"/>
        <v>0.14664132390527262</v>
      </c>
      <c r="BZ23" s="109">
        <f t="shared" si="24"/>
        <v>0.16174220277101825</v>
      </c>
      <c r="CA23" s="1075">
        <f t="shared" si="25"/>
        <v>0.14412381210066139</v>
      </c>
      <c r="CB23" s="1075"/>
      <c r="CC23" s="176">
        <f t="shared" si="26"/>
        <v>0.12076293396286752</v>
      </c>
      <c r="CD23" s="109">
        <f t="shared" si="27"/>
        <v>0.12121464091644096</v>
      </c>
      <c r="CE23" s="109">
        <f t="shared" si="28"/>
        <v>0.12139009463186734</v>
      </c>
      <c r="CF23" s="109">
        <f t="shared" si="29"/>
        <v>0.122011555554564</v>
      </c>
      <c r="CG23" s="1075">
        <f t="shared" si="30"/>
        <v>0.12142422471238867</v>
      </c>
      <c r="CH23" s="1075"/>
      <c r="CI23" s="176">
        <f t="shared" si="31"/>
        <v>0.10000000000000031</v>
      </c>
      <c r="CJ23" s="109">
        <f t="shared" si="32"/>
        <v>0.10000000000000031</v>
      </c>
      <c r="CK23" s="109">
        <f t="shared" si="33"/>
        <v>0.10000000000000009</v>
      </c>
      <c r="CL23" s="109">
        <f t="shared" si="34"/>
        <v>0.10000000000000031</v>
      </c>
      <c r="CM23" s="1075">
        <f t="shared" si="35"/>
        <v>9.9999999999999867E-2</v>
      </c>
      <c r="CO23" s="1454" t="str">
        <f t="shared" si="41"/>
        <v>Recurring (Chem/Svs)</v>
      </c>
      <c r="CP23" s="1451">
        <f t="shared" si="42"/>
        <v>0.14000000000000001</v>
      </c>
      <c r="CQ23" s="1451">
        <f t="shared" si="42"/>
        <v>0.14000000000000001</v>
      </c>
      <c r="CR23" s="1451">
        <f t="shared" si="42"/>
        <v>0.15000000000000002</v>
      </c>
      <c r="CS23" s="1451">
        <f t="shared" si="42"/>
        <v>0.15000000000000002</v>
      </c>
      <c r="CT23" s="1451">
        <f t="shared" si="43"/>
        <v>0.10061254222113708</v>
      </c>
      <c r="CU23" s="1451">
        <f t="shared" si="43"/>
        <v>0.12147769469454191</v>
      </c>
      <c r="CV23" s="1451">
        <f t="shared" si="43"/>
        <v>0.12087292042493497</v>
      </c>
      <c r="CW23" s="1451">
        <f t="shared" si="43"/>
        <v>0.17403589246447398</v>
      </c>
      <c r="CX23" s="1451">
        <f t="shared" si="44"/>
        <v>8.314655677667504E-2</v>
      </c>
      <c r="CY23" s="1451">
        <f t="shared" si="44"/>
        <v>0.1357625381950982</v>
      </c>
      <c r="CZ23" s="1451">
        <f t="shared" si="44"/>
        <v>0.13919642653272191</v>
      </c>
      <c r="DA23" s="1451">
        <f t="shared" si="44"/>
        <v>0.20012934045034969</v>
      </c>
      <c r="DB23" s="1451">
        <f t="shared" si="45"/>
        <v>0.1646960691286278</v>
      </c>
      <c r="DC23" s="1451">
        <f t="shared" si="45"/>
        <v>0.1288376199248612</v>
      </c>
      <c r="DD23" s="1451">
        <f t="shared" si="45"/>
        <v>0.15443605641128266</v>
      </c>
      <c r="DE23" s="1451">
        <f t="shared" si="45"/>
        <v>0.17710713456245131</v>
      </c>
      <c r="DF23" s="1451">
        <f t="shared" si="46"/>
        <v>0.19959945938652426</v>
      </c>
      <c r="DG23" s="1451">
        <f t="shared" si="46"/>
        <v>0.16277768862090369</v>
      </c>
      <c r="DH23" s="1451">
        <f t="shared" si="46"/>
        <v>0.14405192002363731</v>
      </c>
      <c r="DI23" s="1451">
        <f t="shared" si="46"/>
        <v>0.15835123672445706</v>
      </c>
      <c r="DJ23" s="1451">
        <f t="shared" si="47"/>
        <v>0.14949728667914164</v>
      </c>
      <c r="DK23" s="1451">
        <f t="shared" si="47"/>
        <v>0.15830471644555444</v>
      </c>
      <c r="DL23" s="1451">
        <f t="shared" si="47"/>
        <v>0.16493001306235211</v>
      </c>
      <c r="DM23" s="1451">
        <f t="shared" si="47"/>
        <v>0.17415566869241772</v>
      </c>
      <c r="DN23" s="1451">
        <f t="shared" si="48"/>
        <v>0.15575207046078632</v>
      </c>
      <c r="DO23" s="1451">
        <f t="shared" si="49"/>
        <v>0.14939748348859361</v>
      </c>
      <c r="DP23" s="1451">
        <f t="shared" si="49"/>
        <v>0.16134635917234474</v>
      </c>
      <c r="DQ23" s="1451">
        <f t="shared" si="49"/>
        <v>0.14725134667051609</v>
      </c>
    </row>
    <row r="24" spans="1:121" s="24" customFormat="1">
      <c r="A24" s="1578" t="s">
        <v>463</v>
      </c>
      <c r="B24" s="160"/>
      <c r="C24" s="160"/>
      <c r="D24" s="160"/>
      <c r="E24" s="160"/>
      <c r="F24" s="160"/>
      <c r="G24" s="178"/>
      <c r="H24" s="163"/>
      <c r="I24" s="161">
        <f t="shared" si="38"/>
        <v>0.26461870081656247</v>
      </c>
      <c r="J24" s="150">
        <f t="shared" si="38"/>
        <v>0.30003714942007209</v>
      </c>
      <c r="K24" s="150">
        <f t="shared" si="38"/>
        <v>0.26548602249332165</v>
      </c>
      <c r="L24" s="150">
        <f t="shared" si="38"/>
        <v>8.7272604535895693E-2</v>
      </c>
      <c r="M24" s="161">
        <f t="shared" si="38"/>
        <v>0.22179577311805193</v>
      </c>
      <c r="N24" s="163"/>
      <c r="O24" s="161">
        <f t="shared" si="39"/>
        <v>1.9924589557899663E-2</v>
      </c>
      <c r="P24" s="150">
        <f t="shared" si="39"/>
        <v>4.0578324119245113E-2</v>
      </c>
      <c r="Q24" s="150">
        <f t="shared" si="39"/>
        <v>6.3524644325529067E-2</v>
      </c>
      <c r="R24" s="150">
        <f t="shared" si="39"/>
        <v>-1.7587016195056426E-2</v>
      </c>
      <c r="S24" s="163">
        <f t="shared" si="39"/>
        <v>2.0776418451371681E-2</v>
      </c>
      <c r="T24" s="163"/>
      <c r="U24" s="161">
        <f t="shared" si="40"/>
        <v>-6.6230841706449439E-4</v>
      </c>
      <c r="V24" s="150">
        <f t="shared" si="40"/>
        <v>-1.1688366389525195E-2</v>
      </c>
      <c r="W24" s="150">
        <f t="shared" si="40"/>
        <v>4.0438832548240766E-2</v>
      </c>
      <c r="X24" s="150">
        <f t="shared" si="40"/>
        <v>0.15276135453301087</v>
      </c>
      <c r="Y24" s="163">
        <f t="shared" si="40"/>
        <v>4.801163886104387E-2</v>
      </c>
      <c r="Z24" s="163"/>
      <c r="AA24" s="161">
        <f t="shared" si="13"/>
        <v>0.26694450341271603</v>
      </c>
      <c r="AB24" s="150">
        <f t="shared" si="13"/>
        <v>0.22243553159928697</v>
      </c>
      <c r="AC24" s="150">
        <f t="shared" si="13"/>
        <v>0.20579405369350678</v>
      </c>
      <c r="AD24" s="150">
        <f t="shared" si="13"/>
        <v>0.20587515556166047</v>
      </c>
      <c r="AE24" s="163">
        <f t="shared" si="13"/>
        <v>0.22298631006915004</v>
      </c>
      <c r="AF24" s="150"/>
      <c r="AG24" s="161">
        <f t="shared" si="14"/>
        <v>0.1462032761751243</v>
      </c>
      <c r="AH24" s="150">
        <f t="shared" si="14"/>
        <v>0.15323917567998513</v>
      </c>
      <c r="AI24" s="150">
        <f t="shared" si="14"/>
        <v>0.12331318894499188</v>
      </c>
      <c r="AJ24" s="162">
        <f t="shared" si="14"/>
        <v>7.8917752849575029E-2</v>
      </c>
      <c r="AK24" s="163">
        <f t="shared" si="14"/>
        <v>0.1223806270454062</v>
      </c>
      <c r="AL24" s="150"/>
      <c r="AM24" s="161">
        <f t="shared" si="15"/>
        <v>6.7887609162137208E-3</v>
      </c>
      <c r="AN24" s="150">
        <f t="shared" si="15"/>
        <v>7.798849096349203E-3</v>
      </c>
      <c r="AO24" s="150">
        <f t="shared" si="15"/>
        <v>6.287758598199078E-3</v>
      </c>
      <c r="AP24" s="150">
        <f t="shared" si="15"/>
        <v>8.438309432983937E-2</v>
      </c>
      <c r="AQ24" s="163">
        <f t="shared" si="15"/>
        <v>2.8782575014804079E-2</v>
      </c>
      <c r="AR24" s="150"/>
      <c r="AS24" s="161">
        <f t="shared" si="16"/>
        <v>2.3893223630923943E-2</v>
      </c>
      <c r="AT24" s="150">
        <f t="shared" si="16"/>
        <v>6.7247312412275217E-2</v>
      </c>
      <c r="AU24" s="150">
        <f t="shared" si="16"/>
        <v>9.4756051839369748E-2</v>
      </c>
      <c r="AV24" s="150">
        <f t="shared" si="16"/>
        <v>0.11629899858219495</v>
      </c>
      <c r="AW24" s="163">
        <f t="shared" si="16"/>
        <v>7.7561179713810047E-2</v>
      </c>
      <c r="AX24" s="163"/>
      <c r="AY24" s="161">
        <f t="shared" si="17"/>
        <v>6.9838579437581094E-2</v>
      </c>
      <c r="AZ24" s="150">
        <f t="shared" si="17"/>
        <v>9.4878052286576864E-2</v>
      </c>
      <c r="BA24" s="150">
        <f t="shared" si="17"/>
        <v>9.3419119544884799E-2</v>
      </c>
      <c r="BB24" s="150">
        <f t="shared" si="17"/>
        <v>3.7272302261954993E-2</v>
      </c>
      <c r="BC24" s="163">
        <f t="shared" si="17"/>
        <v>7.1339831364293671E-2</v>
      </c>
      <c r="BD24" s="163"/>
      <c r="BE24" s="161">
        <f t="shared" si="18"/>
        <v>0.10168044609796967</v>
      </c>
      <c r="BF24" s="150">
        <f t="shared" si="18"/>
        <v>0.1113847336643039</v>
      </c>
      <c r="BG24" s="150">
        <f t="shared" si="18"/>
        <v>6.7474855794166455E-2</v>
      </c>
      <c r="BH24" s="150">
        <f t="shared" si="18"/>
        <v>7.6592383937802433E-2</v>
      </c>
      <c r="BI24" s="163">
        <f t="shared" si="18"/>
        <v>8.7885017678592581E-2</v>
      </c>
      <c r="BJ24" s="163"/>
      <c r="BK24" s="161">
        <f t="shared" si="19"/>
        <v>8.0050037546238961E-2</v>
      </c>
      <c r="BL24" s="150">
        <f t="shared" si="19"/>
        <v>0.12495343137433657</v>
      </c>
      <c r="BM24" s="150">
        <f t="shared" si="19"/>
        <v>0.12600410662362171</v>
      </c>
      <c r="BN24" s="150">
        <f t="shared" si="19"/>
        <v>0.16491674872097284</v>
      </c>
      <c r="BO24" s="163">
        <f t="shared" si="19"/>
        <v>0.12660551786979224</v>
      </c>
      <c r="BP24" s="163"/>
      <c r="BQ24" s="161">
        <f t="shared" si="20"/>
        <v>0.13444634815641288</v>
      </c>
      <c r="BR24" s="150">
        <f t="shared" si="20"/>
        <v>0.12841236743188045</v>
      </c>
      <c r="BS24" s="150">
        <f t="shared" si="20"/>
        <v>0.13717306788826211</v>
      </c>
      <c r="BT24" s="150">
        <f t="shared" si="20"/>
        <v>0.15817374641856596</v>
      </c>
      <c r="BU24" s="163">
        <f t="shared" si="20"/>
        <v>0.14028617243192465</v>
      </c>
      <c r="BV24" s="163"/>
      <c r="BW24" s="161">
        <f t="shared" si="21"/>
        <v>0.1521464014624101</v>
      </c>
      <c r="BX24" s="150">
        <f t="shared" si="22"/>
        <v>0.14655792317789595</v>
      </c>
      <c r="BY24" s="150">
        <f t="shared" si="23"/>
        <v>0.11949230643648745</v>
      </c>
      <c r="BZ24" s="150">
        <f t="shared" si="24"/>
        <v>0.11435158520948896</v>
      </c>
      <c r="CA24" s="163">
        <f t="shared" si="25"/>
        <v>0.13159638440399801</v>
      </c>
      <c r="CB24" s="163"/>
      <c r="CC24" s="161">
        <f t="shared" si="26"/>
        <v>0.1231080592443059</v>
      </c>
      <c r="CD24" s="150">
        <f t="shared" si="27"/>
        <v>0.10917023573911111</v>
      </c>
      <c r="CE24" s="150">
        <f t="shared" si="28"/>
        <v>0.10508039621925858</v>
      </c>
      <c r="CF24" s="150">
        <f t="shared" si="29"/>
        <v>9.1607467683391786E-2</v>
      </c>
      <c r="CG24" s="163">
        <f t="shared" si="30"/>
        <v>0.10606776791084349</v>
      </c>
      <c r="CH24" s="163"/>
      <c r="CI24" s="161">
        <f t="shared" si="31"/>
        <v>0.11521601348169774</v>
      </c>
      <c r="CJ24" s="150">
        <f t="shared" si="32"/>
        <v>0.10128540214941095</v>
      </c>
      <c r="CK24" s="150">
        <f t="shared" si="33"/>
        <v>9.8452600255442668E-2</v>
      </c>
      <c r="CL24" s="150">
        <f t="shared" si="34"/>
        <v>8.5066488506998716E-2</v>
      </c>
      <c r="CM24" s="163">
        <f t="shared" si="35"/>
        <v>9.893966778092711E-2</v>
      </c>
      <c r="CO24" s="1476" t="str">
        <f t="shared" si="41"/>
        <v>TA Division</v>
      </c>
      <c r="CP24" s="1477">
        <f t="shared" si="42"/>
        <v>0.22</v>
      </c>
      <c r="CQ24" s="1477">
        <f t="shared" si="42"/>
        <v>0.21000000000000002</v>
      </c>
      <c r="CR24" s="1477">
        <f t="shared" si="42"/>
        <v>0.12</v>
      </c>
      <c r="CS24" s="1477">
        <f t="shared" si="42"/>
        <v>0.24880894044702279</v>
      </c>
      <c r="CT24" s="1477">
        <f t="shared" si="43"/>
        <v>0.16513870824242186</v>
      </c>
      <c r="CU24" s="1477">
        <f t="shared" si="43"/>
        <v>9.0038450975006748E-2</v>
      </c>
      <c r="CV24" s="1477">
        <f t="shared" si="43"/>
        <v>0.17052089642640822</v>
      </c>
      <c r="CW24" s="1477">
        <f t="shared" si="43"/>
        <v>0.24057605816031019</v>
      </c>
      <c r="CX24" s="1477">
        <f t="shared" si="44"/>
        <v>2.3963560531179429E-2</v>
      </c>
      <c r="CY24" s="1477">
        <f t="shared" si="44"/>
        <v>-1.4497478507017075E-2</v>
      </c>
      <c r="CZ24" s="1477">
        <f t="shared" si="44"/>
        <v>0.10098718083992816</v>
      </c>
      <c r="DA24" s="1477">
        <f t="shared" si="44"/>
        <v>5.4257277771455698E-2</v>
      </c>
      <c r="DB24" s="1477">
        <f t="shared" si="45"/>
        <v>8.0638963463836172E-2</v>
      </c>
      <c r="DC24" s="1477">
        <f t="shared" si="45"/>
        <v>4.6465089697073664E-2</v>
      </c>
      <c r="DD24" s="1477">
        <f t="shared" si="45"/>
        <v>-1.2996032155791835E-2</v>
      </c>
      <c r="DE24" s="1477">
        <f t="shared" si="45"/>
        <v>8.3209030717841748E-2</v>
      </c>
      <c r="DF24" s="1477">
        <f t="shared" si="46"/>
        <v>0.14993733777060939</v>
      </c>
      <c r="DG24" s="1477">
        <f t="shared" si="46"/>
        <v>0.13917094129314161</v>
      </c>
      <c r="DH24" s="1477">
        <f t="shared" si="46"/>
        <v>5.8408134181348166E-2</v>
      </c>
      <c r="DI24" s="1477">
        <f t="shared" si="46"/>
        <v>0.17513124040335401</v>
      </c>
      <c r="DJ24" s="1477">
        <f t="shared" si="47"/>
        <v>0.11648355801581954</v>
      </c>
      <c r="DK24" s="1477">
        <f t="shared" si="47"/>
        <v>0.15383905006023019</v>
      </c>
      <c r="DL24" s="1477">
        <f t="shared" si="47"/>
        <v>0.11243391982088917</v>
      </c>
      <c r="DM24" s="1477">
        <f t="shared" si="47"/>
        <v>8.3222291704619034E-2</v>
      </c>
      <c r="DN24" s="1477">
        <f t="shared" si="48"/>
        <v>0.14034869230974709</v>
      </c>
      <c r="DO24" s="1477">
        <f t="shared" si="49"/>
        <v>0.12838361691712663</v>
      </c>
      <c r="DP24" s="1477">
        <f t="shared" si="49"/>
        <v>0.17581469834363456</v>
      </c>
      <c r="DQ24" s="1477">
        <f t="shared" si="49"/>
        <v>0.19734950962441578</v>
      </c>
    </row>
    <row r="25" spans="1:121" s="24" customFormat="1">
      <c r="A25" s="1579" t="s">
        <v>122</v>
      </c>
      <c r="B25" s="71"/>
      <c r="C25" s="150"/>
      <c r="D25" s="150"/>
      <c r="E25" s="150"/>
      <c r="F25" s="150"/>
      <c r="G25" s="163"/>
      <c r="H25" s="1075"/>
      <c r="I25" s="176">
        <f t="shared" si="38"/>
        <v>0.09</v>
      </c>
      <c r="J25" s="109">
        <f t="shared" si="38"/>
        <v>0.08</v>
      </c>
      <c r="K25" s="109">
        <f t="shared" si="38"/>
        <v>0.06</v>
      </c>
      <c r="L25" s="109">
        <f t="shared" si="38"/>
        <v>1.0000000000000002E-2</v>
      </c>
      <c r="M25" s="176">
        <f t="shared" si="38"/>
        <v>0.06</v>
      </c>
      <c r="N25" s="1075"/>
      <c r="O25" s="176">
        <f t="shared" si="39"/>
        <v>9.999999999999995E-3</v>
      </c>
      <c r="P25" s="109">
        <f t="shared" si="39"/>
        <v>9.999999999999995E-3</v>
      </c>
      <c r="Q25" s="109">
        <f t="shared" si="39"/>
        <v>1.9999999999999997E-2</v>
      </c>
      <c r="R25" s="109">
        <f t="shared" si="39"/>
        <v>0</v>
      </c>
      <c r="S25" s="1075">
        <f t="shared" si="39"/>
        <v>9.999999999999995E-3</v>
      </c>
      <c r="T25" s="1075"/>
      <c r="U25" s="176">
        <f t="shared" si="40"/>
        <v>-1.0000000000000002E-2</v>
      </c>
      <c r="V25" s="109">
        <f t="shared" si="40"/>
        <v>-6.0000000000000005E-2</v>
      </c>
      <c r="W25" s="109">
        <f t="shared" si="40"/>
        <v>-0.03</v>
      </c>
      <c r="X25" s="109">
        <f t="shared" si="40"/>
        <v>0.05</v>
      </c>
      <c r="Y25" s="1075">
        <f t="shared" si="40"/>
        <v>-1.2500000000000002E-2</v>
      </c>
      <c r="Z25" s="1075"/>
      <c r="AA25" s="176">
        <f t="shared" si="13"/>
        <v>0.06</v>
      </c>
      <c r="AB25" s="109">
        <f t="shared" si="13"/>
        <v>4.9999999999999996E-2</v>
      </c>
      <c r="AC25" s="109">
        <f t="shared" si="13"/>
        <v>0.02</v>
      </c>
      <c r="AD25" s="109">
        <f t="shared" si="13"/>
        <v>0.01</v>
      </c>
      <c r="AE25" s="1075">
        <f t="shared" si="13"/>
        <v>3.4999999999999996E-2</v>
      </c>
      <c r="AF25" s="109"/>
      <c r="AG25" s="176">
        <f t="shared" si="14"/>
        <v>0</v>
      </c>
      <c r="AH25" s="109">
        <f t="shared" si="14"/>
        <v>0.03</v>
      </c>
      <c r="AI25" s="109">
        <f t="shared" si="14"/>
        <v>1.0000000000000002E-2</v>
      </c>
      <c r="AJ25" s="1077">
        <f t="shared" si="14"/>
        <v>-1.4E-2</v>
      </c>
      <c r="AK25" s="1075">
        <f t="shared" si="14"/>
        <v>6.4999999999999988E-3</v>
      </c>
      <c r="AL25" s="109"/>
      <c r="AM25" s="176">
        <f t="shared" si="15"/>
        <v>-0.05</v>
      </c>
      <c r="AN25" s="109">
        <f t="shared" si="15"/>
        <v>-0.05</v>
      </c>
      <c r="AO25" s="109">
        <f t="shared" si="15"/>
        <v>-0.05</v>
      </c>
      <c r="AP25" s="109">
        <f t="shared" si="15"/>
        <v>-3.4000000000000002E-2</v>
      </c>
      <c r="AQ25" s="1075">
        <f t="shared" si="15"/>
        <v>-4.5999999999999999E-2</v>
      </c>
      <c r="AR25" s="109"/>
      <c r="AS25" s="176">
        <f t="shared" si="16"/>
        <v>-0.03</v>
      </c>
      <c r="AT25" s="109">
        <f t="shared" si="16"/>
        <v>-1.2E-2</v>
      </c>
      <c r="AU25" s="109">
        <f t="shared" si="16"/>
        <v>-0.02</v>
      </c>
      <c r="AV25" s="109">
        <f t="shared" si="16"/>
        <v>-7.0000000000000007E-2</v>
      </c>
      <c r="AW25" s="1075">
        <f t="shared" si="16"/>
        <v>-3.3000000000000002E-2</v>
      </c>
      <c r="AX25" s="1075"/>
      <c r="AY25" s="176">
        <f t="shared" si="17"/>
        <v>-0.08</v>
      </c>
      <c r="AZ25" s="109">
        <f t="shared" si="17"/>
        <v>-6.2000000000000006E-2</v>
      </c>
      <c r="BA25" s="109">
        <f t="shared" si="17"/>
        <v>-7.3999999999999996E-2</v>
      </c>
      <c r="BB25" s="109">
        <f t="shared" si="17"/>
        <v>-0.10442399504689837</v>
      </c>
      <c r="BC25" s="1075">
        <f t="shared" si="17"/>
        <v>-8.0105998761724598E-2</v>
      </c>
      <c r="BD25" s="1075"/>
      <c r="BE25" s="176">
        <f t="shared" si="18"/>
        <v>-9.6875197582601213E-2</v>
      </c>
      <c r="BF25" s="109">
        <f t="shared" si="18"/>
        <v>-6.9332982980959704E-2</v>
      </c>
      <c r="BG25" s="109">
        <f t="shared" si="18"/>
        <v>-7.1253175329319296E-2</v>
      </c>
      <c r="BH25" s="109">
        <f t="shared" si="18"/>
        <v>-7.4423995046898353E-2</v>
      </c>
      <c r="BI25" s="1075">
        <f t="shared" si="18"/>
        <v>-7.7971337734944662E-2</v>
      </c>
      <c r="BJ25" s="1075"/>
      <c r="BK25" s="176">
        <f t="shared" si="19"/>
        <v>-2.6875197582601207E-2</v>
      </c>
      <c r="BL25" s="109">
        <f t="shared" si="19"/>
        <v>-9.3329829809596955E-3</v>
      </c>
      <c r="BM25" s="109">
        <f t="shared" si="19"/>
        <v>1.2746824670680694E-2</v>
      </c>
      <c r="BN25" s="109">
        <f t="shared" si="19"/>
        <v>9.9999999999999985E-3</v>
      </c>
      <c r="BO25" s="1075">
        <f t="shared" si="19"/>
        <v>-3.3653389732200539E-3</v>
      </c>
      <c r="BP25" s="1075"/>
      <c r="BQ25" s="176">
        <f t="shared" si="20"/>
        <v>0.01</v>
      </c>
      <c r="BR25" s="109">
        <f t="shared" si="20"/>
        <v>4.9999999999999992E-3</v>
      </c>
      <c r="BS25" s="109">
        <f t="shared" si="20"/>
        <v>1.2E-2</v>
      </c>
      <c r="BT25" s="109">
        <f t="shared" si="20"/>
        <v>3.4999999999999996E-2</v>
      </c>
      <c r="BU25" s="1075">
        <f t="shared" si="20"/>
        <v>1.55E-2</v>
      </c>
      <c r="BV25" s="1075"/>
      <c r="BW25" s="176">
        <f t="shared" si="21"/>
        <v>0.02</v>
      </c>
      <c r="BX25" s="109">
        <f t="shared" si="22"/>
        <v>1.4999999999999999E-2</v>
      </c>
      <c r="BY25" s="109">
        <f t="shared" si="23"/>
        <v>2E-3</v>
      </c>
      <c r="BZ25" s="109">
        <f t="shared" si="24"/>
        <v>5.0000000000000001E-3</v>
      </c>
      <c r="CA25" s="1075">
        <f t="shared" si="25"/>
        <v>1.0500000000000001E-2</v>
      </c>
      <c r="CB25" s="1075"/>
      <c r="CC25" s="176">
        <f t="shared" si="26"/>
        <v>0</v>
      </c>
      <c r="CD25" s="109">
        <f t="shared" si="27"/>
        <v>0</v>
      </c>
      <c r="CE25" s="109">
        <f t="shared" si="28"/>
        <v>0</v>
      </c>
      <c r="CF25" s="109">
        <f t="shared" si="29"/>
        <v>0</v>
      </c>
      <c r="CG25" s="1075">
        <f t="shared" si="30"/>
        <v>0</v>
      </c>
      <c r="CH25" s="1075"/>
      <c r="CI25" s="176">
        <f t="shared" si="31"/>
        <v>0</v>
      </c>
      <c r="CJ25" s="109">
        <f t="shared" si="32"/>
        <v>0</v>
      </c>
      <c r="CK25" s="109">
        <f t="shared" si="33"/>
        <v>0</v>
      </c>
      <c r="CL25" s="109">
        <f t="shared" si="34"/>
        <v>0</v>
      </c>
      <c r="CM25" s="1075">
        <f t="shared" si="35"/>
        <v>0</v>
      </c>
      <c r="CO25" s="1452" t="str">
        <f t="shared" si="41"/>
        <v>Reported</v>
      </c>
      <c r="CP25" s="1453">
        <f t="shared" si="42"/>
        <v>0.1462032761751243</v>
      </c>
      <c r="CQ25" s="1453">
        <f t="shared" si="42"/>
        <v>0.15323917567998513</v>
      </c>
      <c r="CR25" s="1453">
        <f t="shared" si="42"/>
        <v>0.12331318894499188</v>
      </c>
      <c r="CS25" s="1453">
        <f t="shared" si="42"/>
        <v>7.8917752849575029E-2</v>
      </c>
      <c r="CT25" s="1453">
        <f t="shared" si="43"/>
        <v>6.7887609162137208E-3</v>
      </c>
      <c r="CU25" s="1453">
        <f t="shared" si="43"/>
        <v>7.798849096349203E-3</v>
      </c>
      <c r="CV25" s="1453">
        <f t="shared" si="43"/>
        <v>6.287758598199078E-3</v>
      </c>
      <c r="CW25" s="1453">
        <f t="shared" si="43"/>
        <v>8.438309432983937E-2</v>
      </c>
      <c r="CX25" s="1453">
        <f t="shared" si="44"/>
        <v>2.3893223630923943E-2</v>
      </c>
      <c r="CY25" s="1453">
        <f t="shared" si="44"/>
        <v>6.7247312412275217E-2</v>
      </c>
      <c r="CZ25" s="1453">
        <f t="shared" si="44"/>
        <v>9.4756051839369748E-2</v>
      </c>
      <c r="DA25" s="1453">
        <f t="shared" si="44"/>
        <v>0.11629899858219495</v>
      </c>
      <c r="DB25" s="1453">
        <f t="shared" si="45"/>
        <v>6.9838579437581094E-2</v>
      </c>
      <c r="DC25" s="1453">
        <f t="shared" si="45"/>
        <v>9.4878052286576864E-2</v>
      </c>
      <c r="DD25" s="1453">
        <f t="shared" si="45"/>
        <v>9.3419119544884799E-2</v>
      </c>
      <c r="DE25" s="1453">
        <f t="shared" si="45"/>
        <v>3.7272302261954993E-2</v>
      </c>
      <c r="DF25" s="1453">
        <f t="shared" si="46"/>
        <v>0.10168044609796967</v>
      </c>
      <c r="DG25" s="1453">
        <f t="shared" si="46"/>
        <v>0.1113847336643039</v>
      </c>
      <c r="DH25" s="1453">
        <f t="shared" si="46"/>
        <v>6.7474855794166455E-2</v>
      </c>
      <c r="DI25" s="1453">
        <f t="shared" si="46"/>
        <v>7.6592383937802433E-2</v>
      </c>
      <c r="DJ25" s="1453">
        <f t="shared" si="47"/>
        <v>8.0050037546238961E-2</v>
      </c>
      <c r="DK25" s="1453">
        <f t="shared" si="47"/>
        <v>0.12495343137433657</v>
      </c>
      <c r="DL25" s="1453">
        <f t="shared" si="47"/>
        <v>0.12600410662362171</v>
      </c>
      <c r="DM25" s="1453">
        <f t="shared" si="47"/>
        <v>0.16491674872097284</v>
      </c>
      <c r="DN25" s="1453">
        <f t="shared" si="48"/>
        <v>0.13444634815641288</v>
      </c>
      <c r="DO25" s="1453">
        <f t="shared" si="49"/>
        <v>0.12841236743188045</v>
      </c>
      <c r="DP25" s="1453">
        <f t="shared" si="49"/>
        <v>0.13717306788826211</v>
      </c>
      <c r="DQ25" s="1453">
        <f t="shared" si="49"/>
        <v>0.15817374641856596</v>
      </c>
    </row>
    <row r="26" spans="1:121" s="24" customFormat="1">
      <c r="A26" s="1579" t="s">
        <v>133</v>
      </c>
      <c r="B26" s="71"/>
      <c r="C26" s="150"/>
      <c r="D26" s="150"/>
      <c r="E26" s="150"/>
      <c r="F26" s="150"/>
      <c r="G26" s="163"/>
      <c r="H26" s="1075"/>
      <c r="I26" s="176">
        <f t="shared" si="38"/>
        <v>0.02</v>
      </c>
      <c r="J26" s="109">
        <f t="shared" si="38"/>
        <v>0.02</v>
      </c>
      <c r="K26" s="109">
        <f t="shared" si="38"/>
        <v>0.02</v>
      </c>
      <c r="L26" s="109">
        <f t="shared" si="38"/>
        <v>0.01</v>
      </c>
      <c r="M26" s="176">
        <f t="shared" si="38"/>
        <v>1.7499999999999998E-2</v>
      </c>
      <c r="N26" s="1075"/>
      <c r="O26" s="176">
        <f t="shared" si="39"/>
        <v>6.006006006006006E-3</v>
      </c>
      <c r="P26" s="109">
        <f t="shared" si="39"/>
        <v>0.02</v>
      </c>
      <c r="Q26" s="109">
        <f t="shared" si="39"/>
        <v>0.02</v>
      </c>
      <c r="R26" s="109">
        <f t="shared" si="39"/>
        <v>0.02</v>
      </c>
      <c r="S26" s="1075">
        <f t="shared" si="39"/>
        <v>1.6501501501501502E-2</v>
      </c>
      <c r="T26" s="1075"/>
      <c r="U26" s="176">
        <f t="shared" si="40"/>
        <v>6.006006006006006E-3</v>
      </c>
      <c r="V26" s="109">
        <f t="shared" si="40"/>
        <v>0.02</v>
      </c>
      <c r="W26" s="109">
        <f t="shared" si="40"/>
        <v>0.02</v>
      </c>
      <c r="X26" s="109">
        <f t="shared" si="40"/>
        <v>0.02</v>
      </c>
      <c r="Y26" s="1075">
        <f t="shared" si="40"/>
        <v>1.6501501501501502E-2</v>
      </c>
      <c r="Z26" s="1075"/>
      <c r="AA26" s="176">
        <f t="shared" si="13"/>
        <v>0</v>
      </c>
      <c r="AB26" s="109">
        <f t="shared" si="13"/>
        <v>0</v>
      </c>
      <c r="AC26" s="109">
        <f t="shared" si="13"/>
        <v>0</v>
      </c>
      <c r="AD26" s="109">
        <f t="shared" si="13"/>
        <v>0</v>
      </c>
      <c r="AE26" s="1075">
        <f t="shared" si="13"/>
        <v>0</v>
      </c>
      <c r="AF26" s="109"/>
      <c r="AG26" s="176">
        <f t="shared" si="14"/>
        <v>0</v>
      </c>
      <c r="AH26" s="109">
        <f t="shared" si="14"/>
        <v>3.0000000000000001E-3</v>
      </c>
      <c r="AI26" s="109">
        <f t="shared" si="14"/>
        <v>3.0000000000000001E-3</v>
      </c>
      <c r="AJ26" s="1077">
        <f t="shared" si="14"/>
        <v>3.0000000000000001E-3</v>
      </c>
      <c r="AK26" s="1075">
        <f t="shared" si="14"/>
        <v>3.0000000000000005E-3</v>
      </c>
      <c r="AL26" s="109"/>
      <c r="AM26" s="176">
        <f t="shared" si="15"/>
        <v>1E-3</v>
      </c>
      <c r="AN26" s="109">
        <f t="shared" si="15"/>
        <v>3.0000000000000001E-3</v>
      </c>
      <c r="AO26" s="109">
        <f t="shared" si="15"/>
        <v>3.0000000000000001E-3</v>
      </c>
      <c r="AP26" s="109">
        <f t="shared" si="15"/>
        <v>3.0000000000000001E-3</v>
      </c>
      <c r="AQ26" s="1075">
        <f t="shared" si="15"/>
        <v>3.2500000000000003E-3</v>
      </c>
      <c r="AR26" s="109"/>
      <c r="AS26" s="176">
        <f t="shared" si="16"/>
        <v>1E-3</v>
      </c>
      <c r="AT26" s="109">
        <f t="shared" si="16"/>
        <v>0.01</v>
      </c>
      <c r="AU26" s="109">
        <f t="shared" si="16"/>
        <v>0.01</v>
      </c>
      <c r="AV26" s="109">
        <f t="shared" si="16"/>
        <v>0.01</v>
      </c>
      <c r="AW26" s="1075">
        <f t="shared" si="16"/>
        <v>7.7499999999999999E-3</v>
      </c>
      <c r="AX26" s="1075"/>
      <c r="AY26" s="176">
        <f t="shared" si="17"/>
        <v>0.04</v>
      </c>
      <c r="AZ26" s="109">
        <f t="shared" si="17"/>
        <v>3.1E-2</v>
      </c>
      <c r="BA26" s="109">
        <f t="shared" si="17"/>
        <v>3.5999999999999997E-2</v>
      </c>
      <c r="BB26" s="109">
        <f t="shared" si="17"/>
        <v>-0.01</v>
      </c>
      <c r="BC26" s="1075">
        <f t="shared" si="17"/>
        <v>2.4249999999999997E-2</v>
      </c>
      <c r="BD26" s="1075"/>
      <c r="BE26" s="176">
        <f t="shared" si="18"/>
        <v>3.5000000000000003E-2</v>
      </c>
      <c r="BF26" s="109">
        <f t="shared" si="18"/>
        <v>2.3499999999999997E-2</v>
      </c>
      <c r="BG26" s="109">
        <f t="shared" si="18"/>
        <v>2.7999999999999997E-2</v>
      </c>
      <c r="BH26" s="109">
        <f t="shared" si="18"/>
        <v>-0.01</v>
      </c>
      <c r="BI26" s="1075">
        <f t="shared" si="18"/>
        <v>1.9124999999999996E-2</v>
      </c>
      <c r="BJ26" s="1075"/>
      <c r="BK26" s="176">
        <f t="shared" si="19"/>
        <v>-1.4999999999999999E-2</v>
      </c>
      <c r="BL26" s="109">
        <f t="shared" si="19"/>
        <v>2.5000000000000001E-3</v>
      </c>
      <c r="BM26" s="109">
        <f t="shared" si="19"/>
        <v>-5.4999999999999997E-3</v>
      </c>
      <c r="BN26" s="109">
        <f t="shared" si="19"/>
        <v>0.01</v>
      </c>
      <c r="BO26" s="1075">
        <f t="shared" si="19"/>
        <v>-2.0000000000000005E-3</v>
      </c>
      <c r="BP26" s="1075"/>
      <c r="BQ26" s="176">
        <f t="shared" si="20"/>
        <v>-1.4999999999999999E-2</v>
      </c>
      <c r="BR26" s="109">
        <f t="shared" si="20"/>
        <v>0</v>
      </c>
      <c r="BS26" s="109">
        <f t="shared" si="20"/>
        <v>-7.4999999999999997E-3</v>
      </c>
      <c r="BT26" s="109">
        <f t="shared" si="20"/>
        <v>0</v>
      </c>
      <c r="BU26" s="1075">
        <f t="shared" si="20"/>
        <v>-5.6250000000000007E-3</v>
      </c>
      <c r="BV26" s="1075"/>
      <c r="BW26" s="176">
        <f t="shared" si="21"/>
        <v>-5.0000000000000001E-3</v>
      </c>
      <c r="BX26" s="109">
        <f t="shared" si="22"/>
        <v>0</v>
      </c>
      <c r="BY26" s="109">
        <f t="shared" si="23"/>
        <v>0</v>
      </c>
      <c r="BZ26" s="109">
        <f t="shared" si="24"/>
        <v>0</v>
      </c>
      <c r="CA26" s="1075">
        <f t="shared" si="25"/>
        <v>-1.25E-3</v>
      </c>
      <c r="CB26" s="1075"/>
      <c r="CC26" s="176">
        <f t="shared" si="26"/>
        <v>0</v>
      </c>
      <c r="CD26" s="109">
        <f t="shared" si="27"/>
        <v>0</v>
      </c>
      <c r="CE26" s="109">
        <f t="shared" si="28"/>
        <v>0</v>
      </c>
      <c r="CF26" s="109">
        <f t="shared" si="29"/>
        <v>0</v>
      </c>
      <c r="CG26" s="1075">
        <f t="shared" si="30"/>
        <v>0</v>
      </c>
      <c r="CH26" s="1075"/>
      <c r="CI26" s="176">
        <f t="shared" si="31"/>
        <v>0</v>
      </c>
      <c r="CJ26" s="109">
        <f t="shared" si="32"/>
        <v>0</v>
      </c>
      <c r="CK26" s="109">
        <f t="shared" si="33"/>
        <v>0</v>
      </c>
      <c r="CL26" s="109">
        <f t="shared" si="34"/>
        <v>0</v>
      </c>
      <c r="CM26" s="1075">
        <f t="shared" si="35"/>
        <v>0</v>
      </c>
      <c r="CO26" s="1474" t="str">
        <f t="shared" si="41"/>
        <v>Currency</v>
      </c>
      <c r="CP26" s="1475">
        <f t="shared" si="42"/>
        <v>0</v>
      </c>
      <c r="CQ26" s="1475">
        <f t="shared" si="42"/>
        <v>0.03</v>
      </c>
      <c r="CR26" s="1475">
        <f t="shared" si="42"/>
        <v>1.0000000000000002E-2</v>
      </c>
      <c r="CS26" s="1475">
        <f t="shared" si="42"/>
        <v>-1.4E-2</v>
      </c>
      <c r="CT26" s="1475">
        <f t="shared" si="43"/>
        <v>-0.05</v>
      </c>
      <c r="CU26" s="1475">
        <f t="shared" si="43"/>
        <v>-0.05</v>
      </c>
      <c r="CV26" s="1475">
        <f t="shared" si="43"/>
        <v>-0.05</v>
      </c>
      <c r="CW26" s="1475">
        <f t="shared" si="43"/>
        <v>-3.4000000000000002E-2</v>
      </c>
      <c r="CX26" s="1475">
        <f t="shared" si="44"/>
        <v>-0.03</v>
      </c>
      <c r="CY26" s="1475">
        <f t="shared" si="44"/>
        <v>-1.2E-2</v>
      </c>
      <c r="CZ26" s="1475">
        <f t="shared" si="44"/>
        <v>-0.02</v>
      </c>
      <c r="DA26" s="1475">
        <f t="shared" si="44"/>
        <v>-7.0000000000000007E-2</v>
      </c>
      <c r="DB26" s="1475">
        <f t="shared" si="45"/>
        <v>-0.08</v>
      </c>
      <c r="DC26" s="1475">
        <f t="shared" si="45"/>
        <v>-6.2000000000000006E-2</v>
      </c>
      <c r="DD26" s="1475">
        <f t="shared" si="45"/>
        <v>-7.3999999999999996E-2</v>
      </c>
      <c r="DE26" s="1475">
        <f t="shared" si="45"/>
        <v>-0.10442399504689837</v>
      </c>
      <c r="DF26" s="1475">
        <f t="shared" si="46"/>
        <v>-9.6875197582601213E-2</v>
      </c>
      <c r="DG26" s="1475">
        <f t="shared" si="46"/>
        <v>-6.9332982980959704E-2</v>
      </c>
      <c r="DH26" s="1475">
        <f t="shared" si="46"/>
        <v>-7.1253175329319296E-2</v>
      </c>
      <c r="DI26" s="1475">
        <f t="shared" si="46"/>
        <v>-7.4423995046898353E-2</v>
      </c>
      <c r="DJ26" s="1475">
        <f t="shared" si="47"/>
        <v>-2.6875197582601207E-2</v>
      </c>
      <c r="DK26" s="1475">
        <f t="shared" si="47"/>
        <v>-9.3329829809596955E-3</v>
      </c>
      <c r="DL26" s="1475">
        <f t="shared" si="47"/>
        <v>1.2746824670680694E-2</v>
      </c>
      <c r="DM26" s="1475">
        <f t="shared" si="47"/>
        <v>9.9999999999999985E-3</v>
      </c>
      <c r="DN26" s="1475">
        <f t="shared" si="48"/>
        <v>0.01</v>
      </c>
      <c r="DO26" s="1475">
        <f t="shared" si="49"/>
        <v>4.9999999999999992E-3</v>
      </c>
      <c r="DP26" s="1475">
        <f t="shared" si="49"/>
        <v>1.2E-2</v>
      </c>
      <c r="DQ26" s="1475">
        <f t="shared" si="49"/>
        <v>3.4999999999999996E-2</v>
      </c>
    </row>
    <row r="27" spans="1:121" s="24" customFormat="1">
      <c r="A27" s="1580" t="s">
        <v>466</v>
      </c>
      <c r="B27" s="78"/>
      <c r="C27" s="1166"/>
      <c r="D27" s="1167"/>
      <c r="E27" s="1167"/>
      <c r="F27" s="1167"/>
      <c r="G27" s="1171"/>
      <c r="H27" s="1171"/>
      <c r="I27" s="1172">
        <f>I17+C17</f>
        <v>0.15461870081656248</v>
      </c>
      <c r="J27" s="1167">
        <f>J17+D17</f>
        <v>0.20003714942007209</v>
      </c>
      <c r="K27" s="1167">
        <f>K17+E17</f>
        <v>0.18548602249332163</v>
      </c>
      <c r="L27" s="1167">
        <f>L17+F17</f>
        <v>6.7272604535895703E-2</v>
      </c>
      <c r="M27" s="1172">
        <f>M17+G17</f>
        <v>0.14429577311805192</v>
      </c>
      <c r="N27" s="1171"/>
      <c r="O27" s="1172">
        <f>O17+I17</f>
        <v>3.918583551893659E-3</v>
      </c>
      <c r="P27" s="1167">
        <f>P17+J17</f>
        <v>1.0578324119245114E-2</v>
      </c>
      <c r="Q27" s="1167">
        <f>Q17+K17</f>
        <v>2.3524644325529073E-2</v>
      </c>
      <c r="R27" s="1167">
        <f>R17+L17</f>
        <v>-3.7587016195056423E-2</v>
      </c>
      <c r="S27" s="1171">
        <f>S17+M17</f>
        <v>-7.4492122480081871E-3</v>
      </c>
      <c r="T27" s="1171"/>
      <c r="U27" s="1172">
        <f>U17+O17</f>
        <v>3.3316855769294912E-3</v>
      </c>
      <c r="V27" s="1167">
        <f>V17+P17</f>
        <v>2.8311633610474798E-2</v>
      </c>
      <c r="W27" s="1167">
        <f>W17+Q17</f>
        <v>5.0438832548240775E-2</v>
      </c>
      <c r="X27" s="1167">
        <f>X17+R17</f>
        <v>8.2761354533010881E-2</v>
      </c>
      <c r="Y27" s="1171">
        <f>Y17+S17</f>
        <v>4.1210876567163983E-2</v>
      </c>
      <c r="Z27" s="1171"/>
      <c r="AA27" s="1172">
        <f>AA17+U17</f>
        <v>0.20694450341271603</v>
      </c>
      <c r="AB27" s="1167">
        <f>AB17+V17</f>
        <v>0.17243553159928698</v>
      </c>
      <c r="AC27" s="1167">
        <f>AC17+W17</f>
        <v>0.18579405369350677</v>
      </c>
      <c r="AD27" s="1167">
        <f>AD17+X17</f>
        <v>0.19587515556166046</v>
      </c>
      <c r="AE27" s="1171">
        <f>AE17+Y17</f>
        <v>0.19026231106679256</v>
      </c>
      <c r="AF27" s="1167"/>
      <c r="AG27" s="1170">
        <f>AG17+AA17</f>
        <v>0.1462032761751243</v>
      </c>
      <c r="AH27" s="1169">
        <f>AH17+AB17</f>
        <v>0.12023917567998513</v>
      </c>
      <c r="AI27" s="1169">
        <f>AI17+AC17</f>
        <v>0.11031318894499187</v>
      </c>
      <c r="AJ27" s="1173">
        <f>AJ17+AD17</f>
        <v>8.9917752849575025E-2</v>
      </c>
      <c r="AK27" s="1168">
        <f>AK17+AE17</f>
        <v>0.11623175963754874</v>
      </c>
      <c r="AL27" s="1169"/>
      <c r="AM27" s="1170">
        <f>AM17+AG17</f>
        <v>5.5788760916213723E-2</v>
      </c>
      <c r="AN27" s="1169">
        <f>AN17+AH17</f>
        <v>5.4798849096349203E-2</v>
      </c>
      <c r="AO27" s="1169">
        <f>AO17+AI17</f>
        <v>5.3287758598199078E-2</v>
      </c>
      <c r="AP27" s="1173">
        <f>AP17+AJ17</f>
        <v>0.11538309432983937</v>
      </c>
      <c r="AQ27" s="1168">
        <f>AQ17+AK17</f>
        <v>7.153257501480409E-2</v>
      </c>
      <c r="AR27" s="1169"/>
      <c r="AS27" s="1170">
        <f>AS17+AM17</f>
        <v>5.2893223630923941E-2</v>
      </c>
      <c r="AT27" s="1169">
        <f>AT17+AN17</f>
        <v>6.9247312412275219E-2</v>
      </c>
      <c r="AU27" s="1169">
        <f>AU17+AO17</f>
        <v>0.10475605183936976</v>
      </c>
      <c r="AV27" s="1173">
        <f>AV17+AP17</f>
        <v>0.17629899858219494</v>
      </c>
      <c r="AW27" s="1168">
        <f>AW17+AQ17</f>
        <v>0.10281117971381006</v>
      </c>
      <c r="AX27" s="1168"/>
      <c r="AY27" s="1170">
        <f>AY17+AS17</f>
        <v>0.1098385794375811</v>
      </c>
      <c r="AZ27" s="1169">
        <f>AZ17+AT17</f>
        <v>0.12587805228657689</v>
      </c>
      <c r="BA27" s="1169">
        <f>BA17+AU17</f>
        <v>0.1314191195448848</v>
      </c>
      <c r="BB27" s="1173">
        <f>BB17+AV17</f>
        <v>0.15169629730885337</v>
      </c>
      <c r="BC27" s="1168">
        <f>BC17+AW17</f>
        <v>0.12719583012601826</v>
      </c>
      <c r="BD27" s="1168"/>
      <c r="BE27" s="1170">
        <f>BE17+AY17</f>
        <v>0.16355564368057088</v>
      </c>
      <c r="BF27" s="1169">
        <f>BF17+AZ17</f>
        <v>0.15721771664526363</v>
      </c>
      <c r="BG27" s="1169">
        <f>BG17+BA17</f>
        <v>0.11072803112348575</v>
      </c>
      <c r="BH27" s="1173">
        <f>BH17+BB17</f>
        <v>0.16101637898470078</v>
      </c>
      <c r="BI27" s="1168">
        <f>BI17+BC17</f>
        <v>0.14673135541353724</v>
      </c>
      <c r="BJ27" s="1168"/>
      <c r="BK27" s="1170">
        <f>BK17+BE17</f>
        <v>0.12192523512884017</v>
      </c>
      <c r="BL27" s="1169">
        <f>BL17+BF17</f>
        <v>0.13178641435529626</v>
      </c>
      <c r="BM27" s="1169">
        <f>BM17+BG17</f>
        <v>0.11875728195294102</v>
      </c>
      <c r="BN27" s="1173">
        <f>BN17+BH17</f>
        <v>0.14491674872097285</v>
      </c>
      <c r="BO27" s="1168">
        <f>BO17+BI17</f>
        <v>0.1319708568430123</v>
      </c>
      <c r="BP27" s="1168"/>
      <c r="BQ27" s="1170">
        <f>BQ17+BK17</f>
        <v>0.13944634815641288</v>
      </c>
      <c r="BR27" s="1169">
        <f>BR17+BL17</f>
        <v>0.12341236743188044</v>
      </c>
      <c r="BS27" s="1169">
        <f>BS17+BM17</f>
        <v>0.13267306788826211</v>
      </c>
      <c r="BT27" s="1173">
        <f>BT17+BN17</f>
        <v>0.12317374641856596</v>
      </c>
      <c r="BU27" s="1168">
        <f>BU17+BO17</f>
        <v>0.13041117243192465</v>
      </c>
      <c r="BV27" s="1168"/>
      <c r="BW27" s="1170">
        <f>BW17+BQ17</f>
        <v>0.13714640146241008</v>
      </c>
      <c r="BX27" s="1169">
        <f>BX17+BR17</f>
        <v>0.13155792317789594</v>
      </c>
      <c r="BY27" s="1169">
        <f>BY17+BS17</f>
        <v>0.11749230643648745</v>
      </c>
      <c r="BZ27" s="1173">
        <f>BZ17+BT17</f>
        <v>0.10935158520948896</v>
      </c>
      <c r="CA27" s="1168">
        <f>CA17+BU17</f>
        <v>0.12234638440399802</v>
      </c>
      <c r="CB27" s="1168"/>
      <c r="CC27" s="1170">
        <f>CC17+BW17</f>
        <v>0.1231080592443059</v>
      </c>
      <c r="CD27" s="1169">
        <f>CD17+BX17</f>
        <v>0.10917023573911111</v>
      </c>
      <c r="CE27" s="1169">
        <f>CE17+BY17</f>
        <v>0.10508039621925858</v>
      </c>
      <c r="CF27" s="1173">
        <f>CF17+BZ17</f>
        <v>9.1607467683391786E-2</v>
      </c>
      <c r="CG27" s="1168">
        <f>CG17+CA17</f>
        <v>0.10606776791084349</v>
      </c>
      <c r="CH27" s="1168"/>
      <c r="CI27" s="1170">
        <f>CI17+CC17</f>
        <v>0.11521601348169774</v>
      </c>
      <c r="CJ27" s="1169">
        <f>CJ17+CD17</f>
        <v>0.10128540214941095</v>
      </c>
      <c r="CK27" s="1169">
        <f>CK17+CE17</f>
        <v>9.8452600255442668E-2</v>
      </c>
      <c r="CL27" s="1173">
        <f>CL17+CF17</f>
        <v>8.5066488506998716E-2</v>
      </c>
      <c r="CM27" s="1168">
        <f>CM17+CG17</f>
        <v>9.893966778092711E-2</v>
      </c>
      <c r="CN27" s="1496"/>
      <c r="CO27" s="1454" t="str">
        <f>CO13</f>
        <v xml:space="preserve">Acquisition and selling days </v>
      </c>
      <c r="CP27" s="1451">
        <f t="shared" si="42"/>
        <v>0</v>
      </c>
      <c r="CQ27" s="1451">
        <f t="shared" si="42"/>
        <v>3.0000000000000001E-3</v>
      </c>
      <c r="CR27" s="1451">
        <f t="shared" si="42"/>
        <v>3.0000000000000001E-3</v>
      </c>
      <c r="CS27" s="1451">
        <f t="shared" si="42"/>
        <v>3.0000000000000001E-3</v>
      </c>
      <c r="CT27" s="1451">
        <f t="shared" si="43"/>
        <v>1E-3</v>
      </c>
      <c r="CU27" s="1451">
        <f t="shared" si="43"/>
        <v>3.0000000000000001E-3</v>
      </c>
      <c r="CV27" s="1451">
        <f t="shared" si="43"/>
        <v>3.0000000000000001E-3</v>
      </c>
      <c r="CW27" s="1451">
        <f t="shared" si="43"/>
        <v>3.0000000000000001E-3</v>
      </c>
      <c r="CX27" s="1451">
        <f t="shared" si="44"/>
        <v>1E-3</v>
      </c>
      <c r="CY27" s="1451">
        <f t="shared" si="44"/>
        <v>0.01</v>
      </c>
      <c r="CZ27" s="1451">
        <f t="shared" si="44"/>
        <v>0.01</v>
      </c>
      <c r="DA27" s="1451">
        <f t="shared" si="44"/>
        <v>0.01</v>
      </c>
      <c r="DB27" s="1451">
        <f t="shared" si="45"/>
        <v>0.04</v>
      </c>
      <c r="DC27" s="1451">
        <f t="shared" si="45"/>
        <v>3.1E-2</v>
      </c>
      <c r="DD27" s="1451">
        <f t="shared" si="45"/>
        <v>3.5999999999999997E-2</v>
      </c>
      <c r="DE27" s="1451">
        <f t="shared" si="45"/>
        <v>-0.01</v>
      </c>
      <c r="DF27" s="1451">
        <f t="shared" si="46"/>
        <v>3.5000000000000003E-2</v>
      </c>
      <c r="DG27" s="1451">
        <f t="shared" si="46"/>
        <v>2.3499999999999997E-2</v>
      </c>
      <c r="DH27" s="1451">
        <f t="shared" si="46"/>
        <v>2.7999999999999997E-2</v>
      </c>
      <c r="DI27" s="1451">
        <f t="shared" si="46"/>
        <v>-0.01</v>
      </c>
      <c r="DJ27" s="1451">
        <f t="shared" si="47"/>
        <v>-1.4999999999999999E-2</v>
      </c>
      <c r="DK27" s="1451">
        <f t="shared" si="47"/>
        <v>2.5000000000000001E-3</v>
      </c>
      <c r="DL27" s="1451">
        <f t="shared" si="47"/>
        <v>-5.4999999999999997E-3</v>
      </c>
      <c r="DM27" s="1451">
        <f t="shared" si="47"/>
        <v>0.01</v>
      </c>
      <c r="DN27" s="1451">
        <f t="shared" si="48"/>
        <v>-1.4999999999999999E-2</v>
      </c>
      <c r="DO27" s="1451">
        <f t="shared" si="49"/>
        <v>0</v>
      </c>
      <c r="DP27" s="1451">
        <f t="shared" si="49"/>
        <v>-7.4999999999999997E-3</v>
      </c>
      <c r="DQ27" s="1451">
        <f t="shared" si="49"/>
        <v>0</v>
      </c>
    </row>
    <row r="28" spans="1:121" s="73" customFormat="1" ht="11.25">
      <c r="A28" s="1584" t="s">
        <v>12</v>
      </c>
      <c r="B28" s="1582"/>
      <c r="C28" s="1447"/>
      <c r="D28" s="1447"/>
      <c r="E28" s="1447"/>
      <c r="F28" s="1447"/>
      <c r="G28" s="1447"/>
      <c r="H28" s="1448"/>
      <c r="I28" s="1447"/>
      <c r="J28" s="1447"/>
      <c r="K28" s="1447"/>
      <c r="L28" s="1447"/>
      <c r="M28" s="1447"/>
      <c r="N28" s="1448"/>
      <c r="O28" s="1447"/>
      <c r="P28" s="1447"/>
      <c r="Q28" s="1447"/>
      <c r="R28" s="1447"/>
      <c r="S28" s="1448">
        <f>M27+S17</f>
        <v>9.5050787751991828E-2</v>
      </c>
      <c r="T28" s="1448"/>
      <c r="U28" s="1447"/>
      <c r="V28" s="1447"/>
      <c r="W28" s="1447"/>
      <c r="X28" s="1447"/>
      <c r="Y28" s="1448">
        <f>S27+Y17</f>
        <v>8.30066496852159E-2</v>
      </c>
      <c r="Z28" s="1448"/>
      <c r="AA28" s="1448">
        <f>U27+AA17</f>
        <v>0.14624438614804725</v>
      </c>
      <c r="AB28" s="1448">
        <f>V27+AB17</f>
        <v>0.11297670629846003</v>
      </c>
      <c r="AC28" s="1448">
        <f>W27+AC17</f>
        <v>0.14383267552571424</v>
      </c>
      <c r="AD28" s="1448">
        <f>X27+AD17</f>
        <v>0.16101553483070835</v>
      </c>
      <c r="AE28" s="1448">
        <f>Y27+AE17</f>
        <v>0.14101732570073247</v>
      </c>
      <c r="AF28" s="1448"/>
      <c r="AG28" s="1448">
        <f>AA27+AG17</f>
        <v>0.21023507901672259</v>
      </c>
      <c r="AH28" s="1448">
        <f>AB27+AH17</f>
        <v>0.20800963459128688</v>
      </c>
      <c r="AI28" s="1448">
        <f>AC27+AI17</f>
        <v>0.20271339966102517</v>
      </c>
      <c r="AJ28" s="1448">
        <f>AD27+AJ17</f>
        <v>0.20753872811353802</v>
      </c>
      <c r="AK28" s="1448">
        <f>AE27+AK17</f>
        <v>0.20668762157077281</v>
      </c>
      <c r="AL28" s="1448"/>
      <c r="AM28" s="1448">
        <f>AG27+AM17</f>
        <v>0.19870146148733145</v>
      </c>
      <c r="AN28" s="1448">
        <f>AH27+AN17</f>
        <v>0.13946392178433442</v>
      </c>
      <c r="AO28" s="1448">
        <f>AI27+AO17</f>
        <v>0.14668160157567256</v>
      </c>
      <c r="AP28" s="1448">
        <f>AJ27+AP17</f>
        <v>0.19363727462753685</v>
      </c>
      <c r="AQ28" s="1448">
        <f>AK27+AQ17</f>
        <v>0.17133902414837257</v>
      </c>
      <c r="AR28" s="1448"/>
      <c r="AS28" s="1448">
        <f>AM27+AS17</f>
        <v>5.6183799234930512E-2</v>
      </c>
      <c r="AT28" s="1448">
        <f>AN27+AT17</f>
        <v>0.10482141540427511</v>
      </c>
      <c r="AU28" s="1448">
        <f>AO27+AU17</f>
        <v>0.12167539780688816</v>
      </c>
      <c r="AV28" s="1448">
        <f>AP27+AV17</f>
        <v>0.1879625711340725</v>
      </c>
      <c r="AW28" s="1448">
        <f>AQ27+AW17</f>
        <v>0.11923649021779031</v>
      </c>
      <c r="AX28" s="1448"/>
      <c r="AY28" s="1448">
        <f>AS27+AY17</f>
        <v>0.16233676474978825</v>
      </c>
      <c r="AZ28" s="1448">
        <f>AT27+AZ17</f>
        <v>0.14510279839092619</v>
      </c>
      <c r="BA28" s="1448">
        <f>AU27+BA17</f>
        <v>0.16778753217556547</v>
      </c>
      <c r="BB28" s="1448">
        <f>AV27+BB17</f>
        <v>0.25541581908681515</v>
      </c>
      <c r="BC28" s="1448">
        <f>AW27+BC17</f>
        <v>0.18230309463684211</v>
      </c>
      <c r="BD28" s="1448"/>
      <c r="BE28" s="1448">
        <f>AY27+BE17</f>
        <v>0.16395068199928767</v>
      </c>
      <c r="BF28" s="1448">
        <f>AZ27+BF17</f>
        <v>0.20724028295318953</v>
      </c>
      <c r="BG28" s="1448">
        <f>BA27+BG17</f>
        <v>0.17911567033217485</v>
      </c>
      <c r="BH28" s="1448">
        <f>BB27+BH17</f>
        <v>0.23359585578893394</v>
      </c>
      <c r="BI28" s="1448">
        <f>BC27+BI17</f>
        <v>0.19443527061652344</v>
      </c>
      <c r="BJ28" s="1448"/>
      <c r="BK28" s="1448">
        <f>BE27+BK17</f>
        <v>0.23136877624770447</v>
      </c>
      <c r="BL28" s="1448">
        <f>BF27+BL17</f>
        <v>0.20764190033394725</v>
      </c>
      <c r="BM28" s="1448">
        <f>BG27+BM17</f>
        <v>0.18178876228913673</v>
      </c>
      <c r="BN28" s="1448">
        <f>BH27+BN17</f>
        <v>0.22403356922559306</v>
      </c>
      <c r="BO28" s="1448">
        <f>BI27+BO17</f>
        <v>0.21146277176604433</v>
      </c>
      <c r="BP28" s="1448"/>
      <c r="BQ28" s="1448">
        <f>BK27+BQ17</f>
        <v>0.19355845071811945</v>
      </c>
      <c r="BR28" s="1448">
        <f>BL27+BR17</f>
        <v>0.20477459809849308</v>
      </c>
      <c r="BS28" s="1448">
        <f>BM27+BS17</f>
        <v>0.18036961867555215</v>
      </c>
      <c r="BT28" s="1448">
        <f>BN27+BT17</f>
        <v>0.20507330489864653</v>
      </c>
      <c r="BU28" s="1448">
        <f>BO27+BU17</f>
        <v>0.19765061292242986</v>
      </c>
      <c r="BV28" s="1448"/>
      <c r="BW28" s="1448">
        <f>BQ27+BW17</f>
        <v>0.2049595340295437</v>
      </c>
      <c r="BX28" s="1448">
        <f>BR27+BX17</f>
        <v>0.18198210686657956</v>
      </c>
      <c r="BY28" s="1448">
        <f>BS27+BY17</f>
        <v>0.18855303760213843</v>
      </c>
      <c r="BZ28" s="1448">
        <f>BT27+BZ17</f>
        <v>0.17236877545038123</v>
      </c>
      <c r="CA28" s="1448">
        <f>BU27+CA17</f>
        <v>0.18707780075650512</v>
      </c>
      <c r="CB28" s="1448"/>
      <c r="CC28" s="1448">
        <f>BW27+CC17</f>
        <v>0.19474127483358517</v>
      </c>
      <c r="CD28" s="1448">
        <f>BX27+CD17</f>
        <v>0.18215841948230793</v>
      </c>
      <c r="CE28" s="1448">
        <f>BY27+CE17</f>
        <v>0.1666927329418697</v>
      </c>
      <c r="CF28" s="1448">
        <f>BZ27+CF17</f>
        <v>0.15176402386106547</v>
      </c>
      <c r="CG28" s="1448">
        <f>CA27+CG17</f>
        <v>0.17174752399026105</v>
      </c>
      <c r="CH28" s="1448"/>
      <c r="CI28" s="1448">
        <f>CC27+CI17</f>
        <v>0.18072919935482856</v>
      </c>
      <c r="CJ28" s="1448">
        <f>CD27+CJ17</f>
        <v>0.15985514158411007</v>
      </c>
      <c r="CK28" s="1448">
        <f>CE27+CK17</f>
        <v>0.15433256996931899</v>
      </c>
      <c r="CL28" s="1448">
        <f>CF27+CL17</f>
        <v>0.13426151753881399</v>
      </c>
      <c r="CM28" s="1448">
        <f>CG27+CM17</f>
        <v>0.15560629610550758</v>
      </c>
      <c r="CO28" s="1476" t="str">
        <f t="shared" si="41"/>
        <v>Organic, ex. FX, acq.</v>
      </c>
      <c r="CP28" s="1477">
        <f t="shared" si="42"/>
        <v>0.1462032761751243</v>
      </c>
      <c r="CQ28" s="1477">
        <f t="shared" si="42"/>
        <v>0.12023917567998513</v>
      </c>
      <c r="CR28" s="1477">
        <f t="shared" si="42"/>
        <v>0.11031318894499187</v>
      </c>
      <c r="CS28" s="1477">
        <f t="shared" si="42"/>
        <v>8.9917752849575025E-2</v>
      </c>
      <c r="CT28" s="1477">
        <f t="shared" si="43"/>
        <v>5.5788760916213723E-2</v>
      </c>
      <c r="CU28" s="1477">
        <f t="shared" si="43"/>
        <v>5.4798849096349203E-2</v>
      </c>
      <c r="CV28" s="1477">
        <f t="shared" si="43"/>
        <v>5.3287758598199078E-2</v>
      </c>
      <c r="CW28" s="1477">
        <f t="shared" si="43"/>
        <v>0.11538309432983937</v>
      </c>
      <c r="CX28" s="1477">
        <f t="shared" si="44"/>
        <v>5.2893223630923941E-2</v>
      </c>
      <c r="CY28" s="1477">
        <f t="shared" si="44"/>
        <v>6.9247312412275219E-2</v>
      </c>
      <c r="CZ28" s="1477">
        <f t="shared" si="44"/>
        <v>0.10475605183936976</v>
      </c>
      <c r="DA28" s="1477">
        <f t="shared" si="44"/>
        <v>0.17629899858219494</v>
      </c>
      <c r="DB28" s="1477">
        <f t="shared" si="45"/>
        <v>0.1098385794375811</v>
      </c>
      <c r="DC28" s="1477">
        <f t="shared" si="45"/>
        <v>0.12587805228657689</v>
      </c>
      <c r="DD28" s="1477">
        <f t="shared" si="45"/>
        <v>0.1314191195448848</v>
      </c>
      <c r="DE28" s="1477">
        <f t="shared" si="45"/>
        <v>0.15169629730885337</v>
      </c>
      <c r="DF28" s="1477">
        <f t="shared" si="46"/>
        <v>0.16355564368057088</v>
      </c>
      <c r="DG28" s="1477">
        <f t="shared" si="46"/>
        <v>0.15721771664526363</v>
      </c>
      <c r="DH28" s="1477">
        <f t="shared" si="46"/>
        <v>0.11072803112348575</v>
      </c>
      <c r="DI28" s="1477">
        <f t="shared" si="46"/>
        <v>0.16101637898470078</v>
      </c>
      <c r="DJ28" s="1477">
        <f t="shared" si="47"/>
        <v>0.12192523512884017</v>
      </c>
      <c r="DK28" s="1477">
        <f t="shared" si="47"/>
        <v>0.13178641435529626</v>
      </c>
      <c r="DL28" s="1477">
        <f t="shared" si="47"/>
        <v>0.11875728195294102</v>
      </c>
      <c r="DM28" s="1477">
        <f t="shared" si="47"/>
        <v>0.14491674872097285</v>
      </c>
      <c r="DN28" s="1477">
        <f t="shared" si="48"/>
        <v>0.13944634815641288</v>
      </c>
      <c r="DO28" s="1477">
        <f t="shared" si="49"/>
        <v>0.12341236743188044</v>
      </c>
      <c r="DP28" s="1477">
        <f t="shared" si="49"/>
        <v>0.13267306788826211</v>
      </c>
      <c r="DQ28" s="1477">
        <f t="shared" si="49"/>
        <v>0.12317374641856596</v>
      </c>
    </row>
    <row r="29" spans="1:121" s="24" customFormat="1" hidden="1" outlineLevel="1">
      <c r="A29" s="174"/>
      <c r="B29" s="71"/>
      <c r="BE29" s="1496"/>
      <c r="BF29" s="1496"/>
      <c r="BG29" s="1496"/>
      <c r="BH29" s="1496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148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2108"/>
    </row>
    <row r="30" spans="1:121" s="42" customFormat="1" hidden="1" outlineLevel="1">
      <c r="A30" s="154" t="s">
        <v>490</v>
      </c>
      <c r="B30" s="152"/>
      <c r="C30" s="152"/>
      <c r="D30" s="152"/>
      <c r="E30" s="152"/>
      <c r="F30" s="152"/>
      <c r="G30" s="152"/>
      <c r="H30" s="155"/>
      <c r="I30" s="152"/>
      <c r="J30" s="152"/>
      <c r="K30" s="152"/>
      <c r="L30" s="152"/>
      <c r="M30" s="152"/>
      <c r="N30" s="155"/>
      <c r="O30" s="152"/>
      <c r="P30" s="152"/>
      <c r="Q30" s="152"/>
      <c r="R30" s="152"/>
      <c r="S30" s="152"/>
      <c r="T30" s="155"/>
      <c r="U30" s="152"/>
      <c r="V30" s="153"/>
      <c r="W30" s="153"/>
      <c r="X30" s="153"/>
      <c r="Y30" s="153"/>
      <c r="Z30" s="155"/>
      <c r="AA30" s="153"/>
      <c r="AB30" s="157"/>
      <c r="AC30" s="157"/>
      <c r="AD30" s="152"/>
      <c r="AE30" s="152"/>
      <c r="AF30" s="155"/>
      <c r="AG30" s="153"/>
      <c r="AH30" s="153"/>
      <c r="AI30" s="153"/>
      <c r="AJ30" s="153"/>
      <c r="AK30" s="155"/>
      <c r="AL30" s="155"/>
      <c r="AM30" s="153"/>
      <c r="AN30" s="153"/>
      <c r="AO30" s="153"/>
      <c r="AP30" s="153"/>
      <c r="AQ30" s="155"/>
      <c r="AR30" s="155"/>
      <c r="AS30" s="153"/>
      <c r="AT30" s="153"/>
      <c r="AU30" s="153"/>
      <c r="AV30" s="153"/>
      <c r="AW30" s="155"/>
      <c r="AX30" s="155"/>
      <c r="AY30" s="153"/>
      <c r="AZ30" s="153"/>
      <c r="BA30" s="153"/>
      <c r="BB30" s="153"/>
      <c r="BC30" s="155"/>
      <c r="BD30" s="155"/>
      <c r="BE30" s="153"/>
      <c r="BF30" s="153"/>
      <c r="BG30" s="153"/>
      <c r="BH30" s="153"/>
      <c r="BI30" s="155"/>
      <c r="BJ30" s="155"/>
      <c r="BK30" s="153"/>
      <c r="BL30" s="153"/>
      <c r="BM30" s="153"/>
      <c r="BN30" s="153"/>
      <c r="BO30" s="155"/>
      <c r="BP30" s="155"/>
      <c r="BQ30" s="153"/>
      <c r="BR30" s="153"/>
      <c r="BS30" s="153"/>
      <c r="BT30" s="153"/>
      <c r="BU30" s="155"/>
      <c r="BV30" s="155"/>
      <c r="BW30" s="153"/>
      <c r="BX30" s="153"/>
      <c r="BY30" s="153"/>
      <c r="BZ30" s="153"/>
      <c r="CA30" s="155"/>
      <c r="CB30" s="155"/>
      <c r="CC30" s="153"/>
      <c r="CD30" s="153"/>
      <c r="CE30" s="153"/>
      <c r="CF30" s="153"/>
      <c r="CG30" s="155"/>
      <c r="CH30" s="155"/>
      <c r="CI30" s="153"/>
      <c r="CJ30" s="153"/>
      <c r="CK30" s="153"/>
      <c r="CL30" s="153"/>
      <c r="CM30" s="155"/>
      <c r="CO30" s="340" t="s">
        <v>518</v>
      </c>
      <c r="CP30" s="1066"/>
      <c r="CQ30" s="1066"/>
      <c r="CR30" s="1066"/>
      <c r="CS30" s="1066"/>
      <c r="CT30" s="1066"/>
      <c r="CU30" s="1066"/>
      <c r="CV30" s="1066"/>
      <c r="CW30" s="1066"/>
      <c r="CX30" s="1066"/>
      <c r="CY30" s="1066"/>
      <c r="CZ30" s="1066"/>
      <c r="DA30" s="73"/>
      <c r="DB30"/>
      <c r="DC30"/>
      <c r="DD30"/>
      <c r="DE30"/>
      <c r="DF30"/>
      <c r="DG30" s="358"/>
      <c r="DH30" s="358"/>
      <c r="DI30" s="358"/>
      <c r="DJ30"/>
      <c r="DK30" s="358"/>
      <c r="DL30" s="358"/>
      <c r="DM30" s="358"/>
    </row>
    <row r="31" spans="1:121" s="358" customFormat="1" hidden="1" outlineLevel="1">
      <c r="A31" s="182" t="s">
        <v>90</v>
      </c>
      <c r="B31" s="1078"/>
      <c r="C31" s="195"/>
      <c r="D31" s="195"/>
      <c r="E31" s="195"/>
      <c r="F31" s="195"/>
      <c r="G31" s="1079"/>
      <c r="H31" s="1080"/>
      <c r="I31" s="1081"/>
      <c r="J31" s="195"/>
      <c r="K31" s="195"/>
      <c r="L31" s="195"/>
      <c r="M31" s="176"/>
      <c r="N31" s="1082"/>
      <c r="O31" s="176"/>
      <c r="P31" s="109"/>
      <c r="Q31" s="109"/>
      <c r="R31" s="109"/>
      <c r="S31" s="176"/>
      <c r="T31" s="1082"/>
      <c r="U31" s="176"/>
      <c r="V31" s="109"/>
      <c r="W31" s="109"/>
      <c r="X31" s="109"/>
      <c r="Y31" s="1075"/>
      <c r="Z31" s="1082"/>
      <c r="AA31" s="176"/>
      <c r="AB31" s="109"/>
      <c r="AC31" s="109"/>
      <c r="AD31" s="109"/>
      <c r="AE31" s="176"/>
      <c r="AF31" s="1082"/>
      <c r="AG31" s="176"/>
      <c r="AH31" s="109"/>
      <c r="AI31" s="109"/>
      <c r="AJ31" s="109"/>
      <c r="AK31" s="1082"/>
      <c r="AL31" s="1082"/>
      <c r="AM31" s="176"/>
      <c r="AN31" s="109"/>
      <c r="AO31" s="109"/>
      <c r="AP31" s="109"/>
      <c r="AQ31" s="1082"/>
      <c r="AR31" s="1082"/>
      <c r="AS31" s="176"/>
      <c r="AT31" s="109"/>
      <c r="AU31" s="109"/>
      <c r="AV31" s="109"/>
      <c r="AW31" s="1082"/>
      <c r="AX31" s="1082"/>
      <c r="AY31" s="1555"/>
      <c r="AZ31" s="109"/>
      <c r="BA31" s="109"/>
      <c r="BB31" s="1556"/>
      <c r="BC31" s="1082"/>
      <c r="BD31" s="1082"/>
      <c r="BE31" s="176"/>
      <c r="BF31" s="109"/>
      <c r="BG31" s="109"/>
      <c r="BH31" s="109"/>
      <c r="BI31" s="1083"/>
      <c r="BJ31" s="1082"/>
      <c r="BK31" s="176"/>
      <c r="BL31" s="109"/>
      <c r="BM31" s="109"/>
      <c r="BN31" s="109"/>
      <c r="BO31" s="1083"/>
      <c r="BP31" s="1082"/>
      <c r="BQ31" s="176"/>
      <c r="BR31" s="109"/>
      <c r="BS31" s="109"/>
      <c r="BT31" s="109"/>
      <c r="BU31" s="1083"/>
      <c r="BV31" s="1082"/>
      <c r="BW31" s="176"/>
      <c r="BX31" s="109"/>
      <c r="BY31" s="109"/>
      <c r="BZ31" s="109"/>
      <c r="CA31" s="1083"/>
      <c r="CB31" s="1082"/>
      <c r="CC31" s="176"/>
      <c r="CD31" s="109"/>
      <c r="CE31" s="109"/>
      <c r="CF31" s="109"/>
      <c r="CG31" s="1083"/>
      <c r="CH31" s="1082"/>
      <c r="CI31" s="176"/>
      <c r="CJ31" s="109"/>
      <c r="CK31" s="109"/>
      <c r="CL31" s="109"/>
      <c r="CM31" s="1083"/>
      <c r="CO31" s="1449"/>
      <c r="CP31" s="1450" t="s">
        <v>474</v>
      </c>
      <c r="CQ31" s="1450" t="s">
        <v>33</v>
      </c>
      <c r="CR31" s="1450" t="s">
        <v>72</v>
      </c>
      <c r="CS31" s="1450" t="s">
        <v>30</v>
      </c>
      <c r="CT31" s="1450" t="s">
        <v>25</v>
      </c>
      <c r="CU31" s="1450" t="s">
        <v>29</v>
      </c>
      <c r="CV31" s="1450" t="s">
        <v>28</v>
      </c>
      <c r="CW31" s="1450" t="s">
        <v>27</v>
      </c>
      <c r="CX31" s="1450" t="s">
        <v>26</v>
      </c>
      <c r="CY31" s="1450" t="s">
        <v>475</v>
      </c>
      <c r="CZ31" s="1450" t="s">
        <v>476</v>
      </c>
      <c r="DA31" s="1450" t="s">
        <v>477</v>
      </c>
      <c r="DB31" s="1450" t="s">
        <v>488</v>
      </c>
      <c r="DC31" s="1450" t="s">
        <v>491</v>
      </c>
      <c r="DD31" s="1450" t="s">
        <v>498</v>
      </c>
      <c r="DE31" s="1450" t="s">
        <v>500</v>
      </c>
      <c r="DF31" s="1450" t="s">
        <v>510</v>
      </c>
      <c r="DG31" s="1450" t="s">
        <v>525</v>
      </c>
      <c r="DH31" s="1450" t="s">
        <v>529</v>
      </c>
      <c r="DI31" s="1450" t="str">
        <f>DI6</f>
        <v>4Q16</v>
      </c>
      <c r="DJ31" s="1450" t="str">
        <f>DJ6</f>
        <v>1Q17</v>
      </c>
      <c r="DK31" s="1450" t="str">
        <f>DK6</f>
        <v>2Q17</v>
      </c>
      <c r="DL31" s="1450" t="str">
        <f>DL6</f>
        <v>3Q17</v>
      </c>
      <c r="DM31" s="1450" t="str">
        <f>DM6</f>
        <v>4Q17</v>
      </c>
    </row>
    <row r="32" spans="1:121" s="358" customFormat="1" hidden="1" outlineLevel="1">
      <c r="A32" s="183" t="s">
        <v>95</v>
      </c>
      <c r="B32" s="1078"/>
      <c r="C32" s="109"/>
      <c r="D32" s="109">
        <v>0.12</v>
      </c>
      <c r="E32" s="109"/>
      <c r="F32" s="109"/>
      <c r="G32" s="1075"/>
      <c r="H32" s="2051"/>
      <c r="I32" s="176">
        <f>RevBuild!I23</f>
        <v>-2.5570389059766906E-2</v>
      </c>
      <c r="J32" s="109">
        <f>RevBuild!J23</f>
        <v>6.8655756284990085E-2</v>
      </c>
      <c r="K32" s="109">
        <f>RevBuild!K23</f>
        <v>5.0591191323274595E-2</v>
      </c>
      <c r="L32" s="109">
        <f>RevBuild!L23</f>
        <v>4.7845803668624454E-2</v>
      </c>
      <c r="M32" s="176">
        <f>RevBuild!M23</f>
        <v>1.828072075073563E-2</v>
      </c>
      <c r="N32" s="2051"/>
      <c r="O32" s="176">
        <f>RevBuild!O23</f>
        <v>-7.8461538461538444E-2</v>
      </c>
      <c r="P32" s="109">
        <f>RevBuild!P23</f>
        <v>-2.5294117647058807E-2</v>
      </c>
      <c r="Q32" s="109">
        <f>RevBuild!Q23</f>
        <v>-8.2561164794240374E-2</v>
      </c>
      <c r="R32" s="109">
        <f>RevBuild!R23</f>
        <v>0</v>
      </c>
      <c r="S32" s="176">
        <f>RevBuild!S23</f>
        <v>-4.5792940537343341E-2</v>
      </c>
      <c r="T32" s="2051"/>
      <c r="U32" s="176">
        <f>RevBuild!U23</f>
        <v>0.10999999999999999</v>
      </c>
      <c r="V32" s="109">
        <f>RevBuild!V23</f>
        <v>9.9999999999999992E-2</v>
      </c>
      <c r="W32" s="109">
        <f>RevBuild!W23</f>
        <v>0.12000000000000001</v>
      </c>
      <c r="X32" s="109">
        <f>RevBuild!X23</f>
        <v>0.14000000000000001</v>
      </c>
      <c r="Y32" s="176">
        <f>RevBuild!Y23</f>
        <v>0.1177795031055901</v>
      </c>
      <c r="Z32" s="2051"/>
      <c r="AA32" s="176">
        <f>RevBuild!AA23</f>
        <v>0.15000000000000002</v>
      </c>
      <c r="AB32" s="109">
        <f>RevBuild!AB23</f>
        <v>7.0000000000000007E-2</v>
      </c>
      <c r="AC32" s="109">
        <f>RevBuild!AC23</f>
        <v>0.09</v>
      </c>
      <c r="AD32" s="109">
        <f>RevBuild!AD23</f>
        <v>7.0000000000000007E-2</v>
      </c>
      <c r="AE32" s="176">
        <f>RevBuild!AE23</f>
        <v>9.2498544617858142E-2</v>
      </c>
      <c r="AF32" s="2051"/>
      <c r="AG32" s="176">
        <f>RevBuild!AG23</f>
        <v>-0.107</v>
      </c>
      <c r="AH32" s="109">
        <f>RevBuild!AH23</f>
        <v>-0.06</v>
      </c>
      <c r="AI32" s="109">
        <f>RevBuild!AI23</f>
        <v>0</v>
      </c>
      <c r="AJ32" s="109">
        <f>RevBuild!AJ23</f>
        <v>-0.05</v>
      </c>
      <c r="AK32" s="176">
        <f>RevBuild!AK23</f>
        <v>-5.4857990945841283E-2</v>
      </c>
      <c r="AL32" s="2051"/>
      <c r="AM32" s="176">
        <f>RevBuild!AM23</f>
        <v>0.1207</v>
      </c>
      <c r="AN32" s="109">
        <f>RevBuild!AN23</f>
        <v>6.6000000000000003E-2</v>
      </c>
      <c r="AO32" s="109">
        <f>RevBuild!AO23</f>
        <v>-0.05</v>
      </c>
      <c r="AP32" s="109">
        <f>RevBuild!AP23</f>
        <v>0.08</v>
      </c>
      <c r="AQ32" s="176">
        <f>RevBuild!AQ23</f>
        <v>5.4798744836509747E-2</v>
      </c>
      <c r="AR32" s="2051"/>
      <c r="AS32" s="176">
        <f>RevBuild!AS23</f>
        <v>-0.09</v>
      </c>
      <c r="AT32" s="109">
        <f>RevBuild!AT23</f>
        <v>-0.02</v>
      </c>
      <c r="AU32" s="109">
        <f>RevBuild!AU23</f>
        <v>5.8240541707651215E-2</v>
      </c>
      <c r="AV32" s="109">
        <f>RevBuild!AV23</f>
        <v>7.4180800020140977E-2</v>
      </c>
      <c r="AW32" s="1072">
        <f>RevBuild!AW23</f>
        <v>4.6082980984661261E-3</v>
      </c>
      <c r="AX32" s="2051"/>
      <c r="AY32" s="176">
        <f>RevBuild!AY23-$AY$13</f>
        <v>0.10499999999999998</v>
      </c>
      <c r="AZ32" s="109">
        <f>RevBuild!AZ23</f>
        <v>0.12539</v>
      </c>
      <c r="BA32" s="109">
        <f>RevBuild!BA23</f>
        <v>0.10249999999999999</v>
      </c>
      <c r="BB32" s="109">
        <f>RevBuild!BB23-BB$13</f>
        <v>0.05</v>
      </c>
      <c r="BC32" s="176">
        <f>RevBuild!BC23</f>
        <v>9.7692646337379535E-2</v>
      </c>
      <c r="BD32" s="2051"/>
      <c r="BE32" s="176">
        <f>RevBuild!BE23</f>
        <v>-2.5000000000000001E-2</v>
      </c>
      <c r="BF32" s="109">
        <f>RevBuild!BF23</f>
        <v>6.5000000000000002E-2</v>
      </c>
      <c r="BG32" s="109">
        <f>RevBuild!BG23</f>
        <v>3.2500000000000001E-2</v>
      </c>
      <c r="BH32" s="109">
        <f>RevBuild!BH23</f>
        <v>0.12</v>
      </c>
      <c r="BI32" s="176">
        <f>RevBuild!BI23</f>
        <v>5.1015132898933384E-2</v>
      </c>
      <c r="BJ32" s="2051"/>
      <c r="BK32" s="176">
        <f>RevBuild!BK23</f>
        <v>0.06</v>
      </c>
      <c r="BL32" s="109">
        <f>RevBuild!BL23</f>
        <v>0.03</v>
      </c>
      <c r="BM32" s="109">
        <f>RevBuild!BM23</f>
        <v>3.5000000000000003E-2</v>
      </c>
      <c r="BN32" s="109">
        <f>RevBuild!BN23</f>
        <v>3.4000000000000002E-2</v>
      </c>
      <c r="BO32" s="176">
        <f>RevBuild!BO23</f>
        <v>4.0121756984438435E-2</v>
      </c>
      <c r="BP32" s="2051"/>
      <c r="BQ32" s="176">
        <f>RevBuild!BQ23</f>
        <v>0.06</v>
      </c>
      <c r="BR32" s="109">
        <f>RevBuild!BR23</f>
        <v>0.05</v>
      </c>
      <c r="BS32" s="109">
        <f>RevBuild!BS23</f>
        <v>0.04</v>
      </c>
      <c r="BT32" s="109">
        <f>RevBuild!BT23</f>
        <v>0.04</v>
      </c>
      <c r="BU32" s="176">
        <f>RevBuild!BU23</f>
        <v>4.7064999663986279E-2</v>
      </c>
      <c r="BV32" s="2051"/>
      <c r="BW32" s="176">
        <f>RevBuild!BW23</f>
        <v>0.05</v>
      </c>
      <c r="BX32" s="109">
        <f>RevBuild!BX23</f>
        <v>0.04</v>
      </c>
      <c r="BY32" s="109">
        <f>RevBuild!BY23</f>
        <v>3.5000000000000003E-2</v>
      </c>
      <c r="BZ32" s="109">
        <f>RevBuild!BZ23</f>
        <v>3.5000000000000003E-2</v>
      </c>
      <c r="CA32" s="176">
        <f>RevBuild!CA23</f>
        <v>3.9579007011703915E-2</v>
      </c>
      <c r="CB32" s="2051"/>
      <c r="CC32" s="176">
        <f>RevBuild!CC23</f>
        <v>0.05</v>
      </c>
      <c r="CD32" s="109">
        <f>RevBuild!CD23</f>
        <v>0.04</v>
      </c>
      <c r="CE32" s="109">
        <f>RevBuild!CE23</f>
        <v>3.5000000000000003E-2</v>
      </c>
      <c r="CF32" s="109">
        <f>RevBuild!CF23</f>
        <v>3.5000000000000003E-2</v>
      </c>
      <c r="CG32" s="176">
        <f>RevBuild!CG23</f>
        <v>3.9612644267476904E-2</v>
      </c>
      <c r="CH32" s="2051"/>
      <c r="CI32" s="176">
        <f>RevBuild!CI23</f>
        <v>0.05</v>
      </c>
      <c r="CJ32" s="109">
        <f>RevBuild!CJ23</f>
        <v>0.04</v>
      </c>
      <c r="CK32" s="109">
        <f>RevBuild!CK23</f>
        <v>3.5000000000000003E-2</v>
      </c>
      <c r="CL32" s="109">
        <f>RevBuild!CL23</f>
        <v>3.5000000000000003E-2</v>
      </c>
      <c r="CM32" s="1075">
        <f>RevBuild!CM23</f>
        <v>3.9646463401052046E-2</v>
      </c>
      <c r="CN32" s="68"/>
      <c r="CO32" s="1476" t="s">
        <v>513</v>
      </c>
      <c r="CP32" s="1477"/>
      <c r="CQ32" s="1477"/>
      <c r="CR32" s="1477"/>
      <c r="CS32" s="1477"/>
      <c r="CT32" s="1477"/>
      <c r="CU32" s="1477"/>
      <c r="CV32" s="1477"/>
      <c r="CW32" s="1477"/>
      <c r="CX32" s="1477"/>
      <c r="CY32" s="1477"/>
      <c r="CZ32" s="1477"/>
      <c r="DA32" s="1477"/>
      <c r="DB32" s="1477"/>
      <c r="DC32" s="1477"/>
      <c r="DD32" s="1477"/>
      <c r="DE32" s="1477"/>
      <c r="DF32" s="1477"/>
      <c r="DG32" s="1477"/>
      <c r="DH32" s="1477"/>
      <c r="DI32" s="1477"/>
      <c r="DJ32" s="1477"/>
      <c r="DK32" s="1477"/>
      <c r="DL32" s="1477"/>
      <c r="DM32" s="1477"/>
    </row>
    <row r="33" spans="1:118" s="358" customFormat="1" hidden="1" outlineLevel="1">
      <c r="A33" s="183" t="s">
        <v>96</v>
      </c>
      <c r="B33" s="167"/>
      <c r="C33" s="109"/>
      <c r="D33" s="109">
        <v>0.09</v>
      </c>
      <c r="E33" s="109"/>
      <c r="F33" s="109"/>
      <c r="G33" s="1075"/>
      <c r="H33" s="2051"/>
      <c r="I33" s="176"/>
      <c r="J33" s="109"/>
      <c r="K33" s="109"/>
      <c r="L33" s="109"/>
      <c r="M33" s="176"/>
      <c r="N33" s="2051"/>
      <c r="O33" s="176">
        <f>AVERAGE(O34:O36)</f>
        <v>-0.38091569946035692</v>
      </c>
      <c r="P33" s="109">
        <f>AVERAGE(P34:P36)</f>
        <v>-0.18690625199362035</v>
      </c>
      <c r="Q33" s="109">
        <f>AVERAGE(Q34:Q36)</f>
        <v>-4.9471777784527528E-2</v>
      </c>
      <c r="R33" s="109">
        <f>AVERAGE(R34:R36)</f>
        <v>3.4977418144291193E-2</v>
      </c>
      <c r="S33" s="176">
        <f>AVERAGE(S34:S36)</f>
        <v>-0.14557907777355342</v>
      </c>
      <c r="T33" s="2051"/>
      <c r="U33" s="176">
        <f>AVERAGE(U34:U36)</f>
        <v>1.5679666782770274E-2</v>
      </c>
      <c r="V33" s="109">
        <f>AVERAGE(V34:V36)</f>
        <v>5.0186303630363083E-2</v>
      </c>
      <c r="W33" s="109">
        <f>AVERAGE(W34:W36)</f>
        <v>7.8676437389770759E-2</v>
      </c>
      <c r="X33" s="109">
        <f>AVERAGE(X34:X36)</f>
        <v>0.15488610574958075</v>
      </c>
      <c r="Y33" s="176">
        <f>AVERAGE(Y34:Y36)</f>
        <v>7.4857128388121211E-2</v>
      </c>
      <c r="Z33" s="2051"/>
      <c r="AA33" s="176">
        <f>AVERAGE(AA34:AA36)</f>
        <v>0.35791666666666666</v>
      </c>
      <c r="AB33" s="109">
        <f>AVERAGE(AB34:AB36)</f>
        <v>7.0733333333333329E-2</v>
      </c>
      <c r="AC33" s="109">
        <f>AVERAGE(AC34:AC36)</f>
        <v>0.13121333333333332</v>
      </c>
      <c r="AD33" s="109">
        <f>AVERAGE(AD34:AD36)</f>
        <v>3.4306666666666666E-2</v>
      </c>
      <c r="AE33" s="176">
        <f>AVERAGE(AE34:AE36)</f>
        <v>0.14854249999999999</v>
      </c>
      <c r="AF33" s="2051"/>
      <c r="AG33" s="176">
        <f>AVERAGE(AG34:AG36)</f>
        <v>-8.5413333333333341E-2</v>
      </c>
      <c r="AH33" s="109">
        <f>AVERAGE(AH34:AH36)</f>
        <v>8.3333333333333329E-2</v>
      </c>
      <c r="AI33" s="109">
        <f>AVERAGE(AI34:AI36)</f>
        <v>2.3333333333333334E-2</v>
      </c>
      <c r="AJ33" s="109">
        <f>AVERAGE(AJ34:AJ36)</f>
        <v>-4.9999999999999996E-2</v>
      </c>
      <c r="AK33" s="176">
        <f>AVERAGE(AK34:AK36)</f>
        <v>-7.186666666666665E-3</v>
      </c>
      <c r="AL33" s="2051"/>
      <c r="AM33" s="176">
        <f>AVERAGE(AM34:AM36)</f>
        <v>2.8333333333333332E-2</v>
      </c>
      <c r="AN33" s="109">
        <f>AVERAGE(AN34:AN36)</f>
        <v>-9.2333333333333337E-2</v>
      </c>
      <c r="AO33" s="109">
        <f>AVERAGE(AO34:AO36)</f>
        <v>-3.3333333333333335E-3</v>
      </c>
      <c r="AP33" s="109">
        <f>AVERAGE(AP34:AP36)</f>
        <v>0.10333333333333333</v>
      </c>
      <c r="AQ33" s="176">
        <f>AVERAGE(AQ34:AQ36)</f>
        <v>9.0000000000000028E-3</v>
      </c>
      <c r="AR33" s="2051"/>
      <c r="AS33" s="176">
        <f>AVERAGE(AS34:AS36)</f>
        <v>7.2468219903324416E-3</v>
      </c>
      <c r="AT33" s="109">
        <f>AVERAGE(AT34:AT36)</f>
        <v>0.13188909318901579</v>
      </c>
      <c r="AU33" s="109">
        <f>AVERAGE(AU34:AU36)</f>
        <v>8.8707035643888654E-2</v>
      </c>
      <c r="AV33" s="109">
        <f>AVERAGE(AV34:AV36)</f>
        <v>0.12629304543196659</v>
      </c>
      <c r="AW33" s="1072">
        <f>AVERAGE(AW34:AW36)</f>
        <v>8.8533999063800883E-2</v>
      </c>
      <c r="AX33" s="2051"/>
      <c r="AY33" s="176">
        <f>AVERAGE(AY34:AY36)</f>
        <v>0.12371999999999998</v>
      </c>
      <c r="AZ33" s="109">
        <f>AVERAGE(AZ34:AZ36)</f>
        <v>0.12516666666666668</v>
      </c>
      <c r="BA33" s="109">
        <f>AVERAGE(BA34:BA36)</f>
        <v>0.10465000000000001</v>
      </c>
      <c r="BB33" s="109">
        <f>AVERAGE(BB34:BB36)</f>
        <v>6.1101154919134044E-2</v>
      </c>
      <c r="BC33" s="176">
        <f>AVERAGE(BC34:BC36)</f>
        <v>0.10865945539645017</v>
      </c>
      <c r="BD33" s="2051"/>
      <c r="BE33" s="176">
        <f>AVERAGE(BE34:BE36)</f>
        <v>5.7301732527533733E-2</v>
      </c>
      <c r="BF33" s="109">
        <f>AVERAGE(BF34:BF36)</f>
        <v>6.2748601164593396E-2</v>
      </c>
      <c r="BG33" s="109">
        <f>AVERAGE(BG34:BG36)</f>
        <v>2.6610725109773099E-2</v>
      </c>
      <c r="BH33" s="109">
        <f>AVERAGE(BH34:BH36)</f>
        <v>0.10551827956989246</v>
      </c>
      <c r="BI33" s="176">
        <f>AVERAGE(BI34:BI36)</f>
        <v>6.3044834592948171E-2</v>
      </c>
      <c r="BJ33" s="2051"/>
      <c r="BK33" s="176">
        <f>AVERAGE(BK34:BK36)</f>
        <v>5.8916213768115934E-2</v>
      </c>
      <c r="BL33" s="109">
        <f>AVERAGE(BL34:BL36)</f>
        <v>4.5564185256685263E-2</v>
      </c>
      <c r="BM33" s="109">
        <f>AVERAGE(BM34:BM36)</f>
        <v>4.5666666666666668E-2</v>
      </c>
      <c r="BN33" s="109">
        <f>AVERAGE(BN34:BN36)</f>
        <v>2.4000000000000004E-2</v>
      </c>
      <c r="BO33" s="176">
        <f>AVERAGE(BO34:BO36)</f>
        <v>4.3536766422866968E-2</v>
      </c>
      <c r="BP33" s="2051"/>
      <c r="BQ33" s="176">
        <f>AVERAGE(BQ34:BQ36)</f>
        <v>7.8333333333333338E-2</v>
      </c>
      <c r="BR33" s="109">
        <f>AVERAGE(BR34:BR36)</f>
        <v>8.666666666666667E-2</v>
      </c>
      <c r="BS33" s="109">
        <f>AVERAGE(BS34:BS36)</f>
        <v>5.000000000000001E-2</v>
      </c>
      <c r="BT33" s="109">
        <f>AVERAGE(BT34:BT36)</f>
        <v>6.6666666666666666E-2</v>
      </c>
      <c r="BU33" s="176">
        <f>AVERAGE(BU34:BU36)</f>
        <v>7.0416666666666669E-2</v>
      </c>
      <c r="BV33" s="2051"/>
      <c r="BW33" s="176">
        <f>AVERAGE(BW34:BW36)</f>
        <v>7.0000000000000007E-2</v>
      </c>
      <c r="BX33" s="109">
        <f>AVERAGE(BX34:BX36)</f>
        <v>5.000000000000001E-2</v>
      </c>
      <c r="BY33" s="109">
        <f>AVERAGE(BY34:BY36)</f>
        <v>5.3333333333333337E-2</v>
      </c>
      <c r="BZ33" s="109">
        <f>AVERAGE(BZ34:BZ36)</f>
        <v>2.133333333333334E-2</v>
      </c>
      <c r="CA33" s="176">
        <f>AVERAGE(CA34:CA36)</f>
        <v>4.8666666666666671E-2</v>
      </c>
      <c r="CB33" s="2051"/>
      <c r="CC33" s="176">
        <f>AVERAGE(CC34:CC36)</f>
        <v>0.06</v>
      </c>
      <c r="CD33" s="109">
        <f>AVERAGE(CD34:CD36)</f>
        <v>0.04</v>
      </c>
      <c r="CE33" s="109">
        <f>AVERAGE(CE34:CE36)</f>
        <v>5.000000000000001E-2</v>
      </c>
      <c r="CF33" s="109">
        <f>AVERAGE(CF34:CF36)</f>
        <v>1.6E-2</v>
      </c>
      <c r="CG33" s="176">
        <f>AVERAGE(CG34:CG36)</f>
        <v>4.1500000000000009E-2</v>
      </c>
      <c r="CH33" s="2051"/>
      <c r="CI33" s="176">
        <f>AVERAGE(CI34:CI36)</f>
        <v>0.06</v>
      </c>
      <c r="CJ33" s="109">
        <f>AVERAGE(CJ34:CJ36)</f>
        <v>0.04</v>
      </c>
      <c r="CK33" s="109">
        <f>AVERAGE(CK34:CK36)</f>
        <v>5.000000000000001E-2</v>
      </c>
      <c r="CL33" s="109">
        <f>AVERAGE(CL34:CL36)</f>
        <v>1.6E-2</v>
      </c>
      <c r="CM33" s="1075">
        <f>AVERAGE(CM34:CM36)</f>
        <v>4.1500000000000009E-2</v>
      </c>
      <c r="CN33" s="68"/>
      <c r="CO33" s="1454" t="s">
        <v>465</v>
      </c>
      <c r="CP33" s="1451"/>
      <c r="CQ33" s="1451"/>
      <c r="CR33" s="1451"/>
      <c r="CS33" s="1451"/>
      <c r="CT33" s="1451">
        <f t="shared" ref="CT33:CW37" si="50">AM100</f>
        <v>0.06</v>
      </c>
      <c r="CU33" s="1451">
        <f t="shared" si="50"/>
        <v>-0.02</v>
      </c>
      <c r="CV33" s="1451">
        <f t="shared" si="50"/>
        <v>0.06</v>
      </c>
      <c r="CW33" s="1451">
        <f t="shared" si="50"/>
        <v>0.1</v>
      </c>
      <c r="CX33" s="1451">
        <f t="shared" ref="CX33:DA37" si="51">AS100</f>
        <v>-0.02</v>
      </c>
      <c r="CY33" s="1451">
        <f t="shared" si="51"/>
        <v>0.11</v>
      </c>
      <c r="CZ33" s="1451">
        <f t="shared" si="51"/>
        <v>0.08</v>
      </c>
      <c r="DA33" s="1451">
        <f t="shared" si="51"/>
        <v>0.1</v>
      </c>
      <c r="DB33" s="1451">
        <f t="shared" ref="DB33:DE37" si="52">AY100</f>
        <v>0.16500000000000001</v>
      </c>
      <c r="DC33" s="1451">
        <f t="shared" si="52"/>
        <v>7.0000000000000007E-2</v>
      </c>
      <c r="DD33" s="1451">
        <f t="shared" si="52"/>
        <v>0.13</v>
      </c>
      <c r="DE33" s="1451">
        <f t="shared" si="52"/>
        <v>7.5000000000000011E-2</v>
      </c>
      <c r="DF33" s="1451">
        <f>BE100</f>
        <v>1.4999999999999999E-2</v>
      </c>
      <c r="DG33" s="1451">
        <f>RevBuild!BF98</f>
        <v>0.06</v>
      </c>
      <c r="DH33" s="1451">
        <f>RevBuild!BG98</f>
        <v>-0.01</v>
      </c>
      <c r="DI33" s="1451">
        <f>RevBuild!BH98</f>
        <v>-0.01</v>
      </c>
      <c r="DJ33" s="1451">
        <f>RevBuild!BK98</f>
        <v>-7.0000000000000007E-2</v>
      </c>
      <c r="DK33" s="1451">
        <f>RevBuild!BL98</f>
        <v>-0.02</v>
      </c>
      <c r="DL33" s="1451">
        <f>RevBuild!BM98</f>
        <v>2.5600000000000001E-2</v>
      </c>
      <c r="DM33" s="1451">
        <f>RevBuild!BN98</f>
        <v>0.09</v>
      </c>
    </row>
    <row r="34" spans="1:118" s="358" customFormat="1" hidden="1" outlineLevel="1">
      <c r="A34" s="183" t="s">
        <v>97</v>
      </c>
      <c r="B34" s="2052"/>
      <c r="C34" s="109"/>
      <c r="D34" s="109"/>
      <c r="E34" s="109"/>
      <c r="F34" s="109"/>
      <c r="G34" s="1075"/>
      <c r="H34" s="2051"/>
      <c r="I34" s="176"/>
      <c r="J34" s="109"/>
      <c r="K34" s="109"/>
      <c r="L34" s="109"/>
      <c r="M34" s="176"/>
      <c r="N34" s="2051"/>
      <c r="O34" s="176">
        <f>RevBuild!O28</f>
        <v>-0.35454545454545455</v>
      </c>
      <c r="P34" s="109">
        <f>RevBuild!P28</f>
        <v>-0.23968421052631572</v>
      </c>
      <c r="Q34" s="109">
        <f>RevBuild!Q28</f>
        <v>-0.11951219512195123</v>
      </c>
      <c r="R34" s="109">
        <f>RevBuild!R28</f>
        <v>-8.4210526315789402E-2</v>
      </c>
      <c r="S34" s="176">
        <f>RevBuild!S28</f>
        <v>-0.19948809662737771</v>
      </c>
      <c r="T34" s="2051"/>
      <c r="U34" s="176">
        <f>RevBuild!U28</f>
        <v>-0.21517241379310334</v>
      </c>
      <c r="V34" s="109">
        <f>RevBuild!V28</f>
        <v>2.7500000000000073E-2</v>
      </c>
      <c r="W34" s="109">
        <f>RevBuild!W28</f>
        <v>8.1666666666666762E-2</v>
      </c>
      <c r="X34" s="109">
        <f>RevBuild!X28</f>
        <v>0.21162947937795806</v>
      </c>
      <c r="Y34" s="176">
        <f>RevBuild!Y28</f>
        <v>2.6405933062880391E-2</v>
      </c>
      <c r="Z34" s="2051"/>
      <c r="AA34" s="176">
        <f>RevBuild!AA28</f>
        <v>0.04</v>
      </c>
      <c r="AB34" s="109">
        <f>RevBuild!AB28</f>
        <v>0.04</v>
      </c>
      <c r="AC34" s="109">
        <f>RevBuild!AC28</f>
        <v>0.04</v>
      </c>
      <c r="AD34" s="109">
        <f>RevBuild!AD28</f>
        <v>0.04</v>
      </c>
      <c r="AE34" s="176">
        <f>RevBuild!AE28</f>
        <v>0.04</v>
      </c>
      <c r="AF34" s="2051"/>
      <c r="AG34" s="176">
        <f>RevBuild!AG28</f>
        <v>-0.2</v>
      </c>
      <c r="AH34" s="109">
        <f>RevBuild!AH28</f>
        <v>0</v>
      </c>
      <c r="AI34" s="109">
        <f>RevBuild!AI28</f>
        <v>-0.01</v>
      </c>
      <c r="AJ34" s="109">
        <f>RevBuild!AJ28</f>
        <v>-4.3999999999999997E-2</v>
      </c>
      <c r="AK34" s="176">
        <f>RevBuild!AK28</f>
        <v>-6.3500000000000001E-2</v>
      </c>
      <c r="AL34" s="2051"/>
      <c r="AM34" s="176">
        <f>RevBuild!AM28</f>
        <v>0.02</v>
      </c>
      <c r="AN34" s="109">
        <f>RevBuild!AN28</f>
        <v>-0.1</v>
      </c>
      <c r="AO34" s="109">
        <f>RevBuild!AO28</f>
        <v>-0.01</v>
      </c>
      <c r="AP34" s="109">
        <f>RevBuild!AP28</f>
        <v>0.1</v>
      </c>
      <c r="AQ34" s="176">
        <f>RevBuild!AQ28</f>
        <v>2.5000000000000022E-3</v>
      </c>
      <c r="AR34" s="2051"/>
      <c r="AS34" s="176">
        <f>RevBuild!AS28</f>
        <v>0.01</v>
      </c>
      <c r="AT34" s="109">
        <f>RevBuild!AT28</f>
        <v>0.05</v>
      </c>
      <c r="AU34" s="109">
        <f>RevBuild!AU28</f>
        <v>0.08</v>
      </c>
      <c r="AV34" s="109">
        <f>RevBuild!AV28</f>
        <v>0.09</v>
      </c>
      <c r="AW34" s="176">
        <f>RevBuild!AW28</f>
        <v>5.7500000000000002E-2</v>
      </c>
      <c r="AX34" s="2051"/>
      <c r="AY34" s="176">
        <f>RevBuild!AY28-$AY$13</f>
        <v>0.10680000000000001</v>
      </c>
      <c r="AZ34" s="109">
        <f>RevBuild!AZ28</f>
        <v>0.1255</v>
      </c>
      <c r="BA34" s="109">
        <f>RevBuild!BA28</f>
        <v>0.11395</v>
      </c>
      <c r="BB34" s="109">
        <f>RevBuild!BB28-BB$13</f>
        <v>0.11800000000000001</v>
      </c>
      <c r="BC34" s="176">
        <f>RevBuild!BC28</f>
        <v>0.12106249999999999</v>
      </c>
      <c r="BD34" s="2051"/>
      <c r="BE34" s="176">
        <f>RevBuild!BE28</f>
        <v>0.06</v>
      </c>
      <c r="BF34" s="109">
        <f>RevBuild!BF28</f>
        <v>6.5000000000000002E-2</v>
      </c>
      <c r="BG34" s="109">
        <f>RevBuild!BG28</f>
        <v>3.2578999999999997E-2</v>
      </c>
      <c r="BH34" s="109">
        <f>RevBuild!BH28</f>
        <v>0.11655483870967739</v>
      </c>
      <c r="BI34" s="176">
        <f>RevBuild!BI28</f>
        <v>6.8533459677419348E-2</v>
      </c>
      <c r="BJ34" s="2051"/>
      <c r="BK34" s="176">
        <f>RevBuild!BK28</f>
        <v>0.06</v>
      </c>
      <c r="BL34" s="109">
        <f>RevBuild!BL28</f>
        <v>0.04</v>
      </c>
      <c r="BM34" s="109">
        <f>RevBuild!BM28</f>
        <v>0.05</v>
      </c>
      <c r="BN34" s="109">
        <f>RevBuild!BN28</f>
        <v>3.4000000000000002E-2</v>
      </c>
      <c r="BO34" s="176">
        <f>RevBuild!BO28</f>
        <v>4.6000000000000006E-2</v>
      </c>
      <c r="BP34" s="2051"/>
      <c r="BQ34" s="176">
        <f>RevBuild!BQ28</f>
        <v>0.08</v>
      </c>
      <c r="BR34" s="109">
        <f>RevBuild!BR28</f>
        <v>0.09</v>
      </c>
      <c r="BS34" s="109">
        <f>RevBuild!BS28</f>
        <v>0.05</v>
      </c>
      <c r="BT34" s="109">
        <f>RevBuild!BT28</f>
        <v>7.0000000000000007E-2</v>
      </c>
      <c r="BU34" s="176">
        <f>RevBuild!BU28</f>
        <v>7.2499999999999995E-2</v>
      </c>
      <c r="BV34" s="2051"/>
      <c r="BW34" s="176">
        <f>RevBuild!BW28</f>
        <v>7.0000000000000007E-2</v>
      </c>
      <c r="BX34" s="109">
        <f>RevBuild!BX28</f>
        <v>0.05</v>
      </c>
      <c r="BY34" s="109">
        <f>RevBuild!BY28</f>
        <v>0.04</v>
      </c>
      <c r="BZ34" s="109">
        <f>RevBuild!BZ28</f>
        <v>3.4000000000000002E-2</v>
      </c>
      <c r="CA34" s="176">
        <f>RevBuild!CA28</f>
        <v>4.8500000000000001E-2</v>
      </c>
      <c r="CB34" s="2051"/>
      <c r="CC34" s="176">
        <f>RevBuild!CC28</f>
        <v>0.06</v>
      </c>
      <c r="CD34" s="109">
        <f>RevBuild!CD28</f>
        <v>0.04</v>
      </c>
      <c r="CE34" s="109">
        <f>RevBuild!CE28</f>
        <v>0.05</v>
      </c>
      <c r="CF34" s="109">
        <f>RevBuild!CF28</f>
        <v>3.4000000000000002E-2</v>
      </c>
      <c r="CG34" s="176">
        <f>RevBuild!CG28</f>
        <v>4.6000000000000006E-2</v>
      </c>
      <c r="CH34" s="2051"/>
      <c r="CI34" s="176">
        <f>RevBuild!CI28</f>
        <v>0.06</v>
      </c>
      <c r="CJ34" s="109">
        <f>RevBuild!CJ28</f>
        <v>0.04</v>
      </c>
      <c r="CK34" s="109">
        <f>RevBuild!CK28</f>
        <v>0.05</v>
      </c>
      <c r="CL34" s="109">
        <f>RevBuild!CL28</f>
        <v>3.4000000000000002E-2</v>
      </c>
      <c r="CM34" s="1075">
        <f>RevBuild!CM28</f>
        <v>4.6000000000000006E-2</v>
      </c>
      <c r="CN34" s="68"/>
      <c r="CO34" s="1474" t="s">
        <v>459</v>
      </c>
      <c r="CP34" s="1475"/>
      <c r="CQ34" s="1475"/>
      <c r="CR34" s="1475"/>
      <c r="CS34" s="1475"/>
      <c r="CT34" s="1475">
        <f t="shared" si="50"/>
        <v>0.01</v>
      </c>
      <c r="CU34" s="1475">
        <f t="shared" si="50"/>
        <v>7.0000000000000007E-2</v>
      </c>
      <c r="CV34" s="1475">
        <f t="shared" si="50"/>
        <v>-0.01</v>
      </c>
      <c r="CW34" s="1475">
        <f t="shared" si="50"/>
        <v>0.05</v>
      </c>
      <c r="CX34" s="1475">
        <f t="shared" si="51"/>
        <v>0.02</v>
      </c>
      <c r="CY34" s="1475">
        <f t="shared" si="51"/>
        <v>0.02</v>
      </c>
      <c r="CZ34" s="1475">
        <f t="shared" si="51"/>
        <v>0.09</v>
      </c>
      <c r="DA34" s="1475">
        <f t="shared" si="51"/>
        <v>0.1</v>
      </c>
      <c r="DB34" s="1475">
        <f t="shared" si="52"/>
        <v>6.5000000000000002E-2</v>
      </c>
      <c r="DC34" s="1475">
        <f t="shared" si="52"/>
        <v>0.05</v>
      </c>
      <c r="DD34" s="1475">
        <f t="shared" si="52"/>
        <v>7.0000000000000007E-2</v>
      </c>
      <c r="DE34" s="1475">
        <f t="shared" si="52"/>
        <v>6.5000000000000002E-2</v>
      </c>
      <c r="DF34" s="1475">
        <f>BE101</f>
        <v>2.5000000000000001E-2</v>
      </c>
      <c r="DG34" s="1475">
        <f>RevBuild!BF99</f>
        <v>0.12</v>
      </c>
      <c r="DH34" s="1475">
        <f>RevBuild!BG99</f>
        <v>-0.01</v>
      </c>
      <c r="DI34" s="1475">
        <f>RevBuild!BH99</f>
        <v>0.09</v>
      </c>
      <c r="DJ34" s="1475">
        <f>RevBuild!BK99</f>
        <v>0.09</v>
      </c>
      <c r="DK34" s="1475">
        <f>RevBuild!BL99</f>
        <v>0.05</v>
      </c>
      <c r="DL34" s="1475">
        <f>RevBuild!BM99</f>
        <v>0.13</v>
      </c>
      <c r="DM34" s="1475">
        <f>RevBuild!BN99</f>
        <v>7.0000000000000007E-2</v>
      </c>
    </row>
    <row r="35" spans="1:118" s="358" customFormat="1" hidden="1" outlineLevel="1">
      <c r="A35" s="183" t="s">
        <v>98</v>
      </c>
      <c r="B35" s="2052"/>
      <c r="C35" s="109"/>
      <c r="D35" s="109"/>
      <c r="E35" s="109"/>
      <c r="F35" s="109"/>
      <c r="G35" s="1075"/>
      <c r="H35" s="2051"/>
      <c r="I35" s="176"/>
      <c r="J35" s="109"/>
      <c r="K35" s="109"/>
      <c r="L35" s="109"/>
      <c r="M35" s="176"/>
      <c r="N35" s="2051"/>
      <c r="O35" s="176">
        <f>RevBuild!O31</f>
        <v>-0.4235616438356164</v>
      </c>
      <c r="P35" s="109">
        <f>RevBuild!P31</f>
        <v>-0.12920454545454541</v>
      </c>
      <c r="Q35" s="109">
        <f>RevBuild!Q31</f>
        <v>0.19683686176836865</v>
      </c>
      <c r="R35" s="109">
        <f>RevBuild!R31</f>
        <v>0.31604278074866299</v>
      </c>
      <c r="S35" s="176">
        <f>RevBuild!S31</f>
        <v>-9.9716366932825484E-3</v>
      </c>
      <c r="T35" s="2051"/>
      <c r="U35" s="176">
        <f>RevBuild!U31</f>
        <v>0.37414141414141416</v>
      </c>
      <c r="V35" s="109">
        <f>RevBuild!V31</f>
        <v>9.9108910891089183E-2</v>
      </c>
      <c r="W35" s="109">
        <f>RevBuild!W31</f>
        <v>6.5502645502645493E-2</v>
      </c>
      <c r="X35" s="109">
        <f>RevBuild!X31</f>
        <v>0.18325883787078423</v>
      </c>
      <c r="Y35" s="176">
        <f>RevBuild!Y31</f>
        <v>0.18050295210148326</v>
      </c>
      <c r="Z35" s="2051"/>
      <c r="AA35" s="176">
        <f>RevBuild!AA31</f>
        <v>0.27999999999999997</v>
      </c>
      <c r="AB35" s="109">
        <f>RevBuild!AB31</f>
        <v>0.09</v>
      </c>
      <c r="AC35" s="109">
        <f>RevBuild!AC31</f>
        <v>0.12</v>
      </c>
      <c r="AD35" s="109">
        <f>RevBuild!AD31</f>
        <v>0.11</v>
      </c>
      <c r="AE35" s="176">
        <f>RevBuild!AE31</f>
        <v>0.15</v>
      </c>
      <c r="AF35" s="2051"/>
      <c r="AG35" s="176">
        <f>RevBuild!AG31</f>
        <v>0</v>
      </c>
      <c r="AH35" s="109">
        <f>RevBuild!AH31</f>
        <v>0.15</v>
      </c>
      <c r="AI35" s="109">
        <f>RevBuild!AI31</f>
        <v>-0.02</v>
      </c>
      <c r="AJ35" s="109">
        <f>RevBuild!AJ31</f>
        <v>-4.3999999999999997E-2</v>
      </c>
      <c r="AK35" s="176">
        <f>RevBuild!AK31</f>
        <v>2.1500000000000002E-2</v>
      </c>
      <c r="AL35" s="2051"/>
      <c r="AM35" s="176">
        <f>RevBuild!AM31</f>
        <v>2.5000000000000001E-2</v>
      </c>
      <c r="AN35" s="109">
        <f>RevBuild!AN31</f>
        <v>-8.6999999999999994E-2</v>
      </c>
      <c r="AO35" s="109">
        <f>RevBuild!AO31</f>
        <v>-0.01</v>
      </c>
      <c r="AP35" s="109">
        <f>RevBuild!AP31</f>
        <v>0.1</v>
      </c>
      <c r="AQ35" s="176">
        <f>RevBuild!AQ31</f>
        <v>7.0000000000000027E-3</v>
      </c>
      <c r="AR35" s="2051"/>
      <c r="AS35" s="176">
        <f>RevBuild!AS31</f>
        <v>0</v>
      </c>
      <c r="AT35" s="109">
        <f>RevBuild!AT31</f>
        <v>7.0000000000000007E-2</v>
      </c>
      <c r="AU35" s="109">
        <f>RevBuild!AU31</f>
        <v>0.08</v>
      </c>
      <c r="AV35" s="109">
        <f>RevBuild!AV31</f>
        <v>0.1</v>
      </c>
      <c r="AW35" s="176">
        <f>RevBuild!AW31</f>
        <v>6.25E-2</v>
      </c>
      <c r="AX35" s="2051"/>
      <c r="AY35" s="176">
        <f>RevBuild!AY31-$AY$13</f>
        <v>5.7159999999999996E-2</v>
      </c>
      <c r="AZ35" s="109">
        <f>RevBuild!AZ31</f>
        <v>0.125</v>
      </c>
      <c r="BA35" s="109">
        <f>RevBuild!BA31</f>
        <v>9.2999999999999999E-2</v>
      </c>
      <c r="BB35" s="109">
        <f>RevBuild!BB31-BB$13</f>
        <v>3.8370000000000001E-2</v>
      </c>
      <c r="BC35" s="176">
        <f>RevBuild!BC31</f>
        <v>8.3382499999999998E-2</v>
      </c>
      <c r="BD35" s="2051"/>
      <c r="BE35" s="176">
        <f>RevBuild!BE31</f>
        <v>6.5000000000000002E-2</v>
      </c>
      <c r="BF35" s="109">
        <f>RevBuild!BF31</f>
        <v>7.3912820512820512E-2</v>
      </c>
      <c r="BG35" s="109">
        <f>RevBuild!BG31</f>
        <v>0.03</v>
      </c>
      <c r="BH35" s="109">
        <f>RevBuild!BH31</f>
        <v>0.13</v>
      </c>
      <c r="BI35" s="176">
        <f>RevBuild!BI31</f>
        <v>7.4728205128205133E-2</v>
      </c>
      <c r="BJ35" s="2051"/>
      <c r="BK35" s="176">
        <f>RevBuild!BK31</f>
        <v>0.06</v>
      </c>
      <c r="BL35" s="109">
        <f>RevBuild!BL31</f>
        <v>0.05</v>
      </c>
      <c r="BM35" s="109">
        <f>RevBuild!BM31</f>
        <v>0.05</v>
      </c>
      <c r="BN35" s="109">
        <f>RevBuild!BN31</f>
        <v>3.4000000000000002E-2</v>
      </c>
      <c r="BO35" s="176">
        <f>RevBuild!BO31</f>
        <v>4.8500000000000001E-2</v>
      </c>
      <c r="BP35" s="2051"/>
      <c r="BQ35" s="176">
        <f>RevBuild!BQ31</f>
        <v>0.08</v>
      </c>
      <c r="BR35" s="109">
        <f>RevBuild!BR31</f>
        <v>0.09</v>
      </c>
      <c r="BS35" s="109">
        <f>RevBuild!BS31</f>
        <v>0.05</v>
      </c>
      <c r="BT35" s="109">
        <f>RevBuild!BT31</f>
        <v>7.0000000000000007E-2</v>
      </c>
      <c r="BU35" s="176">
        <f>RevBuild!BU31</f>
        <v>7.2499999999999995E-2</v>
      </c>
      <c r="BV35" s="2051"/>
      <c r="BW35" s="176">
        <f>RevBuild!BW31</f>
        <v>7.0000000000000007E-2</v>
      </c>
      <c r="BX35" s="109">
        <f>RevBuild!BX31</f>
        <v>0.05</v>
      </c>
      <c r="BY35" s="109">
        <f>RevBuild!BY31</f>
        <v>0.06</v>
      </c>
      <c r="BZ35" s="109">
        <f>RevBuild!BZ31</f>
        <v>0.04</v>
      </c>
      <c r="CA35" s="176">
        <f>RevBuild!CA31</f>
        <v>5.5E-2</v>
      </c>
      <c r="CB35" s="2051"/>
      <c r="CC35" s="176">
        <f>RevBuild!CC31</f>
        <v>0.06</v>
      </c>
      <c r="CD35" s="109">
        <f>RevBuild!CD31</f>
        <v>0.04</v>
      </c>
      <c r="CE35" s="109">
        <f>RevBuild!CE31</f>
        <v>0.05</v>
      </c>
      <c r="CF35" s="109">
        <f>RevBuild!CF31</f>
        <v>3.4000000000000002E-2</v>
      </c>
      <c r="CG35" s="176">
        <f>RevBuild!CG31</f>
        <v>4.6000000000000006E-2</v>
      </c>
      <c r="CH35" s="2051"/>
      <c r="CI35" s="176">
        <f>RevBuild!CI31</f>
        <v>0.06</v>
      </c>
      <c r="CJ35" s="109">
        <f>RevBuild!CJ31</f>
        <v>0.04</v>
      </c>
      <c r="CK35" s="109">
        <f>RevBuild!CK31</f>
        <v>0.05</v>
      </c>
      <c r="CL35" s="109">
        <f>RevBuild!CL31</f>
        <v>3.4000000000000002E-2</v>
      </c>
      <c r="CM35" s="1075">
        <f>RevBuild!CM31</f>
        <v>4.6000000000000006E-2</v>
      </c>
      <c r="CN35" s="68"/>
      <c r="CO35" s="1454" t="s">
        <v>460</v>
      </c>
      <c r="CP35" s="1451"/>
      <c r="CQ35" s="1451"/>
      <c r="CR35" s="1451"/>
      <c r="CS35" s="1451"/>
      <c r="CT35" s="1451">
        <f t="shared" si="50"/>
        <v>-0.02</v>
      </c>
      <c r="CU35" s="1451">
        <f t="shared" si="50"/>
        <v>-0.06</v>
      </c>
      <c r="CV35" s="1451">
        <f t="shared" si="50"/>
        <v>0.05</v>
      </c>
      <c r="CW35" s="1451">
        <f t="shared" si="50"/>
        <v>0.03</v>
      </c>
      <c r="CX35" s="1451">
        <f t="shared" si="51"/>
        <v>0.08</v>
      </c>
      <c r="CY35" s="1451">
        <f t="shared" si="51"/>
        <v>0.04</v>
      </c>
      <c r="CZ35" s="1451">
        <f t="shared" si="51"/>
        <v>0.04</v>
      </c>
      <c r="DA35" s="1451">
        <f t="shared" si="51"/>
        <v>0</v>
      </c>
      <c r="DB35" s="1451">
        <f t="shared" si="52"/>
        <v>-3.5000000000000003E-2</v>
      </c>
      <c r="DC35" s="1451">
        <f t="shared" si="52"/>
        <v>0.05</v>
      </c>
      <c r="DD35" s="1451">
        <f t="shared" si="52"/>
        <v>0.01</v>
      </c>
      <c r="DE35" s="1451">
        <f t="shared" si="52"/>
        <v>3.5000000000000003E-2</v>
      </c>
      <c r="DF35" s="1451">
        <f>BE102</f>
        <v>0.08</v>
      </c>
      <c r="DG35" s="1451">
        <f>RevBuild!BF100</f>
        <v>0.03</v>
      </c>
      <c r="DH35" s="1451">
        <f>RevBuild!BG100</f>
        <v>-0.02</v>
      </c>
      <c r="DI35" s="1451">
        <f>RevBuild!BH100</f>
        <v>0.06</v>
      </c>
      <c r="DJ35" s="1451">
        <f>RevBuild!BK100</f>
        <v>-0.08</v>
      </c>
      <c r="DK35" s="1451">
        <f>RevBuild!BL100</f>
        <v>0.12</v>
      </c>
      <c r="DL35" s="1451">
        <f>RevBuild!BM100</f>
        <v>0.08</v>
      </c>
      <c r="DM35" s="1451">
        <f>RevBuild!BN100</f>
        <v>3.5000000000000003E-2</v>
      </c>
    </row>
    <row r="36" spans="1:118" s="358" customFormat="1" hidden="1" outlineLevel="1">
      <c r="A36" s="183" t="s">
        <v>99</v>
      </c>
      <c r="B36" s="1078"/>
      <c r="C36" s="109"/>
      <c r="D36" s="109"/>
      <c r="E36" s="109"/>
      <c r="F36" s="109"/>
      <c r="G36" s="1075"/>
      <c r="H36" s="2051"/>
      <c r="I36" s="176"/>
      <c r="J36" s="109"/>
      <c r="K36" s="109"/>
      <c r="L36" s="109"/>
      <c r="M36" s="176"/>
      <c r="N36" s="2051"/>
      <c r="O36" s="176">
        <f>RevBuild!O34</f>
        <v>-0.36463999999999996</v>
      </c>
      <c r="P36" s="109">
        <f>RevBuild!P34</f>
        <v>-0.19183</v>
      </c>
      <c r="Q36" s="109">
        <f>RevBuild!Q34</f>
        <v>-0.22574</v>
      </c>
      <c r="R36" s="109">
        <f>RevBuild!R34</f>
        <v>-0.12690000000000001</v>
      </c>
      <c r="S36" s="176">
        <f>RevBuild!S34</f>
        <v>-0.22727750000000002</v>
      </c>
      <c r="T36" s="2051"/>
      <c r="U36" s="176">
        <f>RevBuild!U34</f>
        <v>-0.11193</v>
      </c>
      <c r="V36" s="109">
        <f>RevBuild!V34</f>
        <v>2.3949999999999999E-2</v>
      </c>
      <c r="W36" s="109">
        <f>RevBuild!W34</f>
        <v>8.8860000000000008E-2</v>
      </c>
      <c r="X36" s="109">
        <f>RevBuild!X34</f>
        <v>6.9769999999999999E-2</v>
      </c>
      <c r="Y36" s="176">
        <f>RevBuild!Y34</f>
        <v>1.7662500000000001E-2</v>
      </c>
      <c r="Z36" s="2051"/>
      <c r="AA36" s="176">
        <f>RevBuild!AA34</f>
        <v>0.75375000000000003</v>
      </c>
      <c r="AB36" s="109">
        <f>RevBuild!AB34</f>
        <v>8.2199999999999995E-2</v>
      </c>
      <c r="AC36" s="109">
        <f>RevBuild!AC34</f>
        <v>0.23363999999999999</v>
      </c>
      <c r="AD36" s="109">
        <f>RevBuild!AD34</f>
        <v>-4.7079999999999997E-2</v>
      </c>
      <c r="AE36" s="176">
        <f>RevBuild!AE34</f>
        <v>0.25562750000000001</v>
      </c>
      <c r="AF36" s="2051"/>
      <c r="AG36" s="176">
        <f>RevBuild!AG34</f>
        <v>-5.6239999999999998E-2</v>
      </c>
      <c r="AH36" s="109">
        <f>RevBuild!AH34</f>
        <v>0.1</v>
      </c>
      <c r="AI36" s="109">
        <f>RevBuild!AI34</f>
        <v>0.1</v>
      </c>
      <c r="AJ36" s="109">
        <f>RevBuild!AJ34</f>
        <v>-6.2E-2</v>
      </c>
      <c r="AK36" s="176">
        <f>RevBuild!AK34</f>
        <v>2.044E-2</v>
      </c>
      <c r="AL36" s="2051"/>
      <c r="AM36" s="176">
        <f>RevBuild!AM34</f>
        <v>0.04</v>
      </c>
      <c r="AN36" s="109">
        <f>RevBuild!AN34</f>
        <v>-0.09</v>
      </c>
      <c r="AO36" s="109">
        <f>RevBuild!AO34</f>
        <v>0.01</v>
      </c>
      <c r="AP36" s="109">
        <f>RevBuild!AP34</f>
        <v>0.11</v>
      </c>
      <c r="AQ36" s="176">
        <f>RevBuild!AQ34</f>
        <v>1.7500000000000002E-2</v>
      </c>
      <c r="AR36" s="2051"/>
      <c r="AS36" s="176">
        <f>RevBuild!AS34</f>
        <v>1.1740465970997326E-2</v>
      </c>
      <c r="AT36" s="109">
        <f>RevBuild!AT34</f>
        <v>0.2756672795670474</v>
      </c>
      <c r="AU36" s="109">
        <f>RevBuild!AU34</f>
        <v>0.10612110693166597</v>
      </c>
      <c r="AV36" s="109">
        <f>RevBuild!AV34</f>
        <v>0.18887913629589981</v>
      </c>
      <c r="AW36" s="176">
        <f>RevBuild!AW34</f>
        <v>0.14560199719140263</v>
      </c>
      <c r="AX36" s="2051"/>
      <c r="AY36" s="176">
        <f>RevBuild!AY34-$AY$13</f>
        <v>0.20719999999999997</v>
      </c>
      <c r="AZ36" s="109">
        <f>RevBuild!AZ34</f>
        <v>0.125</v>
      </c>
      <c r="BA36" s="109">
        <f>RevBuild!BA34</f>
        <v>0.107</v>
      </c>
      <c r="BB36" s="109">
        <f>RevBuild!BB34-BB$13</f>
        <v>2.6933464757402128E-2</v>
      </c>
      <c r="BC36" s="176">
        <f>RevBuild!BC34</f>
        <v>0.12153336618935053</v>
      </c>
      <c r="BD36" s="2051"/>
      <c r="BE36" s="176">
        <f>RevBuild!BE34</f>
        <v>4.6905197582601206E-2</v>
      </c>
      <c r="BF36" s="109">
        <f>RevBuild!BF34</f>
        <v>4.93329829809597E-2</v>
      </c>
      <c r="BG36" s="109">
        <f>RevBuild!BG34</f>
        <v>1.7253175329319307E-2</v>
      </c>
      <c r="BH36" s="109">
        <f>RevBuild!BH34</f>
        <v>7.0000000000000007E-2</v>
      </c>
      <c r="BI36" s="176">
        <f>RevBuild!BI34</f>
        <v>4.5872838973220052E-2</v>
      </c>
      <c r="BJ36" s="2051"/>
      <c r="BK36" s="176">
        <f>RevBuild!BK34</f>
        <v>5.6748641304347827E-2</v>
      </c>
      <c r="BL36" s="109">
        <f>RevBuild!BL34</f>
        <v>4.669255577005578E-2</v>
      </c>
      <c r="BM36" s="109">
        <f>RevBuild!BM34</f>
        <v>3.6999999999999998E-2</v>
      </c>
      <c r="BN36" s="109">
        <f>RevBuild!BN34</f>
        <v>4.0000000000000036E-3</v>
      </c>
      <c r="BO36" s="176">
        <f>RevBuild!BO34</f>
        <v>3.6110299268600904E-2</v>
      </c>
      <c r="BP36" s="2051"/>
      <c r="BQ36" s="176">
        <f>RevBuild!BQ34</f>
        <v>7.5000000000000011E-2</v>
      </c>
      <c r="BR36" s="109">
        <f>RevBuild!BR34</f>
        <v>0.08</v>
      </c>
      <c r="BS36" s="109">
        <f>RevBuild!BS34</f>
        <v>0.05</v>
      </c>
      <c r="BT36" s="109">
        <f>RevBuild!BT34</f>
        <v>0.06</v>
      </c>
      <c r="BU36" s="176">
        <f>RevBuild!BU34</f>
        <v>6.6250000000000003E-2</v>
      </c>
      <c r="BV36" s="2051"/>
      <c r="BW36" s="176">
        <f>RevBuild!BW34</f>
        <v>7.0000000000000007E-2</v>
      </c>
      <c r="BX36" s="109">
        <f>RevBuild!BX34</f>
        <v>0.05</v>
      </c>
      <c r="BY36" s="109">
        <f>RevBuild!BY34</f>
        <v>0.06</v>
      </c>
      <c r="BZ36" s="109">
        <f>RevBuild!BZ34</f>
        <v>-0.01</v>
      </c>
      <c r="CA36" s="176">
        <f>RevBuild!CA34</f>
        <v>4.2499999999999996E-2</v>
      </c>
      <c r="CB36" s="2051"/>
      <c r="CC36" s="176">
        <f>RevBuild!CC34</f>
        <v>0.06</v>
      </c>
      <c r="CD36" s="109">
        <f>RevBuild!CD34</f>
        <v>0.04</v>
      </c>
      <c r="CE36" s="109">
        <f>RevBuild!CE34</f>
        <v>0.05</v>
      </c>
      <c r="CF36" s="109">
        <f>RevBuild!CF34</f>
        <v>-0.02</v>
      </c>
      <c r="CG36" s="176">
        <f>RevBuild!CG34</f>
        <v>3.2500000000000008E-2</v>
      </c>
      <c r="CH36" s="2051"/>
      <c r="CI36" s="176">
        <f>RevBuild!CI34</f>
        <v>0.06</v>
      </c>
      <c r="CJ36" s="109">
        <f>RevBuild!CJ34</f>
        <v>0.04</v>
      </c>
      <c r="CK36" s="109">
        <f>RevBuild!CK34</f>
        <v>0.05</v>
      </c>
      <c r="CL36" s="109">
        <f>RevBuild!CL34</f>
        <v>-0.02</v>
      </c>
      <c r="CM36" s="1075">
        <f>RevBuild!CM34</f>
        <v>3.2500000000000008E-2</v>
      </c>
      <c r="CN36" s="68"/>
      <c r="CO36" s="1474" t="s">
        <v>13</v>
      </c>
      <c r="CP36" s="1475"/>
      <c r="CQ36" s="1475"/>
      <c r="CR36" s="1475"/>
      <c r="CS36" s="1475"/>
      <c r="CT36" s="1475">
        <f t="shared" si="50"/>
        <v>9.3472595919577905E-2</v>
      </c>
      <c r="CU36" s="1475">
        <f t="shared" si="50"/>
        <v>0.17662574618725579</v>
      </c>
      <c r="CV36" s="1475">
        <f t="shared" si="50"/>
        <v>6.5916833396420405E-2</v>
      </c>
      <c r="CW36" s="1475">
        <f t="shared" si="50"/>
        <v>0.18220410080875227</v>
      </c>
      <c r="CX36" s="1475">
        <f t="shared" si="51"/>
        <v>1.0352199387265726E-2</v>
      </c>
      <c r="CY36" s="1475">
        <f t="shared" si="51"/>
        <v>-9.1456953410444575E-2</v>
      </c>
      <c r="CZ36" s="1475">
        <f t="shared" si="51"/>
        <v>-4.6476451288326892E-2</v>
      </c>
      <c r="DA36" s="1475">
        <f t="shared" si="51"/>
        <v>9.5713629934273903E-2</v>
      </c>
      <c r="DB36" s="1475">
        <f t="shared" si="52"/>
        <v>0.15584395901056697</v>
      </c>
      <c r="DC36" s="1475">
        <f t="shared" si="52"/>
        <v>0.25460815418816685</v>
      </c>
      <c r="DD36" s="1475">
        <f t="shared" si="52"/>
        <v>0.2</v>
      </c>
      <c r="DE36" s="1475">
        <f t="shared" si="52"/>
        <v>0.125</v>
      </c>
      <c r="DF36" s="1475">
        <f>BE103</f>
        <v>0.15</v>
      </c>
      <c r="DG36" s="1475">
        <f>RevBuild!BF101</f>
        <v>0.16</v>
      </c>
      <c r="DH36" s="1475">
        <f>RevBuild!BG101</f>
        <v>0.18</v>
      </c>
      <c r="DI36" s="1475">
        <f>RevBuild!BH101</f>
        <v>0.16</v>
      </c>
      <c r="DJ36" s="1475">
        <f>RevBuild!BK101</f>
        <v>0.18</v>
      </c>
      <c r="DK36" s="1475">
        <f>RevBuild!BL101</f>
        <v>0.16</v>
      </c>
      <c r="DL36" s="1475">
        <f>RevBuild!BM101</f>
        <v>0.16</v>
      </c>
      <c r="DM36" s="1475">
        <f>RevBuild!BN101</f>
        <v>0.14000000000000001</v>
      </c>
    </row>
    <row r="37" spans="1:118" s="358" customFormat="1" hidden="1" outlineLevel="1">
      <c r="A37" s="183" t="s">
        <v>224</v>
      </c>
      <c r="B37" s="1069"/>
      <c r="C37" s="109"/>
      <c r="D37" s="109">
        <v>0.1</v>
      </c>
      <c r="E37" s="109">
        <v>0.1</v>
      </c>
      <c r="F37" s="109">
        <v>0.11</v>
      </c>
      <c r="G37" s="1075"/>
      <c r="H37" s="2051"/>
      <c r="I37" s="176">
        <v>0.03</v>
      </c>
      <c r="J37" s="109">
        <v>0.11</v>
      </c>
      <c r="K37" s="109"/>
      <c r="L37" s="109"/>
      <c r="M37" s="176"/>
      <c r="N37" s="2051"/>
      <c r="O37" s="176">
        <f>RevBuild!O54</f>
        <v>-4.087742980561556E-2</v>
      </c>
      <c r="P37" s="109">
        <f>RevBuild!P54</f>
        <v>-5.5033583563808837E-2</v>
      </c>
      <c r="Q37" s="109">
        <f>RevBuild!Q54</f>
        <v>6.5240466584513643E-2</v>
      </c>
      <c r="R37" s="109">
        <f>RevBuild!R54</f>
        <v>2.0313481643764897E-2</v>
      </c>
      <c r="S37" s="176">
        <f>RevBuild!S54</f>
        <v>-2.5892662852864644E-3</v>
      </c>
      <c r="T37" s="2051"/>
      <c r="U37" s="176">
        <f>RevBuild!U54</f>
        <v>8.6718739444707121E-2</v>
      </c>
      <c r="V37" s="109">
        <f>RevBuild!V54</f>
        <v>7.4272840601758081E-2</v>
      </c>
      <c r="W37" s="109">
        <f>RevBuild!W54</f>
        <v>8.2836164989744651E-2</v>
      </c>
      <c r="X37" s="109">
        <f>RevBuild!X54</f>
        <v>9.4806474786068407E-2</v>
      </c>
      <c r="Y37" s="176">
        <f>RevBuild!Y54</f>
        <v>8.4658554955569565E-2</v>
      </c>
      <c r="Z37" s="2051"/>
      <c r="AA37" s="176">
        <f>RevBuild!AA54</f>
        <v>7.7217633127425703E-2</v>
      </c>
      <c r="AB37" s="109">
        <f>RevBuild!AB54</f>
        <v>0.123156084704442</v>
      </c>
      <c r="AC37" s="109">
        <f>RevBuild!AC54</f>
        <v>4.76199396401649E-2</v>
      </c>
      <c r="AD37" s="109">
        <f>RevBuild!AD54</f>
        <v>4.3843188427907576E-2</v>
      </c>
      <c r="AE37" s="176">
        <f>RevBuild!AE54</f>
        <v>7.2959211474985047E-2</v>
      </c>
      <c r="AF37" s="2051"/>
      <c r="AG37" s="176">
        <f>RevBuild!AG54</f>
        <v>4.3754119529405985E-2</v>
      </c>
      <c r="AH37" s="109">
        <f>RevBuild!AH54</f>
        <v>-4.027539737038538E-3</v>
      </c>
      <c r="AI37" s="109">
        <f>RevBuild!AI54</f>
        <v>3.6872540436484441E-2</v>
      </c>
      <c r="AJ37" s="109">
        <f>RevBuild!AJ54</f>
        <v>7.3150246080959422E-2</v>
      </c>
      <c r="AK37" s="176">
        <f>RevBuild!AK54</f>
        <v>3.7437341577452828E-2</v>
      </c>
      <c r="AL37" s="2051"/>
      <c r="AM37" s="176">
        <f>RevBuild!AM54</f>
        <v>2.4797363963170643E-2</v>
      </c>
      <c r="AN37" s="109">
        <f>RevBuild!AN54</f>
        <v>4.4737126157867277E-2</v>
      </c>
      <c r="AO37" s="109">
        <f>RevBuild!AO54</f>
        <v>6.6415833397129184E-2</v>
      </c>
      <c r="AP37" s="109">
        <f>RevBuild!AP54</f>
        <v>9.4546452375516607E-2</v>
      </c>
      <c r="AQ37" s="176">
        <f>RevBuild!AQ54</f>
        <v>5.7624193973420931E-2</v>
      </c>
      <c r="AR37" s="2051"/>
      <c r="AS37" s="176">
        <f>RevBuild!AS54</f>
        <v>8.7576732694432113E-3</v>
      </c>
      <c r="AT37" s="109">
        <f>RevBuild!AT54</f>
        <v>3.0479543810674643E-2</v>
      </c>
      <c r="AU37" s="109">
        <f>RevBuild!AU54</f>
        <v>3.2355164228978106E-2</v>
      </c>
      <c r="AV37" s="109">
        <f>RevBuild!AV54</f>
        <v>6.0650574676874139E-2</v>
      </c>
      <c r="AW37" s="176">
        <f>RevBuild!AW54</f>
        <v>3.306073899649252E-2</v>
      </c>
      <c r="AX37" s="2051"/>
      <c r="AY37" s="176">
        <f>RevBuild!AY54-$AY$13</f>
        <v>7.9626078746858314E-2</v>
      </c>
      <c r="AZ37" s="109">
        <f>RevBuild!AZ54</f>
        <v>8.5174269036395189E-2</v>
      </c>
      <c r="BA37" s="109">
        <f>RevBuild!BA54</f>
        <v>7.8110310456887808E-2</v>
      </c>
      <c r="BB37" s="109">
        <f>RevBuild!BB54-BB$13</f>
        <v>8.1498909610052697E-2</v>
      </c>
      <c r="BC37" s="176">
        <f>RevBuild!BC54</f>
        <v>8.6102391962548513E-2</v>
      </c>
      <c r="BD37" s="2051"/>
      <c r="BE37" s="176">
        <f>RevBuild!BE54</f>
        <v>9.3197743133446143E-2</v>
      </c>
      <c r="BF37" s="109">
        <f>RevBuild!BF54</f>
        <v>0.11907982819378644</v>
      </c>
      <c r="BG37" s="109">
        <f>RevBuild!BG54</f>
        <v>7.3255529313383499E-2</v>
      </c>
      <c r="BH37" s="109">
        <f>RevBuild!BH54</f>
        <v>9.4592551346934547E-2</v>
      </c>
      <c r="BI37" s="176">
        <f>RevBuild!BI54</f>
        <v>9.5031412996887665E-2</v>
      </c>
      <c r="BJ37" s="2051"/>
      <c r="BK37" s="176">
        <f>RevBuild!BK54</f>
        <v>5.4595309774270843E-2</v>
      </c>
      <c r="BL37" s="109">
        <f>RevBuild!BL54</f>
        <v>5.337631457790825E-2</v>
      </c>
      <c r="BM37" s="109">
        <f>RevBuild!BM54</f>
        <v>9.4205228621660822E-2</v>
      </c>
      <c r="BN37" s="109">
        <f>RevBuild!BN54</f>
        <v>8.5985328783429599E-2</v>
      </c>
      <c r="BO37" s="176">
        <f>RevBuild!BO54</f>
        <v>7.2040545439317372E-2</v>
      </c>
      <c r="BP37" s="2051"/>
      <c r="BQ37" s="176">
        <f>RevBuild!BQ54</f>
        <v>0.12872223388579307</v>
      </c>
      <c r="BR37" s="109">
        <f>RevBuild!BR54</f>
        <v>0.15110655393355032</v>
      </c>
      <c r="BS37" s="109">
        <f>RevBuild!BS54</f>
        <v>8.7584110218406508E-2</v>
      </c>
      <c r="BT37" s="109">
        <f>RevBuild!BT54</f>
        <v>9.000000000000008E-2</v>
      </c>
      <c r="BU37" s="176">
        <f>RevBuild!BU54</f>
        <v>0.1143532245094375</v>
      </c>
      <c r="BV37" s="2051"/>
      <c r="BW37" s="176">
        <f>RevBuild!BW54</f>
        <v>8.2547067246259376E-2</v>
      </c>
      <c r="BX37" s="109">
        <f>RevBuild!BX54</f>
        <v>8.0000000000000071E-2</v>
      </c>
      <c r="BY37" s="109">
        <f>RevBuild!BY54</f>
        <v>8.0000000000000071E-2</v>
      </c>
      <c r="BZ37" s="109">
        <f>RevBuild!BZ54</f>
        <v>8.0000000000000071E-2</v>
      </c>
      <c r="CA37" s="176">
        <f>RevBuild!CA54</f>
        <v>8.0636766811564897E-2</v>
      </c>
      <c r="CB37" s="2051"/>
      <c r="CC37" s="176">
        <f>RevBuild!CC54</f>
        <v>6.2564602854160434E-2</v>
      </c>
      <c r="CD37" s="109">
        <f>RevBuild!CD54</f>
        <v>6.0000000000000053E-2</v>
      </c>
      <c r="CE37" s="109">
        <f>RevBuild!CE54</f>
        <v>6.0000000000000053E-2</v>
      </c>
      <c r="CF37" s="109">
        <f>RevBuild!CF54</f>
        <v>6.0000000000000053E-2</v>
      </c>
      <c r="CG37" s="176">
        <f>RevBuild!CG54</f>
        <v>6.0641150713540148E-2</v>
      </c>
      <c r="CH37" s="2051"/>
      <c r="CI37" s="176">
        <f>RevBuild!CI54</f>
        <v>6.2582548907220259E-2</v>
      </c>
      <c r="CJ37" s="109">
        <f>RevBuild!CJ54</f>
        <v>6.0000000000000053E-2</v>
      </c>
      <c r="CK37" s="109">
        <f>RevBuild!CK54</f>
        <v>6.0000000000000053E-2</v>
      </c>
      <c r="CL37" s="109">
        <f>RevBuild!CL54</f>
        <v>6.0000000000000053E-2</v>
      </c>
      <c r="CM37" s="1075">
        <f>RevBuild!CM54</f>
        <v>6.0645637226805105E-2</v>
      </c>
      <c r="CN37" s="68"/>
      <c r="CO37" s="1454" t="s">
        <v>469</v>
      </c>
      <c r="CP37" s="1451"/>
      <c r="CQ37" s="1451"/>
      <c r="CR37" s="1451"/>
      <c r="CS37" s="1451"/>
      <c r="CT37" s="1451">
        <f t="shared" si="50"/>
        <v>0.05</v>
      </c>
      <c r="CU37" s="1451">
        <f t="shared" si="50"/>
        <v>0.03</v>
      </c>
      <c r="CV37" s="1451">
        <f t="shared" si="50"/>
        <v>0.06</v>
      </c>
      <c r="CW37" s="1451">
        <f t="shared" si="50"/>
        <v>0.15</v>
      </c>
      <c r="CX37" s="1451">
        <f t="shared" si="51"/>
        <v>0.01</v>
      </c>
      <c r="CY37" s="1451">
        <f t="shared" si="51"/>
        <v>0.04</v>
      </c>
      <c r="CZ37" s="1451">
        <f t="shared" si="51"/>
        <v>0.05</v>
      </c>
      <c r="DA37" s="1451">
        <f t="shared" si="51"/>
        <v>0.08</v>
      </c>
      <c r="DB37" s="1451">
        <f t="shared" si="52"/>
        <v>0.16500000000000001</v>
      </c>
      <c r="DC37" s="1451">
        <f t="shared" si="52"/>
        <v>0.26</v>
      </c>
      <c r="DD37" s="1451">
        <f t="shared" si="52"/>
        <v>0.14000000000000001</v>
      </c>
      <c r="DE37" s="1451">
        <f t="shared" si="52"/>
        <v>0.17500000000000002</v>
      </c>
      <c r="DF37" s="1451">
        <f>BE104</f>
        <v>0.11</v>
      </c>
      <c r="DG37" s="1451">
        <f>RevBuild!BF102</f>
        <v>0.1</v>
      </c>
      <c r="DH37" s="1451">
        <f>RevBuild!BG102</f>
        <v>0.18</v>
      </c>
      <c r="DI37" s="1451">
        <f>RevBuild!BH102</f>
        <v>0.18</v>
      </c>
      <c r="DJ37" s="1451">
        <f>RevBuild!BK102</f>
        <v>0.1825</v>
      </c>
      <c r="DK37" s="1451">
        <f>RevBuild!BL102</f>
        <v>0.11600000000000001</v>
      </c>
      <c r="DL37" s="1451">
        <f>RevBuild!BM102</f>
        <v>0.08</v>
      </c>
      <c r="DM37" s="1451">
        <f>RevBuild!BN102</f>
        <v>5.1999999999999998E-2</v>
      </c>
    </row>
    <row r="38" spans="1:118" s="358" customFormat="1" hidden="1" outlineLevel="1">
      <c r="A38" s="183" t="s">
        <v>91</v>
      </c>
      <c r="B38" s="70"/>
      <c r="C38" s="109">
        <f>C10</f>
        <v>0.33</v>
      </c>
      <c r="D38" s="109">
        <f>D10</f>
        <v>0.13</v>
      </c>
      <c r="E38" s="109">
        <f>E10</f>
        <v>0.37</v>
      </c>
      <c r="F38" s="109">
        <f>F10</f>
        <v>0.19</v>
      </c>
      <c r="G38" s="1075"/>
      <c r="H38" s="2051"/>
      <c r="I38" s="176">
        <f>I10</f>
        <v>0.12</v>
      </c>
      <c r="J38" s="109">
        <f>J10</f>
        <v>0.15</v>
      </c>
      <c r="K38" s="109">
        <f>K10</f>
        <v>0.14000000000000001</v>
      </c>
      <c r="L38" s="109">
        <f>L10</f>
        <v>-0.02</v>
      </c>
      <c r="M38" s="176"/>
      <c r="N38" s="2051"/>
      <c r="O38" s="176">
        <f>RevBuild!O60</f>
        <v>-0.18824120603015079</v>
      </c>
      <c r="P38" s="109">
        <f>RevBuild!P60</f>
        <v>-0.16656579873328647</v>
      </c>
      <c r="Q38" s="109">
        <f>RevBuild!Q60</f>
        <v>-0.21998661841184888</v>
      </c>
      <c r="R38" s="109">
        <f>RevBuild!R60</f>
        <v>-5.9325176121616141E-2</v>
      </c>
      <c r="S38" s="176">
        <f>RevBuild!S60</f>
        <v>-0.14897866817462499</v>
      </c>
      <c r="T38" s="2051"/>
      <c r="U38" s="176">
        <f>RevBuild!U60</f>
        <v>5.3294001966568229E-2</v>
      </c>
      <c r="V38" s="109">
        <f>RevBuild!V60</f>
        <v>0.2927963421929749</v>
      </c>
      <c r="W38" s="109">
        <f>RevBuild!W60</f>
        <v>0.293029211684674</v>
      </c>
      <c r="X38" s="109">
        <f>RevBuild!X60</f>
        <v>0.12613322822230955</v>
      </c>
      <c r="Y38" s="176">
        <f>RevBuild!Y60</f>
        <v>0.19131319601663166</v>
      </c>
      <c r="Z38" s="2051"/>
      <c r="AA38" s="176">
        <f>RevBuild!AA60</f>
        <v>0.13490880310824907</v>
      </c>
      <c r="AB38" s="109">
        <f>RevBuild!AB60</f>
        <v>0.12021319120586266</v>
      </c>
      <c r="AC38" s="109">
        <f>RevBuild!AC60</f>
        <v>0.10984440323138348</v>
      </c>
      <c r="AD38" s="109">
        <f>RevBuild!AD60</f>
        <v>0.17880894044702278</v>
      </c>
      <c r="AE38" s="176">
        <f>RevBuild!AE60</f>
        <v>0.13890008331533324</v>
      </c>
      <c r="AF38" s="2051"/>
      <c r="AG38" s="176">
        <f>RevBuild!AG60</f>
        <v>0.1</v>
      </c>
      <c r="AH38" s="109">
        <f>RevBuild!AH60</f>
        <v>0.11</v>
      </c>
      <c r="AI38" s="109">
        <f>RevBuild!AI60</f>
        <v>0.01</v>
      </c>
      <c r="AJ38" s="109">
        <f>RevBuild!AJ60</f>
        <v>7.0000000000000007E-2</v>
      </c>
      <c r="AK38" s="176">
        <f>RevBuild!AK60</f>
        <v>7.1226274766466355E-2</v>
      </c>
      <c r="AL38" s="2051"/>
      <c r="AM38" s="176">
        <f>RevBuild!AM60</f>
        <v>0.06</v>
      </c>
      <c r="AN38" s="109">
        <f>RevBuild!AN60</f>
        <v>-0.03</v>
      </c>
      <c r="AO38" s="109">
        <f>RevBuild!AO60</f>
        <v>0.15</v>
      </c>
      <c r="AP38" s="109">
        <f>RevBuild!AP60</f>
        <v>0.16</v>
      </c>
      <c r="AQ38" s="176">
        <f>RevBuild!AQ60</f>
        <v>8.9667052434790354E-2</v>
      </c>
      <c r="AR38" s="2051"/>
      <c r="AS38" s="176">
        <f>RevBuild!AS60</f>
        <v>0.06</v>
      </c>
      <c r="AT38" s="109">
        <f>RevBuild!AT60</f>
        <v>0.16</v>
      </c>
      <c r="AU38" s="109">
        <f>RevBuild!AU60</f>
        <v>0.03</v>
      </c>
      <c r="AV38" s="109">
        <f>RevBuild!AV60</f>
        <v>-0.05</v>
      </c>
      <c r="AW38" s="176">
        <f>RevBuild!AW60</f>
        <v>3.7147140345125632E-2</v>
      </c>
      <c r="AX38" s="2051"/>
      <c r="AY38" s="176">
        <f>RevBuild!AY60-$AY$13</f>
        <v>0.1</v>
      </c>
      <c r="AZ38" s="109">
        <f>RevBuild!AZ60</f>
        <v>-0.08</v>
      </c>
      <c r="BA38" s="109">
        <f>RevBuild!BA60</f>
        <v>0.02</v>
      </c>
      <c r="BB38" s="109">
        <f>RevBuild!BB60-BB$13</f>
        <v>0.182</v>
      </c>
      <c r="BC38" s="176">
        <f>RevBuild!BC60</f>
        <v>6.5213543746275915E-2</v>
      </c>
      <c r="BD38" s="2051"/>
      <c r="BE38" s="176">
        <f>RevBuild!BE60</f>
        <v>-1.099302587015746E-2</v>
      </c>
      <c r="BF38" s="109">
        <f>RevBuild!BF60</f>
        <v>0.1098974217687075</v>
      </c>
      <c r="BG38" s="109">
        <f>RevBuild!BG60</f>
        <v>-3.0500000000000002E-3</v>
      </c>
      <c r="BH38" s="109">
        <f>RevBuild!BH60</f>
        <v>-3.3972881355932301E-2</v>
      </c>
      <c r="BI38" s="176">
        <f>RevBuild!BI60</f>
        <v>8.7674417260021949E-3</v>
      </c>
      <c r="BJ38" s="2051"/>
      <c r="BK38" s="176">
        <f>RevBuild!BK60</f>
        <v>0.10568108108108107</v>
      </c>
      <c r="BL38" s="109">
        <f>RevBuild!BL60</f>
        <v>7.592653250057832E-2</v>
      </c>
      <c r="BM38" s="109">
        <f>RevBuild!BM60</f>
        <v>0.12</v>
      </c>
      <c r="BN38" s="109">
        <f>RevBuild!BN60</f>
        <v>0.11731343283582088</v>
      </c>
      <c r="BO38" s="176">
        <f>RevBuild!BO60</f>
        <v>0.10570781826207164</v>
      </c>
      <c r="BP38" s="2051"/>
      <c r="BQ38" s="176">
        <f>RevBuild!BQ60</f>
        <v>0.05</v>
      </c>
      <c r="BR38" s="109">
        <f>RevBuild!BR60</f>
        <v>7.0000000000000007E-2</v>
      </c>
      <c r="BS38" s="109">
        <f>RevBuild!BS60</f>
        <v>0.06</v>
      </c>
      <c r="BT38" s="109">
        <f>RevBuild!BT60</f>
        <v>0.06</v>
      </c>
      <c r="BU38" s="176">
        <f>RevBuild!BU60</f>
        <v>6.0257941508391193E-2</v>
      </c>
      <c r="BV38" s="2051"/>
      <c r="BW38" s="176">
        <f>RevBuild!BW60</f>
        <v>0.08</v>
      </c>
      <c r="BX38" s="109">
        <f>RevBuild!BX60</f>
        <v>0.08</v>
      </c>
      <c r="BY38" s="109">
        <f>RevBuild!BY60</f>
        <v>0.08</v>
      </c>
      <c r="BZ38" s="109">
        <f>RevBuild!BZ60</f>
        <v>0.08</v>
      </c>
      <c r="CA38" s="176">
        <f>RevBuild!CA60</f>
        <v>0.08</v>
      </c>
      <c r="CB38" s="2051"/>
      <c r="CC38" s="176">
        <f>RevBuild!CC60</f>
        <v>0.05</v>
      </c>
      <c r="CD38" s="109">
        <f>RevBuild!CD60</f>
        <v>0.05</v>
      </c>
      <c r="CE38" s="109">
        <f>RevBuild!CE60</f>
        <v>0.05</v>
      </c>
      <c r="CF38" s="109">
        <f>RevBuild!CF60</f>
        <v>0.05</v>
      </c>
      <c r="CG38" s="176">
        <f>RevBuild!CG60</f>
        <v>0.05</v>
      </c>
      <c r="CH38" s="2051"/>
      <c r="CI38" s="176">
        <f>RevBuild!CI60</f>
        <v>0.05</v>
      </c>
      <c r="CJ38" s="109">
        <f>RevBuild!CJ60</f>
        <v>0.05</v>
      </c>
      <c r="CK38" s="109">
        <f>RevBuild!CK60</f>
        <v>0.05</v>
      </c>
      <c r="CL38" s="109">
        <f>RevBuild!CL60</f>
        <v>0.05</v>
      </c>
      <c r="CM38" s="1075">
        <f>RevBuild!CM60</f>
        <v>4.9999999999999996E-2</v>
      </c>
      <c r="CN38" s="68"/>
      <c r="CO38" s="1476" t="s">
        <v>514</v>
      </c>
      <c r="CP38" s="1477"/>
      <c r="CQ38" s="1477"/>
      <c r="CR38" s="1477"/>
      <c r="CS38" s="1477"/>
      <c r="CT38" s="1477"/>
      <c r="CU38" s="1477"/>
      <c r="CV38" s="1477"/>
      <c r="CW38" s="1477"/>
      <c r="CX38" s="1477"/>
      <c r="CY38" s="1477"/>
      <c r="CZ38" s="1477"/>
      <c r="DA38" s="1477"/>
      <c r="DB38" s="1477"/>
      <c r="DC38" s="1477"/>
      <c r="DD38" s="1477"/>
      <c r="DE38" s="1477"/>
      <c r="DF38" s="1477"/>
      <c r="DG38" s="1477"/>
      <c r="DH38" s="1477"/>
      <c r="DI38" s="1477"/>
      <c r="DJ38" s="1477"/>
      <c r="DK38" s="1477"/>
      <c r="DL38" s="1477"/>
      <c r="DM38" s="1477"/>
    </row>
    <row r="39" spans="1:118" s="358" customFormat="1" hidden="1" outlineLevel="1">
      <c r="A39" s="184" t="s">
        <v>49</v>
      </c>
      <c r="B39" s="70"/>
      <c r="C39" s="109"/>
      <c r="D39" s="109"/>
      <c r="E39" s="109"/>
      <c r="F39" s="109"/>
      <c r="G39" s="1075"/>
      <c r="H39" s="2051"/>
      <c r="I39" s="176">
        <f>RevBuild!I66</f>
        <v>0.10018090988456699</v>
      </c>
      <c r="J39" s="109">
        <f>RevBuild!J66</f>
        <v>0.1824312274492681</v>
      </c>
      <c r="K39" s="109">
        <f>RevBuild!K66</f>
        <v>0.16066881176740974</v>
      </c>
      <c r="L39" s="109">
        <f>RevBuild!L66</f>
        <v>3.0562053865994532E-2</v>
      </c>
      <c r="M39" s="176">
        <f>RevBuild!M66</f>
        <v>0.11846075074180984</v>
      </c>
      <c r="N39" s="2051"/>
      <c r="O39" s="176">
        <f>RevBuild!O66</f>
        <v>-7.8517116331502032E-3</v>
      </c>
      <c r="P39" s="109">
        <f>RevBuild!P66</f>
        <v>-5.4755370864042561E-3</v>
      </c>
      <c r="Q39" s="109">
        <f>RevBuild!Q66</f>
        <v>7.35860005440203E-2</v>
      </c>
      <c r="R39" s="109">
        <f>RevBuild!R66</f>
        <v>3.2110047243484097E-2</v>
      </c>
      <c r="S39" s="176">
        <f>RevBuild!S66</f>
        <v>2.3092199766987485E-2</v>
      </c>
      <c r="T39" s="2051"/>
      <c r="U39" s="176">
        <f>RevBuild!U66</f>
        <v>4.1932080448401167E-2</v>
      </c>
      <c r="V39" s="109">
        <f>RevBuild!V66</f>
        <v>5.413009068917795E-2</v>
      </c>
      <c r="W39" s="109">
        <f>RevBuild!W66</f>
        <v>5.1784279977051137E-2</v>
      </c>
      <c r="X39" s="109">
        <f>RevBuild!X66</f>
        <v>9.5504403485191069E-2</v>
      </c>
      <c r="Y39" s="176">
        <f>RevBuild!Y66</f>
        <v>6.0837713649955327E-2</v>
      </c>
      <c r="Z39" s="2051"/>
      <c r="AA39" s="176">
        <f>RevBuild!AA66</f>
        <v>5.9984382142312734E-2</v>
      </c>
      <c r="AB39" s="109">
        <f>RevBuild!AB66</f>
        <v>8.286940106401236E-2</v>
      </c>
      <c r="AC39" s="109">
        <f>RevBuild!AC66</f>
        <v>8.363767793594315E-2</v>
      </c>
      <c r="AD39" s="109">
        <f>RevBuild!AD66</f>
        <v>8.1301371038317027E-2</v>
      </c>
      <c r="AE39" s="176">
        <f>RevBuild!AE66</f>
        <v>7.6948208045146321E-2</v>
      </c>
      <c r="AF39" s="2051"/>
      <c r="AG39" s="176">
        <f>RevBuild!AG66</f>
        <v>9.2632200834163778E-2</v>
      </c>
      <c r="AH39" s="109">
        <f>RevBuild!AH66</f>
        <v>6.9701011921148498E-2</v>
      </c>
      <c r="AI39" s="109">
        <f>RevBuild!AI66</f>
        <v>7.2797641139840746E-2</v>
      </c>
      <c r="AJ39" s="109">
        <f>RevBuild!AJ66</f>
        <v>9.8694120447512898E-2</v>
      </c>
      <c r="AK39" s="176">
        <f>RevBuild!AK66</f>
        <v>8.3456243585666473E-2</v>
      </c>
      <c r="AL39" s="2051"/>
      <c r="AM39" s="176">
        <f>RevBuild!AM66</f>
        <v>4.7460787215152428E-2</v>
      </c>
      <c r="AN39" s="109">
        <f>RevBuild!AN66</f>
        <v>8.1189119794591966E-2</v>
      </c>
      <c r="AO39" s="109">
        <f>RevBuild!AO66</f>
        <v>5.0640492272648205E-2</v>
      </c>
      <c r="AP39" s="109">
        <f>RevBuild!AP66</f>
        <v>8.7935100655430518E-2</v>
      </c>
      <c r="AQ39" s="176">
        <f>RevBuild!AQ66</f>
        <v>6.6806374984455782E-2</v>
      </c>
      <c r="AR39" s="2051"/>
      <c r="AS39" s="176">
        <f>RevBuild!AS66</f>
        <v>6.6850882295908409E-2</v>
      </c>
      <c r="AT39" s="109">
        <f>RevBuild!AT66</f>
        <v>8.892565932736507E-2</v>
      </c>
      <c r="AU39" s="109">
        <f>RevBuild!AU66</f>
        <v>0.12071400067532312</v>
      </c>
      <c r="AV39" s="109">
        <f>RevBuild!AV66</f>
        <v>0.1226962620983489</v>
      </c>
      <c r="AW39" s="176">
        <f>RevBuild!AW66</f>
        <v>9.9796701099236371E-2</v>
      </c>
      <c r="AX39" s="2051"/>
      <c r="AY39" s="176">
        <f>RevBuild!AY66-$AY$13</f>
        <v>0.12225435846170155</v>
      </c>
      <c r="AZ39" s="109">
        <f>RevBuild!AZ66</f>
        <v>8.4943994485610894E-2</v>
      </c>
      <c r="BA39" s="109">
        <f>RevBuild!BA66</f>
        <v>9.1166408742928584E-2</v>
      </c>
      <c r="BB39" s="109">
        <f>RevBuild!BB66-BB$13</f>
        <v>5.3845000000000004E-2</v>
      </c>
      <c r="BC39" s="176">
        <f>RevBuild!BC66</f>
        <v>9.3052440422560265E-2</v>
      </c>
      <c r="BD39" s="2051"/>
      <c r="BE39" s="176">
        <f>RevBuild!BE66</f>
        <v>7.7136116209217231E-2</v>
      </c>
      <c r="BF39" s="109">
        <f>RevBuild!BF66</f>
        <v>8.4783972361657189E-2</v>
      </c>
      <c r="BG39" s="109">
        <f>RevBuild!BG66</f>
        <v>7.7539999999999998E-2</v>
      </c>
      <c r="BH39" s="109">
        <f>RevBuild!BH66</f>
        <v>0.10069281045751635</v>
      </c>
      <c r="BI39" s="176">
        <f>RevBuild!BI66</f>
        <v>8.5038224757097686E-2</v>
      </c>
      <c r="BJ39" s="2051"/>
      <c r="BK39" s="176">
        <f>RevBuild!BK66</f>
        <v>4.6233333333333328E-2</v>
      </c>
      <c r="BL39" s="109">
        <f>RevBuild!BL66</f>
        <v>5.7983406593406596E-2</v>
      </c>
      <c r="BM39" s="109">
        <f>RevBuild!BM66</f>
        <v>6.368257745709327E-2</v>
      </c>
      <c r="BN39" s="109">
        <f>RevBuild!BN66</f>
        <v>8.5000000000000006E-2</v>
      </c>
      <c r="BO39" s="176">
        <f>RevBuild!BO66</f>
        <v>6.32248293459583E-2</v>
      </c>
      <c r="BP39" s="2051"/>
      <c r="BQ39" s="176">
        <f>RevBuild!BQ66</f>
        <v>0.11</v>
      </c>
      <c r="BR39" s="109">
        <f>RevBuild!BR66</f>
        <v>8.5000000000000006E-2</v>
      </c>
      <c r="BS39" s="109">
        <f>RevBuild!BS66</f>
        <v>7.4999999999999997E-2</v>
      </c>
      <c r="BT39" s="109">
        <f>RevBuild!BT66</f>
        <v>6.5000000000000002E-2</v>
      </c>
      <c r="BU39" s="176">
        <f>RevBuild!BU66</f>
        <v>8.3750000000000005E-2</v>
      </c>
      <c r="BV39" s="2051"/>
      <c r="BW39" s="176">
        <f>RevBuild!BW66</f>
        <v>0.06</v>
      </c>
      <c r="BX39" s="109">
        <f>RevBuild!BX66</f>
        <v>0.06</v>
      </c>
      <c r="BY39" s="109">
        <f>RevBuild!BY66</f>
        <v>0.05</v>
      </c>
      <c r="BZ39" s="109">
        <f>RevBuild!BZ66</f>
        <v>0.05</v>
      </c>
      <c r="CA39" s="176">
        <f>RevBuild!CA66</f>
        <v>5.4999999999999993E-2</v>
      </c>
      <c r="CB39" s="2051"/>
      <c r="CC39" s="176">
        <f>RevBuild!CC66</f>
        <v>0.06</v>
      </c>
      <c r="CD39" s="109">
        <f>RevBuild!CD66</f>
        <v>0.06</v>
      </c>
      <c r="CE39" s="109">
        <f>RevBuild!CE66</f>
        <v>0.05</v>
      </c>
      <c r="CF39" s="109">
        <f>RevBuild!CF66</f>
        <v>0.05</v>
      </c>
      <c r="CG39" s="176">
        <f>RevBuild!CG66</f>
        <v>5.4999999999999993E-2</v>
      </c>
      <c r="CH39" s="2051"/>
      <c r="CI39" s="176">
        <f>RevBuild!CI66</f>
        <v>0.06</v>
      </c>
      <c r="CJ39" s="109">
        <f>RevBuild!CJ66</f>
        <v>0.06</v>
      </c>
      <c r="CK39" s="109">
        <f>RevBuild!CK66</f>
        <v>0.05</v>
      </c>
      <c r="CL39" s="109">
        <f>RevBuild!CL66</f>
        <v>0.05</v>
      </c>
      <c r="CM39" s="1075">
        <f>RevBuild!CM66</f>
        <v>5.4999999999999993E-2</v>
      </c>
      <c r="CN39" s="68"/>
      <c r="CO39" s="1454" t="s">
        <v>82</v>
      </c>
      <c r="CP39" s="1451"/>
      <c r="CQ39" s="1451"/>
      <c r="CR39" s="1451"/>
      <c r="CS39" s="1451"/>
      <c r="CT39" s="1451">
        <f t="shared" ref="CT39:CW41" si="53">AM116</f>
        <v>0.05</v>
      </c>
      <c r="CU39" s="1451">
        <f t="shared" si="53"/>
        <v>0.05</v>
      </c>
      <c r="CV39" s="1451">
        <f t="shared" si="53"/>
        <v>0</v>
      </c>
      <c r="CW39" s="1451">
        <f t="shared" si="53"/>
        <v>0.03</v>
      </c>
      <c r="CX39" s="1451">
        <f t="shared" ref="CX39:DA41" si="54">AS116</f>
        <v>0.02</v>
      </c>
      <c r="CY39" s="1451">
        <f t="shared" si="54"/>
        <v>0.08</v>
      </c>
      <c r="CZ39" s="1451">
        <f t="shared" si="54"/>
        <v>0.12</v>
      </c>
      <c r="DA39" s="1451">
        <f t="shared" si="54"/>
        <v>0.1</v>
      </c>
      <c r="DB39" s="1451">
        <f t="shared" ref="DB39:DE41" si="55">AY116</f>
        <v>0.13500000000000001</v>
      </c>
      <c r="DC39" s="1451">
        <f t="shared" si="55"/>
        <v>0.11</v>
      </c>
      <c r="DD39" s="1451">
        <f t="shared" si="55"/>
        <v>0.1</v>
      </c>
      <c r="DE39" s="1451">
        <f t="shared" si="55"/>
        <v>9.5000000000000001E-2</v>
      </c>
      <c r="DF39" s="1451">
        <f t="shared" ref="DF39:DI41" si="56">BE116</f>
        <v>9.5000000000000001E-2</v>
      </c>
      <c r="DG39" s="1451">
        <f t="shared" si="56"/>
        <v>0.12</v>
      </c>
      <c r="DH39" s="1451">
        <f t="shared" si="56"/>
        <v>0.13</v>
      </c>
      <c r="DI39" s="1451">
        <f t="shared" si="56"/>
        <v>4.9999999999999996E-2</v>
      </c>
      <c r="DJ39" s="1451">
        <f t="shared" ref="DJ39:DM41" si="57">BK116</f>
        <v>9.9999999999999992E-2</v>
      </c>
      <c r="DK39" s="1451">
        <f t="shared" si="57"/>
        <v>0.04</v>
      </c>
      <c r="DL39" s="1451">
        <f t="shared" si="57"/>
        <v>6.720000000000001E-2</v>
      </c>
      <c r="DM39" s="1451">
        <f t="shared" si="57"/>
        <v>0.08</v>
      </c>
      <c r="DN39" s="2014"/>
    </row>
    <row r="40" spans="1:118" s="358" customFormat="1" hidden="1" outlineLevel="1">
      <c r="A40" s="183" t="s">
        <v>77</v>
      </c>
      <c r="B40" s="70"/>
      <c r="C40" s="109"/>
      <c r="D40" s="109"/>
      <c r="E40" s="109"/>
      <c r="F40" s="109"/>
      <c r="G40" s="1075"/>
      <c r="H40" s="2051"/>
      <c r="I40" s="176">
        <f>RevBuild!I69</f>
        <v>0.16153796859980776</v>
      </c>
      <c r="J40" s="109">
        <f>RevBuild!J69</f>
        <v>0.35022691368662939</v>
      </c>
      <c r="K40" s="109">
        <f>RevBuild!K69</f>
        <v>0.32535739264232766</v>
      </c>
      <c r="L40" s="109">
        <f>RevBuild!L69</f>
        <v>0.2462023837345173</v>
      </c>
      <c r="M40" s="176">
        <f>RevBuild!M69</f>
        <v>0.27083116466582052</v>
      </c>
      <c r="N40" s="2051"/>
      <c r="O40" s="176">
        <f>RevBuild!O69</f>
        <v>9.9733333333333479E-2</v>
      </c>
      <c r="P40" s="109">
        <f>RevBuild!P69</f>
        <v>-4.025717959708542E-2</v>
      </c>
      <c r="Q40" s="109">
        <f>RevBuild!Q69</f>
        <v>0.24481783111873121</v>
      </c>
      <c r="R40" s="109">
        <f>RevBuild!R69</f>
        <v>-0.11870604781997174</v>
      </c>
      <c r="S40" s="176">
        <f>RevBuild!S69</f>
        <v>4.6396984258751883E-2</v>
      </c>
      <c r="T40" s="2051"/>
      <c r="U40" s="176">
        <f>RevBuild!U69</f>
        <v>8.891904539073428E-2</v>
      </c>
      <c r="V40" s="109">
        <f>RevBuild!V69</f>
        <v>0.22223062168565955</v>
      </c>
      <c r="W40" s="109">
        <f>RevBuild!W69</f>
        <v>-8.761154855643051E-2</v>
      </c>
      <c r="X40" s="109">
        <f>RevBuild!X69</f>
        <v>0.2552399191403345</v>
      </c>
      <c r="Y40" s="176">
        <f>RevBuild!Y69</f>
        <v>0.11969450941507445</v>
      </c>
      <c r="Z40" s="2051"/>
      <c r="AA40" s="176">
        <f>RevBuild!AA69</f>
        <v>0.10538860103626947</v>
      </c>
      <c r="AB40" s="109">
        <f>RevBuild!AB69</f>
        <v>2.0230826507818434E-2</v>
      </c>
      <c r="AC40" s="109">
        <f>RevBuild!AC69</f>
        <v>0.13068627450980411</v>
      </c>
      <c r="AD40" s="109">
        <f>RevBuild!AD69</f>
        <v>0.19410069503305549</v>
      </c>
      <c r="AE40" s="176">
        <f>RevBuild!AE69</f>
        <v>0.11260159927173688</v>
      </c>
      <c r="AF40" s="2051"/>
      <c r="AG40" s="176">
        <f>RevBuild!AG69</f>
        <v>0.15324125230202587</v>
      </c>
      <c r="AH40" s="109">
        <f>RevBuild!AH69</f>
        <v>0.14838704118559362</v>
      </c>
      <c r="AI40" s="109">
        <f>RevBuild!AI69</f>
        <v>9.3143790302319757E-2</v>
      </c>
      <c r="AJ40" s="109">
        <f>RevBuild!AJ69</f>
        <v>0.13126291879613916</v>
      </c>
      <c r="AK40" s="176">
        <f>RevBuild!AK69</f>
        <v>0.1315087506465196</v>
      </c>
      <c r="AL40" s="2051"/>
      <c r="AM40" s="176">
        <f>RevBuild!AM69</f>
        <v>7.4608759242707351E-2</v>
      </c>
      <c r="AN40" s="109">
        <f>RevBuild!AN69</f>
        <v>7.1463790446841133E-2</v>
      </c>
      <c r="AO40" s="109">
        <f>RevBuild!AO69</f>
        <v>0.12799527372981487</v>
      </c>
      <c r="AP40" s="109">
        <f>RevBuild!AP69</f>
        <v>0.21580686149936465</v>
      </c>
      <c r="AQ40" s="176">
        <f>RevBuild!AQ69</f>
        <v>0.122468671229682</v>
      </c>
      <c r="AR40" s="2051"/>
      <c r="AS40" s="176">
        <f>RevBuild!AS69</f>
        <v>6.3394523957685189E-2</v>
      </c>
      <c r="AT40" s="109">
        <f>RevBuild!AT69</f>
        <v>0.12483997655334123</v>
      </c>
      <c r="AU40" s="109">
        <f>RevBuild!AU69</f>
        <v>0.13479311815725858</v>
      </c>
      <c r="AV40" s="109">
        <f>RevBuild!AV69</f>
        <v>-6.317075762405408E-3</v>
      </c>
      <c r="AW40" s="176">
        <f>RevBuild!AW69</f>
        <v>7.9177635726469894E-2</v>
      </c>
      <c r="AX40" s="2051"/>
      <c r="AY40" s="176">
        <f>RevBuild!AY69-$AY$13</f>
        <v>0.10999999999999999</v>
      </c>
      <c r="AZ40" s="109">
        <f>RevBuild!AZ69</f>
        <v>7.0000000000000007E-2</v>
      </c>
      <c r="BA40" s="109">
        <f>RevBuild!BA69</f>
        <v>0.02</v>
      </c>
      <c r="BB40" s="109">
        <f>RevBuild!BB69-BB$13</f>
        <v>0.19</v>
      </c>
      <c r="BC40" s="176">
        <f>RevBuild!BC69</f>
        <v>0.10250000000000001</v>
      </c>
      <c r="BD40" s="2051"/>
      <c r="BE40" s="176">
        <f>RevBuild!BE69</f>
        <v>0.10212489388359186</v>
      </c>
      <c r="BF40" s="109">
        <f>RevBuild!BF69</f>
        <v>0.10199999999999999</v>
      </c>
      <c r="BG40" s="109">
        <f>RevBuild!BG69</f>
        <v>8.5000000000000006E-2</v>
      </c>
      <c r="BH40" s="109">
        <f>RevBuild!BH69</f>
        <v>0.04</v>
      </c>
      <c r="BI40" s="176">
        <f>RevBuild!BI69</f>
        <v>8.228122347089796E-2</v>
      </c>
      <c r="BJ40" s="2051"/>
      <c r="BK40" s="176">
        <f>RevBuild!BK69</f>
        <v>0.06</v>
      </c>
      <c r="BL40" s="109">
        <f>RevBuild!BL69</f>
        <v>6.0999999999999999E-2</v>
      </c>
      <c r="BM40" s="109">
        <f>RevBuild!BM69</f>
        <v>7.0000000000000007E-2</v>
      </c>
      <c r="BN40" s="109">
        <f>RevBuild!BN69</f>
        <v>9.7549999999999998E-2</v>
      </c>
      <c r="BO40" s="176">
        <f>RevBuild!BO69</f>
        <v>7.2137499999999993E-2</v>
      </c>
      <c r="BP40" s="2051"/>
      <c r="BQ40" s="176">
        <f>RevBuild!BQ69</f>
        <v>0.08</v>
      </c>
      <c r="BR40" s="109">
        <f>RevBuild!BR69</f>
        <v>7.4999999999999997E-2</v>
      </c>
      <c r="BS40" s="109">
        <f>RevBuild!BS69</f>
        <v>7.4999999999999997E-2</v>
      </c>
      <c r="BT40" s="109">
        <f>RevBuild!BT69</f>
        <v>8.5000000000000006E-2</v>
      </c>
      <c r="BU40" s="176">
        <f>RevBuild!BU69</f>
        <v>7.8750000000000001E-2</v>
      </c>
      <c r="BV40" s="2051"/>
      <c r="BW40" s="176">
        <f>RevBuild!BW69</f>
        <v>0.05</v>
      </c>
      <c r="BX40" s="109">
        <f>RevBuild!BX69</f>
        <v>0.05</v>
      </c>
      <c r="BY40" s="109">
        <f>RevBuild!BY69</f>
        <v>0.05</v>
      </c>
      <c r="BZ40" s="109">
        <f>RevBuild!BZ69</f>
        <v>0.05</v>
      </c>
      <c r="CA40" s="176">
        <f>RevBuild!CA69</f>
        <v>0.05</v>
      </c>
      <c r="CB40" s="2051"/>
      <c r="CC40" s="176">
        <f>RevBuild!CC69</f>
        <v>0.05</v>
      </c>
      <c r="CD40" s="109">
        <f>RevBuild!CD69</f>
        <v>0.05</v>
      </c>
      <c r="CE40" s="109">
        <f>RevBuild!CE69</f>
        <v>0.05</v>
      </c>
      <c r="CF40" s="109">
        <f>RevBuild!CF69</f>
        <v>0.05</v>
      </c>
      <c r="CG40" s="176">
        <f>RevBuild!CG69</f>
        <v>0.05</v>
      </c>
      <c r="CH40" s="2051"/>
      <c r="CI40" s="176">
        <f>RevBuild!CI69</f>
        <v>0.05</v>
      </c>
      <c r="CJ40" s="109">
        <f>RevBuild!CJ69</f>
        <v>0.05</v>
      </c>
      <c r="CK40" s="109">
        <f>RevBuild!CK69</f>
        <v>0.05</v>
      </c>
      <c r="CL40" s="109">
        <f>RevBuild!CL69</f>
        <v>0.05</v>
      </c>
      <c r="CM40" s="1075">
        <f>RevBuild!CM69</f>
        <v>0.05</v>
      </c>
      <c r="CN40" s="68"/>
      <c r="CO40" s="1474" t="s">
        <v>515</v>
      </c>
      <c r="CP40" s="1475"/>
      <c r="CQ40" s="1475"/>
      <c r="CR40" s="1475"/>
      <c r="CS40" s="1475"/>
      <c r="CT40" s="1475">
        <f t="shared" si="53"/>
        <v>0.04</v>
      </c>
      <c r="CU40" s="1475">
        <f t="shared" si="53"/>
        <v>0.05</v>
      </c>
      <c r="CV40" s="1475">
        <f t="shared" si="53"/>
        <v>0.1</v>
      </c>
      <c r="CW40" s="1475">
        <f t="shared" si="53"/>
        <v>0.2</v>
      </c>
      <c r="CX40" s="1475">
        <f t="shared" si="54"/>
        <v>-0.02</v>
      </c>
      <c r="CY40" s="1475">
        <f t="shared" si="54"/>
        <v>0.05</v>
      </c>
      <c r="CZ40" s="1475">
        <f t="shared" si="54"/>
        <v>-0.05</v>
      </c>
      <c r="DA40" s="1475">
        <f t="shared" si="54"/>
        <v>-0.03</v>
      </c>
      <c r="DB40" s="1475">
        <f t="shared" si="55"/>
        <v>6.5000000000000002E-2</v>
      </c>
      <c r="DC40" s="1475">
        <f t="shared" si="55"/>
        <v>0.09</v>
      </c>
      <c r="DD40" s="1475">
        <f t="shared" si="55"/>
        <v>0.15</v>
      </c>
      <c r="DE40" s="1475">
        <f t="shared" si="55"/>
        <v>6.5000000000000002E-2</v>
      </c>
      <c r="DF40" s="1475">
        <f t="shared" si="56"/>
        <v>5.0000000000000001E-3</v>
      </c>
      <c r="DG40" s="1475">
        <f t="shared" si="56"/>
        <v>7.0000000000000007E-2</v>
      </c>
      <c r="DH40" s="1475">
        <f t="shared" si="56"/>
        <v>0.01</v>
      </c>
      <c r="DI40" s="1475">
        <f t="shared" si="56"/>
        <v>0.13</v>
      </c>
      <c r="DJ40" s="1475">
        <f t="shared" si="57"/>
        <v>9.9999999999999992E-2</v>
      </c>
      <c r="DK40" s="1475">
        <f t="shared" si="57"/>
        <v>7.0000000000000007E-2</v>
      </c>
      <c r="DL40" s="1475">
        <f t="shared" si="57"/>
        <v>0.05</v>
      </c>
      <c r="DM40" s="1475">
        <f t="shared" si="57"/>
        <v>1.67E-2</v>
      </c>
      <c r="DN40" s="2014"/>
    </row>
    <row r="41" spans="1:118" s="358" customFormat="1" hidden="1" outlineLevel="1">
      <c r="A41" s="175" t="s">
        <v>301</v>
      </c>
      <c r="B41" s="172"/>
      <c r="C41" s="1244">
        <f>C17</f>
        <v>9.0000000000000011E-2</v>
      </c>
      <c r="D41" s="1244">
        <f>D17</f>
        <v>0.13000000000000003</v>
      </c>
      <c r="E41" s="1244">
        <f>E17</f>
        <v>0.12000000000000001</v>
      </c>
      <c r="F41" s="1244">
        <f>F17</f>
        <v>7.0000000000000007E-2</v>
      </c>
      <c r="G41" s="1245">
        <f>G17</f>
        <v>0.10250000000000001</v>
      </c>
      <c r="H41" s="173"/>
      <c r="I41" s="1244">
        <f>I17</f>
        <v>6.4618700816562458E-2</v>
      </c>
      <c r="J41" s="1244">
        <f>J17</f>
        <v>7.0037149420072053E-2</v>
      </c>
      <c r="K41" s="1244">
        <f>K17</f>
        <v>6.5486022493321611E-2</v>
      </c>
      <c r="L41" s="1244">
        <f>L17</f>
        <v>-2.7273954641043111E-3</v>
      </c>
      <c r="M41" s="1245">
        <f>M17</f>
        <v>4.179577311805191E-2</v>
      </c>
      <c r="N41" s="173"/>
      <c r="O41" s="1244">
        <f>O17</f>
        <v>-6.0700117264668799E-2</v>
      </c>
      <c r="P41" s="1244">
        <f>P17</f>
        <v>-5.945882530082694E-2</v>
      </c>
      <c r="Q41" s="1244">
        <f>Q17</f>
        <v>-4.1961378167792537E-2</v>
      </c>
      <c r="R41" s="1244">
        <f>R17</f>
        <v>-3.4859620730952112E-2</v>
      </c>
      <c r="S41" s="1245">
        <f>S17</f>
        <v>-4.9244985366060097E-2</v>
      </c>
      <c r="T41" s="173"/>
      <c r="U41" s="1244">
        <f>U17</f>
        <v>6.403180284159829E-2</v>
      </c>
      <c r="V41" s="1244">
        <f>V17</f>
        <v>8.7770458911301738E-2</v>
      </c>
      <c r="W41" s="1244">
        <f>W17</f>
        <v>9.2400210716033312E-2</v>
      </c>
      <c r="X41" s="1244">
        <f>X17</f>
        <v>0.11762097526396299</v>
      </c>
      <c r="Y41" s="1245">
        <f>Y17</f>
        <v>9.045586193322408E-2</v>
      </c>
      <c r="Z41" s="173"/>
      <c r="AA41" s="1244">
        <f>AA17</f>
        <v>0.14291270057111774</v>
      </c>
      <c r="AB41" s="1244">
        <f>AB17</f>
        <v>8.4665072687985232E-2</v>
      </c>
      <c r="AC41" s="1244">
        <f>AC17</f>
        <v>9.3393842977473468E-2</v>
      </c>
      <c r="AD41" s="1244">
        <f>AD17</f>
        <v>7.8254180297697484E-2</v>
      </c>
      <c r="AE41" s="1245">
        <f>AE17</f>
        <v>9.9806449133568481E-2</v>
      </c>
      <c r="AF41" s="173"/>
      <c r="AG41" s="1244">
        <f>AG17</f>
        <v>3.2905756040065674E-3</v>
      </c>
      <c r="AH41" s="1244">
        <f>AH17</f>
        <v>3.5574102991999895E-2</v>
      </c>
      <c r="AI41" s="1244">
        <f>AI17</f>
        <v>1.6919345967518404E-2</v>
      </c>
      <c r="AJ41" s="1244">
        <f>AJ17</f>
        <v>1.1663572551877544E-2</v>
      </c>
      <c r="AK41" s="1245">
        <f>AK17</f>
        <v>1.6425310503980255E-2</v>
      </c>
      <c r="AL41" s="173"/>
      <c r="AM41" s="1259">
        <f>AM17</f>
        <v>5.2498185312207152E-2</v>
      </c>
      <c r="AN41" s="1244">
        <f>AN17</f>
        <v>1.9224746104349304E-2</v>
      </c>
      <c r="AO41" s="1244">
        <f>AO17</f>
        <v>3.6368412630680677E-2</v>
      </c>
      <c r="AP41" s="1244">
        <f>AP17</f>
        <v>0.10371952177796183</v>
      </c>
      <c r="AQ41" s="1245">
        <f>AQ17</f>
        <v>5.5107264510823831E-2</v>
      </c>
      <c r="AR41" s="173"/>
      <c r="AS41" s="1259">
        <f>AS17</f>
        <v>3.9503831871678941E-4</v>
      </c>
      <c r="AT41" s="1244">
        <f>AT17</f>
        <v>5.0022566307925911E-2</v>
      </c>
      <c r="AU41" s="1244">
        <f>AU17</f>
        <v>6.838763920868908E-2</v>
      </c>
      <c r="AV41" s="1244">
        <f>AV17</f>
        <v>7.2579476804233128E-2</v>
      </c>
      <c r="AW41" s="1245">
        <f>AW17</f>
        <v>4.7703915202986225E-2</v>
      </c>
      <c r="AX41" s="173"/>
      <c r="AY41" s="1259">
        <f>AY17</f>
        <v>0.10944354111886431</v>
      </c>
      <c r="AZ41" s="1244">
        <f>AZ17</f>
        <v>7.5855485978650966E-2</v>
      </c>
      <c r="BA41" s="1244">
        <f>BA17</f>
        <v>6.3031480336195725E-2</v>
      </c>
      <c r="BB41" s="1244">
        <f>BB17</f>
        <v>7.9116820504620225E-2</v>
      </c>
      <c r="BC41" s="1245">
        <f>BC17</f>
        <v>7.949191492303205E-2</v>
      </c>
      <c r="BD41" s="173"/>
      <c r="BE41" s="1259">
        <f>BE17</f>
        <v>5.4112102561706565E-2</v>
      </c>
      <c r="BF41" s="1244">
        <f>BF17</f>
        <v>8.1362230666612648E-2</v>
      </c>
      <c r="BG41" s="1244">
        <f>BG17</f>
        <v>4.7696550787290036E-2</v>
      </c>
      <c r="BH41" s="1244">
        <f>BH17</f>
        <v>8.189955848008057E-2</v>
      </c>
      <c r="BI41" s="1245">
        <f>BI17</f>
        <v>6.723944049050519E-2</v>
      </c>
      <c r="BJ41" s="173"/>
      <c r="BK41" s="1259">
        <f>BK17</f>
        <v>6.7813132567133602E-2</v>
      </c>
      <c r="BL41" s="1244">
        <f>BL17</f>
        <v>5.0424183688683615E-2</v>
      </c>
      <c r="BM41" s="1244">
        <f>BM17</f>
        <v>7.1060731165650981E-2</v>
      </c>
      <c r="BN41" s="1244">
        <f>BN17</f>
        <v>6.3017190240892279E-2</v>
      </c>
      <c r="BO41" s="1245">
        <f>BO17</f>
        <v>6.4731416352507107E-2</v>
      </c>
      <c r="BP41" s="173"/>
      <c r="BQ41" s="1244">
        <f>BQ17</f>
        <v>7.1633215589279278E-2</v>
      </c>
      <c r="BR41" s="1244">
        <f>BR17</f>
        <v>7.2988183743196836E-2</v>
      </c>
      <c r="BS41" s="1244">
        <f>BS17</f>
        <v>6.1612336722611127E-2</v>
      </c>
      <c r="BT41" s="1244">
        <f>BT17</f>
        <v>6.0156556177673688E-2</v>
      </c>
      <c r="BU41" s="1245">
        <f>BU17</f>
        <v>6.5679756079417548E-2</v>
      </c>
      <c r="BV41" s="173"/>
      <c r="BW41" s="1244">
        <f>BW17</f>
        <v>6.5513185873130819E-2</v>
      </c>
      <c r="BX41" s="1244">
        <f>BX17</f>
        <v>5.856973943469912E-2</v>
      </c>
      <c r="BY41" s="1244">
        <f>BY17</f>
        <v>5.5879969713876321E-2</v>
      </c>
      <c r="BZ41" s="1244">
        <f>BZ17</f>
        <v>4.9195029031815274E-2</v>
      </c>
      <c r="CA41" s="1259">
        <f>CA17</f>
        <v>5.666662832458047E-2</v>
      </c>
      <c r="CB41" s="173"/>
      <c r="CC41" s="1244">
        <f>CC17</f>
        <v>5.7594873371175082E-2</v>
      </c>
      <c r="CD41" s="1244">
        <f>CD17</f>
        <v>5.060049630441199E-2</v>
      </c>
      <c r="CE41" s="1244">
        <f>CE17</f>
        <v>4.9200426505382255E-2</v>
      </c>
      <c r="CF41" s="1244">
        <f>CF17</f>
        <v>4.2412438651576512E-2</v>
      </c>
      <c r="CG41" s="1259">
        <f>CG17</f>
        <v>4.9401139586263021E-2</v>
      </c>
      <c r="CH41" s="173"/>
      <c r="CI41" s="1244">
        <f>CI17</f>
        <v>5.7621140110522662E-2</v>
      </c>
      <c r="CJ41" s="1244">
        <f>CJ17</f>
        <v>5.0684905844998962E-2</v>
      </c>
      <c r="CK41" s="1244">
        <f>CK17</f>
        <v>4.9252173750060413E-2</v>
      </c>
      <c r="CL41" s="1244">
        <f>CL17</f>
        <v>4.2654049855422205E-2</v>
      </c>
      <c r="CM41" s="1245">
        <f>CM17</f>
        <v>4.9538528194664089E-2</v>
      </c>
      <c r="CN41" s="68"/>
      <c r="CO41" s="1454" t="s">
        <v>516</v>
      </c>
      <c r="CP41" s="1451"/>
      <c r="CQ41" s="1451"/>
      <c r="CR41" s="1451"/>
      <c r="CS41" s="1451"/>
      <c r="CT41" s="1451">
        <f t="shared" si="53"/>
        <v>0.08</v>
      </c>
      <c r="CU41" s="1451">
        <f t="shared" si="53"/>
        <v>0</v>
      </c>
      <c r="CV41" s="1451">
        <f t="shared" si="53"/>
        <v>0.03</v>
      </c>
      <c r="CW41" s="1451">
        <f t="shared" si="53"/>
        <v>0.12</v>
      </c>
      <c r="CX41" s="1451">
        <f t="shared" si="54"/>
        <v>-0.02</v>
      </c>
      <c r="CY41" s="1451">
        <f t="shared" si="54"/>
        <v>-0.01</v>
      </c>
      <c r="CZ41" s="1451">
        <f t="shared" si="54"/>
        <v>0.03</v>
      </c>
      <c r="DA41" s="1451">
        <f t="shared" si="54"/>
        <v>0.05</v>
      </c>
      <c r="DB41" s="1451">
        <f t="shared" si="55"/>
        <v>1.4999999999999999E-2</v>
      </c>
      <c r="DC41" s="1451">
        <f t="shared" si="55"/>
        <v>-0.01</v>
      </c>
      <c r="DD41" s="1451">
        <f t="shared" si="55"/>
        <v>0</v>
      </c>
      <c r="DE41" s="1451">
        <f t="shared" si="55"/>
        <v>-4.9999999999999975E-3</v>
      </c>
      <c r="DF41" s="1451">
        <f t="shared" si="56"/>
        <v>4.0000000000000001E-3</v>
      </c>
      <c r="DG41" s="1451">
        <f t="shared" si="56"/>
        <v>-0.04</v>
      </c>
      <c r="DH41" s="1451">
        <f t="shared" si="56"/>
        <v>-0.15</v>
      </c>
      <c r="DI41" s="1451">
        <f t="shared" si="56"/>
        <v>4.9999999999999996E-2</v>
      </c>
      <c r="DJ41" s="1451">
        <f t="shared" si="57"/>
        <v>-0.1</v>
      </c>
      <c r="DK41" s="1451">
        <f t="shared" si="57"/>
        <v>0.05</v>
      </c>
      <c r="DL41" s="1451">
        <f t="shared" si="57"/>
        <v>0.13</v>
      </c>
      <c r="DM41" s="1451">
        <f t="shared" si="57"/>
        <v>0.13</v>
      </c>
      <c r="DN41" s="2014"/>
    </row>
    <row r="42" spans="1:118" s="24" customFormat="1" hidden="1" outlineLevel="1">
      <c r="A42" s="174"/>
      <c r="B42" s="71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</row>
    <row r="43" spans="1:118" hidden="1" outlineLevel="1">
      <c r="A43" s="1583" t="s">
        <v>302</v>
      </c>
      <c r="B43" s="152"/>
      <c r="C43" s="152"/>
      <c r="D43" s="152"/>
      <c r="E43" s="152"/>
      <c r="F43" s="152"/>
      <c r="G43" s="152"/>
      <c r="H43" s="159"/>
      <c r="I43" s="152"/>
      <c r="J43" s="152"/>
      <c r="K43" s="152"/>
      <c r="L43" s="152"/>
      <c r="M43" s="152"/>
      <c r="N43" s="159"/>
      <c r="O43" s="152"/>
      <c r="P43" s="152"/>
      <c r="Q43" s="152"/>
      <c r="R43" s="152"/>
      <c r="S43" s="152"/>
      <c r="T43" s="159"/>
      <c r="U43" s="152"/>
      <c r="V43" s="156"/>
      <c r="W43" s="156"/>
      <c r="X43" s="156"/>
      <c r="Y43" s="156"/>
      <c r="Z43" s="159"/>
      <c r="AA43" s="156"/>
      <c r="AB43" s="157"/>
      <c r="AC43" s="158"/>
      <c r="AD43" s="156"/>
      <c r="AE43" s="156"/>
      <c r="AF43" s="159"/>
      <c r="AG43" s="156"/>
      <c r="AH43" s="156"/>
      <c r="AI43" s="156"/>
      <c r="AJ43" s="156"/>
      <c r="AK43" s="159"/>
      <c r="AL43" s="159"/>
      <c r="AM43" s="156"/>
      <c r="AN43" s="156"/>
      <c r="AO43" s="156"/>
      <c r="AP43" s="156"/>
      <c r="AQ43" s="159"/>
      <c r="AR43" s="159"/>
      <c r="AS43" s="156"/>
      <c r="AT43" s="156"/>
      <c r="AU43" s="156"/>
      <c r="AV43" s="156"/>
      <c r="AW43" s="159"/>
      <c r="AX43" s="159"/>
      <c r="AY43" s="156"/>
      <c r="AZ43" s="156"/>
      <c r="BA43" s="156"/>
      <c r="BB43" s="156"/>
      <c r="BC43" s="159"/>
      <c r="BD43" s="159"/>
      <c r="BE43" s="156"/>
      <c r="BF43" s="156"/>
      <c r="BG43" s="156"/>
      <c r="BH43" s="156"/>
      <c r="BI43" s="159"/>
      <c r="BJ43" s="159"/>
      <c r="BK43" s="156"/>
      <c r="BL43" s="156"/>
      <c r="BM43" s="156"/>
      <c r="BN43" s="156"/>
      <c r="BO43" s="159"/>
      <c r="BP43" s="159"/>
      <c r="BQ43" s="156"/>
      <c r="BR43" s="156"/>
      <c r="BS43" s="156"/>
      <c r="BT43" s="156"/>
      <c r="BU43" s="159"/>
      <c r="BV43" s="159"/>
      <c r="BW43" s="156"/>
      <c r="BX43" s="156"/>
      <c r="BY43" s="156"/>
      <c r="BZ43" s="156"/>
      <c r="CA43" s="159"/>
      <c r="CB43" s="159"/>
      <c r="CC43" s="156"/>
      <c r="CD43" s="156"/>
      <c r="CE43" s="156"/>
      <c r="CF43" s="156"/>
      <c r="CG43" s="159"/>
      <c r="CH43" s="159"/>
      <c r="CI43" s="156"/>
      <c r="CJ43" s="156"/>
      <c r="CK43" s="156"/>
      <c r="CL43" s="156"/>
      <c r="CM43" s="159"/>
      <c r="CO43" s="1479" t="s">
        <v>517</v>
      </c>
      <c r="CP43" s="1478"/>
      <c r="CQ43" s="1478"/>
      <c r="CR43" s="1478"/>
      <c r="CS43" s="1478"/>
      <c r="CT43" s="1478"/>
      <c r="CU43" s="1478"/>
      <c r="CV43" s="1478"/>
      <c r="CW43" s="1478"/>
      <c r="CX43" s="1478"/>
      <c r="CY43" s="1478"/>
      <c r="CZ43" s="1478"/>
      <c r="DA43" s="1478"/>
      <c r="DB43" s="1478"/>
      <c r="DC43" s="1478"/>
      <c r="DD43" s="1478"/>
      <c r="DE43" s="1478"/>
      <c r="DF43" s="1478"/>
      <c r="DG43" s="1478"/>
      <c r="DH43" s="1478"/>
      <c r="DI43" s="1478"/>
      <c r="DJ43" s="1478"/>
      <c r="DK43" s="1478"/>
      <c r="DL43" s="1478"/>
      <c r="DM43" s="1478"/>
    </row>
    <row r="44" spans="1:118" s="24" customFormat="1" hidden="1" outlineLevel="1">
      <c r="A44" s="182" t="s">
        <v>90</v>
      </c>
      <c r="B44" s="1085"/>
      <c r="C44" s="1085"/>
      <c r="D44" s="1085"/>
      <c r="E44" s="1085"/>
      <c r="F44" s="1085"/>
      <c r="G44" s="1086"/>
      <c r="H44" s="1087"/>
      <c r="I44" s="1088"/>
      <c r="J44" s="1085"/>
      <c r="K44" s="1085"/>
      <c r="L44" s="1085"/>
      <c r="M44" s="1088"/>
      <c r="N44" s="1087"/>
      <c r="O44" s="161"/>
      <c r="P44" s="150"/>
      <c r="Q44" s="150"/>
      <c r="R44" s="150"/>
      <c r="S44" s="161"/>
      <c r="T44" s="1087"/>
      <c r="U44" s="161"/>
      <c r="V44" s="150"/>
      <c r="W44" s="150"/>
      <c r="X44" s="150"/>
      <c r="Y44" s="161"/>
      <c r="Z44" s="1087"/>
      <c r="AA44" s="161"/>
      <c r="AB44" s="150"/>
      <c r="AC44" s="150"/>
      <c r="AD44" s="150"/>
      <c r="AE44" s="161"/>
      <c r="AF44" s="1087"/>
      <c r="AG44" s="161"/>
      <c r="AH44" s="150"/>
      <c r="AI44" s="150"/>
      <c r="AJ44" s="150"/>
      <c r="AK44" s="1087"/>
      <c r="AL44" s="1087"/>
      <c r="AM44" s="161"/>
      <c r="AN44" s="150"/>
      <c r="AO44" s="150"/>
      <c r="AP44" s="150"/>
      <c r="AQ44" s="1087"/>
      <c r="AR44" s="1087"/>
      <c r="AS44" s="161"/>
      <c r="AT44" s="150"/>
      <c r="AU44" s="150"/>
      <c r="AV44" s="150"/>
      <c r="AW44" s="1087"/>
      <c r="AX44" s="1087"/>
      <c r="AY44" s="161"/>
      <c r="AZ44" s="150"/>
      <c r="BA44" s="150"/>
      <c r="BB44" s="150"/>
      <c r="BC44" s="1087"/>
      <c r="BD44" s="1087"/>
      <c r="BE44" s="161"/>
      <c r="BF44" s="150"/>
      <c r="BG44" s="150"/>
      <c r="BH44" s="150"/>
      <c r="BI44" s="1087"/>
      <c r="BJ44" s="1087"/>
      <c r="BK44" s="161"/>
      <c r="BL44" s="150"/>
      <c r="BM44" s="150"/>
      <c r="BN44" s="150"/>
      <c r="BO44" s="1087"/>
      <c r="BP44" s="1087"/>
      <c r="BQ44" s="161"/>
      <c r="BR44" s="150"/>
      <c r="BS44" s="150"/>
      <c r="BT44" s="150"/>
      <c r="BU44" s="1087"/>
      <c r="BV44" s="1087"/>
      <c r="BW44" s="161"/>
      <c r="BX44" s="150"/>
      <c r="BY44" s="150"/>
      <c r="BZ44" s="150"/>
      <c r="CA44" s="1087"/>
      <c r="CB44" s="1087"/>
      <c r="CC44" s="161"/>
      <c r="CD44" s="150"/>
      <c r="CE44" s="150"/>
      <c r="CF44" s="150"/>
      <c r="CG44" s="1087"/>
      <c r="CH44" s="1087"/>
      <c r="CI44" s="161"/>
      <c r="CJ44" s="150"/>
      <c r="CK44" s="150"/>
      <c r="CL44" s="150"/>
      <c r="CM44" s="1087"/>
      <c r="CN44" s="71"/>
      <c r="CO44" s="1449"/>
      <c r="CP44" s="1450" t="s">
        <v>474</v>
      </c>
      <c r="CQ44" s="1450" t="s">
        <v>33</v>
      </c>
      <c r="CR44" s="1450" t="s">
        <v>72</v>
      </c>
      <c r="CS44" s="1450" t="s">
        <v>30</v>
      </c>
      <c r="CT44" s="1450" t="s">
        <v>25</v>
      </c>
      <c r="CU44" s="1450" t="s">
        <v>29</v>
      </c>
      <c r="CV44" s="1450" t="s">
        <v>28</v>
      </c>
      <c r="CW44" s="1450" t="s">
        <v>27</v>
      </c>
      <c r="CX44" s="1450" t="s">
        <v>26</v>
      </c>
      <c r="CY44" s="1450" t="s">
        <v>475</v>
      </c>
      <c r="CZ44" s="1450" t="s">
        <v>476</v>
      </c>
      <c r="DA44" s="1450" t="s">
        <v>477</v>
      </c>
      <c r="DB44" s="1450" t="s">
        <v>488</v>
      </c>
      <c r="DC44" s="1450" t="s">
        <v>491</v>
      </c>
      <c r="DD44" s="1450" t="s">
        <v>498</v>
      </c>
      <c r="DE44" s="1450" t="s">
        <v>500</v>
      </c>
      <c r="DF44" s="1450" t="s">
        <v>510</v>
      </c>
      <c r="DG44" s="1450" t="s">
        <v>525</v>
      </c>
      <c r="DH44" s="1450" t="s">
        <v>529</v>
      </c>
      <c r="DI44" s="1450" t="str">
        <f>DI6</f>
        <v>4Q16</v>
      </c>
      <c r="DJ44" s="1450" t="str">
        <f>DJ6</f>
        <v>1Q17</v>
      </c>
      <c r="DK44" s="1450" t="str">
        <f>DK6</f>
        <v>2Q17</v>
      </c>
      <c r="DL44" s="1450" t="str">
        <f>DL6</f>
        <v>3Q17</v>
      </c>
      <c r="DM44" s="1450" t="str">
        <f>DM6</f>
        <v>4Q17</v>
      </c>
    </row>
    <row r="45" spans="1:118" s="358" customFormat="1" hidden="1" outlineLevel="1">
      <c r="A45" s="183" t="s">
        <v>95</v>
      </c>
      <c r="B45" s="1078"/>
      <c r="C45" s="1078"/>
      <c r="D45" s="1078"/>
      <c r="E45" s="1078"/>
      <c r="F45" s="1078"/>
      <c r="G45" s="1089"/>
      <c r="H45" s="1082"/>
      <c r="I45" s="1090"/>
      <c r="J45" s="1078"/>
      <c r="K45" s="1078"/>
      <c r="L45" s="1078"/>
      <c r="M45" s="1090"/>
      <c r="N45" s="1082"/>
      <c r="O45" s="176"/>
      <c r="P45" s="109"/>
      <c r="Q45" s="109"/>
      <c r="R45" s="109"/>
      <c r="S45" s="176"/>
      <c r="T45" s="1082"/>
      <c r="U45" s="176">
        <f t="shared" ref="U45:U54" si="58">U32+O32</f>
        <v>3.1538461538461543E-2</v>
      </c>
      <c r="V45" s="109">
        <f t="shared" ref="V45:V54" si="59">V32+P32</f>
        <v>7.4705882352941178E-2</v>
      </c>
      <c r="W45" s="109">
        <f t="shared" ref="W45:W54" si="60">W32+Q32</f>
        <v>3.7438835205759635E-2</v>
      </c>
      <c r="X45" s="109">
        <f t="shared" ref="X45:X54" si="61">X32+R32</f>
        <v>0.14000000000000001</v>
      </c>
      <c r="Y45" s="176">
        <f t="shared" ref="Y45:Y54" si="62">Y32+S32</f>
        <v>7.1986562568246759E-2</v>
      </c>
      <c r="Z45" s="1082"/>
      <c r="AA45" s="176">
        <f t="shared" ref="AA45:AA54" si="63">AA32+U32</f>
        <v>0.26</v>
      </c>
      <c r="AB45" s="109">
        <f t="shared" ref="AB45:AB54" si="64">AB32+V32</f>
        <v>0.16999999999999998</v>
      </c>
      <c r="AC45" s="109">
        <f t="shared" ref="AC45:AC54" si="65">AC32+W32</f>
        <v>0.21000000000000002</v>
      </c>
      <c r="AD45" s="109">
        <f t="shared" ref="AD45:AD54" si="66">AD32+X32</f>
        <v>0.21000000000000002</v>
      </c>
      <c r="AE45" s="176">
        <f t="shared" ref="AE45:AE54" si="67">AE32+Y32</f>
        <v>0.21027804772344824</v>
      </c>
      <c r="AF45" s="1082"/>
      <c r="AG45" s="176">
        <f t="shared" ref="AG45:AG54" si="68">AG32+AA32</f>
        <v>4.3000000000000024E-2</v>
      </c>
      <c r="AH45" s="109">
        <f t="shared" ref="AH45:AH54" si="69">AH32+AB32</f>
        <v>1.0000000000000009E-2</v>
      </c>
      <c r="AI45" s="109">
        <f t="shared" ref="AI45:AI54" si="70">AI32+AC32</f>
        <v>0.09</v>
      </c>
      <c r="AJ45" s="109">
        <f t="shared" ref="AJ45:AJ54" si="71">AJ32+AD32</f>
        <v>2.0000000000000004E-2</v>
      </c>
      <c r="AK45" s="176">
        <f t="shared" ref="AK45:AK54" si="72">AK32+AE32</f>
        <v>3.7640553672016859E-2</v>
      </c>
      <c r="AL45" s="1082"/>
      <c r="AM45" s="176">
        <f t="shared" ref="AM45:AM54" si="73">AM32+AG32</f>
        <v>1.3700000000000004E-2</v>
      </c>
      <c r="AN45" s="109">
        <f t="shared" ref="AN45:AN54" si="74">AN32+AH32</f>
        <v>6.0000000000000053E-3</v>
      </c>
      <c r="AO45" s="109">
        <f t="shared" ref="AO45:AO54" si="75">AO32+AI32</f>
        <v>-0.05</v>
      </c>
      <c r="AP45" s="109">
        <f t="shared" ref="AP45:AP54" si="76">AP32+AJ32</f>
        <v>0.03</v>
      </c>
      <c r="AQ45" s="176">
        <f t="shared" ref="AQ45:AQ54" si="77">AQ32+AK32</f>
        <v>-5.924610933153579E-5</v>
      </c>
      <c r="AR45" s="1082"/>
      <c r="AS45" s="176">
        <f t="shared" ref="AS45:AS54" si="78">AS32+AM32</f>
        <v>3.0700000000000005E-2</v>
      </c>
      <c r="AT45" s="109">
        <f t="shared" ref="AT45:AT54" si="79">AT32+AN32</f>
        <v>4.5999999999999999E-2</v>
      </c>
      <c r="AU45" s="109">
        <f t="shared" ref="AU45:AU54" si="80">AU32+AO32</f>
        <v>8.2405417076512125E-3</v>
      </c>
      <c r="AV45" s="109">
        <f t="shared" ref="AV45:AV54" si="81">AV32+AP32</f>
        <v>0.15418080002014098</v>
      </c>
      <c r="AW45" s="176">
        <f t="shared" ref="AW45:AW54" si="82">AW32+AQ32</f>
        <v>5.9407042934975875E-2</v>
      </c>
      <c r="AX45" s="1082"/>
      <c r="AY45" s="176">
        <f t="shared" ref="AY45:AY54" si="83">AY32+AS32</f>
        <v>1.4999999999999986E-2</v>
      </c>
      <c r="AZ45" s="109">
        <f t="shared" ref="AZ45:AZ54" si="84">AZ32+AT32</f>
        <v>0.10539</v>
      </c>
      <c r="BA45" s="109">
        <f t="shared" ref="BA45:BA54" si="85">BA32+AU32</f>
        <v>0.1607405417076512</v>
      </c>
      <c r="BB45" s="109">
        <f t="shared" ref="BB45:BB54" si="86">BB32+AV32</f>
        <v>0.12418080002014098</v>
      </c>
      <c r="BC45" s="176">
        <f t="shared" ref="BC45:BC54" si="87">BC32+AW32</f>
        <v>0.10230094443584566</v>
      </c>
      <c r="BD45" s="1082"/>
      <c r="BE45" s="176">
        <f t="shared" ref="BE45:BE54" si="88">BE32+AY32</f>
        <v>7.9999999999999988E-2</v>
      </c>
      <c r="BF45" s="109">
        <f t="shared" ref="BF45:BF54" si="89">BF32+AZ32</f>
        <v>0.19039</v>
      </c>
      <c r="BG45" s="109">
        <f t="shared" ref="BG45:BG54" si="90">BG32+BA32</f>
        <v>0.13500000000000001</v>
      </c>
      <c r="BH45" s="109">
        <f t="shared" ref="BH45:BH54" si="91">BH32+BB32</f>
        <v>0.16999999999999998</v>
      </c>
      <c r="BI45" s="176">
        <f t="shared" ref="BI45:BI54" si="92">BI32+BC32</f>
        <v>0.14870777923631293</v>
      </c>
      <c r="BJ45" s="1082"/>
      <c r="BK45" s="176">
        <f t="shared" ref="BK45:BK54" si="93">BK32+BE32</f>
        <v>3.4999999999999996E-2</v>
      </c>
      <c r="BL45" s="109">
        <f t="shared" ref="BL45:BL54" si="94">BL32+BF32</f>
        <v>9.5000000000000001E-2</v>
      </c>
      <c r="BM45" s="109">
        <f t="shared" ref="BM45:BM54" si="95">BM32+BG32</f>
        <v>6.7500000000000004E-2</v>
      </c>
      <c r="BN45" s="109">
        <f t="shared" ref="BN45:BN54" si="96">BN32+BH32</f>
        <v>0.154</v>
      </c>
      <c r="BO45" s="176">
        <f t="shared" ref="BO45:BO54" si="97">BO32+BI32</f>
        <v>9.1136889883371819E-2</v>
      </c>
      <c r="BP45" s="1082"/>
      <c r="BQ45" s="176">
        <f t="shared" ref="BQ45:BQ54" si="98">BQ32+BK32</f>
        <v>0.12</v>
      </c>
      <c r="BR45" s="109">
        <f t="shared" ref="BR45:BR54" si="99">BR32+BL32</f>
        <v>0.08</v>
      </c>
      <c r="BS45" s="109">
        <f t="shared" ref="BS45:BS54" si="100">BS32+BM32</f>
        <v>7.5000000000000011E-2</v>
      </c>
      <c r="BT45" s="109">
        <f t="shared" ref="BT45:BT54" si="101">BT32+BN32</f>
        <v>7.400000000000001E-2</v>
      </c>
      <c r="BU45" s="176">
        <f t="shared" ref="BU45:BU54" si="102">BU32+BO32</f>
        <v>8.7186756648424707E-2</v>
      </c>
      <c r="BV45" s="1082"/>
      <c r="BW45" s="176">
        <f t="shared" ref="BW45:BW54" si="103">BW32+BQ32</f>
        <v>0.11</v>
      </c>
      <c r="BX45" s="109">
        <f t="shared" ref="BX45:BX54" si="104">BX32+BR32</f>
        <v>0.09</v>
      </c>
      <c r="BY45" s="109">
        <f t="shared" ref="BY45:BY54" si="105">BY32+BS32</f>
        <v>7.5000000000000011E-2</v>
      </c>
      <c r="BZ45" s="109">
        <f t="shared" ref="BZ45:BZ54" si="106">BZ32+BT32</f>
        <v>7.5000000000000011E-2</v>
      </c>
      <c r="CA45" s="176">
        <f t="shared" ref="CA45:CA54" si="107">CA32+BU32</f>
        <v>8.6644006675690194E-2</v>
      </c>
      <c r="CB45" s="1082"/>
      <c r="CC45" s="176">
        <f t="shared" ref="CC45:CC54" si="108">CC32+BW32</f>
        <v>0.1</v>
      </c>
      <c r="CD45" s="109">
        <f t="shared" ref="CD45:CD54" si="109">CD32+BX32</f>
        <v>0.08</v>
      </c>
      <c r="CE45" s="109">
        <f t="shared" ref="CE45:CE54" si="110">CE32+BY32</f>
        <v>7.0000000000000007E-2</v>
      </c>
      <c r="CF45" s="109">
        <f t="shared" ref="CF45:CF54" si="111">CF32+BZ32</f>
        <v>7.0000000000000007E-2</v>
      </c>
      <c r="CG45" s="176">
        <f t="shared" ref="CG45:CG54" si="112">CG32+CA32</f>
        <v>7.9191651279180819E-2</v>
      </c>
      <c r="CH45" s="1082"/>
      <c r="CI45" s="176">
        <f t="shared" ref="CI45:CI54" si="113">CI32+CC32</f>
        <v>0.1</v>
      </c>
      <c r="CJ45" s="109">
        <f t="shared" ref="CJ45:CJ54" si="114">CJ32+CD32</f>
        <v>0.08</v>
      </c>
      <c r="CK45" s="109">
        <f t="shared" ref="CK45:CK54" si="115">CK32+CE32</f>
        <v>7.0000000000000007E-2</v>
      </c>
      <c r="CL45" s="109">
        <f t="shared" ref="CL45:CL54" si="116">CL32+CF32</f>
        <v>7.0000000000000007E-2</v>
      </c>
      <c r="CM45" s="176">
        <f t="shared" ref="CM45:CM54" si="117">CM32+CG32</f>
        <v>7.925910766852895E-2</v>
      </c>
      <c r="CN45" s="68"/>
      <c r="CO45" s="1476" t="s">
        <v>513</v>
      </c>
      <c r="CP45" s="1477"/>
      <c r="CQ45" s="1477"/>
      <c r="CR45" s="1477"/>
      <c r="CS45" s="1477"/>
      <c r="CT45" s="1477"/>
      <c r="CU45" s="1477"/>
      <c r="CV45" s="1477"/>
      <c r="CW45" s="1477"/>
      <c r="CX45" s="1477"/>
      <c r="CY45" s="1477"/>
      <c r="CZ45" s="1477"/>
      <c r="DA45" s="1477"/>
      <c r="DB45" s="1477"/>
      <c r="DC45" s="1477"/>
      <c r="DD45" s="1477"/>
      <c r="DE45" s="1477"/>
      <c r="DF45" s="1477"/>
      <c r="DG45" s="1477"/>
      <c r="DH45" s="1477"/>
      <c r="DI45" s="1477"/>
      <c r="DJ45" s="1477"/>
      <c r="DK45" s="1477"/>
      <c r="DL45" s="1477"/>
      <c r="DM45" s="1477"/>
    </row>
    <row r="46" spans="1:118" s="358" customFormat="1" hidden="1" outlineLevel="1">
      <c r="A46" s="183" t="s">
        <v>96</v>
      </c>
      <c r="B46" s="167"/>
      <c r="C46" s="167"/>
      <c r="D46" s="167"/>
      <c r="E46" s="167"/>
      <c r="F46" s="167"/>
      <c r="G46" s="1091"/>
      <c r="H46" s="1082"/>
      <c r="I46" s="1092"/>
      <c r="J46" s="167"/>
      <c r="K46" s="167"/>
      <c r="L46" s="167"/>
      <c r="M46" s="1092"/>
      <c r="N46" s="1082"/>
      <c r="O46" s="176"/>
      <c r="P46" s="109"/>
      <c r="Q46" s="109"/>
      <c r="R46" s="109"/>
      <c r="S46" s="176"/>
      <c r="T46" s="1082"/>
      <c r="U46" s="176">
        <f t="shared" si="58"/>
        <v>-0.36523603267758664</v>
      </c>
      <c r="V46" s="109">
        <f t="shared" si="59"/>
        <v>-0.13671994836325727</v>
      </c>
      <c r="W46" s="109">
        <f t="shared" si="60"/>
        <v>2.9204659605243231E-2</v>
      </c>
      <c r="X46" s="109">
        <f t="shared" si="61"/>
        <v>0.18986352389387195</v>
      </c>
      <c r="Y46" s="176">
        <f t="shared" si="62"/>
        <v>-7.0721949385432206E-2</v>
      </c>
      <c r="Z46" s="1082"/>
      <c r="AA46" s="176">
        <f t="shared" si="63"/>
        <v>0.37359633344943693</v>
      </c>
      <c r="AB46" s="109">
        <f t="shared" si="64"/>
        <v>0.12091963696369641</v>
      </c>
      <c r="AC46" s="109">
        <f t="shared" si="65"/>
        <v>0.20988977072310408</v>
      </c>
      <c r="AD46" s="109">
        <f t="shared" si="66"/>
        <v>0.18919277241624743</v>
      </c>
      <c r="AE46" s="176">
        <f t="shared" si="67"/>
        <v>0.22339962838812122</v>
      </c>
      <c r="AF46" s="1082"/>
      <c r="AG46" s="176">
        <f t="shared" si="68"/>
        <v>0.27250333333333332</v>
      </c>
      <c r="AH46" s="109">
        <f t="shared" si="69"/>
        <v>0.15406666666666666</v>
      </c>
      <c r="AI46" s="109">
        <f t="shared" si="70"/>
        <v>0.15454666666666667</v>
      </c>
      <c r="AJ46" s="109">
        <f t="shared" si="71"/>
        <v>-1.569333333333333E-2</v>
      </c>
      <c r="AK46" s="176">
        <f t="shared" si="72"/>
        <v>0.14135583333333332</v>
      </c>
      <c r="AL46" s="1082"/>
      <c r="AM46" s="176">
        <f t="shared" si="73"/>
        <v>-5.7080000000000006E-2</v>
      </c>
      <c r="AN46" s="109">
        <f t="shared" si="74"/>
        <v>-9.000000000000008E-3</v>
      </c>
      <c r="AO46" s="109">
        <f t="shared" si="75"/>
        <v>0.02</v>
      </c>
      <c r="AP46" s="109">
        <f t="shared" si="76"/>
        <v>5.3333333333333337E-2</v>
      </c>
      <c r="AQ46" s="176">
        <f t="shared" si="77"/>
        <v>1.8133333333333378E-3</v>
      </c>
      <c r="AR46" s="1082"/>
      <c r="AS46" s="176">
        <f t="shared" si="78"/>
        <v>3.5580155323665777E-2</v>
      </c>
      <c r="AT46" s="109">
        <f t="shared" si="79"/>
        <v>3.9555759855682451E-2</v>
      </c>
      <c r="AU46" s="109">
        <f t="shared" si="80"/>
        <v>8.5373702310555327E-2</v>
      </c>
      <c r="AV46" s="109">
        <f t="shared" si="81"/>
        <v>0.22962637876529993</v>
      </c>
      <c r="AW46" s="176">
        <f t="shared" si="82"/>
        <v>9.7533999063800891E-2</v>
      </c>
      <c r="AX46" s="1082"/>
      <c r="AY46" s="176">
        <f t="shared" si="83"/>
        <v>0.13096682199033244</v>
      </c>
      <c r="AZ46" s="109">
        <f t="shared" si="84"/>
        <v>0.25705575985568246</v>
      </c>
      <c r="BA46" s="109">
        <f t="shared" si="85"/>
        <v>0.19335703564388868</v>
      </c>
      <c r="BB46" s="109">
        <f t="shared" si="86"/>
        <v>0.18739420035110063</v>
      </c>
      <c r="BC46" s="176">
        <f t="shared" si="87"/>
        <v>0.19719345446025105</v>
      </c>
      <c r="BD46" s="1082"/>
      <c r="BE46" s="176">
        <f t="shared" si="88"/>
        <v>0.18102173252753373</v>
      </c>
      <c r="BF46" s="109">
        <f t="shared" si="89"/>
        <v>0.18791526783126006</v>
      </c>
      <c r="BG46" s="109">
        <f t="shared" si="90"/>
        <v>0.1312607251097731</v>
      </c>
      <c r="BH46" s="109">
        <f t="shared" si="91"/>
        <v>0.1666194344890265</v>
      </c>
      <c r="BI46" s="176">
        <f t="shared" si="92"/>
        <v>0.17170428998939835</v>
      </c>
      <c r="BJ46" s="1082"/>
      <c r="BK46" s="176">
        <f t="shared" si="93"/>
        <v>0.11621794629564966</v>
      </c>
      <c r="BL46" s="109">
        <f t="shared" si="94"/>
        <v>0.10831278642127866</v>
      </c>
      <c r="BM46" s="109">
        <f t="shared" si="95"/>
        <v>7.227739177643977E-2</v>
      </c>
      <c r="BN46" s="109">
        <f t="shared" si="96"/>
        <v>0.12951827956989245</v>
      </c>
      <c r="BO46" s="176">
        <f t="shared" si="97"/>
        <v>0.10658160101581514</v>
      </c>
      <c r="BP46" s="1082"/>
      <c r="BQ46" s="176">
        <f t="shared" si="98"/>
        <v>0.13724954710144927</v>
      </c>
      <c r="BR46" s="109">
        <f t="shared" si="99"/>
        <v>0.13223085192335193</v>
      </c>
      <c r="BS46" s="109">
        <f t="shared" si="100"/>
        <v>9.5666666666666678E-2</v>
      </c>
      <c r="BT46" s="109">
        <f t="shared" si="101"/>
        <v>9.0666666666666673E-2</v>
      </c>
      <c r="BU46" s="176">
        <f t="shared" si="102"/>
        <v>0.11395343308953364</v>
      </c>
      <c r="BV46" s="1082"/>
      <c r="BW46" s="176">
        <f t="shared" si="103"/>
        <v>0.14833333333333334</v>
      </c>
      <c r="BX46" s="109">
        <f t="shared" si="104"/>
        <v>0.13666666666666669</v>
      </c>
      <c r="BY46" s="109">
        <f t="shared" si="105"/>
        <v>0.10333333333333335</v>
      </c>
      <c r="BZ46" s="109">
        <f t="shared" si="106"/>
        <v>8.8000000000000009E-2</v>
      </c>
      <c r="CA46" s="176">
        <f t="shared" si="107"/>
        <v>0.11908333333333335</v>
      </c>
      <c r="CB46" s="1082"/>
      <c r="CC46" s="176">
        <f t="shared" si="108"/>
        <v>0.13</v>
      </c>
      <c r="CD46" s="109">
        <f t="shared" si="109"/>
        <v>9.0000000000000011E-2</v>
      </c>
      <c r="CE46" s="109">
        <f t="shared" si="110"/>
        <v>0.10333333333333335</v>
      </c>
      <c r="CF46" s="109">
        <f t="shared" si="111"/>
        <v>3.7333333333333343E-2</v>
      </c>
      <c r="CG46" s="176">
        <f t="shared" si="112"/>
        <v>9.0166666666666673E-2</v>
      </c>
      <c r="CH46" s="1082"/>
      <c r="CI46" s="176">
        <f t="shared" si="113"/>
        <v>0.12</v>
      </c>
      <c r="CJ46" s="109">
        <f t="shared" si="114"/>
        <v>0.08</v>
      </c>
      <c r="CK46" s="109">
        <f t="shared" si="115"/>
        <v>0.10000000000000002</v>
      </c>
      <c r="CL46" s="109">
        <f t="shared" si="116"/>
        <v>3.2000000000000001E-2</v>
      </c>
      <c r="CM46" s="176">
        <f t="shared" si="117"/>
        <v>8.3000000000000018E-2</v>
      </c>
      <c r="CN46" s="68"/>
      <c r="CO46" s="1454" t="s">
        <v>465</v>
      </c>
      <c r="CP46" s="1451"/>
      <c r="CQ46" s="1451"/>
      <c r="CR46" s="1451"/>
      <c r="CS46" s="1451"/>
      <c r="CT46" s="1451"/>
      <c r="CU46" s="1451"/>
      <c r="CV46" s="1451"/>
      <c r="CW46" s="1451"/>
      <c r="CX46" s="1451">
        <f>+CX33+CT33</f>
        <v>3.9999999999999994E-2</v>
      </c>
      <c r="CY46" s="1451">
        <f t="shared" ref="CY46:DM46" si="118">+CY33+CU33</f>
        <v>0.09</v>
      </c>
      <c r="CZ46" s="1451">
        <f t="shared" si="118"/>
        <v>0.14000000000000001</v>
      </c>
      <c r="DA46" s="1451">
        <f t="shared" si="118"/>
        <v>0.2</v>
      </c>
      <c r="DB46" s="1451">
        <f t="shared" si="118"/>
        <v>0.14500000000000002</v>
      </c>
      <c r="DC46" s="1451">
        <f t="shared" si="118"/>
        <v>0.18</v>
      </c>
      <c r="DD46" s="1451">
        <f t="shared" si="118"/>
        <v>0.21000000000000002</v>
      </c>
      <c r="DE46" s="1451">
        <f t="shared" si="118"/>
        <v>0.17500000000000002</v>
      </c>
      <c r="DF46" s="1451">
        <f t="shared" si="118"/>
        <v>0.18</v>
      </c>
      <c r="DG46" s="1451">
        <f t="shared" si="118"/>
        <v>0.13</v>
      </c>
      <c r="DH46" s="1451">
        <f t="shared" si="118"/>
        <v>0.12000000000000001</v>
      </c>
      <c r="DI46" s="1451">
        <f t="shared" si="118"/>
        <v>6.5000000000000016E-2</v>
      </c>
      <c r="DJ46" s="1451">
        <f t="shared" si="118"/>
        <v>-5.5000000000000007E-2</v>
      </c>
      <c r="DK46" s="1451">
        <f t="shared" si="118"/>
        <v>3.9999999999999994E-2</v>
      </c>
      <c r="DL46" s="1451">
        <f t="shared" si="118"/>
        <v>1.5600000000000001E-2</v>
      </c>
      <c r="DM46" s="1451">
        <f t="shared" si="118"/>
        <v>0.08</v>
      </c>
    </row>
    <row r="47" spans="1:118" s="358" customFormat="1" hidden="1" outlineLevel="1">
      <c r="A47" s="183" t="s">
        <v>97</v>
      </c>
      <c r="B47" s="1420"/>
      <c r="C47" s="1084"/>
      <c r="D47" s="1084"/>
      <c r="E47" s="1084"/>
      <c r="F47" s="1084"/>
      <c r="G47" s="1093"/>
      <c r="H47" s="1082"/>
      <c r="I47" s="1094"/>
      <c r="J47" s="1084"/>
      <c r="K47" s="1084"/>
      <c r="L47" s="1084"/>
      <c r="M47" s="1094"/>
      <c r="N47" s="1082"/>
      <c r="O47" s="176"/>
      <c r="P47" s="109"/>
      <c r="Q47" s="109"/>
      <c r="R47" s="109"/>
      <c r="S47" s="176"/>
      <c r="T47" s="1082"/>
      <c r="U47" s="176">
        <f t="shared" si="58"/>
        <v>-0.56971786833855786</v>
      </c>
      <c r="V47" s="109">
        <f t="shared" si="59"/>
        <v>-0.21218421052631564</v>
      </c>
      <c r="W47" s="109">
        <f t="shared" si="60"/>
        <v>-3.7845528455284466E-2</v>
      </c>
      <c r="X47" s="109">
        <f t="shared" si="61"/>
        <v>0.12741895306216866</v>
      </c>
      <c r="Y47" s="176">
        <f t="shared" si="62"/>
        <v>-0.17308216356449732</v>
      </c>
      <c r="Z47" s="1082"/>
      <c r="AA47" s="176">
        <f t="shared" si="63"/>
        <v>-0.17517241379310333</v>
      </c>
      <c r="AB47" s="109">
        <f t="shared" si="64"/>
        <v>6.7500000000000074E-2</v>
      </c>
      <c r="AC47" s="109">
        <f t="shared" si="65"/>
        <v>0.12166666666666676</v>
      </c>
      <c r="AD47" s="109">
        <f t="shared" si="66"/>
        <v>0.25162947937795804</v>
      </c>
      <c r="AE47" s="176">
        <f t="shared" si="67"/>
        <v>6.6405933062880396E-2</v>
      </c>
      <c r="AF47" s="1082"/>
      <c r="AG47" s="176">
        <f t="shared" si="68"/>
        <v>-0.16</v>
      </c>
      <c r="AH47" s="109">
        <f t="shared" si="69"/>
        <v>0.04</v>
      </c>
      <c r="AI47" s="109">
        <f t="shared" si="70"/>
        <v>0.03</v>
      </c>
      <c r="AJ47" s="109">
        <f t="shared" si="71"/>
        <v>-3.9999999999999966E-3</v>
      </c>
      <c r="AK47" s="176">
        <f t="shared" si="72"/>
        <v>-2.35E-2</v>
      </c>
      <c r="AL47" s="1082"/>
      <c r="AM47" s="176">
        <f t="shared" si="73"/>
        <v>-0.18000000000000002</v>
      </c>
      <c r="AN47" s="109">
        <f t="shared" si="74"/>
        <v>-0.1</v>
      </c>
      <c r="AO47" s="109">
        <f t="shared" si="75"/>
        <v>-0.02</v>
      </c>
      <c r="AP47" s="109">
        <f t="shared" si="76"/>
        <v>5.6000000000000008E-2</v>
      </c>
      <c r="AQ47" s="176">
        <f t="shared" si="77"/>
        <v>-6.0999999999999999E-2</v>
      </c>
      <c r="AR47" s="1082"/>
      <c r="AS47" s="176">
        <f t="shared" si="78"/>
        <v>0.03</v>
      </c>
      <c r="AT47" s="109">
        <f t="shared" si="79"/>
        <v>-0.05</v>
      </c>
      <c r="AU47" s="109">
        <f t="shared" si="80"/>
        <v>7.0000000000000007E-2</v>
      </c>
      <c r="AV47" s="109">
        <f t="shared" si="81"/>
        <v>0.19</v>
      </c>
      <c r="AW47" s="176">
        <f t="shared" si="82"/>
        <v>6.0000000000000005E-2</v>
      </c>
      <c r="AX47" s="1082"/>
      <c r="AY47" s="176">
        <f t="shared" si="83"/>
        <v>0.1168</v>
      </c>
      <c r="AZ47" s="109">
        <f t="shared" si="84"/>
        <v>0.17549999999999999</v>
      </c>
      <c r="BA47" s="109">
        <f t="shared" si="85"/>
        <v>0.19395000000000001</v>
      </c>
      <c r="BB47" s="109">
        <f t="shared" si="86"/>
        <v>0.20800000000000002</v>
      </c>
      <c r="BC47" s="176">
        <f t="shared" si="87"/>
        <v>0.17856249999999999</v>
      </c>
      <c r="BD47" s="1082"/>
      <c r="BE47" s="176">
        <f t="shared" si="88"/>
        <v>0.1668</v>
      </c>
      <c r="BF47" s="109">
        <f t="shared" si="89"/>
        <v>0.1905</v>
      </c>
      <c r="BG47" s="109">
        <f t="shared" si="90"/>
        <v>0.14652899999999999</v>
      </c>
      <c r="BH47" s="109">
        <f t="shared" si="91"/>
        <v>0.23455483870967742</v>
      </c>
      <c r="BI47" s="176">
        <f t="shared" si="92"/>
        <v>0.18959595967741932</v>
      </c>
      <c r="BJ47" s="1082"/>
      <c r="BK47" s="176">
        <f t="shared" si="93"/>
        <v>0.12</v>
      </c>
      <c r="BL47" s="109">
        <f t="shared" si="94"/>
        <v>0.10500000000000001</v>
      </c>
      <c r="BM47" s="109">
        <f t="shared" si="95"/>
        <v>8.2579E-2</v>
      </c>
      <c r="BN47" s="109">
        <f t="shared" si="96"/>
        <v>0.1505548387096774</v>
      </c>
      <c r="BO47" s="176">
        <f t="shared" si="97"/>
        <v>0.11453345967741935</v>
      </c>
      <c r="BP47" s="1082"/>
      <c r="BQ47" s="176">
        <f t="shared" si="98"/>
        <v>0.14000000000000001</v>
      </c>
      <c r="BR47" s="109">
        <f t="shared" si="99"/>
        <v>0.13</v>
      </c>
      <c r="BS47" s="109">
        <f t="shared" si="100"/>
        <v>0.1</v>
      </c>
      <c r="BT47" s="109">
        <f t="shared" si="101"/>
        <v>0.10400000000000001</v>
      </c>
      <c r="BU47" s="176">
        <f t="shared" si="102"/>
        <v>0.11849999999999999</v>
      </c>
      <c r="BV47" s="1082"/>
      <c r="BW47" s="176">
        <f t="shared" si="103"/>
        <v>0.15000000000000002</v>
      </c>
      <c r="BX47" s="109">
        <f t="shared" si="104"/>
        <v>0.14000000000000001</v>
      </c>
      <c r="BY47" s="109">
        <f t="shared" si="105"/>
        <v>0.09</v>
      </c>
      <c r="BZ47" s="109">
        <f t="shared" si="106"/>
        <v>0.10400000000000001</v>
      </c>
      <c r="CA47" s="176">
        <f t="shared" si="107"/>
        <v>0.121</v>
      </c>
      <c r="CB47" s="1082"/>
      <c r="CC47" s="176">
        <f t="shared" si="108"/>
        <v>0.13</v>
      </c>
      <c r="CD47" s="109">
        <f t="shared" si="109"/>
        <v>0.09</v>
      </c>
      <c r="CE47" s="109">
        <f t="shared" si="110"/>
        <v>0.09</v>
      </c>
      <c r="CF47" s="109">
        <f t="shared" si="111"/>
        <v>6.8000000000000005E-2</v>
      </c>
      <c r="CG47" s="176">
        <f t="shared" si="112"/>
        <v>9.4500000000000001E-2</v>
      </c>
      <c r="CH47" s="1082"/>
      <c r="CI47" s="176">
        <f t="shared" si="113"/>
        <v>0.12</v>
      </c>
      <c r="CJ47" s="109">
        <f t="shared" si="114"/>
        <v>0.08</v>
      </c>
      <c r="CK47" s="109">
        <f t="shared" si="115"/>
        <v>0.1</v>
      </c>
      <c r="CL47" s="109">
        <f t="shared" si="116"/>
        <v>6.8000000000000005E-2</v>
      </c>
      <c r="CM47" s="176">
        <f t="shared" si="117"/>
        <v>9.2000000000000012E-2</v>
      </c>
      <c r="CN47" s="68"/>
      <c r="CO47" s="1474" t="s">
        <v>459</v>
      </c>
      <c r="CP47" s="1475"/>
      <c r="CQ47" s="1475"/>
      <c r="CR47" s="1475"/>
      <c r="CS47" s="1475"/>
      <c r="CT47" s="1475"/>
      <c r="CU47" s="1475"/>
      <c r="CV47" s="1475"/>
      <c r="CW47" s="1475"/>
      <c r="CX47" s="1475">
        <f>+CX34+CT34</f>
        <v>0.03</v>
      </c>
      <c r="CY47" s="1475">
        <f t="shared" ref="CY47:DM50" si="119">+CY34+CU34</f>
        <v>9.0000000000000011E-2</v>
      </c>
      <c r="CZ47" s="1475">
        <f t="shared" si="119"/>
        <v>0.08</v>
      </c>
      <c r="DA47" s="1475">
        <f t="shared" si="119"/>
        <v>0.15000000000000002</v>
      </c>
      <c r="DB47" s="1475">
        <f t="shared" si="119"/>
        <v>8.5000000000000006E-2</v>
      </c>
      <c r="DC47" s="1475">
        <f t="shared" si="119"/>
        <v>7.0000000000000007E-2</v>
      </c>
      <c r="DD47" s="1475">
        <f t="shared" si="119"/>
        <v>0.16</v>
      </c>
      <c r="DE47" s="1475">
        <f t="shared" si="119"/>
        <v>0.16500000000000001</v>
      </c>
      <c r="DF47" s="1475">
        <f t="shared" si="119"/>
        <v>0.09</v>
      </c>
      <c r="DG47" s="1475">
        <f t="shared" si="119"/>
        <v>0.16999999999999998</v>
      </c>
      <c r="DH47" s="1475">
        <f t="shared" si="119"/>
        <v>6.0000000000000005E-2</v>
      </c>
      <c r="DI47" s="1475">
        <f t="shared" si="119"/>
        <v>0.155</v>
      </c>
      <c r="DJ47" s="1475">
        <f t="shared" si="119"/>
        <v>0.11499999999999999</v>
      </c>
      <c r="DK47" s="1475">
        <f t="shared" si="119"/>
        <v>0.16999999999999998</v>
      </c>
      <c r="DL47" s="1475">
        <f t="shared" si="119"/>
        <v>0.12000000000000001</v>
      </c>
      <c r="DM47" s="1475">
        <f t="shared" si="119"/>
        <v>0.16</v>
      </c>
    </row>
    <row r="48" spans="1:118" s="358" customFormat="1" hidden="1" outlineLevel="1">
      <c r="A48" s="183" t="s">
        <v>98</v>
      </c>
      <c r="B48" s="1420"/>
      <c r="C48" s="1084"/>
      <c r="D48" s="1084"/>
      <c r="E48" s="1084"/>
      <c r="F48" s="1084"/>
      <c r="G48" s="1093"/>
      <c r="H48" s="1082"/>
      <c r="I48" s="1094"/>
      <c r="J48" s="1084"/>
      <c r="K48" s="1084"/>
      <c r="L48" s="1084"/>
      <c r="M48" s="1094"/>
      <c r="N48" s="1082"/>
      <c r="O48" s="176"/>
      <c r="P48" s="109"/>
      <c r="Q48" s="109"/>
      <c r="R48" s="109"/>
      <c r="S48" s="176"/>
      <c r="T48" s="1082"/>
      <c r="U48" s="176">
        <f t="shared" si="58"/>
        <v>-4.9420229694202233E-2</v>
      </c>
      <c r="V48" s="109">
        <f t="shared" si="59"/>
        <v>-3.0095634563456222E-2</v>
      </c>
      <c r="W48" s="109">
        <f t="shared" si="60"/>
        <v>0.26233950727101413</v>
      </c>
      <c r="X48" s="109">
        <f t="shared" si="61"/>
        <v>0.49930161861944722</v>
      </c>
      <c r="Y48" s="176">
        <f t="shared" si="62"/>
        <v>0.17053131540820071</v>
      </c>
      <c r="Z48" s="1082"/>
      <c r="AA48" s="176">
        <f t="shared" si="63"/>
        <v>0.65414141414141413</v>
      </c>
      <c r="AB48" s="109">
        <f t="shared" si="64"/>
        <v>0.18910891089108917</v>
      </c>
      <c r="AC48" s="109">
        <f t="shared" si="65"/>
        <v>0.1855026455026455</v>
      </c>
      <c r="AD48" s="109">
        <f t="shared" si="66"/>
        <v>0.29325883787078422</v>
      </c>
      <c r="AE48" s="176">
        <f t="shared" si="67"/>
        <v>0.33050295210148328</v>
      </c>
      <c r="AF48" s="1082"/>
      <c r="AG48" s="176">
        <f t="shared" si="68"/>
        <v>0.27999999999999997</v>
      </c>
      <c r="AH48" s="109">
        <f t="shared" si="69"/>
        <v>0.24</v>
      </c>
      <c r="AI48" s="109">
        <f t="shared" si="70"/>
        <v>9.9999999999999992E-2</v>
      </c>
      <c r="AJ48" s="109">
        <f t="shared" si="71"/>
        <v>6.6000000000000003E-2</v>
      </c>
      <c r="AK48" s="176">
        <f t="shared" si="72"/>
        <v>0.17149999999999999</v>
      </c>
      <c r="AL48" s="1082"/>
      <c r="AM48" s="176">
        <f t="shared" si="73"/>
        <v>2.5000000000000001E-2</v>
      </c>
      <c r="AN48" s="109">
        <f t="shared" si="74"/>
        <v>6.3E-2</v>
      </c>
      <c r="AO48" s="109">
        <f t="shared" si="75"/>
        <v>-0.03</v>
      </c>
      <c r="AP48" s="109">
        <f t="shared" si="76"/>
        <v>5.6000000000000008E-2</v>
      </c>
      <c r="AQ48" s="176">
        <f t="shared" si="77"/>
        <v>2.8500000000000004E-2</v>
      </c>
      <c r="AR48" s="1082"/>
      <c r="AS48" s="176">
        <f t="shared" si="78"/>
        <v>2.5000000000000001E-2</v>
      </c>
      <c r="AT48" s="109">
        <f t="shared" si="79"/>
        <v>-1.6999999999999987E-2</v>
      </c>
      <c r="AU48" s="109">
        <f t="shared" si="80"/>
        <v>7.0000000000000007E-2</v>
      </c>
      <c r="AV48" s="109">
        <f t="shared" si="81"/>
        <v>0.2</v>
      </c>
      <c r="AW48" s="176">
        <f t="shared" si="82"/>
        <v>6.9500000000000006E-2</v>
      </c>
      <c r="AX48" s="1082"/>
      <c r="AY48" s="176">
        <f t="shared" si="83"/>
        <v>5.7159999999999996E-2</v>
      </c>
      <c r="AZ48" s="109">
        <f t="shared" si="84"/>
        <v>0.19500000000000001</v>
      </c>
      <c r="BA48" s="109">
        <f t="shared" si="85"/>
        <v>0.17299999999999999</v>
      </c>
      <c r="BB48" s="109">
        <f t="shared" si="86"/>
        <v>0.13836999999999999</v>
      </c>
      <c r="BC48" s="176">
        <f t="shared" si="87"/>
        <v>0.1458825</v>
      </c>
      <c r="BD48" s="1082"/>
      <c r="BE48" s="176">
        <f t="shared" si="88"/>
        <v>0.12215999999999999</v>
      </c>
      <c r="BF48" s="109">
        <f t="shared" si="89"/>
        <v>0.1989128205128205</v>
      </c>
      <c r="BG48" s="109">
        <f t="shared" si="90"/>
        <v>0.123</v>
      </c>
      <c r="BH48" s="109">
        <f t="shared" si="91"/>
        <v>0.16837000000000002</v>
      </c>
      <c r="BI48" s="176">
        <f t="shared" si="92"/>
        <v>0.15811070512820513</v>
      </c>
      <c r="BJ48" s="1082"/>
      <c r="BK48" s="176">
        <f t="shared" si="93"/>
        <v>0.125</v>
      </c>
      <c r="BL48" s="109">
        <f t="shared" si="94"/>
        <v>0.12391282051282052</v>
      </c>
      <c r="BM48" s="109">
        <f t="shared" si="95"/>
        <v>0.08</v>
      </c>
      <c r="BN48" s="109">
        <f t="shared" si="96"/>
        <v>0.16400000000000001</v>
      </c>
      <c r="BO48" s="176">
        <f t="shared" si="97"/>
        <v>0.12322820512820513</v>
      </c>
      <c r="BP48" s="1082"/>
      <c r="BQ48" s="176">
        <f t="shared" si="98"/>
        <v>0.14000000000000001</v>
      </c>
      <c r="BR48" s="109">
        <f t="shared" si="99"/>
        <v>0.14000000000000001</v>
      </c>
      <c r="BS48" s="109">
        <f t="shared" si="100"/>
        <v>0.1</v>
      </c>
      <c r="BT48" s="109">
        <f t="shared" si="101"/>
        <v>0.10400000000000001</v>
      </c>
      <c r="BU48" s="176">
        <f t="shared" si="102"/>
        <v>0.121</v>
      </c>
      <c r="BV48" s="1082"/>
      <c r="BW48" s="176">
        <f t="shared" si="103"/>
        <v>0.15000000000000002</v>
      </c>
      <c r="BX48" s="109">
        <f t="shared" si="104"/>
        <v>0.14000000000000001</v>
      </c>
      <c r="BY48" s="109">
        <f t="shared" si="105"/>
        <v>0.11</v>
      </c>
      <c r="BZ48" s="109">
        <f t="shared" si="106"/>
        <v>0.11000000000000001</v>
      </c>
      <c r="CA48" s="176">
        <f t="shared" si="107"/>
        <v>0.1275</v>
      </c>
      <c r="CB48" s="1082"/>
      <c r="CC48" s="176">
        <f t="shared" si="108"/>
        <v>0.13</v>
      </c>
      <c r="CD48" s="109">
        <f t="shared" si="109"/>
        <v>0.09</v>
      </c>
      <c r="CE48" s="109">
        <f t="shared" si="110"/>
        <v>0.11</v>
      </c>
      <c r="CF48" s="109">
        <f t="shared" si="111"/>
        <v>7.400000000000001E-2</v>
      </c>
      <c r="CG48" s="176">
        <f t="shared" si="112"/>
        <v>0.10100000000000001</v>
      </c>
      <c r="CH48" s="1082"/>
      <c r="CI48" s="176">
        <f t="shared" si="113"/>
        <v>0.12</v>
      </c>
      <c r="CJ48" s="109">
        <f t="shared" si="114"/>
        <v>0.08</v>
      </c>
      <c r="CK48" s="109">
        <f t="shared" si="115"/>
        <v>0.1</v>
      </c>
      <c r="CL48" s="109">
        <f t="shared" si="116"/>
        <v>6.8000000000000005E-2</v>
      </c>
      <c r="CM48" s="176">
        <f t="shared" si="117"/>
        <v>9.2000000000000012E-2</v>
      </c>
      <c r="CN48" s="68"/>
      <c r="CO48" s="1454" t="s">
        <v>460</v>
      </c>
      <c r="CP48" s="1451"/>
      <c r="CQ48" s="1451"/>
      <c r="CR48" s="1451"/>
      <c r="CS48" s="1451"/>
      <c r="CT48" s="1451"/>
      <c r="CU48" s="1451"/>
      <c r="CV48" s="1451"/>
      <c r="CW48" s="1451"/>
      <c r="CX48" s="1451">
        <f>+CX35+CT35</f>
        <v>0.06</v>
      </c>
      <c r="CY48" s="1451">
        <f t="shared" si="119"/>
        <v>-1.9999999999999997E-2</v>
      </c>
      <c r="CZ48" s="1451">
        <f t="shared" si="119"/>
        <v>0.09</v>
      </c>
      <c r="DA48" s="1451">
        <f t="shared" si="119"/>
        <v>0.03</v>
      </c>
      <c r="DB48" s="1451">
        <f t="shared" si="119"/>
        <v>4.4999999999999998E-2</v>
      </c>
      <c r="DC48" s="1451">
        <f t="shared" si="119"/>
        <v>0.09</v>
      </c>
      <c r="DD48" s="1451">
        <f t="shared" si="119"/>
        <v>0.05</v>
      </c>
      <c r="DE48" s="1451">
        <f t="shared" si="119"/>
        <v>3.5000000000000003E-2</v>
      </c>
      <c r="DF48" s="1451">
        <f t="shared" si="119"/>
        <v>4.4999999999999998E-2</v>
      </c>
      <c r="DG48" s="1451">
        <f t="shared" si="119"/>
        <v>0.08</v>
      </c>
      <c r="DH48" s="1451">
        <f t="shared" si="119"/>
        <v>-0.01</v>
      </c>
      <c r="DI48" s="1451">
        <f t="shared" si="119"/>
        <v>9.5000000000000001E-2</v>
      </c>
      <c r="DJ48" s="1451">
        <f t="shared" si="119"/>
        <v>0</v>
      </c>
      <c r="DK48" s="1451">
        <f t="shared" si="119"/>
        <v>0.15</v>
      </c>
      <c r="DL48" s="1451">
        <f t="shared" si="119"/>
        <v>0.06</v>
      </c>
      <c r="DM48" s="1451">
        <f t="shared" si="119"/>
        <v>9.5000000000000001E-2</v>
      </c>
    </row>
    <row r="49" spans="1:118" s="358" customFormat="1" hidden="1" outlineLevel="1">
      <c r="A49" s="183" t="s">
        <v>99</v>
      </c>
      <c r="B49" s="1078"/>
      <c r="C49" s="1078"/>
      <c r="D49" s="1078"/>
      <c r="E49" s="1078"/>
      <c r="F49" s="1078"/>
      <c r="G49" s="1089"/>
      <c r="H49" s="1082"/>
      <c r="I49" s="1090"/>
      <c r="J49" s="1078"/>
      <c r="K49" s="1078"/>
      <c r="L49" s="1078"/>
      <c r="M49" s="1090"/>
      <c r="N49" s="1082"/>
      <c r="O49" s="176"/>
      <c r="P49" s="109"/>
      <c r="Q49" s="109"/>
      <c r="R49" s="109"/>
      <c r="S49" s="176"/>
      <c r="T49" s="1082"/>
      <c r="U49" s="176">
        <f t="shared" si="58"/>
        <v>-0.47656999999999994</v>
      </c>
      <c r="V49" s="109">
        <f t="shared" si="59"/>
        <v>-0.16788</v>
      </c>
      <c r="W49" s="109">
        <f t="shared" si="60"/>
        <v>-0.13688</v>
      </c>
      <c r="X49" s="109">
        <f t="shared" si="61"/>
        <v>-5.7130000000000014E-2</v>
      </c>
      <c r="Y49" s="176">
        <f t="shared" si="62"/>
        <v>-0.20961500000000002</v>
      </c>
      <c r="Z49" s="1082"/>
      <c r="AA49" s="176">
        <f t="shared" si="63"/>
        <v>0.64182000000000006</v>
      </c>
      <c r="AB49" s="109">
        <f t="shared" si="64"/>
        <v>0.10614999999999999</v>
      </c>
      <c r="AC49" s="109">
        <f t="shared" si="65"/>
        <v>0.32250000000000001</v>
      </c>
      <c r="AD49" s="109">
        <f t="shared" si="66"/>
        <v>2.2690000000000002E-2</v>
      </c>
      <c r="AE49" s="176">
        <f t="shared" si="67"/>
        <v>0.27329000000000003</v>
      </c>
      <c r="AF49" s="1082"/>
      <c r="AG49" s="176">
        <f t="shared" si="68"/>
        <v>0.69751000000000007</v>
      </c>
      <c r="AH49" s="109">
        <f t="shared" si="69"/>
        <v>0.1822</v>
      </c>
      <c r="AI49" s="109">
        <f t="shared" si="70"/>
        <v>0.33363999999999999</v>
      </c>
      <c r="AJ49" s="109">
        <f t="shared" si="71"/>
        <v>-0.10908</v>
      </c>
      <c r="AK49" s="176">
        <f t="shared" si="72"/>
        <v>0.27606750000000002</v>
      </c>
      <c r="AL49" s="1082"/>
      <c r="AM49" s="176">
        <f t="shared" si="73"/>
        <v>-1.6239999999999997E-2</v>
      </c>
      <c r="AN49" s="109">
        <f t="shared" si="74"/>
        <v>1.0000000000000009E-2</v>
      </c>
      <c r="AO49" s="109">
        <f t="shared" si="75"/>
        <v>0.11</v>
      </c>
      <c r="AP49" s="109">
        <f t="shared" si="76"/>
        <v>4.8000000000000001E-2</v>
      </c>
      <c r="AQ49" s="176">
        <f t="shared" si="77"/>
        <v>3.7940000000000002E-2</v>
      </c>
      <c r="AR49" s="1082"/>
      <c r="AS49" s="176">
        <f t="shared" si="78"/>
        <v>5.1740465970997324E-2</v>
      </c>
      <c r="AT49" s="109">
        <f t="shared" si="79"/>
        <v>0.1856672795670474</v>
      </c>
      <c r="AU49" s="109">
        <f t="shared" si="80"/>
        <v>0.11612110693166597</v>
      </c>
      <c r="AV49" s="109">
        <f t="shared" si="81"/>
        <v>0.29887913629589979</v>
      </c>
      <c r="AW49" s="176">
        <f t="shared" si="82"/>
        <v>0.16310199719140261</v>
      </c>
      <c r="AX49" s="1082"/>
      <c r="AY49" s="176">
        <f t="shared" si="83"/>
        <v>0.21894046597099728</v>
      </c>
      <c r="AZ49" s="109">
        <f t="shared" si="84"/>
        <v>0.4006672795670474</v>
      </c>
      <c r="BA49" s="109">
        <f t="shared" si="85"/>
        <v>0.21312110693166597</v>
      </c>
      <c r="BB49" s="109">
        <f t="shared" si="86"/>
        <v>0.21581260105330194</v>
      </c>
      <c r="BC49" s="176">
        <f t="shared" si="87"/>
        <v>0.26713536338075317</v>
      </c>
      <c r="BD49" s="1082"/>
      <c r="BE49" s="176">
        <f t="shared" si="88"/>
        <v>0.25410519758260119</v>
      </c>
      <c r="BF49" s="109">
        <f t="shared" si="89"/>
        <v>0.1743329829809597</v>
      </c>
      <c r="BG49" s="109">
        <f t="shared" si="90"/>
        <v>0.1242531753293193</v>
      </c>
      <c r="BH49" s="109">
        <f t="shared" si="91"/>
        <v>9.6933464757402138E-2</v>
      </c>
      <c r="BI49" s="176">
        <f t="shared" si="92"/>
        <v>0.16740620516257057</v>
      </c>
      <c r="BJ49" s="1082"/>
      <c r="BK49" s="176">
        <f t="shared" si="93"/>
        <v>0.10365383888694904</v>
      </c>
      <c r="BL49" s="109">
        <f t="shared" si="94"/>
        <v>9.602553875101548E-2</v>
      </c>
      <c r="BM49" s="109">
        <f t="shared" si="95"/>
        <v>5.4253175329319309E-2</v>
      </c>
      <c r="BN49" s="109">
        <f t="shared" si="96"/>
        <v>7.400000000000001E-2</v>
      </c>
      <c r="BO49" s="176">
        <f t="shared" si="97"/>
        <v>8.1983138241820963E-2</v>
      </c>
      <c r="BP49" s="1082"/>
      <c r="BQ49" s="176">
        <f t="shared" si="98"/>
        <v>0.13174864130434782</v>
      </c>
      <c r="BR49" s="109">
        <f t="shared" si="99"/>
        <v>0.12669255577005578</v>
      </c>
      <c r="BS49" s="109">
        <f t="shared" si="100"/>
        <v>8.6999999999999994E-2</v>
      </c>
      <c r="BT49" s="109">
        <f t="shared" si="101"/>
        <v>6.4000000000000001E-2</v>
      </c>
      <c r="BU49" s="176">
        <f t="shared" si="102"/>
        <v>0.10236029926860091</v>
      </c>
      <c r="BV49" s="1082"/>
      <c r="BW49" s="176">
        <f t="shared" si="103"/>
        <v>0.14500000000000002</v>
      </c>
      <c r="BX49" s="109">
        <f t="shared" si="104"/>
        <v>0.13</v>
      </c>
      <c r="BY49" s="109">
        <f t="shared" si="105"/>
        <v>0.11</v>
      </c>
      <c r="BZ49" s="109">
        <f t="shared" si="106"/>
        <v>4.9999999999999996E-2</v>
      </c>
      <c r="CA49" s="176">
        <f t="shared" si="107"/>
        <v>0.10875</v>
      </c>
      <c r="CB49" s="1082"/>
      <c r="CC49" s="176">
        <f t="shared" si="108"/>
        <v>0.13</v>
      </c>
      <c r="CD49" s="109">
        <f t="shared" si="109"/>
        <v>0.09</v>
      </c>
      <c r="CE49" s="109">
        <f t="shared" si="110"/>
        <v>0.11</v>
      </c>
      <c r="CF49" s="109">
        <f t="shared" si="111"/>
        <v>-0.03</v>
      </c>
      <c r="CG49" s="176">
        <f t="shared" si="112"/>
        <v>7.5000000000000011E-2</v>
      </c>
      <c r="CH49" s="1082"/>
      <c r="CI49" s="176">
        <f t="shared" si="113"/>
        <v>0.12</v>
      </c>
      <c r="CJ49" s="109">
        <f t="shared" si="114"/>
        <v>0.08</v>
      </c>
      <c r="CK49" s="109">
        <f t="shared" si="115"/>
        <v>0.1</v>
      </c>
      <c r="CL49" s="109">
        <f t="shared" si="116"/>
        <v>-0.04</v>
      </c>
      <c r="CM49" s="176">
        <f t="shared" si="117"/>
        <v>6.5000000000000016E-2</v>
      </c>
      <c r="CN49" s="68"/>
      <c r="CO49" s="1474" t="s">
        <v>13</v>
      </c>
      <c r="CP49" s="1475"/>
      <c r="CQ49" s="1475"/>
      <c r="CR49" s="1475"/>
      <c r="CS49" s="1475"/>
      <c r="CT49" s="1475"/>
      <c r="CU49" s="1475"/>
      <c r="CV49" s="1475"/>
      <c r="CW49" s="1475"/>
      <c r="CX49" s="1475">
        <f>+CX36+CT36</f>
        <v>0.10382479530684363</v>
      </c>
      <c r="CY49" s="1475">
        <f t="shared" si="119"/>
        <v>8.516879277681122E-2</v>
      </c>
      <c r="CZ49" s="1475">
        <f t="shared" si="119"/>
        <v>1.9440382108093512E-2</v>
      </c>
      <c r="DA49" s="1475">
        <f t="shared" si="119"/>
        <v>0.27791773074302617</v>
      </c>
      <c r="DB49" s="1475">
        <f t="shared" si="119"/>
        <v>0.16619615839783269</v>
      </c>
      <c r="DC49" s="1475">
        <f t="shared" si="119"/>
        <v>0.16315120077772227</v>
      </c>
      <c r="DD49" s="1475">
        <f t="shared" si="119"/>
        <v>0.15352354871167312</v>
      </c>
      <c r="DE49" s="1475">
        <f t="shared" si="119"/>
        <v>0.2207136299342739</v>
      </c>
      <c r="DF49" s="1475">
        <f t="shared" si="119"/>
        <v>0.30584395901056693</v>
      </c>
      <c r="DG49" s="1475">
        <f t="shared" si="119"/>
        <v>0.41460815418816688</v>
      </c>
      <c r="DH49" s="1475">
        <f t="shared" si="119"/>
        <v>0.38</v>
      </c>
      <c r="DI49" s="1475">
        <f t="shared" si="119"/>
        <v>0.28500000000000003</v>
      </c>
      <c r="DJ49" s="1475">
        <f t="shared" si="119"/>
        <v>0.32999999999999996</v>
      </c>
      <c r="DK49" s="1475">
        <f t="shared" si="119"/>
        <v>0.32</v>
      </c>
      <c r="DL49" s="1475">
        <f t="shared" si="119"/>
        <v>0.33999999999999997</v>
      </c>
      <c r="DM49" s="1475">
        <f t="shared" si="119"/>
        <v>0.30000000000000004</v>
      </c>
    </row>
    <row r="50" spans="1:118" s="358" customFormat="1" hidden="1" outlineLevel="1">
      <c r="A50" s="183" t="s">
        <v>224</v>
      </c>
      <c r="B50" s="1069"/>
      <c r="C50" s="1069"/>
      <c r="D50" s="1069"/>
      <c r="E50" s="1069"/>
      <c r="F50" s="1069"/>
      <c r="G50" s="1095"/>
      <c r="H50" s="1082"/>
      <c r="I50" s="1096"/>
      <c r="J50" s="1069"/>
      <c r="K50" s="1069"/>
      <c r="L50" s="1069"/>
      <c r="M50" s="1096"/>
      <c r="N50" s="1082"/>
      <c r="O50" s="176"/>
      <c r="P50" s="109"/>
      <c r="Q50" s="109"/>
      <c r="R50" s="109"/>
      <c r="S50" s="176"/>
      <c r="T50" s="1082"/>
      <c r="U50" s="176">
        <f t="shared" si="58"/>
        <v>4.5841309639091561E-2</v>
      </c>
      <c r="V50" s="109">
        <f t="shared" si="59"/>
        <v>1.9239257037949244E-2</v>
      </c>
      <c r="W50" s="109">
        <f t="shared" si="60"/>
        <v>0.14807663157425829</v>
      </c>
      <c r="X50" s="109">
        <f t="shared" si="61"/>
        <v>0.1151199564298333</v>
      </c>
      <c r="Y50" s="176">
        <f t="shared" si="62"/>
        <v>8.2069288670283097E-2</v>
      </c>
      <c r="Z50" s="1082"/>
      <c r="AA50" s="176">
        <f t="shared" si="63"/>
        <v>0.16393637257213284</v>
      </c>
      <c r="AB50" s="109">
        <f t="shared" si="64"/>
        <v>0.1974289253062001</v>
      </c>
      <c r="AC50" s="109">
        <f t="shared" si="65"/>
        <v>0.13045610462990956</v>
      </c>
      <c r="AD50" s="109">
        <f t="shared" si="66"/>
        <v>0.13864966321397598</v>
      </c>
      <c r="AE50" s="176">
        <f t="shared" si="67"/>
        <v>0.15761776643055461</v>
      </c>
      <c r="AF50" s="1082"/>
      <c r="AG50" s="176">
        <f t="shared" si="68"/>
        <v>0.12097175265683169</v>
      </c>
      <c r="AH50" s="109">
        <f t="shared" si="69"/>
        <v>0.11912854496740347</v>
      </c>
      <c r="AI50" s="109">
        <f t="shared" si="70"/>
        <v>8.4492480076649334E-2</v>
      </c>
      <c r="AJ50" s="109">
        <f t="shared" si="71"/>
        <v>0.116993434508867</v>
      </c>
      <c r="AK50" s="176">
        <f t="shared" si="72"/>
        <v>0.11039655305243787</v>
      </c>
      <c r="AL50" s="1082"/>
      <c r="AM50" s="176">
        <f t="shared" si="73"/>
        <v>6.8551483492576629E-2</v>
      </c>
      <c r="AN50" s="109">
        <f t="shared" si="74"/>
        <v>4.0709586420828739E-2</v>
      </c>
      <c r="AO50" s="109">
        <f t="shared" si="75"/>
        <v>0.10328837383361363</v>
      </c>
      <c r="AP50" s="109">
        <f t="shared" si="76"/>
        <v>0.16769669845647603</v>
      </c>
      <c r="AQ50" s="176">
        <f t="shared" si="77"/>
        <v>9.5061535550873766E-2</v>
      </c>
      <c r="AR50" s="1082"/>
      <c r="AS50" s="176">
        <f t="shared" si="78"/>
        <v>3.3555037232613855E-2</v>
      </c>
      <c r="AT50" s="109">
        <f t="shared" si="79"/>
        <v>7.5216669968541927E-2</v>
      </c>
      <c r="AU50" s="109">
        <f t="shared" si="80"/>
        <v>9.877099762610729E-2</v>
      </c>
      <c r="AV50" s="109">
        <f t="shared" si="81"/>
        <v>0.15519702705239075</v>
      </c>
      <c r="AW50" s="176">
        <f t="shared" si="82"/>
        <v>9.0684932969913451E-2</v>
      </c>
      <c r="AX50" s="1082"/>
      <c r="AY50" s="176">
        <f t="shared" si="83"/>
        <v>8.8383752016301526E-2</v>
      </c>
      <c r="AZ50" s="109">
        <f t="shared" si="84"/>
        <v>0.11565381284706983</v>
      </c>
      <c r="BA50" s="109">
        <f t="shared" si="85"/>
        <v>0.11046547468586591</v>
      </c>
      <c r="BB50" s="109">
        <f t="shared" si="86"/>
        <v>0.14214948428692684</v>
      </c>
      <c r="BC50" s="176">
        <f t="shared" si="87"/>
        <v>0.11916313095904103</v>
      </c>
      <c r="BD50" s="1082"/>
      <c r="BE50" s="176">
        <f t="shared" si="88"/>
        <v>0.17282382188030446</v>
      </c>
      <c r="BF50" s="109">
        <f t="shared" si="89"/>
        <v>0.20425409723018162</v>
      </c>
      <c r="BG50" s="109">
        <f t="shared" si="90"/>
        <v>0.15136583977027129</v>
      </c>
      <c r="BH50" s="109">
        <f t="shared" si="91"/>
        <v>0.17609146095698724</v>
      </c>
      <c r="BI50" s="176">
        <f t="shared" si="92"/>
        <v>0.18113380495943618</v>
      </c>
      <c r="BJ50" s="1082"/>
      <c r="BK50" s="176">
        <f t="shared" si="93"/>
        <v>0.14779305290771699</v>
      </c>
      <c r="BL50" s="109">
        <f t="shared" si="94"/>
        <v>0.17245614277169469</v>
      </c>
      <c r="BM50" s="109">
        <f t="shared" si="95"/>
        <v>0.16746075793504434</v>
      </c>
      <c r="BN50" s="109">
        <f t="shared" si="96"/>
        <v>0.18057788013036413</v>
      </c>
      <c r="BO50" s="176">
        <f t="shared" si="97"/>
        <v>0.16707195843620504</v>
      </c>
      <c r="BP50" s="1082"/>
      <c r="BQ50" s="176">
        <f t="shared" si="98"/>
        <v>0.18331754366006392</v>
      </c>
      <c r="BR50" s="109">
        <f t="shared" si="99"/>
        <v>0.20448286851145858</v>
      </c>
      <c r="BS50" s="109">
        <f t="shared" si="100"/>
        <v>0.18178933884006732</v>
      </c>
      <c r="BT50" s="109">
        <f t="shared" si="101"/>
        <v>0.17598532878342968</v>
      </c>
      <c r="BU50" s="176">
        <f t="shared" si="102"/>
        <v>0.18639376994875487</v>
      </c>
      <c r="BV50" s="1082"/>
      <c r="BW50" s="176">
        <f t="shared" si="103"/>
        <v>0.21126930113205244</v>
      </c>
      <c r="BX50" s="109">
        <f t="shared" si="104"/>
        <v>0.2311065539335504</v>
      </c>
      <c r="BY50" s="109">
        <f t="shared" si="105"/>
        <v>0.16758411021840658</v>
      </c>
      <c r="BZ50" s="109">
        <f t="shared" si="106"/>
        <v>0.17000000000000015</v>
      </c>
      <c r="CA50" s="176">
        <f t="shared" si="107"/>
        <v>0.19498999132100239</v>
      </c>
      <c r="CB50" s="1082"/>
      <c r="CC50" s="176">
        <f t="shared" si="108"/>
        <v>0.14511167010041981</v>
      </c>
      <c r="CD50" s="109">
        <f t="shared" si="109"/>
        <v>0.14000000000000012</v>
      </c>
      <c r="CE50" s="109">
        <f t="shared" si="110"/>
        <v>0.14000000000000012</v>
      </c>
      <c r="CF50" s="109">
        <f t="shared" si="111"/>
        <v>0.14000000000000012</v>
      </c>
      <c r="CG50" s="176">
        <f t="shared" si="112"/>
        <v>0.14127791752510505</v>
      </c>
      <c r="CH50" s="1082"/>
      <c r="CI50" s="176">
        <f t="shared" si="113"/>
        <v>0.12514715176138069</v>
      </c>
      <c r="CJ50" s="109">
        <f t="shared" si="114"/>
        <v>0.12000000000000011</v>
      </c>
      <c r="CK50" s="109">
        <f t="shared" si="115"/>
        <v>0.12000000000000011</v>
      </c>
      <c r="CL50" s="109">
        <f t="shared" si="116"/>
        <v>0.12000000000000011</v>
      </c>
      <c r="CM50" s="176">
        <f t="shared" si="117"/>
        <v>0.12128678794034525</v>
      </c>
      <c r="CN50" s="68"/>
      <c r="CO50" s="1454" t="s">
        <v>469</v>
      </c>
      <c r="CP50" s="1451"/>
      <c r="CQ50" s="1451"/>
      <c r="CR50" s="1451"/>
      <c r="CS50" s="1451"/>
      <c r="CT50" s="1451"/>
      <c r="CU50" s="1451"/>
      <c r="CV50" s="1451"/>
      <c r="CW50" s="1451"/>
      <c r="CX50" s="1451">
        <f>+CX37+CT37</f>
        <v>6.0000000000000005E-2</v>
      </c>
      <c r="CY50" s="1451">
        <f t="shared" si="119"/>
        <v>7.0000000000000007E-2</v>
      </c>
      <c r="CZ50" s="1451">
        <f t="shared" si="119"/>
        <v>0.11</v>
      </c>
      <c r="DA50" s="1451">
        <f t="shared" si="119"/>
        <v>0.22999999999999998</v>
      </c>
      <c r="DB50" s="1451">
        <f t="shared" si="119"/>
        <v>0.17500000000000002</v>
      </c>
      <c r="DC50" s="1451">
        <f t="shared" si="119"/>
        <v>0.3</v>
      </c>
      <c r="DD50" s="1451">
        <f t="shared" si="119"/>
        <v>0.19</v>
      </c>
      <c r="DE50" s="1451">
        <f t="shared" si="119"/>
        <v>0.255</v>
      </c>
      <c r="DF50" s="1451">
        <f t="shared" si="119"/>
        <v>0.27500000000000002</v>
      </c>
      <c r="DG50" s="1451">
        <f t="shared" si="119"/>
        <v>0.36</v>
      </c>
      <c r="DH50" s="1451">
        <f t="shared" si="119"/>
        <v>0.32</v>
      </c>
      <c r="DI50" s="1451">
        <f t="shared" si="119"/>
        <v>0.35499999999999998</v>
      </c>
      <c r="DJ50" s="1451">
        <f t="shared" si="119"/>
        <v>0.29249999999999998</v>
      </c>
      <c r="DK50" s="1451">
        <f t="shared" si="119"/>
        <v>0.21600000000000003</v>
      </c>
      <c r="DL50" s="1451">
        <f t="shared" si="119"/>
        <v>0.26</v>
      </c>
      <c r="DM50" s="1451">
        <f t="shared" si="119"/>
        <v>0.23199999999999998</v>
      </c>
    </row>
    <row r="51" spans="1:118" s="358" customFormat="1" hidden="1" outlineLevel="1">
      <c r="A51" s="183" t="s">
        <v>91</v>
      </c>
      <c r="B51" s="70"/>
      <c r="C51" s="70"/>
      <c r="D51" s="70"/>
      <c r="E51" s="70"/>
      <c r="F51" s="70"/>
      <c r="G51" s="1097"/>
      <c r="H51" s="1082"/>
      <c r="I51" s="1098"/>
      <c r="J51" s="70"/>
      <c r="K51" s="70"/>
      <c r="L51" s="70"/>
      <c r="M51" s="1098"/>
      <c r="N51" s="1082"/>
      <c r="O51" s="176"/>
      <c r="P51" s="109"/>
      <c r="Q51" s="109"/>
      <c r="R51" s="109"/>
      <c r="S51" s="176"/>
      <c r="T51" s="1082"/>
      <c r="U51" s="176">
        <f t="shared" si="58"/>
        <v>-0.13494720406358257</v>
      </c>
      <c r="V51" s="109">
        <f t="shared" si="59"/>
        <v>0.12623054345968843</v>
      </c>
      <c r="W51" s="109">
        <f t="shared" si="60"/>
        <v>7.3042593272825113E-2</v>
      </c>
      <c r="X51" s="109">
        <f t="shared" si="61"/>
        <v>6.6808052100693405E-2</v>
      </c>
      <c r="Y51" s="176">
        <f t="shared" si="62"/>
        <v>4.233452784200667E-2</v>
      </c>
      <c r="Z51" s="1082"/>
      <c r="AA51" s="176">
        <f t="shared" si="63"/>
        <v>0.18820280507481729</v>
      </c>
      <c r="AB51" s="109">
        <f t="shared" si="64"/>
        <v>0.41300953339883756</v>
      </c>
      <c r="AC51" s="109">
        <f t="shared" si="65"/>
        <v>0.40287361491605744</v>
      </c>
      <c r="AD51" s="109">
        <f t="shared" si="66"/>
        <v>0.30494216866933233</v>
      </c>
      <c r="AE51" s="176">
        <f t="shared" si="67"/>
        <v>0.33021327933196487</v>
      </c>
      <c r="AF51" s="1082"/>
      <c r="AG51" s="176">
        <f t="shared" si="68"/>
        <v>0.23490880310824908</v>
      </c>
      <c r="AH51" s="109">
        <f t="shared" si="69"/>
        <v>0.23021319120586264</v>
      </c>
      <c r="AI51" s="109">
        <f t="shared" si="70"/>
        <v>0.11984440323138347</v>
      </c>
      <c r="AJ51" s="109">
        <f t="shared" si="71"/>
        <v>0.24880894044702279</v>
      </c>
      <c r="AK51" s="176">
        <f t="shared" si="72"/>
        <v>0.21012635808179958</v>
      </c>
      <c r="AL51" s="1082"/>
      <c r="AM51" s="176">
        <f t="shared" si="73"/>
        <v>0.16</v>
      </c>
      <c r="AN51" s="109">
        <f t="shared" si="74"/>
        <v>0.08</v>
      </c>
      <c r="AO51" s="109">
        <f t="shared" si="75"/>
        <v>0.16</v>
      </c>
      <c r="AP51" s="109">
        <f t="shared" si="76"/>
        <v>0.23</v>
      </c>
      <c r="AQ51" s="176">
        <f t="shared" si="77"/>
        <v>0.16089332720125671</v>
      </c>
      <c r="AR51" s="1082"/>
      <c r="AS51" s="176">
        <f t="shared" si="78"/>
        <v>0.12</v>
      </c>
      <c r="AT51" s="109">
        <f t="shared" si="79"/>
        <v>0.13</v>
      </c>
      <c r="AU51" s="109">
        <f t="shared" si="80"/>
        <v>0.18</v>
      </c>
      <c r="AV51" s="109">
        <f t="shared" si="81"/>
        <v>0.11</v>
      </c>
      <c r="AW51" s="176">
        <f t="shared" si="82"/>
        <v>0.12681419277991599</v>
      </c>
      <c r="AX51" s="1082"/>
      <c r="AY51" s="176">
        <f t="shared" si="83"/>
        <v>0.16</v>
      </c>
      <c r="AZ51" s="109">
        <f t="shared" si="84"/>
        <v>0.08</v>
      </c>
      <c r="BA51" s="109">
        <f t="shared" si="85"/>
        <v>0.05</v>
      </c>
      <c r="BB51" s="109">
        <f t="shared" si="86"/>
        <v>0.13200000000000001</v>
      </c>
      <c r="BC51" s="176">
        <f t="shared" si="87"/>
        <v>0.10236068409140155</v>
      </c>
      <c r="BD51" s="1082"/>
      <c r="BE51" s="176">
        <f t="shared" si="88"/>
        <v>8.9006974129842542E-2</v>
      </c>
      <c r="BF51" s="109">
        <f t="shared" si="89"/>
        <v>2.9897421768707494E-2</v>
      </c>
      <c r="BG51" s="109">
        <f t="shared" si="90"/>
        <v>1.695E-2</v>
      </c>
      <c r="BH51" s="109">
        <f t="shared" si="91"/>
        <v>0.1480271186440677</v>
      </c>
      <c r="BI51" s="176">
        <f t="shared" si="92"/>
        <v>7.3980985472278105E-2</v>
      </c>
      <c r="BJ51" s="1082"/>
      <c r="BK51" s="176">
        <f t="shared" si="93"/>
        <v>9.4688055210923605E-2</v>
      </c>
      <c r="BL51" s="109">
        <f t="shared" si="94"/>
        <v>0.18582395426928583</v>
      </c>
      <c r="BM51" s="109">
        <f t="shared" si="95"/>
        <v>0.11695</v>
      </c>
      <c r="BN51" s="109">
        <f t="shared" si="96"/>
        <v>8.3340551479888586E-2</v>
      </c>
      <c r="BO51" s="176">
        <f t="shared" si="97"/>
        <v>0.11447525998807383</v>
      </c>
      <c r="BP51" s="1082"/>
      <c r="BQ51" s="176">
        <f t="shared" si="98"/>
        <v>0.15568108108108109</v>
      </c>
      <c r="BR51" s="109">
        <f t="shared" si="99"/>
        <v>0.14592653250057833</v>
      </c>
      <c r="BS51" s="109">
        <f t="shared" si="100"/>
        <v>0.18</v>
      </c>
      <c r="BT51" s="109">
        <f t="shared" si="101"/>
        <v>0.17731343283582088</v>
      </c>
      <c r="BU51" s="176">
        <f t="shared" si="102"/>
        <v>0.16596575977046282</v>
      </c>
      <c r="BV51" s="1082"/>
      <c r="BW51" s="176">
        <f t="shared" si="103"/>
        <v>0.13</v>
      </c>
      <c r="BX51" s="109">
        <f t="shared" si="104"/>
        <v>0.15000000000000002</v>
      </c>
      <c r="BY51" s="109">
        <f t="shared" si="105"/>
        <v>0.14000000000000001</v>
      </c>
      <c r="BZ51" s="109">
        <f t="shared" si="106"/>
        <v>0.14000000000000001</v>
      </c>
      <c r="CA51" s="176">
        <f t="shared" si="107"/>
        <v>0.14025794150839119</v>
      </c>
      <c r="CB51" s="1082"/>
      <c r="CC51" s="176">
        <f t="shared" si="108"/>
        <v>0.13</v>
      </c>
      <c r="CD51" s="109">
        <f t="shared" si="109"/>
        <v>0.13</v>
      </c>
      <c r="CE51" s="109">
        <f t="shared" si="110"/>
        <v>0.13</v>
      </c>
      <c r="CF51" s="109">
        <f t="shared" si="111"/>
        <v>0.13</v>
      </c>
      <c r="CG51" s="176">
        <f t="shared" si="112"/>
        <v>0.13</v>
      </c>
      <c r="CH51" s="1082"/>
      <c r="CI51" s="176">
        <f t="shared" si="113"/>
        <v>0.1</v>
      </c>
      <c r="CJ51" s="109">
        <f t="shared" si="114"/>
        <v>0.1</v>
      </c>
      <c r="CK51" s="109">
        <f t="shared" si="115"/>
        <v>0.1</v>
      </c>
      <c r="CL51" s="109">
        <f t="shared" si="116"/>
        <v>0.1</v>
      </c>
      <c r="CM51" s="176">
        <f t="shared" si="117"/>
        <v>0.1</v>
      </c>
      <c r="CN51" s="68"/>
      <c r="CO51" s="1476" t="s">
        <v>514</v>
      </c>
      <c r="CP51" s="1477"/>
      <c r="CQ51" s="1477"/>
      <c r="CR51" s="1477"/>
      <c r="CS51" s="1477"/>
      <c r="CT51" s="1477"/>
      <c r="CU51" s="1477"/>
      <c r="CV51" s="1477"/>
      <c r="CW51" s="1477"/>
      <c r="CX51" s="1477"/>
      <c r="CY51" s="1477"/>
      <c r="CZ51" s="1477"/>
      <c r="DA51" s="1477"/>
      <c r="DB51" s="1477"/>
      <c r="DC51" s="1477"/>
      <c r="DD51" s="1477"/>
      <c r="DE51" s="1477"/>
      <c r="DF51" s="1477"/>
      <c r="DG51" s="1477"/>
      <c r="DH51" s="1477"/>
      <c r="DI51" s="1477"/>
      <c r="DJ51" s="1477"/>
      <c r="DK51" s="1477"/>
      <c r="DL51" s="1477"/>
      <c r="DM51" s="1477"/>
    </row>
    <row r="52" spans="1:118" s="358" customFormat="1" hidden="1" outlineLevel="1">
      <c r="A52" s="184" t="s">
        <v>49</v>
      </c>
      <c r="B52" s="70"/>
      <c r="C52" s="70"/>
      <c r="D52" s="70"/>
      <c r="E52" s="70"/>
      <c r="F52" s="70"/>
      <c r="G52" s="1097"/>
      <c r="H52" s="1082"/>
      <c r="I52" s="1098"/>
      <c r="J52" s="70"/>
      <c r="K52" s="70"/>
      <c r="L52" s="70"/>
      <c r="M52" s="1098"/>
      <c r="N52" s="1082"/>
      <c r="O52" s="176"/>
      <c r="P52" s="109"/>
      <c r="Q52" s="109"/>
      <c r="R52" s="109"/>
      <c r="S52" s="176"/>
      <c r="T52" s="1082"/>
      <c r="U52" s="176">
        <f t="shared" si="58"/>
        <v>3.4080368815250964E-2</v>
      </c>
      <c r="V52" s="109">
        <f t="shared" si="59"/>
        <v>4.8654553602773695E-2</v>
      </c>
      <c r="W52" s="109">
        <f t="shared" si="60"/>
        <v>0.12537028052107144</v>
      </c>
      <c r="X52" s="109">
        <f t="shared" si="61"/>
        <v>0.12761445072867517</v>
      </c>
      <c r="Y52" s="176">
        <f t="shared" si="62"/>
        <v>8.3929913416942808E-2</v>
      </c>
      <c r="Z52" s="1082"/>
      <c r="AA52" s="176">
        <f t="shared" si="63"/>
        <v>0.10191646259071391</v>
      </c>
      <c r="AB52" s="109">
        <f t="shared" si="64"/>
        <v>0.13699949175319032</v>
      </c>
      <c r="AC52" s="109">
        <f t="shared" si="65"/>
        <v>0.13542195791299427</v>
      </c>
      <c r="AD52" s="109">
        <f t="shared" si="66"/>
        <v>0.1768057745235081</v>
      </c>
      <c r="AE52" s="176">
        <f t="shared" si="67"/>
        <v>0.13778592169510165</v>
      </c>
      <c r="AF52" s="1082"/>
      <c r="AG52" s="176">
        <f t="shared" si="68"/>
        <v>0.15261658297647651</v>
      </c>
      <c r="AH52" s="109">
        <f t="shared" si="69"/>
        <v>0.15257041298516086</v>
      </c>
      <c r="AI52" s="109">
        <f t="shared" si="70"/>
        <v>0.1564353190757839</v>
      </c>
      <c r="AJ52" s="109">
        <f t="shared" si="71"/>
        <v>0.17999549148582994</v>
      </c>
      <c r="AK52" s="176">
        <f t="shared" si="72"/>
        <v>0.16040445163081279</v>
      </c>
      <c r="AL52" s="1082"/>
      <c r="AM52" s="176">
        <f t="shared" si="73"/>
        <v>0.14009298804931619</v>
      </c>
      <c r="AN52" s="109">
        <f t="shared" si="74"/>
        <v>0.15089013171574045</v>
      </c>
      <c r="AO52" s="109">
        <f t="shared" si="75"/>
        <v>0.12343813341248895</v>
      </c>
      <c r="AP52" s="109">
        <f t="shared" si="76"/>
        <v>0.18662922110294342</v>
      </c>
      <c r="AQ52" s="176">
        <f t="shared" si="77"/>
        <v>0.15026261857012224</v>
      </c>
      <c r="AR52" s="1082"/>
      <c r="AS52" s="176">
        <f t="shared" si="78"/>
        <v>0.11431166951106084</v>
      </c>
      <c r="AT52" s="109">
        <f t="shared" si="79"/>
        <v>0.17011477912195705</v>
      </c>
      <c r="AU52" s="109">
        <f t="shared" si="80"/>
        <v>0.17135449294797134</v>
      </c>
      <c r="AV52" s="109">
        <f t="shared" si="81"/>
        <v>0.21063136275377942</v>
      </c>
      <c r="AW52" s="176">
        <f t="shared" si="82"/>
        <v>0.16660307608369215</v>
      </c>
      <c r="AX52" s="1082"/>
      <c r="AY52" s="176">
        <f t="shared" si="83"/>
        <v>0.18910524075760995</v>
      </c>
      <c r="AZ52" s="109">
        <f t="shared" si="84"/>
        <v>0.17386965381297598</v>
      </c>
      <c r="BA52" s="109">
        <f t="shared" si="85"/>
        <v>0.2118804094182517</v>
      </c>
      <c r="BB52" s="109">
        <f t="shared" si="86"/>
        <v>0.17654126209834892</v>
      </c>
      <c r="BC52" s="176">
        <f t="shared" si="87"/>
        <v>0.19284914152179664</v>
      </c>
      <c r="BD52" s="1082"/>
      <c r="BE52" s="176">
        <f t="shared" si="88"/>
        <v>0.19939047467091878</v>
      </c>
      <c r="BF52" s="109">
        <f t="shared" si="89"/>
        <v>0.1697279668472681</v>
      </c>
      <c r="BG52" s="109">
        <f t="shared" si="90"/>
        <v>0.16870640874292858</v>
      </c>
      <c r="BH52" s="109">
        <f t="shared" si="91"/>
        <v>0.15453781045751636</v>
      </c>
      <c r="BI52" s="176">
        <f t="shared" si="92"/>
        <v>0.17809066517965794</v>
      </c>
      <c r="BJ52" s="1082"/>
      <c r="BK52" s="176">
        <f t="shared" si="93"/>
        <v>0.12336944954255055</v>
      </c>
      <c r="BL52" s="109">
        <f t="shared" si="94"/>
        <v>0.14276737895506378</v>
      </c>
      <c r="BM52" s="109">
        <f t="shared" si="95"/>
        <v>0.14122257745709327</v>
      </c>
      <c r="BN52" s="109">
        <f t="shared" si="96"/>
        <v>0.18569281045751634</v>
      </c>
      <c r="BO52" s="176">
        <f t="shared" si="97"/>
        <v>0.14826305410305599</v>
      </c>
      <c r="BP52" s="1082"/>
      <c r="BQ52" s="176">
        <f t="shared" si="98"/>
        <v>0.15623333333333334</v>
      </c>
      <c r="BR52" s="109">
        <f t="shared" si="99"/>
        <v>0.14298340659340661</v>
      </c>
      <c r="BS52" s="109">
        <f t="shared" si="100"/>
        <v>0.13868257745709328</v>
      </c>
      <c r="BT52" s="109">
        <f t="shared" si="101"/>
        <v>0.15000000000000002</v>
      </c>
      <c r="BU52" s="176">
        <f t="shared" si="102"/>
        <v>0.14697482934595829</v>
      </c>
      <c r="BV52" s="1082"/>
      <c r="BW52" s="176">
        <f t="shared" si="103"/>
        <v>0.16999999999999998</v>
      </c>
      <c r="BX52" s="109">
        <f t="shared" si="104"/>
        <v>0.14500000000000002</v>
      </c>
      <c r="BY52" s="109">
        <f t="shared" si="105"/>
        <v>0.125</v>
      </c>
      <c r="BZ52" s="109">
        <f t="shared" si="106"/>
        <v>0.115</v>
      </c>
      <c r="CA52" s="176">
        <f t="shared" si="107"/>
        <v>0.13874999999999998</v>
      </c>
      <c r="CB52" s="1082"/>
      <c r="CC52" s="176">
        <f t="shared" si="108"/>
        <v>0.12</v>
      </c>
      <c r="CD52" s="109">
        <f t="shared" si="109"/>
        <v>0.12</v>
      </c>
      <c r="CE52" s="109">
        <f t="shared" si="110"/>
        <v>0.1</v>
      </c>
      <c r="CF52" s="109">
        <f t="shared" si="111"/>
        <v>0.1</v>
      </c>
      <c r="CG52" s="176">
        <f t="shared" si="112"/>
        <v>0.10999999999999999</v>
      </c>
      <c r="CH52" s="1082"/>
      <c r="CI52" s="176">
        <f t="shared" si="113"/>
        <v>0.12</v>
      </c>
      <c r="CJ52" s="109">
        <f t="shared" si="114"/>
        <v>0.12</v>
      </c>
      <c r="CK52" s="109">
        <f t="shared" si="115"/>
        <v>0.1</v>
      </c>
      <c r="CL52" s="109">
        <f t="shared" si="116"/>
        <v>0.1</v>
      </c>
      <c r="CM52" s="176">
        <f t="shared" si="117"/>
        <v>0.10999999999999999</v>
      </c>
      <c r="CN52" s="68"/>
      <c r="CO52" s="1454" t="s">
        <v>82</v>
      </c>
      <c r="CP52" s="1451"/>
      <c r="CQ52" s="1451"/>
      <c r="CR52" s="1451"/>
      <c r="CS52" s="1451"/>
      <c r="CT52" s="1451"/>
      <c r="CU52" s="1451"/>
      <c r="CV52" s="1451"/>
      <c r="CW52" s="1451"/>
      <c r="CX52" s="1451">
        <f t="shared" ref="CX52:DM54" si="120">+CX39+CT39</f>
        <v>7.0000000000000007E-2</v>
      </c>
      <c r="CY52" s="1451">
        <f t="shared" si="120"/>
        <v>0.13</v>
      </c>
      <c r="CZ52" s="1451">
        <f t="shared" si="120"/>
        <v>0.12</v>
      </c>
      <c r="DA52" s="1451">
        <f t="shared" si="120"/>
        <v>0.13</v>
      </c>
      <c r="DB52" s="1451">
        <f t="shared" si="120"/>
        <v>0.155</v>
      </c>
      <c r="DC52" s="1451">
        <f t="shared" si="120"/>
        <v>0.19</v>
      </c>
      <c r="DD52" s="1451">
        <f t="shared" si="120"/>
        <v>0.22</v>
      </c>
      <c r="DE52" s="1451">
        <f t="shared" si="120"/>
        <v>0.19500000000000001</v>
      </c>
      <c r="DF52" s="1451">
        <f t="shared" si="120"/>
        <v>0.23</v>
      </c>
      <c r="DG52" s="1451">
        <f t="shared" si="120"/>
        <v>0.22999999999999998</v>
      </c>
      <c r="DH52" s="1451">
        <f t="shared" si="120"/>
        <v>0.23</v>
      </c>
      <c r="DI52" s="1451">
        <f t="shared" si="120"/>
        <v>0.14499999999999999</v>
      </c>
      <c r="DJ52" s="1451">
        <f t="shared" si="120"/>
        <v>0.19500000000000001</v>
      </c>
      <c r="DK52" s="1451">
        <f t="shared" si="120"/>
        <v>0.16</v>
      </c>
      <c r="DL52" s="1451">
        <f t="shared" si="120"/>
        <v>0.19720000000000001</v>
      </c>
      <c r="DM52" s="1451">
        <f t="shared" si="120"/>
        <v>0.13</v>
      </c>
    </row>
    <row r="53" spans="1:118" s="358" customFormat="1" hidden="1" outlineLevel="1">
      <c r="A53" s="183" t="s">
        <v>77</v>
      </c>
      <c r="B53" s="70"/>
      <c r="C53" s="70"/>
      <c r="D53" s="70"/>
      <c r="E53" s="70"/>
      <c r="F53" s="70"/>
      <c r="G53" s="1097"/>
      <c r="H53" s="1082"/>
      <c r="I53" s="1098"/>
      <c r="J53" s="70"/>
      <c r="K53" s="70"/>
      <c r="L53" s="70"/>
      <c r="M53" s="1098"/>
      <c r="N53" s="1082"/>
      <c r="O53" s="176"/>
      <c r="P53" s="109"/>
      <c r="Q53" s="109"/>
      <c r="R53" s="109"/>
      <c r="S53" s="176"/>
      <c r="T53" s="1082"/>
      <c r="U53" s="176">
        <f t="shared" si="58"/>
        <v>0.18865237872406776</v>
      </c>
      <c r="V53" s="109">
        <f t="shared" si="59"/>
        <v>0.18197344208857413</v>
      </c>
      <c r="W53" s="109">
        <f t="shared" si="60"/>
        <v>0.15720628256230068</v>
      </c>
      <c r="X53" s="109">
        <f t="shared" si="61"/>
        <v>0.13653387132036277</v>
      </c>
      <c r="Y53" s="176">
        <f t="shared" si="62"/>
        <v>0.16609149367382633</v>
      </c>
      <c r="Z53" s="1082"/>
      <c r="AA53" s="176">
        <f t="shared" si="63"/>
        <v>0.19430764642700377</v>
      </c>
      <c r="AB53" s="109">
        <f t="shared" si="64"/>
        <v>0.24246144819347798</v>
      </c>
      <c r="AC53" s="109">
        <f t="shared" si="65"/>
        <v>4.3074725953373597E-2</v>
      </c>
      <c r="AD53" s="109">
        <f t="shared" si="66"/>
        <v>0.44934061417339</v>
      </c>
      <c r="AE53" s="176">
        <f t="shared" si="67"/>
        <v>0.23229610868681133</v>
      </c>
      <c r="AF53" s="1082"/>
      <c r="AG53" s="176">
        <f t="shared" si="68"/>
        <v>0.25862985333829536</v>
      </c>
      <c r="AH53" s="109">
        <f t="shared" si="69"/>
        <v>0.16861786769341205</v>
      </c>
      <c r="AI53" s="109">
        <f t="shared" si="70"/>
        <v>0.22383006481212386</v>
      </c>
      <c r="AJ53" s="109">
        <f t="shared" si="71"/>
        <v>0.32536361382919465</v>
      </c>
      <c r="AK53" s="176">
        <f t="shared" si="72"/>
        <v>0.24411034991825648</v>
      </c>
      <c r="AL53" s="1082"/>
      <c r="AM53" s="176">
        <f t="shared" si="73"/>
        <v>0.22785001154473322</v>
      </c>
      <c r="AN53" s="109">
        <f t="shared" si="74"/>
        <v>0.21985083163243474</v>
      </c>
      <c r="AO53" s="109">
        <f t="shared" si="75"/>
        <v>0.22113906403213462</v>
      </c>
      <c r="AP53" s="109">
        <f t="shared" si="76"/>
        <v>0.34706978029550384</v>
      </c>
      <c r="AQ53" s="176">
        <f t="shared" si="77"/>
        <v>0.25397742187620159</v>
      </c>
      <c r="AR53" s="1082"/>
      <c r="AS53" s="176">
        <f t="shared" si="78"/>
        <v>0.13800328320039254</v>
      </c>
      <c r="AT53" s="109">
        <f t="shared" si="79"/>
        <v>0.19630376700018237</v>
      </c>
      <c r="AU53" s="109">
        <f t="shared" si="80"/>
        <v>0.26278839188707348</v>
      </c>
      <c r="AV53" s="109">
        <f t="shared" si="81"/>
        <v>0.20948978573695926</v>
      </c>
      <c r="AW53" s="176">
        <f t="shared" si="82"/>
        <v>0.20164630695615188</v>
      </c>
      <c r="AX53" s="1082"/>
      <c r="AY53" s="176">
        <f t="shared" si="83"/>
        <v>0.17339452395768518</v>
      </c>
      <c r="AZ53" s="109">
        <f t="shared" si="84"/>
        <v>0.19483997655334123</v>
      </c>
      <c r="BA53" s="109">
        <f t="shared" si="85"/>
        <v>0.15479311815725857</v>
      </c>
      <c r="BB53" s="109">
        <f t="shared" si="86"/>
        <v>0.18368292423759458</v>
      </c>
      <c r="BC53" s="176">
        <f t="shared" si="87"/>
        <v>0.18167763572646989</v>
      </c>
      <c r="BD53" s="1082"/>
      <c r="BE53" s="176">
        <f t="shared" si="88"/>
        <v>0.21212489388359185</v>
      </c>
      <c r="BF53" s="109">
        <f t="shared" si="89"/>
        <v>0.17199999999999999</v>
      </c>
      <c r="BG53" s="109">
        <f t="shared" si="90"/>
        <v>0.10500000000000001</v>
      </c>
      <c r="BH53" s="109">
        <f t="shared" si="91"/>
        <v>0.23</v>
      </c>
      <c r="BI53" s="176">
        <f t="shared" si="92"/>
        <v>0.18478122347089798</v>
      </c>
      <c r="BJ53" s="1082"/>
      <c r="BK53" s="176">
        <f t="shared" si="93"/>
        <v>0.16212489388359186</v>
      </c>
      <c r="BL53" s="109">
        <f t="shared" si="94"/>
        <v>0.16299999999999998</v>
      </c>
      <c r="BM53" s="109">
        <f t="shared" si="95"/>
        <v>0.15500000000000003</v>
      </c>
      <c r="BN53" s="109">
        <f t="shared" si="96"/>
        <v>0.13755000000000001</v>
      </c>
      <c r="BO53" s="176">
        <f t="shared" si="97"/>
        <v>0.15441872347089797</v>
      </c>
      <c r="BP53" s="1082"/>
      <c r="BQ53" s="176">
        <f t="shared" si="98"/>
        <v>0.14000000000000001</v>
      </c>
      <c r="BR53" s="109">
        <f t="shared" si="99"/>
        <v>0.13600000000000001</v>
      </c>
      <c r="BS53" s="109">
        <f t="shared" si="100"/>
        <v>0.14500000000000002</v>
      </c>
      <c r="BT53" s="109">
        <f t="shared" si="101"/>
        <v>0.18254999999999999</v>
      </c>
      <c r="BU53" s="176">
        <f t="shared" si="102"/>
        <v>0.15088750000000001</v>
      </c>
      <c r="BV53" s="1082"/>
      <c r="BW53" s="176">
        <f t="shared" si="103"/>
        <v>0.13</v>
      </c>
      <c r="BX53" s="109">
        <f t="shared" si="104"/>
        <v>0.125</v>
      </c>
      <c r="BY53" s="109">
        <f t="shared" si="105"/>
        <v>0.125</v>
      </c>
      <c r="BZ53" s="109">
        <f t="shared" si="106"/>
        <v>0.13500000000000001</v>
      </c>
      <c r="CA53" s="176">
        <f t="shared" si="107"/>
        <v>0.12875</v>
      </c>
      <c r="CB53" s="1082"/>
      <c r="CC53" s="176">
        <f t="shared" si="108"/>
        <v>0.1</v>
      </c>
      <c r="CD53" s="109">
        <f t="shared" si="109"/>
        <v>0.1</v>
      </c>
      <c r="CE53" s="109">
        <f t="shared" si="110"/>
        <v>0.1</v>
      </c>
      <c r="CF53" s="109">
        <f t="shared" si="111"/>
        <v>0.1</v>
      </c>
      <c r="CG53" s="176">
        <f t="shared" si="112"/>
        <v>0.1</v>
      </c>
      <c r="CH53" s="1082"/>
      <c r="CI53" s="176">
        <f t="shared" si="113"/>
        <v>0.1</v>
      </c>
      <c r="CJ53" s="109">
        <f t="shared" si="114"/>
        <v>0.1</v>
      </c>
      <c r="CK53" s="109">
        <f t="shared" si="115"/>
        <v>0.1</v>
      </c>
      <c r="CL53" s="109">
        <f t="shared" si="116"/>
        <v>0.1</v>
      </c>
      <c r="CM53" s="176">
        <f t="shared" si="117"/>
        <v>0.1</v>
      </c>
      <c r="CN53" s="68"/>
      <c r="CO53" s="1474" t="s">
        <v>515</v>
      </c>
      <c r="CP53" s="1475"/>
      <c r="CQ53" s="1475"/>
      <c r="CR53" s="1475"/>
      <c r="CS53" s="1475"/>
      <c r="CT53" s="1475"/>
      <c r="CU53" s="1475"/>
      <c r="CV53" s="1475"/>
      <c r="CW53" s="1475"/>
      <c r="CX53" s="1475">
        <f t="shared" si="120"/>
        <v>0.02</v>
      </c>
      <c r="CY53" s="1475">
        <f t="shared" si="120"/>
        <v>0.1</v>
      </c>
      <c r="CZ53" s="1475">
        <f t="shared" si="120"/>
        <v>0.05</v>
      </c>
      <c r="DA53" s="1475">
        <f t="shared" si="120"/>
        <v>0.17</v>
      </c>
      <c r="DB53" s="1475">
        <f t="shared" si="120"/>
        <v>4.4999999999999998E-2</v>
      </c>
      <c r="DC53" s="1475">
        <f t="shared" si="120"/>
        <v>0.14000000000000001</v>
      </c>
      <c r="DD53" s="1475">
        <f t="shared" si="120"/>
        <v>9.9999999999999992E-2</v>
      </c>
      <c r="DE53" s="1475">
        <f t="shared" si="120"/>
        <v>3.5000000000000003E-2</v>
      </c>
      <c r="DF53" s="1475">
        <f t="shared" si="120"/>
        <v>7.0000000000000007E-2</v>
      </c>
      <c r="DG53" s="1475">
        <f t="shared" si="120"/>
        <v>0.16</v>
      </c>
      <c r="DH53" s="1475">
        <f t="shared" si="120"/>
        <v>0.16</v>
      </c>
      <c r="DI53" s="1475">
        <f t="shared" si="120"/>
        <v>0.19500000000000001</v>
      </c>
      <c r="DJ53" s="1475">
        <f t="shared" si="120"/>
        <v>0.105</v>
      </c>
      <c r="DK53" s="1475">
        <f t="shared" si="120"/>
        <v>0.14000000000000001</v>
      </c>
      <c r="DL53" s="1475">
        <f t="shared" si="120"/>
        <v>6.0000000000000005E-2</v>
      </c>
      <c r="DM53" s="1475">
        <f t="shared" si="120"/>
        <v>0.1467</v>
      </c>
    </row>
    <row r="54" spans="1:118" s="24" customFormat="1" hidden="1" outlineLevel="1">
      <c r="A54" s="175" t="s">
        <v>301</v>
      </c>
      <c r="B54" s="172"/>
      <c r="C54" s="172"/>
      <c r="D54" s="172"/>
      <c r="E54" s="172"/>
      <c r="F54" s="172"/>
      <c r="G54" s="177"/>
      <c r="H54" s="173"/>
      <c r="I54" s="175"/>
      <c r="J54" s="172"/>
      <c r="K54" s="172"/>
      <c r="L54" s="172"/>
      <c r="M54" s="175"/>
      <c r="N54" s="173"/>
      <c r="O54" s="170"/>
      <c r="P54" s="169"/>
      <c r="Q54" s="169"/>
      <c r="R54" s="169"/>
      <c r="S54" s="170"/>
      <c r="T54" s="173"/>
      <c r="U54" s="170">
        <f t="shared" si="58"/>
        <v>3.3316855769294912E-3</v>
      </c>
      <c r="V54" s="169">
        <f t="shared" si="59"/>
        <v>2.8311633610474798E-2</v>
      </c>
      <c r="W54" s="169">
        <f t="shared" si="60"/>
        <v>5.0438832548240775E-2</v>
      </c>
      <c r="X54" s="169">
        <f t="shared" si="61"/>
        <v>8.2761354533010881E-2</v>
      </c>
      <c r="Y54" s="170">
        <f t="shared" si="62"/>
        <v>4.1210876567163983E-2</v>
      </c>
      <c r="Z54" s="173"/>
      <c r="AA54" s="170">
        <f t="shared" si="63"/>
        <v>0.20694450341271603</v>
      </c>
      <c r="AB54" s="169">
        <f t="shared" si="64"/>
        <v>0.17243553159928698</v>
      </c>
      <c r="AC54" s="169">
        <f t="shared" si="65"/>
        <v>0.18579405369350677</v>
      </c>
      <c r="AD54" s="169">
        <f t="shared" si="66"/>
        <v>0.19587515556166046</v>
      </c>
      <c r="AE54" s="170">
        <f t="shared" si="67"/>
        <v>0.19026231106679256</v>
      </c>
      <c r="AF54" s="173"/>
      <c r="AG54" s="170">
        <f t="shared" si="68"/>
        <v>0.1462032761751243</v>
      </c>
      <c r="AH54" s="169">
        <f t="shared" si="69"/>
        <v>0.12023917567998513</v>
      </c>
      <c r="AI54" s="169">
        <f t="shared" si="70"/>
        <v>0.11031318894499187</v>
      </c>
      <c r="AJ54" s="169">
        <f t="shared" si="71"/>
        <v>8.9917752849575025E-2</v>
      </c>
      <c r="AK54" s="170">
        <f t="shared" si="72"/>
        <v>0.11623175963754874</v>
      </c>
      <c r="AL54" s="173"/>
      <c r="AM54" s="170">
        <f t="shared" si="73"/>
        <v>5.5788760916213723E-2</v>
      </c>
      <c r="AN54" s="169">
        <f t="shared" si="74"/>
        <v>5.4798849096349203E-2</v>
      </c>
      <c r="AO54" s="169">
        <f t="shared" si="75"/>
        <v>5.3287758598199078E-2</v>
      </c>
      <c r="AP54" s="169">
        <f t="shared" si="76"/>
        <v>0.11538309432983937</v>
      </c>
      <c r="AQ54" s="170">
        <f t="shared" si="77"/>
        <v>7.153257501480409E-2</v>
      </c>
      <c r="AR54" s="173"/>
      <c r="AS54" s="170">
        <f t="shared" si="78"/>
        <v>5.2893223630923941E-2</v>
      </c>
      <c r="AT54" s="169">
        <f t="shared" si="79"/>
        <v>6.9247312412275219E-2</v>
      </c>
      <c r="AU54" s="169">
        <f t="shared" si="80"/>
        <v>0.10475605183936976</v>
      </c>
      <c r="AV54" s="169">
        <f t="shared" si="81"/>
        <v>0.17629899858219494</v>
      </c>
      <c r="AW54" s="170">
        <f t="shared" si="82"/>
        <v>0.10281117971381006</v>
      </c>
      <c r="AX54" s="173"/>
      <c r="AY54" s="170">
        <f t="shared" si="83"/>
        <v>0.1098385794375811</v>
      </c>
      <c r="AZ54" s="169">
        <f t="shared" si="84"/>
        <v>0.12587805228657689</v>
      </c>
      <c r="BA54" s="169">
        <f t="shared" si="85"/>
        <v>0.1314191195448848</v>
      </c>
      <c r="BB54" s="169">
        <f t="shared" si="86"/>
        <v>0.15169629730885337</v>
      </c>
      <c r="BC54" s="170">
        <f t="shared" si="87"/>
        <v>0.12719583012601826</v>
      </c>
      <c r="BD54" s="173"/>
      <c r="BE54" s="170">
        <f t="shared" si="88"/>
        <v>0.16355564368057088</v>
      </c>
      <c r="BF54" s="169">
        <f t="shared" si="89"/>
        <v>0.15721771664526363</v>
      </c>
      <c r="BG54" s="169">
        <f t="shared" si="90"/>
        <v>0.11072803112348575</v>
      </c>
      <c r="BH54" s="169">
        <f t="shared" si="91"/>
        <v>0.16101637898470078</v>
      </c>
      <c r="BI54" s="170">
        <f t="shared" si="92"/>
        <v>0.14673135541353724</v>
      </c>
      <c r="BJ54" s="173"/>
      <c r="BK54" s="170">
        <f t="shared" si="93"/>
        <v>0.12192523512884017</v>
      </c>
      <c r="BL54" s="169">
        <f t="shared" si="94"/>
        <v>0.13178641435529626</v>
      </c>
      <c r="BM54" s="169">
        <f t="shared" si="95"/>
        <v>0.11875728195294102</v>
      </c>
      <c r="BN54" s="169">
        <f t="shared" si="96"/>
        <v>0.14491674872097285</v>
      </c>
      <c r="BO54" s="170">
        <f t="shared" si="97"/>
        <v>0.1319708568430123</v>
      </c>
      <c r="BP54" s="173"/>
      <c r="BQ54" s="170">
        <f t="shared" si="98"/>
        <v>0.13944634815641288</v>
      </c>
      <c r="BR54" s="169">
        <f t="shared" si="99"/>
        <v>0.12341236743188044</v>
      </c>
      <c r="BS54" s="169">
        <f t="shared" si="100"/>
        <v>0.13267306788826211</v>
      </c>
      <c r="BT54" s="169">
        <f t="shared" si="101"/>
        <v>0.12317374641856596</v>
      </c>
      <c r="BU54" s="170">
        <f t="shared" si="102"/>
        <v>0.13041117243192465</v>
      </c>
      <c r="BV54" s="173"/>
      <c r="BW54" s="170">
        <f t="shared" si="103"/>
        <v>0.13714640146241008</v>
      </c>
      <c r="BX54" s="169">
        <f t="shared" si="104"/>
        <v>0.13155792317789594</v>
      </c>
      <c r="BY54" s="169">
        <f t="shared" si="105"/>
        <v>0.11749230643648745</v>
      </c>
      <c r="BZ54" s="169">
        <f t="shared" si="106"/>
        <v>0.10935158520948896</v>
      </c>
      <c r="CA54" s="170">
        <f t="shared" si="107"/>
        <v>0.12234638440399802</v>
      </c>
      <c r="CB54" s="173"/>
      <c r="CC54" s="170">
        <f t="shared" si="108"/>
        <v>0.1231080592443059</v>
      </c>
      <c r="CD54" s="169">
        <f t="shared" si="109"/>
        <v>0.10917023573911111</v>
      </c>
      <c r="CE54" s="169">
        <f t="shared" si="110"/>
        <v>0.10508039621925858</v>
      </c>
      <c r="CF54" s="169">
        <f t="shared" si="111"/>
        <v>9.1607467683391786E-2</v>
      </c>
      <c r="CG54" s="170">
        <f t="shared" si="112"/>
        <v>0.10606776791084349</v>
      </c>
      <c r="CH54" s="173"/>
      <c r="CI54" s="170">
        <f t="shared" si="113"/>
        <v>0.11521601348169774</v>
      </c>
      <c r="CJ54" s="169">
        <f t="shared" si="114"/>
        <v>0.10128540214941095</v>
      </c>
      <c r="CK54" s="169">
        <f t="shared" si="115"/>
        <v>9.8452600255442668E-2</v>
      </c>
      <c r="CL54" s="169">
        <f t="shared" si="116"/>
        <v>8.5066488506998716E-2</v>
      </c>
      <c r="CM54" s="170">
        <f t="shared" si="117"/>
        <v>9.893966778092711E-2</v>
      </c>
      <c r="CN54" s="71"/>
      <c r="CO54" s="1454" t="s">
        <v>516</v>
      </c>
      <c r="CP54" s="1451"/>
      <c r="CQ54" s="1451"/>
      <c r="CR54" s="1451"/>
      <c r="CS54" s="1451"/>
      <c r="CT54" s="1451"/>
      <c r="CU54" s="1451"/>
      <c r="CV54" s="1451"/>
      <c r="CW54" s="1451"/>
      <c r="CX54" s="1451">
        <f t="shared" si="120"/>
        <v>0.06</v>
      </c>
      <c r="CY54" s="1451">
        <f t="shared" si="120"/>
        <v>-0.01</v>
      </c>
      <c r="CZ54" s="1451">
        <f t="shared" si="120"/>
        <v>0.06</v>
      </c>
      <c r="DA54" s="1451">
        <f t="shared" si="120"/>
        <v>0.16999999999999998</v>
      </c>
      <c r="DB54" s="1451">
        <f t="shared" si="120"/>
        <v>-5.000000000000001E-3</v>
      </c>
      <c r="DC54" s="1451">
        <f t="shared" si="120"/>
        <v>-0.02</v>
      </c>
      <c r="DD54" s="1451">
        <f t="shared" si="120"/>
        <v>0.03</v>
      </c>
      <c r="DE54" s="1451">
        <f t="shared" si="120"/>
        <v>4.5000000000000005E-2</v>
      </c>
      <c r="DF54" s="1451">
        <f t="shared" si="120"/>
        <v>1.9E-2</v>
      </c>
      <c r="DG54" s="1451">
        <f t="shared" si="120"/>
        <v>-0.05</v>
      </c>
      <c r="DH54" s="1451">
        <f t="shared" si="120"/>
        <v>-0.15</v>
      </c>
      <c r="DI54" s="1451">
        <f t="shared" si="120"/>
        <v>4.4999999999999998E-2</v>
      </c>
      <c r="DJ54" s="1451">
        <f t="shared" si="120"/>
        <v>-9.6000000000000002E-2</v>
      </c>
      <c r="DK54" s="1451">
        <f t="shared" si="120"/>
        <v>1.0000000000000002E-2</v>
      </c>
      <c r="DL54" s="1451">
        <f t="shared" si="120"/>
        <v>-1.999999999999999E-2</v>
      </c>
      <c r="DM54" s="1451">
        <f t="shared" si="120"/>
        <v>0.18</v>
      </c>
    </row>
    <row r="55" spans="1:118" s="97" customFormat="1" ht="12.75" customHeight="1" collapsed="1">
      <c r="A55" s="304"/>
      <c r="B55" s="149"/>
      <c r="DJ55" s="2015"/>
      <c r="DL55" s="2015"/>
    </row>
    <row r="56" spans="1:118" s="97" customFormat="1" ht="5.25" customHeight="1">
      <c r="A56" s="304"/>
      <c r="B56" s="149"/>
      <c r="H56" s="1099"/>
      <c r="N56" s="1099"/>
      <c r="T56" s="1099"/>
      <c r="Z56" s="1099"/>
      <c r="AA56" s="1099"/>
      <c r="AB56" s="1099"/>
      <c r="AC56" s="1099"/>
      <c r="AD56" s="1099"/>
      <c r="AE56" s="1099"/>
      <c r="AF56" s="1099"/>
      <c r="AG56" s="1099"/>
      <c r="AH56" s="1099"/>
      <c r="AI56" s="1099"/>
      <c r="AJ56" s="1099"/>
      <c r="AK56" s="1099"/>
      <c r="AL56" s="1099"/>
      <c r="AM56" s="1099"/>
      <c r="AN56" s="1099"/>
      <c r="AO56" s="1099"/>
      <c r="AP56" s="1099"/>
      <c r="AQ56" s="1099"/>
      <c r="AR56" s="1099"/>
      <c r="AS56" s="1099"/>
      <c r="AT56" s="1099"/>
      <c r="AU56" s="1099"/>
      <c r="AV56" s="1099"/>
      <c r="AW56" s="1099"/>
      <c r="AX56" s="1099"/>
      <c r="AY56" s="1099"/>
      <c r="AZ56" s="1099"/>
      <c r="BA56" s="1099"/>
      <c r="BB56" s="1099"/>
      <c r="BC56" s="1099"/>
      <c r="BD56" s="1099"/>
      <c r="BE56" s="1099"/>
      <c r="BF56" s="1099"/>
      <c r="BG56" s="1099"/>
      <c r="BH56" s="1099"/>
      <c r="BI56" s="1099"/>
      <c r="BJ56" s="1099"/>
      <c r="BK56" s="1099"/>
      <c r="BL56" s="1099"/>
      <c r="BM56" s="1099"/>
      <c r="BN56" s="1099"/>
      <c r="BO56" s="1099"/>
      <c r="BP56" s="1099"/>
      <c r="BQ56" s="1099"/>
      <c r="BR56" s="1099"/>
      <c r="BS56" s="1099"/>
      <c r="BT56" s="1099"/>
      <c r="BU56" s="1099"/>
      <c r="BV56" s="1099"/>
      <c r="BW56" s="1099"/>
      <c r="BX56" s="1099"/>
      <c r="BY56" s="1099"/>
      <c r="BZ56" s="1099"/>
      <c r="CA56" s="1099"/>
      <c r="CB56" s="1099"/>
      <c r="CC56" s="1099"/>
      <c r="CD56" s="1099"/>
      <c r="CE56" s="1099"/>
      <c r="CF56" s="1099"/>
      <c r="CG56" s="1099"/>
      <c r="CH56" s="1099"/>
      <c r="CI56" s="1099"/>
      <c r="CJ56" s="1099"/>
      <c r="CK56" s="1099"/>
      <c r="CL56" s="1099"/>
      <c r="CM56" s="1099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71"/>
      <c r="DJ56" s="71"/>
      <c r="DK56" s="71"/>
      <c r="DL56" s="71"/>
      <c r="DM56" s="71"/>
    </row>
    <row r="57" spans="1:118" s="42" customFormat="1" hidden="1" outlineLevel="1">
      <c r="A57" s="154" t="s">
        <v>23</v>
      </c>
      <c r="B57" s="152"/>
      <c r="C57" s="152"/>
      <c r="D57" s="152"/>
      <c r="E57" s="152"/>
      <c r="F57" s="152"/>
      <c r="G57" s="152"/>
      <c r="H57" s="155"/>
      <c r="I57" s="152"/>
      <c r="J57" s="152"/>
      <c r="K57" s="152"/>
      <c r="L57" s="152"/>
      <c r="M57" s="152"/>
      <c r="N57" s="155"/>
      <c r="O57" s="152"/>
      <c r="P57" s="152"/>
      <c r="Q57" s="152"/>
      <c r="R57" s="152"/>
      <c r="S57" s="152"/>
      <c r="T57" s="155"/>
      <c r="U57" s="152"/>
      <c r="V57" s="153"/>
      <c r="W57" s="153"/>
      <c r="X57" s="153"/>
      <c r="Y57" s="153"/>
      <c r="Z57" s="155"/>
      <c r="AA57" s="153"/>
      <c r="AB57" s="157"/>
      <c r="AC57" s="157"/>
      <c r="AD57" s="152"/>
      <c r="AE57" s="152"/>
      <c r="AF57" s="155"/>
      <c r="AG57" s="153"/>
      <c r="AH57" s="153"/>
      <c r="AI57" s="153"/>
      <c r="AJ57" s="153"/>
      <c r="AK57" s="155"/>
      <c r="AL57" s="155"/>
      <c r="AM57" s="153"/>
      <c r="AN57" s="153"/>
      <c r="AO57" s="153"/>
      <c r="AP57" s="153"/>
      <c r="AQ57" s="155"/>
      <c r="AR57" s="155"/>
      <c r="AS57" s="153"/>
      <c r="AT57" s="153"/>
      <c r="AU57" s="153"/>
      <c r="AV57" s="153"/>
      <c r="AW57" s="155"/>
      <c r="AX57" s="155"/>
      <c r="AY57" s="153"/>
      <c r="AZ57" s="153"/>
      <c r="BA57" s="153"/>
      <c r="BB57" s="153"/>
      <c r="BC57" s="155"/>
      <c r="BD57" s="155"/>
      <c r="BE57" s="153"/>
      <c r="BF57" s="153"/>
      <c r="BG57" s="153"/>
      <c r="BH57" s="153"/>
      <c r="BI57" s="155"/>
      <c r="BJ57" s="155"/>
      <c r="BK57" s="153"/>
      <c r="BL57" s="153"/>
      <c r="BM57" s="153"/>
      <c r="BN57" s="153"/>
      <c r="BO57" s="155"/>
      <c r="BP57" s="155"/>
      <c r="BQ57" s="153"/>
      <c r="BR57" s="153"/>
      <c r="BS57" s="153"/>
      <c r="BT57" s="153"/>
      <c r="BU57" s="155"/>
      <c r="BV57" s="155"/>
      <c r="BW57" s="153"/>
      <c r="BX57" s="153"/>
      <c r="BY57" s="153"/>
      <c r="BZ57" s="153"/>
      <c r="CA57" s="155"/>
      <c r="CB57" s="155"/>
      <c r="CC57" s="153"/>
      <c r="CD57" s="153"/>
      <c r="CE57" s="153"/>
      <c r="CF57" s="153"/>
      <c r="CG57" s="155"/>
      <c r="CH57" s="155"/>
      <c r="CI57" s="153"/>
      <c r="CJ57" s="153"/>
      <c r="CK57" s="153"/>
      <c r="CL57" s="153"/>
      <c r="CM57" s="155"/>
      <c r="CO57" s="339"/>
      <c r="CP57" s="339"/>
      <c r="CQ57" s="339"/>
      <c r="CR57" s="339"/>
      <c r="CS57" s="339"/>
      <c r="CT57" s="339"/>
      <c r="CU57" s="339"/>
      <c r="CV57" s="339"/>
      <c r="CW57" s="339"/>
      <c r="CX57" s="339"/>
      <c r="CY57" s="339"/>
      <c r="CZ57" s="339"/>
      <c r="DA57" s="339"/>
      <c r="DB57" s="339"/>
      <c r="DC57" s="339"/>
      <c r="DD57" s="339"/>
      <c r="DE57" s="339"/>
      <c r="DF57" s="339"/>
      <c r="DG57" s="339"/>
      <c r="DH57" s="339"/>
      <c r="DI57" s="339"/>
      <c r="DJ57" s="2015"/>
      <c r="DK57" s="339"/>
      <c r="DL57" s="2015"/>
      <c r="DM57" s="339"/>
      <c r="DN57" s="71"/>
    </row>
    <row r="58" spans="1:118" s="339" customFormat="1" hidden="1" outlineLevel="1">
      <c r="A58" s="1300" t="s">
        <v>467</v>
      </c>
      <c r="B58" s="1319"/>
      <c r="C58" s="1320"/>
      <c r="D58" s="1320"/>
      <c r="E58" s="1320"/>
      <c r="F58" s="1320"/>
      <c r="G58" s="1321"/>
      <c r="H58" s="1322"/>
      <c r="I58" s="1323">
        <f>RevBuild!C133*OrgRev!I7</f>
        <v>17.712240000000033</v>
      </c>
      <c r="J58" s="1320">
        <f>RevBuild!D133*OrgRev!J7</f>
        <v>20.666159999999945</v>
      </c>
      <c r="K58" s="1320">
        <f>RevBuild!E133*OrgRev!K7</f>
        <v>18.446020000000015</v>
      </c>
      <c r="L58" s="1320">
        <f>RevBuild!F133*OrgRev!L7</f>
        <v>-0.84575999999996787</v>
      </c>
      <c r="M58" s="1323">
        <f>RevBuild!G133*OrgRev!M7</f>
        <v>50.843995000000227</v>
      </c>
      <c r="N58" s="1322"/>
      <c r="O58" s="1323">
        <f>RevBuild!I133*OrgRev!O7</f>
        <v>-18.836600000000072</v>
      </c>
      <c r="P58" s="1320">
        <f>RevBuild!J133*OrgRev!P7</f>
        <v>-12.120549999999993</v>
      </c>
      <c r="Q58" s="1320">
        <f>RevBuild!K133*OrgRev!Q7</f>
        <v>-1.5340300000000338</v>
      </c>
      <c r="R58" s="1320">
        <f>RevBuild!L133*OrgRev!R7</f>
        <v>-2.3564799999998338</v>
      </c>
      <c r="S58" s="1323">
        <f>RevBuild!M133*OrgRev!S7</f>
        <v>-33.596745000000006</v>
      </c>
      <c r="T58" s="1322"/>
      <c r="U58" s="1323">
        <f>RevBuild!O133*OrgRev!U7</f>
        <v>19.210840000000097</v>
      </c>
      <c r="V58" s="1320">
        <f>RevBuild!P133*OrgRev!V7</f>
        <v>23.024720000000006</v>
      </c>
      <c r="W58" s="1320">
        <f>RevBuild!Q133*OrgRev!W7</f>
        <v>26.685440000000007</v>
      </c>
      <c r="X58" s="1320">
        <f>RevBuild!R133*OrgRev!X7</f>
        <v>45.606479999999877</v>
      </c>
      <c r="Y58" s="1323">
        <f>RevBuild!S133*OrgRev!Y7</f>
        <v>113.47037500000012</v>
      </c>
      <c r="Z58" s="1322"/>
      <c r="AA58" s="1323">
        <f>RevBuild!U133*OrgRev!AA7</f>
        <v>47.781939999999956</v>
      </c>
      <c r="AB58" s="1320">
        <f>RevBuild!V133*OrgRev!AB7</f>
        <v>29.282540000000029</v>
      </c>
      <c r="AC58" s="1320">
        <f>RevBuild!W133*OrgRev!AC7</f>
        <v>32.627000000000024</v>
      </c>
      <c r="AD58" s="1320">
        <f>RevBuild!X133*OrgRev!AD7</f>
        <v>28.399999999999952</v>
      </c>
      <c r="AE58" s="1323">
        <f>RevBuild!Y133*OrgRev!AE7</f>
        <v>135.93446999999969</v>
      </c>
      <c r="AF58" s="1322"/>
      <c r="AG58" s="1323">
        <f>RevBuild!AA133*OrgRev!AG7</f>
        <v>-3.6962000000000179</v>
      </c>
      <c r="AH58" s="1320">
        <f>RevBuild!AB133*OrgRev!AH7</f>
        <v>11.917729999999972</v>
      </c>
      <c r="AI58" s="1320">
        <f>RevBuild!AC133*OrgRev!AI7</f>
        <v>8.2403900000000014</v>
      </c>
      <c r="AJ58" s="1320">
        <f>RevBuild!AD133*OrgRev!AJ7</f>
        <v>3.1025480000000387</v>
      </c>
      <c r="AK58" s="1323">
        <f>RevBuild!AE133*OrgRev!AK7</f>
        <v>20.039511000000083</v>
      </c>
      <c r="AL58" s="1322"/>
      <c r="AM58" s="1323">
        <f>RevBuild!AG133*OrgRev!AM7</f>
        <v>19.371529999999979</v>
      </c>
      <c r="AN58" s="1320">
        <f>RevBuild!AH133*OrgRev!AN7</f>
        <v>9.6968200000000415</v>
      </c>
      <c r="AO58" s="1320">
        <f>RevBuild!AI133*OrgRev!AO7</f>
        <v>8.6784599999999763</v>
      </c>
      <c r="AP58" s="1320">
        <f>RevBuild!AJ133*OrgRev!AP7</f>
        <v>43.042840000000027</v>
      </c>
      <c r="AQ58" s="1323">
        <f>RevBuild!AK133*OrgRev!AQ7</f>
        <v>81.138782499999778</v>
      </c>
      <c r="AR58" s="1322"/>
      <c r="AS58" s="1323">
        <f>RevBuild!AM133*OrgRev!AS7</f>
        <v>2.1840000000000721</v>
      </c>
      <c r="AT58" s="1320">
        <f>RevBuild!AN133*OrgRev!AT7</f>
        <v>22.440575999999957</v>
      </c>
      <c r="AU58" s="1320">
        <f>RevBuild!AO133*OrgRev!AU7</f>
        <v>34.303000000000047</v>
      </c>
      <c r="AV58" s="1320">
        <f>RevBuild!AP133*OrgRev!AV7</f>
        <v>49.02840000000009</v>
      </c>
      <c r="AW58" s="1323">
        <f>RevBuild!AQ133*OrgRev!AW7</f>
        <v>103.39473978793002</v>
      </c>
      <c r="AX58" s="1322"/>
      <c r="AY58" s="1323">
        <f>RevBuild!AS133*OrgRev!AY7</f>
        <v>43.321404999999956</v>
      </c>
      <c r="AZ58" s="1320">
        <f>RevBuild!AT133*OrgRev!AZ7</f>
        <v>35.250460614519049</v>
      </c>
      <c r="BA58" s="1320">
        <f>RevBuild!AU133*OrgRev!BA7</f>
        <v>31.572739418468281</v>
      </c>
      <c r="BB58" s="1320">
        <f>RevBuild!AV133*OrgRev!BB7</f>
        <v>32.500144783968778</v>
      </c>
      <c r="BC58" s="1323">
        <f>RevBuild!AW133*OrgRev!BC7</f>
        <v>145.79076353501341</v>
      </c>
      <c r="BD58" s="1322"/>
      <c r="BE58" s="1323">
        <f>RevBuild!AY133*OrgRev!BE7</f>
        <v>21.438228443269075</v>
      </c>
      <c r="BF58" s="1320">
        <f>RevBuild!AZ133*OrgRev!BF7</f>
        <v>36.204023729635779</v>
      </c>
      <c r="BG58" s="1320">
        <f>RevBuild!BA133*OrgRev!BG7</f>
        <v>24.114083597361393</v>
      </c>
      <c r="BH58" s="1320">
        <f>RevBuild!BB133*OrgRev!BH7</f>
        <v>55.020860000000042</v>
      </c>
      <c r="BI58" s="1323">
        <f>RevBuild!BC133*OrgRev!BI7</f>
        <v>136.31006329986423</v>
      </c>
      <c r="BJ58" s="1322"/>
      <c r="BK58" s="1323">
        <f>RevBuild!BE133*OrgRev!BK7</f>
        <v>23.474929999999958</v>
      </c>
      <c r="BL58" s="1320">
        <f>RevBuild!BF133*OrgRev!BL7</f>
        <v>23.836309999999958</v>
      </c>
      <c r="BM58" s="1320">
        <f>RevBuild!BG133*OrgRev!BM7</f>
        <v>28.281870000000005</v>
      </c>
      <c r="BN58" s="1320">
        <f>RevBuild!BH133*OrgRev!BN7</f>
        <v>31.600220000000007</v>
      </c>
      <c r="BO58" s="1323">
        <f>RevBuild!BI133*OrgRev!BO7</f>
        <v>109.85968499999981</v>
      </c>
      <c r="BP58" s="1322"/>
      <c r="BQ58" s="1323">
        <f>RevBuild!BK133*OrgRev!BQ7</f>
        <v>30.618389565784206</v>
      </c>
      <c r="BR58" s="1320">
        <f>RevBuild!BL133*OrgRev!BR7</f>
        <v>36.348608426566884</v>
      </c>
      <c r="BS58" s="1320">
        <f>RevBuild!BM133*OrgRev!BS7</f>
        <v>30.205456031337611</v>
      </c>
      <c r="BT58" s="1320">
        <f>RevBuild!BN133*OrgRev!BT7</f>
        <v>33.732964188816588</v>
      </c>
      <c r="BU58" s="1323">
        <f>RevBuild!BO133*OrgRev!BU7</f>
        <v>129.76129971250538</v>
      </c>
      <c r="BV58" s="1322"/>
      <c r="BW58" s="1323">
        <f>RevBuild!BQ133*OrgRev!BW7</f>
        <v>31.331644947893196</v>
      </c>
      <c r="BX58" s="1320">
        <f>RevBuild!BR133*OrgRev!BX7</f>
        <v>30.889389140401633</v>
      </c>
      <c r="BY58" s="1320">
        <f>RevBuild!BS133*OrgRev!BY7</f>
        <v>28.871768493492773</v>
      </c>
      <c r="BZ58" s="1320">
        <f>RevBuild!BT133*OrgRev!BZ7</f>
        <v>29.326695695243764</v>
      </c>
      <c r="CA58" s="1323">
        <f>RevBuild!BU133*OrgRev!CA7</f>
        <v>120.41949827703125</v>
      </c>
      <c r="CB58" s="1322"/>
      <c r="CC58" s="1323">
        <f>RevBuild!BW133*OrgRev!CC7</f>
        <v>30.091123915495171</v>
      </c>
      <c r="CD58" s="1320">
        <f>RevBuild!BX133*OrgRev!CD7</f>
        <v>29.010319696501586</v>
      </c>
      <c r="CE58" s="1320">
        <f>RevBuild!BY133*OrgRev!CE7</f>
        <v>27.691580618505267</v>
      </c>
      <c r="CF58" s="1320">
        <f>RevBuild!BZ133*OrgRev!CF7</f>
        <v>27.598475872535737</v>
      </c>
      <c r="CG58" s="1323">
        <f>RevBuild!CA133*OrgRev!CG7</f>
        <v>114.3915001030378</v>
      </c>
      <c r="CH58" s="1322"/>
      <c r="CI58" s="1323">
        <f>RevBuild!CC133*OrgRev!CI7</f>
        <v>31.863898656423103</v>
      </c>
      <c r="CJ58" s="1320">
        <f>RevBuild!CD133*OrgRev!CJ7</f>
        <v>30.537388391991186</v>
      </c>
      <c r="CK58" s="1320">
        <f>RevBuild!CE133*OrgRev!CK7</f>
        <v>29.085658012277058</v>
      </c>
      <c r="CL58" s="1320">
        <f>RevBuild!CF133*OrgRev!CL7</f>
        <v>28.924674428145586</v>
      </c>
      <c r="CM58" s="1323">
        <f>RevBuild!CG133*OrgRev!CM7</f>
        <v>120.41161948883693</v>
      </c>
      <c r="CN58" s="69"/>
      <c r="CO58" s="358"/>
      <c r="CP58" s="358"/>
      <c r="CQ58" s="358"/>
      <c r="CR58" s="358"/>
      <c r="CS58" s="358"/>
      <c r="CT58" s="358"/>
      <c r="CU58" s="358"/>
      <c r="CV58" s="358"/>
      <c r="CW58" s="358"/>
      <c r="CX58" s="358"/>
      <c r="CY58" s="358"/>
      <c r="CZ58" s="358"/>
      <c r="DA58" s="358"/>
      <c r="DB58" s="358"/>
      <c r="DC58" s="358"/>
      <c r="DD58" s="358"/>
      <c r="DE58" s="358"/>
      <c r="DF58" s="358"/>
      <c r="DG58" s="358"/>
      <c r="DH58" s="358"/>
      <c r="DI58" s="358"/>
      <c r="DJ58" s="2015"/>
      <c r="DK58" s="358"/>
      <c r="DL58" s="2015"/>
      <c r="DM58" s="358"/>
    </row>
    <row r="59" spans="1:118" s="358" customFormat="1" hidden="1" outlineLevel="1">
      <c r="A59" s="182" t="s">
        <v>90</v>
      </c>
      <c r="B59" s="1078"/>
      <c r="C59" s="207"/>
      <c r="D59" s="207"/>
      <c r="E59" s="207"/>
      <c r="F59" s="207"/>
      <c r="G59" s="205"/>
      <c r="H59" s="1299"/>
      <c r="I59" s="206">
        <f>RevBuild!C41*RevBuild!I43</f>
        <v>0</v>
      </c>
      <c r="J59" s="207">
        <f>RevBuild!D41*RevBuild!J43</f>
        <v>0</v>
      </c>
      <c r="K59" s="207">
        <f>RevBuild!E41*RevBuild!K43</f>
        <v>0</v>
      </c>
      <c r="L59" s="207">
        <f>RevBuild!F41*RevBuild!L43</f>
        <v>0</v>
      </c>
      <c r="M59" s="206">
        <f>RevBuild!G41*RevBuild!M43</f>
        <v>10.236254999999899</v>
      </c>
      <c r="N59" s="1299"/>
      <c r="O59" s="206">
        <f>RevBuild!I41*RevBuild!O43</f>
        <v>-45.794076639999979</v>
      </c>
      <c r="P59" s="207">
        <f>RevBuild!J41*RevBuild!P43</f>
        <v>-22.508846010000013</v>
      </c>
      <c r="Q59" s="207">
        <f>RevBuild!K41*RevBuild!Q43</f>
        <v>-9.2625811399999893</v>
      </c>
      <c r="R59" s="207">
        <f>RevBuild!L41*RevBuild!R43</f>
        <v>7.869133699999983</v>
      </c>
      <c r="S59" s="206">
        <f>RevBuild!M41*RevBuild!S43</f>
        <v>-72.717691551272452</v>
      </c>
      <c r="T59" s="1299"/>
      <c r="U59" s="206">
        <f>RevBuild!O41*RevBuild!U43</f>
        <v>10.043463851115188</v>
      </c>
      <c r="V59" s="207">
        <f>RevBuild!P41*RevBuild!V43</f>
        <v>13.284753919060524</v>
      </c>
      <c r="W59" s="207">
        <f>RevBuild!Q41*RevBuild!W43</f>
        <v>16.355398289333611</v>
      </c>
      <c r="X59" s="207">
        <f>RevBuild!R41*RevBuild!X43</f>
        <v>33.382931498248993</v>
      </c>
      <c r="Y59" s="206">
        <f>RevBuild!S41*RevBuild!Y43</f>
        <v>69.864223587192853</v>
      </c>
      <c r="Z59" s="1299"/>
      <c r="AA59" s="206">
        <f>RevBuild!U41*RevBuild!AA43</f>
        <v>35.772643955682071</v>
      </c>
      <c r="AB59" s="207">
        <f>RevBuild!V41*RevBuild!AB43</f>
        <v>12.934837983385002</v>
      </c>
      <c r="AC59" s="207">
        <f>RevBuild!W41*RevBuild!AC43</f>
        <v>19.717112651670977</v>
      </c>
      <c r="AD59" s="207">
        <f>RevBuild!X41*RevBuild!AD43</f>
        <v>15.767144610466392</v>
      </c>
      <c r="AE59" s="206">
        <f>RevBuild!Y41*RevBuild!AE43</f>
        <v>90.172251941883687</v>
      </c>
      <c r="AF59" s="1299"/>
      <c r="AG59" s="206">
        <f>RevBuild!AA41*RevBuild!AG43</f>
        <v>-16.893644716153894</v>
      </c>
      <c r="AH59" s="207">
        <f>RevBuild!AB41*RevBuild!AH43</f>
        <v>3.4634132966694935</v>
      </c>
      <c r="AI59" s="207">
        <f>RevBuild!AC41*RevBuild!AI43</f>
        <v>1.2851247263169918</v>
      </c>
      <c r="AJ59" s="207">
        <f>RevBuild!AD41*RevBuild!AJ43</f>
        <v>-12.619231008140313</v>
      </c>
      <c r="AK59" s="206">
        <f>RevBuild!AE41*RevBuild!AK43</f>
        <v>-24.356771136884429</v>
      </c>
      <c r="AL59" s="1299"/>
      <c r="AM59" s="206">
        <f>RevBuild!AG41*RevBuild!AM43</f>
        <v>13.157567693055254</v>
      </c>
      <c r="AN59" s="207">
        <f>RevBuild!AH41*RevBuild!AN43</f>
        <v>-4.1638877691927565</v>
      </c>
      <c r="AO59" s="207">
        <f>RevBuild!AI41*RevBuild!AO43</f>
        <v>-5.0989591683080828</v>
      </c>
      <c r="AP59" s="207">
        <f>RevBuild!AJ41*RevBuild!AP43</f>
        <v>22.720803444957898</v>
      </c>
      <c r="AQ59" s="206">
        <f>RevBuild!AK41*RevBuild!AQ43</f>
        <v>25.424019301239895</v>
      </c>
      <c r="AR59" s="1299"/>
      <c r="AS59" s="206">
        <f>RevBuild!AM41*RevBuild!AS43</f>
        <v>-8.1605434918979043</v>
      </c>
      <c r="AT59" s="207">
        <f>RevBuild!AN41*RevBuild!AT43</f>
        <v>9.166324460061233</v>
      </c>
      <c r="AU59" s="207">
        <f>RevBuild!AO41*RevBuild!AU43</f>
        <v>14.80341217322013</v>
      </c>
      <c r="AV59" s="207">
        <f>RevBuild!AP41*RevBuild!AV43</f>
        <v>25.244670412601288</v>
      </c>
      <c r="AW59" s="206">
        <f>RevBuild!AQ41*RevBuild!AW43</f>
        <v>38.289335685924627</v>
      </c>
      <c r="AX59" s="1299"/>
      <c r="AY59" s="206">
        <f>RevBuild!AS41*RevBuild!AY43</f>
        <v>26.248958356540868</v>
      </c>
      <c r="AZ59" s="207">
        <f>RevBuild!AT41*RevBuild!AZ43</f>
        <v>25.825354276283896</v>
      </c>
      <c r="BA59" s="207">
        <f>RevBuild!AU41*RevBuild!BA43</f>
        <v>21.845481526545537</v>
      </c>
      <c r="BB59" s="207">
        <f>RevBuild!AV41*RevBuild!BB43</f>
        <v>9.9590261894858791</v>
      </c>
      <c r="BC59" s="206">
        <f>RevBuild!AW41*RevBuild!BC43</f>
        <v>89.882371630113141</v>
      </c>
      <c r="BD59" s="1299"/>
      <c r="BE59" s="206">
        <f>RevBuild!AY41*RevBuild!BE43</f>
        <v>3.2065972943908014</v>
      </c>
      <c r="BF59" s="207">
        <f>RevBuild!AZ41*RevBuild!BF43</f>
        <v>14.136902893395581</v>
      </c>
      <c r="BG59" s="207">
        <f>RevBuild!BA41*RevBuild!BG43</f>
        <v>6.4693215491472698</v>
      </c>
      <c r="BH59" s="207">
        <f>RevBuild!BB41*RevBuild!BH43</f>
        <v>31.753577884659929</v>
      </c>
      <c r="BI59" s="206">
        <f>RevBuild!BC41*RevBuild!BI43</f>
        <v>51.264021453840208</v>
      </c>
      <c r="BJ59" s="1299"/>
      <c r="BK59" s="206">
        <f>RevBuild!BE41*RevBuild!BK43</f>
        <v>11.205922581333265</v>
      </c>
      <c r="BL59" s="207">
        <f>RevBuild!BF41*RevBuild!BL43</f>
        <v>9.0041038089064003</v>
      </c>
      <c r="BM59" s="207">
        <f>RevBuild!BG41*RevBuild!BM43</f>
        <v>9.4466257862618157</v>
      </c>
      <c r="BN59" s="207">
        <f>RevBuild!BH41*RevBuild!BN43</f>
        <v>9.2414252155746457</v>
      </c>
      <c r="BO59" s="206">
        <f>RevBuild!BI41*RevBuild!BO43</f>
        <v>40.368532227482376</v>
      </c>
      <c r="BP59" s="1299"/>
      <c r="BQ59" s="206">
        <f>RevBuild!BK41*RevBuild!BQ43</f>
        <v>13.783942029543191</v>
      </c>
      <c r="BR59" s="207">
        <f>RevBuild!BL41*RevBuild!BR43</f>
        <v>16.772387385138735</v>
      </c>
      <c r="BS59" s="207">
        <f>RevBuild!BM41*RevBuild!BS43</f>
        <v>10.908628952638129</v>
      </c>
      <c r="BT59" s="207">
        <f>RevBuild!BN41*RevBuild!BT43</f>
        <v>17.925781159786567</v>
      </c>
      <c r="BU59" s="206">
        <f>RevBuild!BO41*RevBuild!BU43</f>
        <v>60.034039408815879</v>
      </c>
      <c r="BV59" s="1299"/>
      <c r="BW59" s="206">
        <f>RevBuild!BQ41*RevBuild!BW43</f>
        <v>12.768391035586264</v>
      </c>
      <c r="BX59" s="207">
        <f>RevBuild!BR41*RevBuild!BX43</f>
        <v>11.621697344620555</v>
      </c>
      <c r="BY59" s="207">
        <f>RevBuild!BS41*RevBuild!BY43</f>
        <v>11.529767860025169</v>
      </c>
      <c r="BZ59" s="207">
        <f>RevBuild!BT41*RevBuild!BZ43</f>
        <v>10.717005023365312</v>
      </c>
      <c r="CA59" s="206">
        <f>RevBuild!BU41*RevBuild!CA43</f>
        <v>48.364574459867754</v>
      </c>
      <c r="CB59" s="1299"/>
      <c r="CC59" s="206">
        <f>RevBuild!BW41*RevBuild!CC43</f>
        <v>12.366998418148063</v>
      </c>
      <c r="CD59" s="207">
        <f>RevBuild!BX41*RevBuild!CD43</f>
        <v>10.677524315032775</v>
      </c>
      <c r="CE59" s="207">
        <f>RevBuild!BY41*RevBuild!CE43</f>
        <v>11.42195359726492</v>
      </c>
      <c r="CF59" s="207">
        <f>RevBuild!BZ41*RevBuild!CF43</f>
        <v>10.162624499588956</v>
      </c>
      <c r="CG59" s="206">
        <f>RevBuild!CA41*RevBuild!CG43</f>
        <v>46.177946550051225</v>
      </c>
      <c r="CH59" s="1299"/>
      <c r="CI59" s="206">
        <f>RevBuild!CC41*RevBuild!CI43</f>
        <v>13.057128921059471</v>
      </c>
      <c r="CJ59" s="207">
        <f>RevBuild!CD41*RevBuild!CJ43</f>
        <v>11.104625287634207</v>
      </c>
      <c r="CK59" s="207">
        <f>RevBuild!CE41*RevBuild!CK43</f>
        <v>11.937092404493125</v>
      </c>
      <c r="CL59" s="207">
        <f>RevBuild!CF41*RevBuild!CL43</f>
        <v>10.546009557203652</v>
      </c>
      <c r="CM59" s="206">
        <f>RevBuild!CG41*RevBuild!CM43</f>
        <v>48.149453981312782</v>
      </c>
      <c r="CN59" s="68"/>
    </row>
    <row r="60" spans="1:118" s="358" customFormat="1" hidden="1" outlineLevel="1">
      <c r="A60" s="183" t="s">
        <v>95</v>
      </c>
      <c r="B60" s="1078"/>
      <c r="C60" s="207"/>
      <c r="D60" s="207"/>
      <c r="E60" s="207"/>
      <c r="F60" s="207"/>
      <c r="G60" s="205"/>
      <c r="H60" s="1299"/>
      <c r="I60" s="206">
        <f>RevBuild!C21*RevBuild!I23</f>
        <v>-1.9661200000000074</v>
      </c>
      <c r="J60" s="207">
        <f>RevBuild!D21*RevBuild!J23</f>
        <v>5.5124049999999967</v>
      </c>
      <c r="K60" s="207">
        <f>RevBuild!E21*RevBuild!K23</f>
        <v>4.1024649999999987</v>
      </c>
      <c r="L60" s="207">
        <f>RevBuild!F21*RevBuild!L23</f>
        <v>4.1094999999999891</v>
      </c>
      <c r="M60" s="206">
        <f>RevBuild!G21*RevBuild!M23</f>
        <v>5.9259149999999643</v>
      </c>
      <c r="N60" s="1299"/>
      <c r="O60" s="206">
        <f>RevBuild!I21*RevBuild!O23</f>
        <v>-6.1199999999999983</v>
      </c>
      <c r="P60" s="207">
        <f>RevBuild!J21*RevBuild!P23</f>
        <v>-2.1499999999999986</v>
      </c>
      <c r="Q60" s="207">
        <f>RevBuild!K21*RevBuild!Q23</f>
        <v>-6.8997319000000061</v>
      </c>
      <c r="R60" s="207">
        <f>RevBuild!L21*RevBuild!R23</f>
        <v>0</v>
      </c>
      <c r="S60" s="206">
        <f>RevBuild!M21*RevBuild!S23</f>
        <v>-15.412582887499967</v>
      </c>
      <c r="T60" s="1299"/>
      <c r="U60" s="206">
        <f>RevBuild!O21*RevBuild!U23</f>
        <v>8.2499999999999982</v>
      </c>
      <c r="V60" s="207">
        <f>RevBuild!P21*RevBuild!V23</f>
        <v>8.1999999999999993</v>
      </c>
      <c r="W60" s="207">
        <f>RevBuild!Q21*RevBuild!W23</f>
        <v>9</v>
      </c>
      <c r="X60" s="207">
        <f>RevBuild!R21*RevBuild!X23</f>
        <v>12.600000000000001</v>
      </c>
      <c r="Y60" s="206">
        <f>RevBuild!S21*RevBuild!Y23</f>
        <v>37.925000000000011</v>
      </c>
      <c r="Z60" s="1299"/>
      <c r="AA60" s="206">
        <f>RevBuild!U21*RevBuild!AA23</f>
        <v>12.937500000000002</v>
      </c>
      <c r="AB60" s="207">
        <f>RevBuild!V21*RevBuild!AB23</f>
        <v>6.2566000000000015</v>
      </c>
      <c r="AC60" s="207">
        <f>RevBuild!W21*RevBuild!AC23</f>
        <v>7.4249999999999998</v>
      </c>
      <c r="AD60" s="207">
        <f>RevBuild!X21*RevBuild!AD23</f>
        <v>7.1820000000000013</v>
      </c>
      <c r="AE60" s="206">
        <f>RevBuild!Y21*RevBuild!AE23</f>
        <v>33.366999999999969</v>
      </c>
      <c r="AF60" s="1299"/>
      <c r="AG60" s="206">
        <f>RevBuild!AA21*RevBuild!AG23</f>
        <v>-10.797637499999999</v>
      </c>
      <c r="AH60" s="207">
        <f>RevBuild!AB21*RevBuild!AH23</f>
        <v>-6.059963999999999</v>
      </c>
      <c r="AI60" s="207">
        <f>RevBuild!AC21*RevBuild!AI23</f>
        <v>0</v>
      </c>
      <c r="AJ60" s="207">
        <f>RevBuild!AD21*RevBuild!AJ23</f>
        <v>-5.4891000000000005</v>
      </c>
      <c r="AK60" s="206">
        <f>RevBuild!AE21*RevBuild!AK23</f>
        <v>-22.213037350000011</v>
      </c>
      <c r="AL60" s="1299"/>
      <c r="AM60" s="206">
        <f>RevBuild!AG21*RevBuild!AM23</f>
        <v>10.63326112875</v>
      </c>
      <c r="AN60" s="207">
        <f>RevBuild!AH21*RevBuild!AN23</f>
        <v>6.0660239640000002</v>
      </c>
      <c r="AO60" s="207">
        <f>RevBuild!AI21*RevBuild!AO23</f>
        <v>-4.5214124999999994</v>
      </c>
      <c r="AP60" s="207">
        <f>RevBuild!AJ21*RevBuild!AP23</f>
        <v>8.2204761600000005</v>
      </c>
      <c r="AQ60" s="206">
        <f>RevBuild!AK21*RevBuild!AQ23</f>
        <v>20.450358299000062</v>
      </c>
      <c r="AR60" s="1299"/>
      <c r="AS60" s="206">
        <f>RevBuild!AM21*RevBuild!AS23</f>
        <v>-8.6478277728375001</v>
      </c>
      <c r="AT60" s="207">
        <f>RevBuild!AN21*RevBuild!AT23</f>
        <v>-1.9227457776800001</v>
      </c>
      <c r="AU60" s="207">
        <f>RevBuild!AO21*RevBuild!AU23</f>
        <v>4.8979289470776672</v>
      </c>
      <c r="AV60" s="207">
        <f>RevBuild!AP21*RevBuild!AV23</f>
        <v>8.0798698497626784</v>
      </c>
      <c r="AW60" s="206">
        <f>RevBuild!AQ21*RevBuild!AW23</f>
        <v>1.7753184818512171</v>
      </c>
      <c r="AX60" s="1299"/>
      <c r="AY60" s="206">
        <f>RevBuild!AS21*RevBuild!AY23</f>
        <v>12.678676384732311</v>
      </c>
      <c r="AZ60" s="207">
        <f>RevBuild!AT21*RevBuild!AZ23</f>
        <v>11.909998797326782</v>
      </c>
      <c r="BA60" s="207">
        <f>RevBuild!AU21*RevBuild!BA23</f>
        <v>9.1221106483254601</v>
      </c>
      <c r="BB60" s="207">
        <f>RevBuild!AV21*RevBuild!BB23</f>
        <v>3.3466534054128805</v>
      </c>
      <c r="BC60" s="206">
        <f>RevBuild!AW21*RevBuild!BC23</f>
        <v>37.413753684686299</v>
      </c>
      <c r="BD60" s="1299"/>
      <c r="BE60" s="206">
        <f>RevBuild!AY21*RevBuild!BE23</f>
        <v>-2.3280673016792952</v>
      </c>
      <c r="BF60" s="207">
        <f>RevBuild!AZ21*RevBuild!BF23</f>
        <v>6.5159110455075879</v>
      </c>
      <c r="BG60" s="207">
        <f>RevBuild!BA21*RevBuild!BG23</f>
        <v>2.9748092786203801</v>
      </c>
      <c r="BH60" s="207">
        <f>RevBuild!BB21*RevBuild!BH23</f>
        <v>13.059659036861563</v>
      </c>
      <c r="BI60" s="206">
        <f>RevBuild!BC21*RevBuild!BI23</f>
        <v>20.086216974596759</v>
      </c>
      <c r="BJ60" s="1299"/>
      <c r="BK60" s="206">
        <f>RevBuild!BE21*RevBuild!BK23</f>
        <v>5.3533896562461152</v>
      </c>
      <c r="BL60" s="207">
        <f>RevBuild!BF21*RevBuild!BL23</f>
        <v>3.2048268401665325</v>
      </c>
      <c r="BM60" s="207">
        <f>RevBuild!BG21*RevBuild!BM23</f>
        <v>3.3165589258228292</v>
      </c>
      <c r="BN60" s="207">
        <f>RevBuild!BH21*RevBuild!BN23</f>
        <v>4.0702603998218549</v>
      </c>
      <c r="BO60" s="206">
        <f>RevBuild!BI21*RevBuild!BO23</f>
        <v>16.470907649453785</v>
      </c>
      <c r="BP60" s="1299"/>
      <c r="BQ60" s="206">
        <f>RevBuild!BK21*RevBuild!BQ23</f>
        <v>5.6210591390584215</v>
      </c>
      <c r="BR60" s="207">
        <f>RevBuild!BL21*RevBuild!BR23</f>
        <v>5.4482056282831053</v>
      </c>
      <c r="BS60" s="207">
        <f>RevBuild!BM21*RevBuild!BS23</f>
        <v>3.9609189456969784</v>
      </c>
      <c r="BT60" s="207">
        <f>RevBuild!BN21*RevBuild!BT23</f>
        <v>5.0950083122475922</v>
      </c>
      <c r="BU60" s="206">
        <f>RevBuild!BO21*RevBuild!BU23</f>
        <v>20.19307869661278</v>
      </c>
      <c r="BV60" s="1299"/>
      <c r="BW60" s="206">
        <f>RevBuild!BQ21*RevBuild!BW23</f>
        <v>4.9418478264221957</v>
      </c>
      <c r="BX60" s="207">
        <f>RevBuild!BR21*RevBuild!BX23</f>
        <v>4.5764927277578087</v>
      </c>
      <c r="BY60" s="207">
        <f>RevBuild!BS21*RevBuild!BY23</f>
        <v>3.6044362405842509</v>
      </c>
      <c r="BZ60" s="207">
        <f>RevBuild!BT21*RevBuild!BZ23</f>
        <v>4.6364575641453101</v>
      </c>
      <c r="CA60" s="206">
        <f>RevBuild!BU21*RevBuild!CA23</f>
        <v>17.759234358909602</v>
      </c>
      <c r="CB60" s="1299"/>
      <c r="CC60" s="206">
        <f>RevBuild!BW21*RevBuild!CC23</f>
        <v>5.1889402177433057</v>
      </c>
      <c r="CD60" s="207">
        <f>RevBuild!BX21*RevBuild!CD23</f>
        <v>4.7595524368681206</v>
      </c>
      <c r="CE60" s="207">
        <f>RevBuild!BY21*RevBuild!CE23</f>
        <v>3.7305915090046997</v>
      </c>
      <c r="CF60" s="207">
        <f>RevBuild!BZ21*RevBuild!CF23</f>
        <v>4.7987335788903955</v>
      </c>
      <c r="CG60" s="206">
        <f>RevBuild!CA21*RevBuild!CG23</f>
        <v>18.477817742506446</v>
      </c>
      <c r="CH60" s="1299"/>
      <c r="CI60" s="206">
        <f>RevBuild!CC21*RevBuild!CI23</f>
        <v>5.4483872286304713</v>
      </c>
      <c r="CJ60" s="207">
        <f>RevBuild!CD21*RevBuild!CJ23</f>
        <v>4.9499345343428454</v>
      </c>
      <c r="CK60" s="207">
        <f>RevBuild!CE21*RevBuild!CK23</f>
        <v>3.8611622118198641</v>
      </c>
      <c r="CL60" s="207">
        <f>RevBuild!CF21*RevBuild!CL23</f>
        <v>4.966689254151559</v>
      </c>
      <c r="CM60" s="206">
        <f>RevBuild!CG21*RevBuild!CM23</f>
        <v>19.226173228944816</v>
      </c>
      <c r="CN60" s="68"/>
    </row>
    <row r="61" spans="1:118" s="358" customFormat="1" hidden="1" outlineLevel="1">
      <c r="A61" s="183" t="s">
        <v>96</v>
      </c>
      <c r="B61" s="167"/>
      <c r="C61" s="207"/>
      <c r="D61" s="207"/>
      <c r="E61" s="207"/>
      <c r="F61" s="207"/>
      <c r="G61" s="205"/>
      <c r="H61" s="1299"/>
      <c r="I61" s="206">
        <f>RevBuild!C35*RevBuild!I37</f>
        <v>0</v>
      </c>
      <c r="J61" s="207">
        <f>RevBuild!D35*RevBuild!J37</f>
        <v>0</v>
      </c>
      <c r="K61" s="207">
        <f>RevBuild!E35*RevBuild!K37</f>
        <v>0</v>
      </c>
      <c r="L61" s="207">
        <f>RevBuild!F35*RevBuild!L37</f>
        <v>0</v>
      </c>
      <c r="M61" s="206">
        <f>RevBuild!G35*RevBuild!M37</f>
        <v>4.3103399999999414</v>
      </c>
      <c r="N61" s="1299"/>
      <c r="O61" s="206">
        <f>RevBuild!I35*RevBuild!O37</f>
        <v>-39.674076640000003</v>
      </c>
      <c r="P61" s="207">
        <f>RevBuild!J35*RevBuild!P37</f>
        <v>-20.358846010000001</v>
      </c>
      <c r="Q61" s="207">
        <f>RevBuild!K35*RevBuild!Q37</f>
        <v>-2.3628492400000036</v>
      </c>
      <c r="R61" s="207">
        <f>RevBuild!L35*RevBuild!R37</f>
        <v>7.8691337000000159</v>
      </c>
      <c r="S61" s="206">
        <f>RevBuild!M35*RevBuild!S37</f>
        <v>-54.61371568999995</v>
      </c>
      <c r="T61" s="1299"/>
      <c r="U61" s="206">
        <f>RevBuild!O35*RevBuild!U37</f>
        <v>1.7934638511151924</v>
      </c>
      <c r="V61" s="207">
        <f>RevBuild!P35*RevBuild!V37</f>
        <v>5.0847539190605042</v>
      </c>
      <c r="W61" s="207">
        <f>RevBuild!Q35*RevBuild!W37</f>
        <v>7.3553982893335998</v>
      </c>
      <c r="X61" s="207">
        <f>RevBuild!R35*RevBuild!X37</f>
        <v>20.782931498248985</v>
      </c>
      <c r="Y61" s="206">
        <f>RevBuild!S35*RevBuild!Y37</f>
        <v>33.944409982533223</v>
      </c>
      <c r="Z61" s="1299"/>
      <c r="AA61" s="206">
        <f>RevBuild!U35*RevBuild!AA37</f>
        <v>22.835143955682089</v>
      </c>
      <c r="AB61" s="207">
        <f>RevBuild!V35*RevBuild!AB37</f>
        <v>6.678237983384995</v>
      </c>
      <c r="AC61" s="207">
        <f>RevBuild!W35*RevBuild!AC37</f>
        <v>12.292112651670973</v>
      </c>
      <c r="AD61" s="207">
        <f>RevBuild!X35*RevBuild!AD37</f>
        <v>8.5851446104664308</v>
      </c>
      <c r="AE61" s="206">
        <f>RevBuild!Y35*RevBuild!AE37</f>
        <v>49.19022730921801</v>
      </c>
      <c r="AF61" s="1299"/>
      <c r="AG61" s="206">
        <f>RevBuild!AA35*RevBuild!AG37</f>
        <v>-6.0960072161538914</v>
      </c>
      <c r="AH61" s="207">
        <f>RevBuild!AB35*RevBuild!AH37</f>
        <v>9.5233772966694978</v>
      </c>
      <c r="AI61" s="207">
        <f>RevBuild!AC35*RevBuild!AI37</f>
        <v>1.2851247263170074</v>
      </c>
      <c r="AJ61" s="207">
        <f>RevBuild!AD35*RevBuild!AJ37</f>
        <v>-7.1301310081403297</v>
      </c>
      <c r="AK61" s="206">
        <f>RevBuild!AE35*RevBuild!AK37</f>
        <v>-2.0972364085327375</v>
      </c>
      <c r="AL61" s="1299"/>
      <c r="AM61" s="206">
        <f>RevBuild!AG35*RevBuild!AM37</f>
        <v>2.5243065643052631</v>
      </c>
      <c r="AN61" s="207">
        <f>RevBuild!AH35*RevBuild!AN37</f>
        <v>-10.229911733192743</v>
      </c>
      <c r="AO61" s="207">
        <f>RevBuild!AI35*RevBuild!AO37</f>
        <v>-0.57754666830808843</v>
      </c>
      <c r="AP61" s="207">
        <f>RevBuild!AJ35*RevBuild!AP37</f>
        <v>14.500327284957853</v>
      </c>
      <c r="AQ61" s="206">
        <f>RevBuild!AK35*RevBuild!AQ37</f>
        <v>6.4820331954595973</v>
      </c>
      <c r="AR61" s="1299"/>
      <c r="AS61" s="206">
        <f>RevBuild!AM35*RevBuild!AS37</f>
        <v>0.48728428093962783</v>
      </c>
      <c r="AT61" s="207">
        <f>RevBuild!AN35*RevBuild!AT37</f>
        <v>11.089070237741227</v>
      </c>
      <c r="AU61" s="207">
        <f>RevBuild!AO35*RevBuild!AU37</f>
        <v>9.9054832261424597</v>
      </c>
      <c r="AV61" s="207">
        <f>RevBuild!AP35*RevBuild!AV37</f>
        <v>17.164800562838639</v>
      </c>
      <c r="AW61" s="206">
        <f>RevBuild!AQ35*RevBuild!AW37</f>
        <v>36.514017204073504</v>
      </c>
      <c r="AX61" s="1299"/>
      <c r="AY61" s="206">
        <f>RevBuild!AS35*RevBuild!AY37</f>
        <v>13.570281971808582</v>
      </c>
      <c r="AZ61" s="207">
        <f>RevBuild!AT35*RevBuild!AZ37</f>
        <v>13.915355478957082</v>
      </c>
      <c r="BA61" s="207">
        <f>RevBuild!AU35*RevBuild!BA37</f>
        <v>12.723370878220065</v>
      </c>
      <c r="BB61" s="207">
        <f>RevBuild!AV35*RevBuild!BB37</f>
        <v>6.6123727840730471</v>
      </c>
      <c r="BC61" s="206">
        <f>RevBuild!AW35*RevBuild!BC37</f>
        <v>47.79503376554792</v>
      </c>
      <c r="BD61" s="1299"/>
      <c r="BE61" s="206">
        <f>RevBuild!AY35*RevBuild!BE37</f>
        <v>5.534664596070086</v>
      </c>
      <c r="BF61" s="207">
        <f>RevBuild!AZ35*RevBuild!BF37</f>
        <v>7.6209918478879919</v>
      </c>
      <c r="BG61" s="207">
        <f>RevBuild!BA35*RevBuild!BG37</f>
        <v>3.4945122705269194</v>
      </c>
      <c r="BH61" s="207">
        <f>RevBuild!BB35*RevBuild!BH37</f>
        <v>18.693918847798347</v>
      </c>
      <c r="BI61" s="206">
        <f>RevBuild!BC35*RevBuild!BI37</f>
        <v>35.131587743371938</v>
      </c>
      <c r="BJ61" s="1299"/>
      <c r="BK61" s="206">
        <f>RevBuild!BE35*RevBuild!BK37</f>
        <v>5.8525329250871527</v>
      </c>
      <c r="BL61" s="207">
        <f>RevBuild!BF35*RevBuild!BL37</f>
        <v>5.7992769687398882</v>
      </c>
      <c r="BM61" s="207">
        <f>RevBuild!BG35*RevBuild!BM37</f>
        <v>6.1300668604389799</v>
      </c>
      <c r="BN61" s="207">
        <f>RevBuild!BH35*RevBuild!BN37</f>
        <v>5.1711648157528263</v>
      </c>
      <c r="BO61" s="206">
        <f>RevBuild!BI35*RevBuild!BO37</f>
        <v>24.670101482926398</v>
      </c>
      <c r="BP61" s="1299"/>
      <c r="BQ61" s="206">
        <f>RevBuild!BK35*RevBuild!BQ37</f>
        <v>8.1628828904847754</v>
      </c>
      <c r="BR61" s="207">
        <f>RevBuild!BL35*RevBuild!BR37</f>
        <v>11.324181756855607</v>
      </c>
      <c r="BS61" s="207">
        <f>RevBuild!BM35*RevBuild!BS37</f>
        <v>6.9477100069411195</v>
      </c>
      <c r="BT61" s="207">
        <f>RevBuild!BN35*RevBuild!BT37</f>
        <v>12.830772847538936</v>
      </c>
      <c r="BU61" s="206">
        <f>RevBuild!BO35*RevBuild!BU37</f>
        <v>39.444923176774353</v>
      </c>
      <c r="BV61" s="1299"/>
      <c r="BW61" s="206">
        <f>RevBuild!BQ35*RevBuild!BW37</f>
        <v>7.8265432091640621</v>
      </c>
      <c r="BX61" s="207">
        <f>RevBuild!BR35*RevBuild!BX37</f>
        <v>7.0452046168627165</v>
      </c>
      <c r="BY61" s="207">
        <f>RevBuild!BS35*RevBuild!BY37</f>
        <v>7.9253316194408843</v>
      </c>
      <c r="BZ61" s="207">
        <f>RevBuild!BT35*RevBuild!BZ37</f>
        <v>6.0805474592200239</v>
      </c>
      <c r="CA61" s="206">
        <f>RevBuild!BU35*RevBuild!CA37</f>
        <v>28.877626904687794</v>
      </c>
      <c r="CB61" s="1299"/>
      <c r="CC61" s="206">
        <f>RevBuild!BW35*RevBuild!CC37</f>
        <v>7.1780582004047542</v>
      </c>
      <c r="CD61" s="207">
        <f>RevBuild!BX35*RevBuild!CD37</f>
        <v>5.9179718781647077</v>
      </c>
      <c r="CE61" s="207">
        <f>RevBuild!BY35*RevBuild!CE37</f>
        <v>7.6913620882602212</v>
      </c>
      <c r="CF61" s="207">
        <f>RevBuild!BZ35*RevBuild!CF37</f>
        <v>5.3638909206985659</v>
      </c>
      <c r="CG61" s="206">
        <f>RevBuild!CA35*RevBuild!CG37</f>
        <v>26.15128308752821</v>
      </c>
      <c r="CH61" s="1299"/>
      <c r="CI61" s="206">
        <f>RevBuild!CC35*RevBuild!CI37</f>
        <v>7.6087416924290121</v>
      </c>
      <c r="CJ61" s="207">
        <f>RevBuild!CD35*RevBuild!CJ37</f>
        <v>6.1546907532912964</v>
      </c>
      <c r="CK61" s="207">
        <f>RevBuild!CE35*RevBuild!CK37</f>
        <v>8.0759301926732334</v>
      </c>
      <c r="CL61" s="207">
        <f>RevBuild!CF35*RevBuild!CL37</f>
        <v>5.5793203030521132</v>
      </c>
      <c r="CM61" s="206">
        <f>RevBuild!CG35*RevBuild!CM37</f>
        <v>27.418682941445638</v>
      </c>
      <c r="CN61" s="68"/>
    </row>
    <row r="62" spans="1:118" s="358" customFormat="1" hidden="1" outlineLevel="1">
      <c r="A62" s="183" t="s">
        <v>97</v>
      </c>
      <c r="B62" s="1420"/>
      <c r="C62" s="207"/>
      <c r="D62" s="207"/>
      <c r="E62" s="207"/>
      <c r="F62" s="207"/>
      <c r="G62" s="205"/>
      <c r="H62" s="1299"/>
      <c r="I62" s="206">
        <f>RevBuild!C26*RevBuild!I28</f>
        <v>0</v>
      </c>
      <c r="J62" s="207">
        <f>RevBuild!D26*RevBuild!J28</f>
        <v>0</v>
      </c>
      <c r="K62" s="207">
        <f>RevBuild!E26*RevBuild!K28</f>
        <v>0</v>
      </c>
      <c r="L62" s="207">
        <f>RevBuild!F26*RevBuild!L28</f>
        <v>0</v>
      </c>
      <c r="M62" s="206">
        <f>RevBuild!G26*RevBuild!M28</f>
        <v>0</v>
      </c>
      <c r="N62" s="1299"/>
      <c r="O62" s="206">
        <f>RevBuild!I26*RevBuild!O28</f>
        <v>-13.26</v>
      </c>
      <c r="P62" s="207">
        <f>RevBuild!J26*RevBuild!P28</f>
        <v>-9.6772499999999972</v>
      </c>
      <c r="Q62" s="207">
        <f>RevBuild!K26*RevBuild!Q28</f>
        <v>-4.1650000000000009</v>
      </c>
      <c r="R62" s="207">
        <f>RevBuild!L26*RevBuild!R28</f>
        <v>-3.3999999999999972</v>
      </c>
      <c r="S62" s="206">
        <f>RevBuild!M26*RevBuild!S28</f>
        <v>-30.52167878398879</v>
      </c>
      <c r="T62" s="1299"/>
      <c r="U62" s="206">
        <f>RevBuild!O26*RevBuild!U28</f>
        <v>-5.5161599999999966</v>
      </c>
      <c r="V62" s="207">
        <f>RevBuild!P26*RevBuild!V28</f>
        <v>0.83308500000000218</v>
      </c>
      <c r="W62" s="207">
        <f>RevBuild!Q26*RevBuild!W28</f>
        <v>2.4490200000000026</v>
      </c>
      <c r="X62" s="207">
        <f>RevBuild!R26*RevBuild!X28</f>
        <v>7.8249999999999993</v>
      </c>
      <c r="Y62" s="206">
        <f>RevBuild!S26*RevBuild!Y28</f>
        <v>3.24510433189656</v>
      </c>
      <c r="Z62" s="1299"/>
      <c r="AA62" s="206">
        <f>RevBuild!U26*RevBuild!AA28</f>
        <v>0.8458112000000001</v>
      </c>
      <c r="AB62" s="207">
        <f>RevBuild!V26*RevBuild!AB28</f>
        <v>1.2329658000000001</v>
      </c>
      <c r="AC62" s="207">
        <f>RevBuild!W26*RevBuild!AC28</f>
        <v>1.2734904</v>
      </c>
      <c r="AD62" s="207">
        <f>RevBuild!X26*RevBuild!AD28</f>
        <v>1.7919999999999998</v>
      </c>
      <c r="AE62" s="206">
        <f>RevBuild!Y26*RevBuild!AE28</f>
        <v>5.1442674000000004</v>
      </c>
      <c r="AF62" s="1299"/>
      <c r="AG62" s="206">
        <f>RevBuild!AA26*RevBuild!AG28</f>
        <v>-4.4827993600000005</v>
      </c>
      <c r="AH62" s="207">
        <f>RevBuild!AB26*RevBuild!AH28</f>
        <v>0</v>
      </c>
      <c r="AI62" s="207">
        <f>RevBuild!AC26*RevBuild!AI28</f>
        <v>-0.34384240799999999</v>
      </c>
      <c r="AJ62" s="207">
        <f>RevBuild!AD26*RevBuild!AJ28</f>
        <v>-2.0500480000000003</v>
      </c>
      <c r="AK62" s="206">
        <f>RevBuild!AE26*RevBuild!AK28</f>
        <v>-8.7183466158500007</v>
      </c>
      <c r="AL62" s="1299"/>
      <c r="AM62" s="206">
        <f>RevBuild!AG26*RevBuild!AM28</f>
        <v>0.34965835008000007</v>
      </c>
      <c r="AN62" s="207">
        <f>RevBuild!AH26*RevBuild!AN28</f>
        <v>-3.2889362715000008</v>
      </c>
      <c r="AO62" s="207">
        <f>RevBuild!AI26*RevBuild!AO28</f>
        <v>-0.33008871167999998</v>
      </c>
      <c r="AP62" s="207">
        <f>RevBuild!AJ26*RevBuild!AP28</f>
        <v>4.3889664000000002</v>
      </c>
      <c r="AQ62" s="206">
        <f>RevBuild!AK26*RevBuild!AQ28</f>
        <v>0.31817703846750028</v>
      </c>
      <c r="AR62" s="1299"/>
      <c r="AS62" s="206">
        <f>RevBuild!AM26*RevBuild!AS28</f>
        <v>0.17308088328960003</v>
      </c>
      <c r="AT62" s="207">
        <f>RevBuild!AN26*RevBuild!AT28</f>
        <v>1.4471319594600003</v>
      </c>
      <c r="AU62" s="207">
        <f>RevBuild!AO26*RevBuild!AU28</f>
        <v>2.5614884026367997</v>
      </c>
      <c r="AV62" s="207">
        <f>RevBuild!AP26*RevBuild!AV28</f>
        <v>4.2660753408000005</v>
      </c>
      <c r="AW62" s="206">
        <f>RevBuild!AQ26*RevBuild!AW28</f>
        <v>7.2260347560894012</v>
      </c>
      <c r="AX62" s="1299"/>
      <c r="AY62" s="206">
        <f>RevBuild!AS26*RevBuild!AY28</f>
        <v>2.5662356403582423</v>
      </c>
      <c r="AZ62" s="207">
        <f>RevBuild!AT26*RevBuild!AZ28</f>
        <v>3.8429746889027876</v>
      </c>
      <c r="BA62" s="207">
        <f>RevBuild!AU26*RevBuild!BA28</f>
        <v>3.9404016469862553</v>
      </c>
      <c r="BB62" s="207">
        <f>RevBuild!AV26*RevBuild!BB28</f>
        <v>4.8310933192704004</v>
      </c>
      <c r="BC62" s="206">
        <f>RevBuild!AW26*RevBuild!BC28</f>
        <v>15.977761622637896</v>
      </c>
      <c r="BD62" s="1299"/>
      <c r="BE62" s="206">
        <f>RevBuild!AY26*RevBuild!BE28</f>
        <v>1.1189346789376726</v>
      </c>
      <c r="BF62" s="207">
        <f>RevBuild!AZ26*RevBuild!BF28</f>
        <v>2.1008516810270756</v>
      </c>
      <c r="BG62" s="207">
        <f>RevBuild!BA26*RevBuild!BG28</f>
        <v>1.1715919293566384</v>
      </c>
      <c r="BH62" s="207">
        <f>RevBuild!BB26*RevBuild!BH28</f>
        <v>5.9961673235399386</v>
      </c>
      <c r="BI62" s="206">
        <f>RevBuild!BC26*RevBuild!BI28</f>
        <v>9.4834069779081798</v>
      </c>
      <c r="BJ62" s="1299"/>
      <c r="BK62" s="206">
        <f>RevBuild!BE26*RevBuild!BK28</f>
        <v>1.1671885158848352</v>
      </c>
      <c r="BL62" s="207">
        <f>RevBuild!BF26*RevBuild!BL28</f>
        <v>1.3777282117658831</v>
      </c>
      <c r="BM62" s="207">
        <f>RevBuild!BG26*RevBuild!BM28</f>
        <v>1.8615970110173359</v>
      </c>
      <c r="BN62" s="207">
        <f>RevBuild!BH26*RevBuild!BN28</f>
        <v>1.9180181313314979</v>
      </c>
      <c r="BO62" s="206">
        <f>RevBuild!BI26*RevBuild!BO28</f>
        <v>6.7868669296073119</v>
      </c>
      <c r="BP62" s="1299"/>
      <c r="BQ62" s="206">
        <f>RevBuild!BK26*RevBuild!BQ28</f>
        <v>1.6340639222387694</v>
      </c>
      <c r="BR62" s="207">
        <f>RevBuild!BL26*RevBuild!BR28</f>
        <v>3.1928851307674342</v>
      </c>
      <c r="BS62" s="207">
        <f>RevBuild!BM26*RevBuild!BS28</f>
        <v>1.973292831678376</v>
      </c>
      <c r="BT62" s="207">
        <f>RevBuild!BN26*RevBuild!BT28</f>
        <v>4.2015879535755873</v>
      </c>
      <c r="BU62" s="206">
        <f>RevBuild!BO26*RevBuild!BU28</f>
        <v>11.265836057006249</v>
      </c>
      <c r="BV62" s="1299"/>
      <c r="BW62" s="206">
        <f>RevBuild!BQ26*RevBuild!BW28</f>
        <v>1.5370413768558424</v>
      </c>
      <c r="BX62" s="207">
        <f>RevBuild!BR26*RevBuild!BX28</f>
        <v>1.9334693291869465</v>
      </c>
      <c r="BY62" s="207">
        <f>RevBuild!BS26*RevBuild!BY28</f>
        <v>1.657565978609836</v>
      </c>
      <c r="BZ62" s="207">
        <f>RevBuild!BT26*RevBuild!BZ28</f>
        <v>2.183625282158284</v>
      </c>
      <c r="CA62" s="206">
        <f>RevBuild!BU26*RevBuild!CA28</f>
        <v>8.0650913359230998</v>
      </c>
      <c r="CB62" s="1299"/>
      <c r="CC62" s="206">
        <f>RevBuild!BW26*RevBuild!CC28</f>
        <v>1.4096865199163582</v>
      </c>
      <c r="CD62" s="207">
        <f>RevBuild!BX26*RevBuild!CD28</f>
        <v>1.6241142365170351</v>
      </c>
      <c r="CE62" s="207">
        <f>RevBuild!BY26*RevBuild!CE28</f>
        <v>2.1548357721927869</v>
      </c>
      <c r="CF62" s="207">
        <f>RevBuild!BZ26*RevBuild!CF28</f>
        <v>2.2578685417516655</v>
      </c>
      <c r="CG62" s="206">
        <f>RevBuild!CA26*RevBuild!CG28</f>
        <v>7.9857032688745928</v>
      </c>
      <c r="CH62" s="1299"/>
      <c r="CI62" s="206">
        <f>RevBuild!CC26*RevBuild!CI28</f>
        <v>1.4942677111113398</v>
      </c>
      <c r="CJ62" s="207">
        <f>RevBuild!CD26*RevBuild!CJ28</f>
        <v>1.6890788059777166</v>
      </c>
      <c r="CK62" s="207">
        <f>RevBuild!CE26*RevBuild!CK28</f>
        <v>2.2625775608024266</v>
      </c>
      <c r="CL62" s="207">
        <f>RevBuild!CF26*RevBuild!CL28</f>
        <v>2.334636072171222</v>
      </c>
      <c r="CM62" s="206">
        <f>RevBuild!CG26*RevBuild!CM28</f>
        <v>8.3282425021119746</v>
      </c>
      <c r="CN62" s="68"/>
    </row>
    <row r="63" spans="1:118" s="358" customFormat="1" hidden="1" outlineLevel="1">
      <c r="A63" s="183" t="s">
        <v>98</v>
      </c>
      <c r="B63" s="1420"/>
      <c r="C63" s="207"/>
      <c r="D63" s="207"/>
      <c r="E63" s="207"/>
      <c r="F63" s="207"/>
      <c r="G63" s="205"/>
      <c r="H63" s="1299"/>
      <c r="I63" s="206">
        <f>RevBuild!C29*RevBuild!I31</f>
        <v>0</v>
      </c>
      <c r="J63" s="207">
        <f>RevBuild!D29*RevBuild!J31</f>
        <v>0</v>
      </c>
      <c r="K63" s="207">
        <f>RevBuild!E29*RevBuild!K31</f>
        <v>0</v>
      </c>
      <c r="L63" s="207">
        <f>RevBuild!F29*RevBuild!L31</f>
        <v>0</v>
      </c>
      <c r="M63" s="206">
        <f>RevBuild!G29*RevBuild!M31</f>
        <v>0</v>
      </c>
      <c r="N63" s="1299"/>
      <c r="O63" s="206">
        <f>RevBuild!I29*RevBuild!O31</f>
        <v>-17.005999999999997</v>
      </c>
      <c r="P63" s="207">
        <f>RevBuild!J29*RevBuild!P31</f>
        <v>-5.6849999999999978</v>
      </c>
      <c r="Q63" s="207">
        <f>RevBuild!K29*RevBuild!Q31</f>
        <v>7.9030000000000014</v>
      </c>
      <c r="R63" s="207">
        <f>RevBuild!L29*RevBuild!R31</f>
        <v>14.774999999999995</v>
      </c>
      <c r="S63" s="206">
        <f>RevBuild!M29*RevBuild!S31</f>
        <v>-1.7056484563859799</v>
      </c>
      <c r="T63" s="1299"/>
      <c r="U63" s="206">
        <f>RevBuild!O29*RevBuild!U31</f>
        <v>9.26</v>
      </c>
      <c r="V63" s="207">
        <f>RevBuild!P29*RevBuild!V31</f>
        <v>3.7537500000000028</v>
      </c>
      <c r="W63" s="207">
        <f>RevBuild!Q29*RevBuild!W31</f>
        <v>3.0949999999999998</v>
      </c>
      <c r="X63" s="207">
        <f>RevBuild!R29*RevBuild!X31</f>
        <v>11.275</v>
      </c>
      <c r="Y63" s="206">
        <f>RevBuild!S29*RevBuild!Y31</f>
        <v>30.938205990194231</v>
      </c>
      <c r="Z63" s="1299"/>
      <c r="AA63" s="206">
        <f>RevBuild!U29*RevBuild!AA31</f>
        <v>9.7999999999999989</v>
      </c>
      <c r="AB63" s="207">
        <f>RevBuild!V29*RevBuild!AB31</f>
        <v>3.7124999999999999</v>
      </c>
      <c r="AC63" s="207">
        <f>RevBuild!W29*RevBuild!AC31</f>
        <v>5.9279999999999999</v>
      </c>
      <c r="AD63" s="207">
        <f>RevBuild!X29*RevBuild!AD31</f>
        <v>8.0079999999999991</v>
      </c>
      <c r="AE63" s="206">
        <f>RevBuild!Y29*RevBuild!AE31</f>
        <v>29.767499999999998</v>
      </c>
      <c r="AF63" s="1299"/>
      <c r="AG63" s="206">
        <f>RevBuild!AA29*RevBuild!AG31</f>
        <v>0</v>
      </c>
      <c r="AH63" s="207">
        <f>RevBuild!AB29*RevBuild!AH31</f>
        <v>7.1156249999999996</v>
      </c>
      <c r="AI63" s="207">
        <f>RevBuild!AC29*RevBuild!AI31</f>
        <v>-1.14608</v>
      </c>
      <c r="AJ63" s="207">
        <f>RevBuild!AD29*RevBuild!AJ31</f>
        <v>-3.555552</v>
      </c>
      <c r="AK63" s="206">
        <f>RevBuild!AE29*RevBuild!AK31</f>
        <v>4.9675642500000006</v>
      </c>
      <c r="AL63" s="1299"/>
      <c r="AM63" s="206">
        <f>RevBuild!AG29*RevBuild!AM31</f>
        <v>1.1147499999999999</v>
      </c>
      <c r="AN63" s="207">
        <f>RevBuild!AH29*RevBuild!AN31</f>
        <v>-4.6223099999999997</v>
      </c>
      <c r="AO63" s="207">
        <f>RevBuild!AI29*RevBuild!AO31</f>
        <v>-0.54438799999999998</v>
      </c>
      <c r="AP63" s="207">
        <f>RevBuild!AJ29*RevBuild!AP31</f>
        <v>7.6121136000000007</v>
      </c>
      <c r="AQ63" s="206">
        <f>RevBuild!AK29*RevBuild!AQ31</f>
        <v>1.5979595520000005</v>
      </c>
      <c r="AR63" s="1299"/>
      <c r="AS63" s="206">
        <f>RevBuild!AM29*RevBuild!AS31</f>
        <v>0</v>
      </c>
      <c r="AT63" s="207">
        <f>RevBuild!AN29*RevBuild!AT31</f>
        <v>3.3211563000000002</v>
      </c>
      <c r="AU63" s="207">
        <f>RevBuild!AO29*RevBuild!AU31</f>
        <v>4.2244508799999991</v>
      </c>
      <c r="AV63" s="207">
        <f>RevBuild!AP29*RevBuild!AV31</f>
        <v>8.221082688000001</v>
      </c>
      <c r="AW63" s="206">
        <f>RevBuild!AQ29*RevBuild!AW31</f>
        <v>14.17678768</v>
      </c>
      <c r="AX63" s="1299"/>
      <c r="AY63" s="206">
        <f>RevBuild!AS29*RevBuild!AY31</f>
        <v>4.3107025779999999</v>
      </c>
      <c r="AZ63" s="207">
        <f>RevBuild!AT29*RevBuild!AZ31</f>
        <v>6.3932258775000008</v>
      </c>
      <c r="BA63" s="207">
        <f>RevBuild!AU29*RevBuild!BA31</f>
        <v>5.30379807984</v>
      </c>
      <c r="BB63" s="207">
        <f>RevBuild!AV29*RevBuild!BB31</f>
        <v>1.5857235342748803</v>
      </c>
      <c r="BC63" s="206">
        <f>RevBuild!AW29*RevBuild!BC31</f>
        <v>19.917103505679432</v>
      </c>
      <c r="BD63" s="1299"/>
      <c r="BE63" s="206">
        <f>RevBuild!AY29*RevBuild!BE31</f>
        <v>2.9333452575700001</v>
      </c>
      <c r="BF63" s="207">
        <f>RevBuild!AZ29*RevBuild!BF31</f>
        <v>3.9882490512365094</v>
      </c>
      <c r="BG63" s="207">
        <f>RevBuild!BA29*RevBuild!BG31</f>
        <v>1.7434097559215997</v>
      </c>
      <c r="BH63" s="207">
        <f>RevBuild!BB29*RevBuild!BH31</f>
        <v>10.817187945409357</v>
      </c>
      <c r="BI63" s="206">
        <f>RevBuild!BC29*RevBuild!BI31</f>
        <v>17.965408658463097</v>
      </c>
      <c r="BJ63" s="1299"/>
      <c r="BK63" s="206">
        <f>RevBuild!BE29*RevBuild!BK31</f>
        <v>2.8380110017039106</v>
      </c>
      <c r="BL63" s="207">
        <f>RevBuild!BF29*RevBuild!BL31</f>
        <v>2.8991533456438408</v>
      </c>
      <c r="BM63" s="207">
        <f>RevBuild!BG29*RevBuild!BM31</f>
        <v>3.0008348158798648</v>
      </c>
      <c r="BN63" s="207">
        <f>RevBuild!BH29*RevBuild!BN31</f>
        <v>3.1403128696903782</v>
      </c>
      <c r="BO63" s="206">
        <f>RevBuild!BI29*RevBuild!BO31</f>
        <v>12.496611356192087</v>
      </c>
      <c r="BP63" s="1299"/>
      <c r="BQ63" s="206">
        <f>RevBuild!BK29*RevBuild!BQ31</f>
        <v>3.9732154023854753</v>
      </c>
      <c r="BR63" s="207">
        <f>RevBuild!BL29*RevBuild!BR31</f>
        <v>5.4272150630452698</v>
      </c>
      <c r="BS63" s="207">
        <f>RevBuild!BM29*RevBuild!BS31</f>
        <v>3.1808849048326571</v>
      </c>
      <c r="BT63" s="207">
        <f>RevBuild!BN29*RevBuild!BT31</f>
        <v>6.8791324274864518</v>
      </c>
      <c r="BU63" s="206">
        <f>RevBuild!BO29*RevBuild!BU31</f>
        <v>19.709748544118209</v>
      </c>
      <c r="BV63" s="1299"/>
      <c r="BW63" s="206">
        <f>RevBuild!BQ29*RevBuild!BW31</f>
        <v>3.7373057378688377</v>
      </c>
      <c r="BX63" s="207">
        <f>RevBuild!BR29*RevBuild!BX31</f>
        <v>3.2864802326218583</v>
      </c>
      <c r="BY63" s="207">
        <f>RevBuild!BS29*RevBuild!BY31</f>
        <v>4.0079149800891472</v>
      </c>
      <c r="BZ63" s="207">
        <f>RevBuild!BT29*RevBuild!BZ31</f>
        <v>4.2060981128060018</v>
      </c>
      <c r="CA63" s="206">
        <f>RevBuild!BU29*RevBuild!CA31</f>
        <v>16.008889734399528</v>
      </c>
      <c r="CB63" s="1299"/>
      <c r="CC63" s="206">
        <f>RevBuild!BW29*RevBuild!CC31</f>
        <v>3.4276432624454194</v>
      </c>
      <c r="CD63" s="207">
        <f>RevBuild!BX29*RevBuild!CD31</f>
        <v>2.7606433954023606</v>
      </c>
      <c r="CE63" s="207">
        <f>RevBuild!BY29*RevBuild!CE31</f>
        <v>3.5403248990787475</v>
      </c>
      <c r="CF63" s="207">
        <f>RevBuild!BZ29*RevBuild!CF31</f>
        <v>3.7181907317205058</v>
      </c>
      <c r="CG63" s="206">
        <f>RevBuild!CA29*RevBuild!CG31</f>
        <v>14.09019198932263</v>
      </c>
      <c r="CH63" s="1299"/>
      <c r="CI63" s="206">
        <f>RevBuild!CC29*RevBuild!CI31</f>
        <v>3.6333018581921448</v>
      </c>
      <c r="CJ63" s="207">
        <f>RevBuild!CD29*RevBuild!CJ31</f>
        <v>2.8710691312184555</v>
      </c>
      <c r="CK63" s="207">
        <f>RevBuild!CE29*RevBuild!CK31</f>
        <v>3.7173411440326856</v>
      </c>
      <c r="CL63" s="207">
        <f>RevBuild!CF29*RevBuild!CL31</f>
        <v>3.8446092165990033</v>
      </c>
      <c r="CM63" s="206">
        <f>RevBuild!CG29*RevBuild!CM31</f>
        <v>14.708744894600395</v>
      </c>
      <c r="CN63" s="68"/>
    </row>
    <row r="64" spans="1:118" s="358" customFormat="1" hidden="1" outlineLevel="1">
      <c r="A64" s="183" t="s">
        <v>99</v>
      </c>
      <c r="B64" s="1078"/>
      <c r="C64" s="207"/>
      <c r="D64" s="207"/>
      <c r="E64" s="207"/>
      <c r="F64" s="207"/>
      <c r="G64" s="205"/>
      <c r="H64" s="1299"/>
      <c r="I64" s="206">
        <f>RevBuild!C32*RevBuild!I34</f>
        <v>0</v>
      </c>
      <c r="J64" s="207">
        <f>RevBuild!D32*RevBuild!J34</f>
        <v>0</v>
      </c>
      <c r="K64" s="207">
        <f>RevBuild!E32*RevBuild!K34</f>
        <v>0</v>
      </c>
      <c r="L64" s="207">
        <f>RevBuild!F32*RevBuild!L34</f>
        <v>0</v>
      </c>
      <c r="M64" s="206">
        <f>RevBuild!G32*RevBuild!M34</f>
        <v>0</v>
      </c>
      <c r="N64" s="1299"/>
      <c r="O64" s="206">
        <f>RevBuild!I32*RevBuild!O34</f>
        <v>-9.4080766399999991</v>
      </c>
      <c r="P64" s="207">
        <f>RevBuild!J32*RevBuild!P34</f>
        <v>-4.9965960099999993</v>
      </c>
      <c r="Q64" s="207">
        <f>RevBuild!K32*RevBuild!Q34</f>
        <v>-6.1008492399999987</v>
      </c>
      <c r="R64" s="207">
        <f>RevBuild!L32*RevBuild!R34</f>
        <v>-3.5058662999999997</v>
      </c>
      <c r="S64" s="206">
        <f>RevBuild!M32*RevBuild!S34</f>
        <v>-24.2052810275</v>
      </c>
      <c r="T64" s="1299"/>
      <c r="U64" s="206">
        <f>RevBuild!O32*RevBuild!U34</f>
        <v>-1.9503761488847999</v>
      </c>
      <c r="V64" s="207">
        <f>RevBuild!P32*RevBuild!V34</f>
        <v>0.49791891906049995</v>
      </c>
      <c r="W64" s="207">
        <f>RevBuild!Q32*RevBuild!W34</f>
        <v>1.8113782893335999</v>
      </c>
      <c r="X64" s="207">
        <f>RevBuild!R32*RevBuild!X34</f>
        <v>1.6829314982489996</v>
      </c>
      <c r="Y64" s="206">
        <f>RevBuild!S32*RevBuild!Y34</f>
        <v>1.461053689219125</v>
      </c>
      <c r="Z64" s="1299"/>
      <c r="AA64" s="206">
        <f>RevBuild!U32*RevBuild!AA34</f>
        <v>12.189332755682081</v>
      </c>
      <c r="AB64" s="207">
        <f>RevBuild!V32*RevBuild!AB34</f>
        <v>1.7327721833849925</v>
      </c>
      <c r="AC64" s="207">
        <f>RevBuild!W32*RevBuild!AC34</f>
        <v>5.0906222516709727</v>
      </c>
      <c r="AD64" s="207">
        <f>RevBuild!X32*RevBuild!AD34</f>
        <v>-1.2148553895335625</v>
      </c>
      <c r="AE64" s="206">
        <f>RevBuild!Y32*RevBuild!AE34</f>
        <v>21.68843940189414</v>
      </c>
      <c r="AF64" s="1299"/>
      <c r="AG64" s="206">
        <f>RevBuild!AA32*RevBuild!AG34</f>
        <v>-1.6132078561538905</v>
      </c>
      <c r="AH64" s="207">
        <f>RevBuild!AB32*RevBuild!AH34</f>
        <v>2.4077522966695115</v>
      </c>
      <c r="AI64" s="207">
        <f>RevBuild!AC32*RevBuild!AI34</f>
        <v>2.7750471343169911</v>
      </c>
      <c r="AJ64" s="207">
        <f>RevBuild!AD32*RevBuild!AJ34</f>
        <v>-1.5245310081403567</v>
      </c>
      <c r="AK64" s="206">
        <f>RevBuild!AE32*RevBuild!AK34</f>
        <v>2.1482757706010238</v>
      </c>
      <c r="AL64" s="1299"/>
      <c r="AM64" s="206">
        <f>RevBuild!AG32*RevBuild!AM34</f>
        <v>1.0598982142252618</v>
      </c>
      <c r="AN64" s="207">
        <f>RevBuild!AH32*RevBuild!AN34</f>
        <v>-2.3186654616927393</v>
      </c>
      <c r="AO64" s="207">
        <f>RevBuild!AI32*RevBuild!AO34</f>
        <v>0.29693004337191808</v>
      </c>
      <c r="AP64" s="207">
        <f>RevBuild!AJ32*RevBuild!AP34</f>
        <v>2.4992472849578364</v>
      </c>
      <c r="AQ64" s="206">
        <f>RevBuild!AK32*RevBuild!AQ34</f>
        <v>1.8317921847827034</v>
      </c>
      <c r="AR64" s="1299"/>
      <c r="AS64" s="206">
        <f>RevBuild!AM32*RevBuild!AS34</f>
        <v>0.31420339765002109</v>
      </c>
      <c r="AT64" s="207">
        <f>RevBuild!AN32*RevBuild!AT34</f>
        <v>6.3207819782812162</v>
      </c>
      <c r="AU64" s="207">
        <f>RevBuild!AO32*RevBuild!AU34</f>
        <v>3.1195439435056573</v>
      </c>
      <c r="AV64" s="207">
        <f>RevBuild!AP32*RevBuild!AV34</f>
        <v>4.67764253403866</v>
      </c>
      <c r="AW64" s="206">
        <f>RevBuild!AQ32*RevBuild!AW34</f>
        <v>15.121174784535052</v>
      </c>
      <c r="AX64" s="1299"/>
      <c r="AY64" s="206">
        <f>RevBuild!AS32*RevBuild!AY34</f>
        <v>6.6933437534503231</v>
      </c>
      <c r="AZ64" s="207">
        <f>RevBuild!AT32*RevBuild!AZ34</f>
        <v>3.6791549125543055</v>
      </c>
      <c r="BA64" s="207">
        <f>RevBuild!AU32*RevBuild!BA34</f>
        <v>3.4791711513938326</v>
      </c>
      <c r="BB64" s="207">
        <f>RevBuild!AV32*RevBuild!BB34</f>
        <v>0.19555593052778533</v>
      </c>
      <c r="BC64" s="206">
        <f>RevBuild!AW32*RevBuild!BC34</f>
        <v>14.247373350996108</v>
      </c>
      <c r="BD64" s="1299"/>
      <c r="BE64" s="206">
        <f>RevBuild!AY32*RevBuild!BE34</f>
        <v>1.4823846595624188</v>
      </c>
      <c r="BF64" s="207">
        <f>RevBuild!AZ32*RevBuild!BF34</f>
        <v>1.5318911156244031</v>
      </c>
      <c r="BG64" s="207">
        <f>RevBuild!BA32*RevBuild!BG34</f>
        <v>0.57951058524865295</v>
      </c>
      <c r="BH64" s="207">
        <f>RevBuild!BB32*RevBuild!BH34</f>
        <v>1.8805635788489983</v>
      </c>
      <c r="BI64" s="206">
        <f>RevBuild!BC32*RevBuild!BI34</f>
        <v>5.6473933469657771</v>
      </c>
      <c r="BJ64" s="1299"/>
      <c r="BK64" s="206">
        <f>RevBuild!BE32*RevBuild!BK34</f>
        <v>1.8473334074983991</v>
      </c>
      <c r="BL64" s="207">
        <f>RevBuild!BF32*RevBuild!BL34</f>
        <v>1.5223954113301752</v>
      </c>
      <c r="BM64" s="207">
        <f>RevBuild!BG32*RevBuild!BM34</f>
        <v>1.2676350335417959</v>
      </c>
      <c r="BN64" s="207">
        <f>RevBuild!BH32*RevBuild!BN34</f>
        <v>0.11283381473093999</v>
      </c>
      <c r="BO64" s="206">
        <f>RevBuild!BI32*RevBuild!BO34</f>
        <v>4.6086289694454869</v>
      </c>
      <c r="BP64" s="1299"/>
      <c r="BQ64" s="206">
        <f>RevBuild!BK32*RevBuild!BQ34</f>
        <v>2.555603565860523</v>
      </c>
      <c r="BR64" s="207">
        <f>RevBuild!BL32*RevBuild!BR34</f>
        <v>2.7040815630428692</v>
      </c>
      <c r="BS64" s="207">
        <f>RevBuild!BM32*RevBuild!BS34</f>
        <v>1.7935322704300813</v>
      </c>
      <c r="BT64" s="207">
        <f>RevBuild!BN32*RevBuild!BT34</f>
        <v>1.7500524664768777</v>
      </c>
      <c r="BU64" s="206">
        <f>RevBuild!BO32*RevBuild!BU34</f>
        <v>8.8055472176264153</v>
      </c>
      <c r="BV64" s="1299"/>
      <c r="BW64" s="206">
        <f>RevBuild!BQ32*RevBuild!BW34</f>
        <v>2.5521960944393753</v>
      </c>
      <c r="BX64" s="207">
        <f>RevBuild!BR32*RevBuild!BX34</f>
        <v>1.8252550550539368</v>
      </c>
      <c r="BY64" s="207">
        <f>RevBuild!BS32*RevBuild!BY34</f>
        <v>2.2598506607419027</v>
      </c>
      <c r="BZ64" s="207">
        <f>RevBuild!BT32*RevBuild!BZ34</f>
        <v>-0.30917593574424845</v>
      </c>
      <c r="CA64" s="206">
        <f>RevBuild!BU32*RevBuild!CA34</f>
        <v>6.0157397038345133</v>
      </c>
      <c r="CB64" s="1299"/>
      <c r="CC64" s="206">
        <f>RevBuild!BW32*RevBuild!CC34</f>
        <v>2.3407284180429695</v>
      </c>
      <c r="CD64" s="207">
        <f>RevBuild!BX32*RevBuild!CD34</f>
        <v>1.5332142462453069</v>
      </c>
      <c r="CE64" s="207">
        <f>RevBuild!BY32*RevBuild!CE34</f>
        <v>1.9962014169886808</v>
      </c>
      <c r="CF64" s="207">
        <f>RevBuild!BZ32*RevBuild!CF34</f>
        <v>-0.61216835277361181</v>
      </c>
      <c r="CG64" s="206">
        <f>RevBuild!CA32*RevBuild!CG34</f>
        <v>4.8059356291473501</v>
      </c>
      <c r="CH64" s="1299"/>
      <c r="CI64" s="206">
        <f>RevBuild!CC32*RevBuild!CI34</f>
        <v>2.4811721231255479</v>
      </c>
      <c r="CJ64" s="207">
        <f>RevBuild!CD32*RevBuild!CJ34</f>
        <v>1.5945428160951192</v>
      </c>
      <c r="CK64" s="207">
        <f>RevBuild!CE32*RevBuild!CK34</f>
        <v>2.0960114878381151</v>
      </c>
      <c r="CL64" s="207">
        <f>RevBuild!CF32*RevBuild!CL34</f>
        <v>-0.59992498571813957</v>
      </c>
      <c r="CM64" s="206">
        <f>RevBuild!CG32*RevBuild!CM34</f>
        <v>4.9768198403237083</v>
      </c>
      <c r="CN64" s="68"/>
    </row>
    <row r="65" spans="1:117" s="358" customFormat="1" hidden="1" outlineLevel="1">
      <c r="A65" s="183" t="s">
        <v>224</v>
      </c>
      <c r="B65" s="1069"/>
      <c r="C65" s="207"/>
      <c r="D65" s="207"/>
      <c r="E65" s="207"/>
      <c r="F65" s="207"/>
      <c r="G65" s="205"/>
      <c r="H65" s="1299"/>
      <c r="I65" s="206">
        <f>RevBuild!C52*RevBuild!I54</f>
        <v>0</v>
      </c>
      <c r="J65" s="207">
        <f>RevBuild!D52*RevBuild!J54</f>
        <v>0</v>
      </c>
      <c r="K65" s="207">
        <f>RevBuild!E52*RevBuild!K54</f>
        <v>0</v>
      </c>
      <c r="L65" s="207">
        <f>RevBuild!F52*RevBuild!L54</f>
        <v>0</v>
      </c>
      <c r="M65" s="206">
        <f>RevBuild!G52*RevBuild!M54</f>
        <v>0</v>
      </c>
      <c r="N65" s="1299"/>
      <c r="O65" s="206">
        <f>RevBuild!I52*RevBuild!O54</f>
        <v>-2.4225600000000007</v>
      </c>
      <c r="P65" s="207">
        <f>RevBuild!J52*RevBuild!P54</f>
        <v>-3.4822500000000041</v>
      </c>
      <c r="Q65" s="207">
        <f>RevBuild!K52*RevBuild!Q54</f>
        <v>3.8647800000000037</v>
      </c>
      <c r="R65" s="207">
        <f>RevBuild!L52*RevBuild!R54</f>
        <v>1.2609999999999935</v>
      </c>
      <c r="S65" s="206">
        <f>RevBuild!M52*RevBuild!S54</f>
        <v>-0.63140552999853072</v>
      </c>
      <c r="T65" s="1299"/>
      <c r="U65" s="206">
        <f>RevBuild!O52*RevBuild!U54</f>
        <v>5.134789999999998</v>
      </c>
      <c r="V65" s="207">
        <f>RevBuild!P52*RevBuild!V54</f>
        <v>4.3939812500000075</v>
      </c>
      <c r="W65" s="207">
        <f>RevBuild!Q52*RevBuild!W54</f>
        <v>5.129132499999999</v>
      </c>
      <c r="X65" s="207">
        <f>RevBuild!R52*RevBuild!X54</f>
        <v>6.0048525000000001</v>
      </c>
      <c r="Y65" s="206">
        <f>RevBuild!S52*RevBuild!Y54</f>
        <v>20.625279085270456</v>
      </c>
      <c r="Z65" s="1299"/>
      <c r="AA65" s="206">
        <f>RevBuild!U52*RevBuild!AA54</f>
        <v>5.1515952428571508</v>
      </c>
      <c r="AB65" s="207">
        <f>RevBuild!V52*RevBuild!AB54</f>
        <v>7.7542003584183714</v>
      </c>
      <c r="AC65" s="207">
        <f>RevBuild!W52*RevBuild!AC54</f>
        <v>3.1338564417841912</v>
      </c>
      <c r="AD65" s="207">
        <f>RevBuild!X52*RevBuild!AD54</f>
        <v>3.0402117482861017</v>
      </c>
      <c r="AE65" s="206">
        <f>RevBuild!Y52*RevBuild!AE54</f>
        <v>19.288080819218848</v>
      </c>
      <c r="AF65" s="1299"/>
      <c r="AG65" s="206">
        <f>RevBuild!AA52*RevBuild!AG54</f>
        <v>3.2028527700000162</v>
      </c>
      <c r="AH65" s="207">
        <f>RevBuild!AB52*RevBuild!AH54</f>
        <v>-0.30002885204081031</v>
      </c>
      <c r="AI65" s="207">
        <f>RevBuild!AC52*RevBuild!AI54</f>
        <v>2.6391889189499596</v>
      </c>
      <c r="AJ65" s="207">
        <f>RevBuild!AD52*RevBuild!AJ54</f>
        <v>5.2948389618560237</v>
      </c>
      <c r="AK65" s="206">
        <f>RevBuild!AE52*RevBuild!AK54</f>
        <v>10.918771326053909</v>
      </c>
      <c r="AL65" s="1299"/>
      <c r="AM65" s="206">
        <f>RevBuild!AG52*RevBuild!AM54</f>
        <v>1.8583144554000086</v>
      </c>
      <c r="AN65" s="207">
        <f>RevBuild!AH52*RevBuild!AN54</f>
        <v>3.219259704081245</v>
      </c>
      <c r="AO65" s="207">
        <f>RevBuild!AI52*RevBuild!AO54</f>
        <v>4.7864501703089806</v>
      </c>
      <c r="AP65" s="207">
        <f>RevBuild!AJ52*RevBuild!AP54</f>
        <v>7.2483603093732665</v>
      </c>
      <c r="AQ65" s="206">
        <f>RevBuild!AK52*RevBuild!AQ54</f>
        <v>17.035550768422915</v>
      </c>
      <c r="AR65" s="1299"/>
      <c r="AS65" s="206">
        <f>RevBuild!AM52*RevBuild!AS54</f>
        <v>0.65288554459998882</v>
      </c>
      <c r="AT65" s="207">
        <f>RevBuild!AN52*RevBuild!AT54</f>
        <v>2.2475474267171025</v>
      </c>
      <c r="AU65" s="207">
        <f>RevBuild!AO52*RevBuild!AU54</f>
        <v>2.4399999999999258</v>
      </c>
      <c r="AV65" s="207">
        <f>RevBuild!AP52*RevBuild!AV54</f>
        <v>4.9963706768652116</v>
      </c>
      <c r="AW65" s="206">
        <f>RevBuild!AQ52*RevBuild!AW54</f>
        <v>10.119305727574186</v>
      </c>
      <c r="AX65" s="1299"/>
      <c r="AY65" s="206">
        <f>RevBuild!AS52*RevBuild!AY54</f>
        <v>8.9962399999999896</v>
      </c>
      <c r="AZ65" s="207">
        <f>RevBuild!AT52*RevBuild!AZ54</f>
        <v>6.5223900000000343</v>
      </c>
      <c r="BA65" s="207">
        <f>RevBuild!AU52*RevBuild!BA54</f>
        <v>6.0811220000000805</v>
      </c>
      <c r="BB65" s="207">
        <f>RevBuild!AV52*RevBuild!BB54</f>
        <v>5.1202147174041563</v>
      </c>
      <c r="BC65" s="206">
        <f>RevBuild!AW52*RevBuild!BC54</f>
        <v>26.940577421161798</v>
      </c>
      <c r="BD65" s="1299"/>
      <c r="BE65" s="206">
        <f>RevBuild!AY52*RevBuild!BE54</f>
        <v>7.2864791514022214</v>
      </c>
      <c r="BF65" s="207">
        <f>RevBuild!AZ52*RevBuild!BF54</f>
        <v>9.2571467639567686</v>
      </c>
      <c r="BG65" s="207">
        <f>RevBuild!BA52*RevBuild!BG54</f>
        <v>5.7266044930151283</v>
      </c>
      <c r="BH65" s="207">
        <f>RevBuild!BB52*RevBuild!BH54</f>
        <v>7.9312104808705337</v>
      </c>
      <c r="BI65" s="206">
        <f>RevBuild!BC52*RevBuild!BI54</f>
        <v>30.214385916148949</v>
      </c>
      <c r="BJ65" s="1299"/>
      <c r="BK65" s="206">
        <f>RevBuild!BE52*RevBuild!BK54</f>
        <v>4.5942021735184735</v>
      </c>
      <c r="BL65" s="207">
        <f>RevBuild!BF52*RevBuild!BL54</f>
        <v>4.646301431377756</v>
      </c>
      <c r="BM65" s="207">
        <f>RevBuild!BG52*RevBuild!BM54</f>
        <v>7.9240098781136217</v>
      </c>
      <c r="BN65" s="207">
        <f>RevBuild!BH52*RevBuild!BN54</f>
        <v>7.747306147675439</v>
      </c>
      <c r="BO65" s="206">
        <f>RevBuild!BI52*RevBuild!BO54</f>
        <v>24.883725326221146</v>
      </c>
      <c r="BP65" s="1299"/>
      <c r="BQ65" s="206">
        <f>RevBuild!BK52*RevBuild!BQ54</f>
        <v>11.315048191508904</v>
      </c>
      <c r="BR65" s="207">
        <f>RevBuild!BL52*RevBuild!BR54</f>
        <v>13.724074671571621</v>
      </c>
      <c r="BS65" s="207">
        <f>RevBuild!BM52*RevBuild!BS54</f>
        <v>8.1347670702123871</v>
      </c>
      <c r="BT65" s="207">
        <f>RevBuild!BN52*RevBuild!BT54</f>
        <v>9.0495577660209729</v>
      </c>
      <c r="BU65" s="206">
        <f>RevBuild!BO52*RevBuild!BU54</f>
        <v>42.557327243011279</v>
      </c>
      <c r="BV65" s="1299"/>
      <c r="BW65" s="206">
        <f>RevBuild!BQ52*RevBuild!BW54</f>
        <v>8.1538639712549354</v>
      </c>
      <c r="BX65" s="207">
        <f>RevBuild!BR52*RevBuild!BX54</f>
        <v>8.3638316882359565</v>
      </c>
      <c r="BY65" s="207">
        <f>RevBuild!BS52*RevBuild!BY54</f>
        <v>8.0811401829201852</v>
      </c>
      <c r="BZ65" s="207">
        <f>RevBuild!BT52*RevBuild!BZ54</f>
        <v>8.7680159688558756</v>
      </c>
      <c r="CA65" s="206">
        <f>RevBuild!BU52*RevBuild!CA54</f>
        <v>33.378840389620606</v>
      </c>
      <c r="CB65" s="1299"/>
      <c r="CC65" s="206">
        <f>RevBuild!BW52*RevBuild!CC54</f>
        <v>6.6901721598319916</v>
      </c>
      <c r="CD65" s="207">
        <f>RevBuild!BX52*RevBuild!CD54</f>
        <v>6.7747036674711243</v>
      </c>
      <c r="CE65" s="207">
        <f>RevBuild!BY52*RevBuild!CE54</f>
        <v>6.5457235481653511</v>
      </c>
      <c r="CF65" s="207">
        <f>RevBuild!BZ52*RevBuild!CF54</f>
        <v>7.1020929347732604</v>
      </c>
      <c r="CG65" s="206">
        <f>RevBuild!CA52*RevBuild!CG54</f>
        <v>27.125245183519706</v>
      </c>
      <c r="CH65" s="1299"/>
      <c r="CI65" s="206">
        <f>RevBuild!CC52*RevBuild!CI54</f>
        <v>7.1107791975975632</v>
      </c>
      <c r="CJ65" s="207">
        <f>RevBuild!CD52*RevBuild!CJ54</f>
        <v>7.1811858875193924</v>
      </c>
      <c r="CK65" s="207">
        <f>RevBuild!CE52*RevBuild!CK54</f>
        <v>6.9384669610552718</v>
      </c>
      <c r="CL65" s="207">
        <f>RevBuild!CF52*RevBuild!CL54</f>
        <v>7.5282185108596558</v>
      </c>
      <c r="CM65" s="206">
        <f>RevBuild!CG52*RevBuild!CM54</f>
        <v>28.771518536911717</v>
      </c>
      <c r="CN65" s="68"/>
    </row>
    <row r="66" spans="1:117" s="358" customFormat="1" hidden="1" outlineLevel="1">
      <c r="A66" s="184" t="s">
        <v>49</v>
      </c>
      <c r="B66" s="70"/>
      <c r="C66" s="207"/>
      <c r="D66" s="207"/>
      <c r="E66" s="207"/>
      <c r="F66" s="207"/>
      <c r="G66" s="205"/>
      <c r="H66" s="1299"/>
      <c r="I66" s="206">
        <f>RevBuild!C64*RevBuild!I66</f>
        <v>8.2621200000000083</v>
      </c>
      <c r="J66" s="207">
        <f>RevBuild!D64*RevBuild!J66</f>
        <v>15.876260000000004</v>
      </c>
      <c r="K66" s="207">
        <f>RevBuild!E64*RevBuild!K66</f>
        <v>13.981399999999995</v>
      </c>
      <c r="L66" s="207">
        <f>RevBuild!F64*RevBuild!L66</f>
        <v>3.0569999999999693</v>
      </c>
      <c r="M66" s="206">
        <f>RevBuild!G64*RevBuild!M66</f>
        <v>42.236469912487848</v>
      </c>
      <c r="N66" s="1299"/>
      <c r="O66" s="206">
        <f>RevBuild!I64*RevBuild!O66</f>
        <v>-0.73832000000001308</v>
      </c>
      <c r="P66" s="207">
        <f>RevBuild!J64*RevBuild!P66</f>
        <v>-0.55867999999999907</v>
      </c>
      <c r="Q66" s="207">
        <f>RevBuild!K64*RevBuild!Q66</f>
        <v>7.304219999999999</v>
      </c>
      <c r="R66" s="207">
        <f>RevBuild!L64*RevBuild!R66</f>
        <v>3.3100000000000702</v>
      </c>
      <c r="S66" s="206">
        <f>RevBuild!M64*RevBuild!S66</f>
        <v>9.2001402169657158</v>
      </c>
      <c r="T66" s="1299"/>
      <c r="U66" s="206">
        <f>RevBuild!O64*RevBuild!U66</f>
        <v>4.0697600000000227</v>
      </c>
      <c r="V66" s="207">
        <f>RevBuild!P64*RevBuild!V66</f>
        <v>5.4375299999999926</v>
      </c>
      <c r="W66" s="207">
        <f>RevBuild!Q64*RevBuild!W66</f>
        <v>5.4156000000000075</v>
      </c>
      <c r="X66" s="207">
        <f>RevBuild!R64*RevBuild!X66</f>
        <v>10.160999999999936</v>
      </c>
      <c r="Y66" s="206">
        <f>RevBuild!S64*RevBuild!Y66</f>
        <v>24.851110947161054</v>
      </c>
      <c r="Z66" s="1299"/>
      <c r="AA66" s="206">
        <f>RevBuild!U64*RevBuild!AA66</f>
        <v>6.2988399999999762</v>
      </c>
      <c r="AB66" s="207">
        <f>RevBuild!V64*RevBuild!AB66</f>
        <v>8.6918400000000009</v>
      </c>
      <c r="AC66" s="207">
        <f>RevBuild!W64*RevBuild!AC66</f>
        <v>9.02484000000001</v>
      </c>
      <c r="AD66" s="207">
        <f>RevBuild!X64*RevBuild!AD66</f>
        <v>9.4760000000000009</v>
      </c>
      <c r="AE66" s="206">
        <f>RevBuild!Y64*RevBuild!AE66</f>
        <v>33.422608060825397</v>
      </c>
      <c r="AF66" s="1299"/>
      <c r="AG66" s="206">
        <f>RevBuild!AA64*RevBuild!AG66</f>
        <v>10.505140000000011</v>
      </c>
      <c r="AH66" s="207">
        <f>RevBuild!AB64*RevBuild!AH66</f>
        <v>8.355129999999992</v>
      </c>
      <c r="AI66" s="207">
        <f>RevBuild!AC64*RevBuild!AI66</f>
        <v>8.8263499999999908</v>
      </c>
      <c r="AJ66" s="207">
        <f>RevBuild!AD64*RevBuild!AJ66</f>
        <v>12.438420000000049</v>
      </c>
      <c r="AK66" s="206">
        <f>RevBuild!AE64*RevBuild!AK66</f>
        <v>40.105148223822781</v>
      </c>
      <c r="AL66" s="1299"/>
      <c r="AM66" s="206">
        <f>RevBuild!AG64*RevBuild!AM66</f>
        <v>5.7733200000000018</v>
      </c>
      <c r="AN66" s="207">
        <f>RevBuild!AH64*RevBuild!AN66</f>
        <v>10.118599999999997</v>
      </c>
      <c r="AO66" s="207">
        <f>RevBuild!AI64*RevBuild!AO66</f>
        <v>6.4026800000000028</v>
      </c>
      <c r="AP66" s="207">
        <f>RevBuild!AJ64*RevBuild!AP66</f>
        <v>12.021079999999975</v>
      </c>
      <c r="AQ66" s="206">
        <f>RevBuild!AK64*RevBuild!AQ66</f>
        <v>34.031969093581587</v>
      </c>
      <c r="AR66" s="1299"/>
      <c r="AS66" s="206">
        <f>RevBuild!AM64*RevBuild!AS66</f>
        <v>8.273999999999992</v>
      </c>
      <c r="AT66" s="207">
        <f>RevBuild!AN64*RevBuild!AT66</f>
        <v>11.760951999999994</v>
      </c>
      <c r="AU66" s="207">
        <f>RevBuild!AO64*RevBuild!AU66</f>
        <v>15.730000000000004</v>
      </c>
      <c r="AV66" s="207">
        <f>RevBuild!AP64*RevBuild!AV66</f>
        <v>17.912550000000053</v>
      </c>
      <c r="AW66" s="206">
        <f>RevBuild!AQ64*RevBuild!AW66</f>
        <v>53.1240793192488</v>
      </c>
      <c r="AX66" s="1299"/>
      <c r="AY66" s="206">
        <f>RevBuild!AS64*RevBuild!AY66</f>
        <v>21.424389999999995</v>
      </c>
      <c r="AZ66" s="207">
        <f>RevBuild!AT64*RevBuild!AZ66</f>
        <v>12.32325</v>
      </c>
      <c r="BA66" s="207">
        <f>RevBuild!AU64*RevBuild!BA66</f>
        <v>13.313759999999805</v>
      </c>
      <c r="BB66" s="207">
        <f>RevBuild!AV64*RevBuild!BB66</f>
        <v>5.3002623800000013</v>
      </c>
      <c r="BC66" s="206">
        <f>RevBuild!AW64*RevBuild!BC66</f>
        <v>53.94798980694312</v>
      </c>
      <c r="BD66" s="1299"/>
      <c r="BE66" s="206">
        <f>RevBuild!AY64*RevBuild!BE66</f>
        <v>11.022984728729256</v>
      </c>
      <c r="BF66" s="207">
        <f>RevBuild!AZ64*RevBuild!BF66</f>
        <v>12.48384644244749</v>
      </c>
      <c r="BG66" s="207">
        <f>RevBuild!BA64*RevBuild!BG66</f>
        <v>11.518175267919986</v>
      </c>
      <c r="BH66" s="207">
        <f>RevBuild!BB64*RevBuild!BH66</f>
        <v>15.444388837917401</v>
      </c>
      <c r="BI66" s="206">
        <f>RevBuild!BC64*RevBuild!BI66</f>
        <v>50.453263786610819</v>
      </c>
      <c r="BJ66" s="1299"/>
      <c r="BK66" s="206">
        <f>RevBuild!BE64*RevBuild!BK66</f>
        <v>7.0050202845015788</v>
      </c>
      <c r="BL66" s="207">
        <f>RevBuild!BF64*RevBuild!BL66</f>
        <v>9.2672014394992743</v>
      </c>
      <c r="BM66" s="207">
        <f>RevBuild!BG64*RevBuild!BM66</f>
        <v>10.219216451972322</v>
      </c>
      <c r="BN66" s="207">
        <f>RevBuild!BH64*RevBuild!BN66</f>
        <v>14.089430931293958</v>
      </c>
      <c r="BO66" s="206">
        <f>RevBuild!BI64*RevBuild!BO66</f>
        <v>40.419527515079892</v>
      </c>
      <c r="BP66" s="1299"/>
      <c r="BQ66" s="206">
        <f>RevBuild!BK64*RevBuild!BQ66</f>
        <v>17.270481048502571</v>
      </c>
      <c r="BR66" s="207">
        <f>RevBuild!BL64*RevBuild!BR66</f>
        <v>14.236990923829937</v>
      </c>
      <c r="BS66" s="207">
        <f>RevBuild!BM64*RevBuild!BS66</f>
        <v>12.922130861229107</v>
      </c>
      <c r="BT66" s="207">
        <f>RevBuild!BN64*RevBuild!BT66</f>
        <v>12.013311844065054</v>
      </c>
      <c r="BU66" s="206">
        <f>RevBuild!BO64*RevBuild!BU66</f>
        <v>57.468883713714405</v>
      </c>
      <c r="BV66" s="1299"/>
      <c r="BW66" s="206">
        <f>RevBuild!BQ64*RevBuild!BW66</f>
        <v>10.409389941052005</v>
      </c>
      <c r="BX66" s="207">
        <f>RevBuild!BR64*RevBuild!BX66</f>
        <v>10.903860107545043</v>
      </c>
      <c r="BY66" s="207">
        <f>RevBuild!BS64*RevBuild!BY66</f>
        <v>9.2608604505475274</v>
      </c>
      <c r="BZ66" s="207">
        <f>RevBuild!BT64*RevBuild!BZ66</f>
        <v>9.8416747030225249</v>
      </c>
      <c r="CA66" s="206">
        <f>RevBuild!BU64*RevBuild!CA66</f>
        <v>40.549934546807677</v>
      </c>
      <c r="CB66" s="1299"/>
      <c r="CC66" s="206">
        <f>RevBuild!BW64*RevBuild!CC66</f>
        <v>11.033953337515126</v>
      </c>
      <c r="CD66" s="207">
        <f>RevBuild!BX64*RevBuild!CD66</f>
        <v>11.558091713997747</v>
      </c>
      <c r="CE66" s="207">
        <f>RevBuild!BY64*RevBuild!CE66</f>
        <v>9.7239034730749054</v>
      </c>
      <c r="CF66" s="207">
        <f>RevBuild!BZ64*RevBuild!CF66</f>
        <v>10.333758438173652</v>
      </c>
      <c r="CG66" s="206">
        <f>RevBuild!CA64*RevBuild!CG66</f>
        <v>42.772802732926877</v>
      </c>
      <c r="CH66" s="1299"/>
      <c r="CI66" s="206">
        <f>RevBuild!CC64*RevBuild!CI66</f>
        <v>11.695990537766033</v>
      </c>
      <c r="CJ66" s="207">
        <f>RevBuild!CD64*RevBuild!CJ66</f>
        <v>12.251577216837612</v>
      </c>
      <c r="CK66" s="207">
        <f>RevBuild!CE64*RevBuild!CK66</f>
        <v>10.210098646728651</v>
      </c>
      <c r="CL66" s="207">
        <f>RevBuild!CF64*RevBuild!CL66</f>
        <v>10.850446360082334</v>
      </c>
      <c r="CM66" s="206">
        <f>RevBuild!CG64*RevBuild!CM66</f>
        <v>45.118536615878753</v>
      </c>
      <c r="CN66" s="68"/>
      <c r="CO66" s="339"/>
      <c r="CP66" s="339"/>
      <c r="CQ66" s="339"/>
      <c r="CR66" s="339"/>
      <c r="CS66" s="339"/>
      <c r="CT66" s="339"/>
      <c r="CU66" s="339"/>
      <c r="CV66" s="339"/>
      <c r="CW66" s="339"/>
      <c r="CX66" s="339"/>
      <c r="CY66" s="339"/>
      <c r="CZ66" s="339"/>
      <c r="DA66" s="339"/>
      <c r="DB66" s="339"/>
      <c r="DC66" s="339"/>
      <c r="DD66" s="339"/>
      <c r="DE66" s="339"/>
      <c r="DF66" s="339"/>
      <c r="DG66" s="339"/>
      <c r="DH66" s="339"/>
      <c r="DI66" s="339"/>
      <c r="DJ66" s="339"/>
      <c r="DK66" s="339"/>
      <c r="DL66" s="339"/>
      <c r="DM66" s="339"/>
    </row>
    <row r="67" spans="1:117" s="339" customFormat="1" hidden="1" outlineLevel="1">
      <c r="A67" s="1300" t="s">
        <v>0</v>
      </c>
      <c r="B67" s="1319"/>
      <c r="C67" s="1320"/>
      <c r="D67" s="1320"/>
      <c r="E67" s="1320"/>
      <c r="F67" s="1320"/>
      <c r="G67" s="1321"/>
      <c r="H67" s="1322"/>
      <c r="I67" s="1323">
        <f>RevBuild!C134*OrgRev!I10</f>
        <v>3.81372</v>
      </c>
      <c r="J67" s="1320">
        <f>RevBuild!D134*OrgRev!J10</f>
        <v>4.7724000000000002</v>
      </c>
      <c r="K67" s="1320">
        <f>RevBuild!E134*OrgRev!K10</f>
        <v>5.1060800000000004</v>
      </c>
      <c r="L67" s="1320">
        <f>RevBuild!F134*OrgRev!L10</f>
        <v>-1.0159399999999998</v>
      </c>
      <c r="M67" s="1323">
        <f>RevBuild!G134*OrgRev!M10</f>
        <v>14.709434999999999</v>
      </c>
      <c r="N67" s="1322"/>
      <c r="O67" s="1323">
        <f>RevBuild!I134*OrgRev!O10</f>
        <v>-2.2410000000000001</v>
      </c>
      <c r="P67" s="1320">
        <f>RevBuild!J134*OrgRev!P10</f>
        <v>-4.5307199999999996</v>
      </c>
      <c r="Q67" s="1320">
        <f>RevBuild!K134*OrgRev!Q10</f>
        <v>-7.1762100000000011</v>
      </c>
      <c r="R67" s="1320">
        <f>RevBuild!L134*OrgRev!R10</f>
        <v>-3.3893299999999997</v>
      </c>
      <c r="S67" s="1323">
        <f>RevBuild!M134*OrgRev!S10</f>
        <v>-17.40249</v>
      </c>
      <c r="T67" s="1322"/>
      <c r="U67" s="1323">
        <f>RevBuild!O134*OrgRev!U10</f>
        <v>2.7178399999999998</v>
      </c>
      <c r="V67" s="1320">
        <f>RevBuild!P134*OrgRev!V10</f>
        <v>9.0342000000000002</v>
      </c>
      <c r="W67" s="1320">
        <f>RevBuild!Q134*OrgRev!W10</f>
        <v>7.6482000000000001</v>
      </c>
      <c r="X67" s="1320">
        <f>RevBuild!R134*OrgRev!X10</f>
        <v>5.3900399999999999</v>
      </c>
      <c r="Y67" s="1323">
        <f>RevBuild!S134*OrgRev!Y10</f>
        <v>25.456687500000001</v>
      </c>
      <c r="Z67" s="1322"/>
      <c r="AA67" s="1323">
        <f>RevBuild!U134*OrgRev!AA10</f>
        <v>4.4936400000000001</v>
      </c>
      <c r="AB67" s="1320">
        <f>RevBuild!V134*OrgRev!AB10</f>
        <v>4.0763999999999996</v>
      </c>
      <c r="AC67" s="1320">
        <f>RevBuild!W134*OrgRev!AC10</f>
        <v>4.6214300000000001</v>
      </c>
      <c r="AD67" s="1320">
        <f>RevBuild!X134*OrgRev!AD10</f>
        <v>9.261587879393991</v>
      </c>
      <c r="AE67" s="1323">
        <f>RevBuild!Y134*OrgRev!AE10</f>
        <v>21.881328483924214</v>
      </c>
      <c r="AF67" s="1322"/>
      <c r="AG67" s="1323">
        <f>RevBuild!AA134*OrgRev!AG10</f>
        <v>4.2963000000000005</v>
      </c>
      <c r="AH67" s="1320">
        <f>RevBuild!AB134*OrgRev!AH10</f>
        <v>5.1739600000000001</v>
      </c>
      <c r="AI67" s="1320">
        <f>RevBuild!AC134*OrgRev!AI10</f>
        <v>0.48521000000000003</v>
      </c>
      <c r="AJ67" s="1320">
        <f>RevBuild!AD134*OrgRev!AJ10</f>
        <v>4.2866600000000004</v>
      </c>
      <c r="AK67" s="1323">
        <f>RevBuild!AE134*OrgRev!AK10</f>
        <v>15.920313000000025</v>
      </c>
      <c r="AL67" s="1322"/>
      <c r="AM67" s="1323">
        <f>RevBuild!AG134*OrgRev!AM10</f>
        <v>3.0750030000000081</v>
      </c>
      <c r="AN67" s="1320">
        <f>RevBuild!AH134*OrgRev!AN10</f>
        <v>-1.0175200000000062</v>
      </c>
      <c r="AO67" s="1320">
        <f>RevBuild!AI134*OrgRev!AO10</f>
        <v>7.6855799999999981</v>
      </c>
      <c r="AP67" s="1320">
        <f>RevBuild!AJ134*OrgRev!AP10</f>
        <v>11.07447999999998</v>
      </c>
      <c r="AQ67" s="1323">
        <f>RevBuild!AK134*OrgRev!AQ10</f>
        <v>20.920139999999972</v>
      </c>
      <c r="AR67" s="1322"/>
      <c r="AS67" s="1323">
        <f>RevBuild!AM134*OrgRev!AS10</f>
        <v>-2.0140000000000007</v>
      </c>
      <c r="AT67" s="1320">
        <f>RevBuild!AN134*OrgRev!AT10</f>
        <v>0.26739521893820017</v>
      </c>
      <c r="AU67" s="1320">
        <f>RevBuild!AO134*OrgRev!AU10</f>
        <v>-3.2509576070309159</v>
      </c>
      <c r="AV67" s="1320">
        <f>RevBuild!AP134*OrgRev!AV10</f>
        <v>-8.6890128950474281</v>
      </c>
      <c r="AW67" s="1323">
        <f>RevBuild!AQ134*OrgRev!AW10</f>
        <v>-12.014536647564961</v>
      </c>
      <c r="AX67" s="1322"/>
      <c r="AY67" s="1323">
        <f>RevBuild!AS134*OrgRev!AY10</f>
        <v>5.7129600000000114</v>
      </c>
      <c r="AZ67" s="1320">
        <f>RevBuild!AT134*OrgRev!AZ10</f>
        <v>2.2126199999999958</v>
      </c>
      <c r="BA67" s="1320">
        <f>RevBuild!AU134*OrgRev!BA10</f>
        <v>2.6131840000000044</v>
      </c>
      <c r="BB67" s="1320">
        <f>RevBuild!AV134*OrgRev!BB10</f>
        <v>13.693793204063669</v>
      </c>
      <c r="BC67" s="1323">
        <f>RevBuild!AW134*OrgRev!BC10</f>
        <v>23.065671591226486</v>
      </c>
      <c r="BD67" s="1322"/>
      <c r="BE67" s="1323">
        <f>RevBuild!AY134*OrgRev!BE10</f>
        <v>1.4268600245508503</v>
      </c>
      <c r="BF67" s="1320">
        <f>RevBuild!AZ134*OrgRev!BF10</f>
        <v>5.1547062703642288</v>
      </c>
      <c r="BG67" s="1320">
        <f>RevBuild!BA134*OrgRev!BG10</f>
        <v>0.6529104026385496</v>
      </c>
      <c r="BH67" s="1320">
        <f>RevBuild!BB134*OrgRev!BH10</f>
        <v>-1.8838299999999757</v>
      </c>
      <c r="BI67" s="1323">
        <f>RevBuild!BC134*OrgRev!BI10</f>
        <v>5.8657361759902926</v>
      </c>
      <c r="BJ67" s="1322"/>
      <c r="BK67" s="1323">
        <f>RevBuild!BE134*OrgRev!BK10</f>
        <v>4.5110600000000014</v>
      </c>
      <c r="BL67" s="1320">
        <f>RevBuild!BF134*OrgRev!BL10</f>
        <v>3.2192899999999938</v>
      </c>
      <c r="BM67" s="1320">
        <f>RevBuild!BG134*OrgRev!BM10</f>
        <v>5.6232075000000075</v>
      </c>
      <c r="BN67" s="1320">
        <f>RevBuild!BH134*OrgRev!BN10</f>
        <v>8.0241699999999998</v>
      </c>
      <c r="BO67" s="1323">
        <f>RevBuild!BI134*OrgRev!BO10</f>
        <v>20.958200000000073</v>
      </c>
      <c r="BP67" s="1322"/>
      <c r="BQ67" s="1323">
        <f>RevBuild!BK134*OrgRev!BQ10</f>
        <v>2.8356011679937265</v>
      </c>
      <c r="BR67" s="1320">
        <f>RevBuild!BL134*OrgRev!BR10</f>
        <v>4.3970451480727766</v>
      </c>
      <c r="BS67" s="1320">
        <f>RevBuild!BM134*OrgRev!BS10</f>
        <v>4.641495821583641</v>
      </c>
      <c r="BT67" s="1320">
        <f>RevBuild!BN134*OrgRev!BT10</f>
        <v>7.611132958194105</v>
      </c>
      <c r="BU67" s="1323">
        <f>RevBuild!BO134*OrgRev!BU10</f>
        <v>19.012032595844154</v>
      </c>
      <c r="BV67" s="1322"/>
      <c r="BW67" s="1323">
        <f>RevBuild!BQ134*OrgRev!BW10</f>
        <v>4.1181725059395013</v>
      </c>
      <c r="BX67" s="1320">
        <f>RevBuild!BR134*OrgRev!BX10</f>
        <v>4.684078567573807</v>
      </c>
      <c r="BY67" s="1320">
        <f>RevBuild!BS134*OrgRev!BY10</f>
        <v>4.7435045449036348</v>
      </c>
      <c r="BZ67" s="1320">
        <f>RevBuild!BT134*OrgRev!BZ10</f>
        <v>6.6867945099276156</v>
      </c>
      <c r="CA67" s="1323">
        <f>RevBuild!BU134*OrgRev!CA10</f>
        <v>20.232550128344581</v>
      </c>
      <c r="CB67" s="1322"/>
      <c r="CC67" s="1323">
        <f>RevBuild!BW134*OrgRev!CC10</f>
        <v>3.115745933696664</v>
      </c>
      <c r="CD67" s="1320">
        <f>RevBuild!BX134*OrgRev!CD10</f>
        <v>3.5229086857823479</v>
      </c>
      <c r="CE67" s="1320">
        <f>RevBuild!BY134*OrgRev!CE10</f>
        <v>3.5594180183243669</v>
      </c>
      <c r="CF67" s="1320">
        <f>RevBuild!BZ134*OrgRev!CF10</f>
        <v>4.9772018734061119</v>
      </c>
      <c r="CG67" s="1323">
        <f>RevBuild!CA134*OrgRev!CG10</f>
        <v>15.175274511209453</v>
      </c>
      <c r="CH67" s="1322"/>
      <c r="CI67" s="1323">
        <f>RevBuild!CC134*OrgRev!CI10</f>
        <v>3.2715332303815114</v>
      </c>
      <c r="CJ67" s="1320">
        <f>RevBuild!CD134*OrgRev!CJ10</f>
        <v>3.6990541200714495</v>
      </c>
      <c r="CK67" s="1320">
        <f>RevBuild!CE134*OrgRev!CK10</f>
        <v>3.7373889192405851</v>
      </c>
      <c r="CL67" s="1320">
        <f>RevBuild!CF134*OrgRev!CL10</f>
        <v>5.2260619670763946</v>
      </c>
      <c r="CM67" s="1323">
        <f>RevBuild!CG134*OrgRev!CM10</f>
        <v>15.934038236769856</v>
      </c>
      <c r="CN67" s="69"/>
      <c r="CO67" s="358"/>
      <c r="CP67" s="358"/>
      <c r="CQ67" s="358"/>
      <c r="CR67" s="358"/>
      <c r="CS67" s="358"/>
      <c r="CT67" s="358"/>
      <c r="CU67" s="358"/>
      <c r="CV67" s="358"/>
      <c r="CW67" s="358"/>
      <c r="CX67" s="358"/>
      <c r="CY67" s="358"/>
      <c r="CZ67" s="358"/>
      <c r="DA67" s="358"/>
      <c r="DB67" s="358"/>
      <c r="DC67" s="358"/>
      <c r="DD67" s="358"/>
      <c r="DE67" s="358"/>
      <c r="DF67" s="358"/>
      <c r="DG67" s="358"/>
      <c r="DH67" s="358"/>
      <c r="DI67" s="358"/>
      <c r="DJ67" s="358"/>
      <c r="DK67" s="358"/>
      <c r="DL67" s="358"/>
      <c r="DM67" s="358"/>
    </row>
    <row r="68" spans="1:117" s="358" customFormat="1" hidden="1" outlineLevel="1">
      <c r="A68" s="183" t="s">
        <v>91</v>
      </c>
      <c r="B68" s="70"/>
      <c r="C68" s="207"/>
      <c r="D68" s="207"/>
      <c r="E68" s="207"/>
      <c r="F68" s="207"/>
      <c r="G68" s="205"/>
      <c r="H68" s="1299"/>
      <c r="I68" s="206">
        <f>RevBuild!C58*RevBuild!I60</f>
        <v>0</v>
      </c>
      <c r="J68" s="207">
        <f>RevBuild!D58*RevBuild!J60</f>
        <v>0</v>
      </c>
      <c r="K68" s="207">
        <f>RevBuild!E58*RevBuild!K60</f>
        <v>0</v>
      </c>
      <c r="L68" s="207">
        <f>RevBuild!F58*RevBuild!L60</f>
        <v>0</v>
      </c>
      <c r="M68" s="206">
        <f>RevBuild!G58*RevBuild!M60</f>
        <v>22.603559999999998</v>
      </c>
      <c r="N68" s="1299"/>
      <c r="O68" s="206">
        <f>RevBuild!I58*RevBuild!O60</f>
        <v>-5.6190000000000015</v>
      </c>
      <c r="P68" s="207">
        <f>RevBuild!J58*RevBuild!P60</f>
        <v>-4.7338000000000022</v>
      </c>
      <c r="Q68" s="207">
        <f>RevBuild!K58*RevBuild!Q60</f>
        <v>-7.233380000000003</v>
      </c>
      <c r="R68" s="207">
        <f>RevBuild!L58*RevBuild!R60</f>
        <v>-2.2399999999999811</v>
      </c>
      <c r="S68" s="206">
        <f>RevBuild!M58*RevBuild!S60</f>
        <v>-19.204691135722733</v>
      </c>
      <c r="T68" s="1299"/>
      <c r="U68" s="206">
        <f>RevBuild!O58*RevBuild!U60</f>
        <v>1.3549999999999973</v>
      </c>
      <c r="V68" s="207">
        <f>RevBuild!P58*RevBuild!V60</f>
        <v>6.8520199999999987</v>
      </c>
      <c r="W68" s="207">
        <f>RevBuild!Q58*RevBuild!W60</f>
        <v>7.3228000000000026</v>
      </c>
      <c r="X68" s="207">
        <f>RevBuild!R58*RevBuild!X60</f>
        <v>4.4799999999999907</v>
      </c>
      <c r="Y68" s="206">
        <f>RevBuild!S58*RevBuild!Y60</f>
        <v>20.917228286478423</v>
      </c>
      <c r="Z68" s="1299"/>
      <c r="AA68" s="206">
        <f>RevBuild!U58*RevBuild!AA60</f>
        <v>3.7500599999999995</v>
      </c>
      <c r="AB68" s="207">
        <f>RevBuild!V58*RevBuild!AB60</f>
        <v>3.6087999999999969</v>
      </c>
      <c r="AC68" s="207">
        <f>RevBuild!W58*RevBuild!AC60</f>
        <v>3.4944800000000025</v>
      </c>
      <c r="AD68" s="207">
        <f>RevBuild!X58*RevBuild!AD60</f>
        <v>7.1520000000000152</v>
      </c>
      <c r="AE68" s="206">
        <f>RevBuild!Y58*RevBuild!AE60</f>
        <v>18.005340000000015</v>
      </c>
      <c r="AF68" s="1299"/>
      <c r="AG68" s="206">
        <f>RevBuild!AA58*RevBuild!AG60</f>
        <v>3.2103000000000002</v>
      </c>
      <c r="AH68" s="207">
        <f>RevBuild!AB58*RevBuild!AH60</f>
        <v>3.8973</v>
      </c>
      <c r="AI68" s="207">
        <f>RevBuild!AC58*RevBuild!AI60</f>
        <v>0.36580000000000001</v>
      </c>
      <c r="AJ68" s="207">
        <f>RevBuild!AD58*RevBuild!AJ60</f>
        <v>3.3005000000000009</v>
      </c>
      <c r="AK68" s="206">
        <f>RevBuild!AE58*RevBuild!AK60</f>
        <v>10.773900000000001</v>
      </c>
      <c r="AL68" s="1299"/>
      <c r="AM68" s="206">
        <f>RevBuild!AG58*RevBuild!AM60</f>
        <v>2.0939999999999999</v>
      </c>
      <c r="AN68" s="207">
        <f>RevBuild!AH58*RevBuild!AN60</f>
        <v>-1.1398200000000001</v>
      </c>
      <c r="AO68" s="207">
        <f>RevBuild!AI58*RevBuild!AO60</f>
        <v>5.2775999999999996</v>
      </c>
      <c r="AP68" s="207">
        <f>RevBuild!AJ58*RevBuild!AP60</f>
        <v>7.86944</v>
      </c>
      <c r="AQ68" s="206">
        <f>RevBuild!AK58*RevBuild!AQ60</f>
        <v>14.101220000000001</v>
      </c>
      <c r="AR68" s="1299"/>
      <c r="AS68" s="206">
        <f>RevBuild!AM58*RevBuild!AS60</f>
        <v>2.1634199999999999</v>
      </c>
      <c r="AT68" s="207">
        <f>RevBuild!AN58*RevBuild!AT60</f>
        <v>5.6462400000000006</v>
      </c>
      <c r="AU68" s="207">
        <f>RevBuild!AO58*RevBuild!AU60</f>
        <v>1.2162299999999999</v>
      </c>
      <c r="AV68" s="207">
        <f>RevBuild!AP58*RevBuild!AV60</f>
        <v>-2.7938999999999994</v>
      </c>
      <c r="AW68" s="206">
        <f>RevBuild!AQ58*RevBuild!AW60</f>
        <v>6.2319900000000015</v>
      </c>
      <c r="AX68" s="1299"/>
      <c r="AY68" s="206">
        <f>RevBuild!AS58*RevBuild!AY60</f>
        <v>4.6519200000000005</v>
      </c>
      <c r="AZ68" s="207">
        <f>RevBuild!AT58*RevBuild!AZ60</f>
        <v>-3.0803199999999999</v>
      </c>
      <c r="BA68" s="207">
        <f>RevBuild!AU58*RevBuild!BA60</f>
        <v>0.80379999999999996</v>
      </c>
      <c r="BB68" s="207">
        <f>RevBuild!AV58*RevBuild!BB60</f>
        <v>8.2407780000000006</v>
      </c>
      <c r="BC68" s="206">
        <f>RevBuild!AW58*RevBuild!BC60</f>
        <v>10.616178000000001</v>
      </c>
      <c r="BD68" s="1299"/>
      <c r="BE68" s="206">
        <f>RevBuild!AY58*RevBuild!BE60</f>
        <v>-0.39779363413751784</v>
      </c>
      <c r="BF68" s="207">
        <f>RevBuild!AZ58*RevBuild!BF60</f>
        <v>4.0355432247687073</v>
      </c>
      <c r="BG68" s="207">
        <f>RevBuild!BA58*RevBuild!BG60</f>
        <v>-0.12067020000000001</v>
      </c>
      <c r="BH68" s="207">
        <f>RevBuild!BB58*RevBuild!BH60</f>
        <v>-2.0118060881355988</v>
      </c>
      <c r="BI68" s="206">
        <f>RevBuild!BC58*RevBuild!BI60</f>
        <v>1.5052733024955909</v>
      </c>
      <c r="BJ68" s="1299"/>
      <c r="BK68" s="206">
        <f>RevBuild!BE58*RevBuild!BK60</f>
        <v>3.7176026198566121</v>
      </c>
      <c r="BL68" s="207">
        <f>RevBuild!BF58*RevBuild!BL60</f>
        <v>3.0963627127167506</v>
      </c>
      <c r="BM68" s="207">
        <f>RevBuild!BG58*RevBuild!BM60</f>
        <v>4.7462406205524967</v>
      </c>
      <c r="BN68" s="207">
        <f>RevBuild!BH58*RevBuild!BN60</f>
        <v>6.5721136499590154</v>
      </c>
      <c r="BO68" s="206">
        <f>RevBuild!BI58*RevBuild!BO60</f>
        <v>18.132319603084873</v>
      </c>
      <c r="BP68" s="1299"/>
      <c r="BQ68" s="206">
        <f>RevBuild!BK58*RevBuild!BQ60</f>
        <v>1.9271693740666853</v>
      </c>
      <c r="BR68" s="207">
        <f>RevBuild!BL58*RevBuild!BR60</f>
        <v>3.0428712371312066</v>
      </c>
      <c r="BS68" s="207">
        <f>RevBuild!BM58*RevBuild!BS60</f>
        <v>2.6816259506121605</v>
      </c>
      <c r="BT68" s="207">
        <f>RevBuild!BN58*RevBuild!BT60</f>
        <v>3.8564761547507604</v>
      </c>
      <c r="BU68" s="206">
        <f>RevBuild!BO58*RevBuild!BU60</f>
        <v>11.508142716560812</v>
      </c>
      <c r="BV68" s="1299"/>
      <c r="BW68" s="206">
        <f>RevBuild!BQ58*RevBuild!BW60</f>
        <v>3.2222271934394975</v>
      </c>
      <c r="BX68" s="207">
        <f>RevBuild!BR58*RevBuild!BX60</f>
        <v>3.7209968271204468</v>
      </c>
      <c r="BY68" s="207">
        <f>RevBuild!BS58*RevBuild!BY60</f>
        <v>3.790031343531854</v>
      </c>
      <c r="BZ68" s="207">
        <f>RevBuild!BT58*RevBuild!BZ60</f>
        <v>5.4504862987144085</v>
      </c>
      <c r="CA68" s="206">
        <f>RevBuild!BU58*RevBuild!CA60</f>
        <v>16.183741662806206</v>
      </c>
      <c r="CB68" s="1299"/>
      <c r="CC68" s="206">
        <f>RevBuild!BW58*RevBuild!CC60</f>
        <v>2.1750033555716608</v>
      </c>
      <c r="CD68" s="207">
        <f>RevBuild!BX58*RevBuild!CD60</f>
        <v>2.5116728583063019</v>
      </c>
      <c r="CE68" s="207">
        <f>RevBuild!BY58*RevBuild!CE60</f>
        <v>2.5582711568840018</v>
      </c>
      <c r="CF68" s="207">
        <f>RevBuild!BZ58*RevBuild!CF60</f>
        <v>3.6790782516322262</v>
      </c>
      <c r="CG68" s="206">
        <f>RevBuild!CA58*RevBuild!CG60</f>
        <v>10.924025622394192</v>
      </c>
      <c r="CH68" s="1299"/>
      <c r="CI68" s="206">
        <f>RevBuild!CC58*RevBuild!CI60</f>
        <v>2.283753523350244</v>
      </c>
      <c r="CJ68" s="207">
        <f>RevBuild!CD58*RevBuild!CJ60</f>
        <v>2.6372565012216174</v>
      </c>
      <c r="CK68" s="207">
        <f>RevBuild!CE58*RevBuild!CK60</f>
        <v>2.6861847147282019</v>
      </c>
      <c r="CL68" s="207">
        <f>RevBuild!CF58*RevBuild!CL60</f>
        <v>3.8630321642138377</v>
      </c>
      <c r="CM68" s="206">
        <f>RevBuild!CG58*RevBuild!CM60</f>
        <v>11.4702269035139</v>
      </c>
      <c r="CN68" s="68"/>
    </row>
    <row r="69" spans="1:117" s="358" customFormat="1" hidden="1" outlineLevel="1">
      <c r="A69" s="183" t="s">
        <v>77</v>
      </c>
      <c r="B69" s="70"/>
      <c r="C69" s="207"/>
      <c r="D69" s="207"/>
      <c r="E69" s="207"/>
      <c r="F69" s="207"/>
      <c r="G69" s="205"/>
      <c r="H69" s="1299"/>
      <c r="I69" s="206">
        <f>RevBuild!C67*RevBuild!I69</f>
        <v>1.0083200000000001</v>
      </c>
      <c r="J69" s="207">
        <f>RevBuild!D67*RevBuild!J69</f>
        <v>2.4386300000000003</v>
      </c>
      <c r="K69" s="207">
        <f>RevBuild!E67*RevBuild!K69</f>
        <v>2.3259800000000004</v>
      </c>
      <c r="L69" s="207">
        <f>RevBuild!F67*RevBuild!L69</f>
        <v>2.1069999999999989</v>
      </c>
      <c r="M69" s="206">
        <f>RevBuild!G67*RevBuild!M69</f>
        <v>7.8302706328182028</v>
      </c>
      <c r="N69" s="1299"/>
      <c r="O69" s="206">
        <f>RevBuild!I67*RevBuild!O69</f>
        <v>0.74800000000000111</v>
      </c>
      <c r="P69" s="207">
        <f>RevBuild!J67*RevBuild!P69</f>
        <v>-0.37568000000000118</v>
      </c>
      <c r="Q69" s="207">
        <f>RevBuild!K67*RevBuild!Q69</f>
        <v>2.28464</v>
      </c>
      <c r="R69" s="207">
        <f>RevBuild!L67*RevBuild!R69</f>
        <v>-1.2659999999999985</v>
      </c>
      <c r="S69" s="206">
        <f>RevBuild!M67*RevBuild!S69</f>
        <v>1.7087545332655731</v>
      </c>
      <c r="T69" s="1299"/>
      <c r="U69" s="206">
        <f>RevBuild!O67*RevBuild!U69</f>
        <v>0.76007999999999676</v>
      </c>
      <c r="V69" s="207">
        <f>RevBuild!P67*RevBuild!V69</f>
        <v>1.9696300000000004</v>
      </c>
      <c r="W69" s="207">
        <f>RevBuild!Q67*RevBuild!W69</f>
        <v>-1.0014000000000007</v>
      </c>
      <c r="X69" s="207">
        <f>RevBuild!R67*RevBuild!X69</f>
        <v>2.399000000000004</v>
      </c>
      <c r="Y69" s="206">
        <f>RevBuild!S67*RevBuild!Y69</f>
        <v>4.5771180400324472</v>
      </c>
      <c r="Z69" s="1299"/>
      <c r="AA69" s="206">
        <f>RevBuild!U67*RevBuild!AA69</f>
        <v>1.0170000000000003</v>
      </c>
      <c r="AB69" s="207">
        <f>RevBuild!V67*RevBuild!AB69</f>
        <v>0.21736000000000125</v>
      </c>
      <c r="AC69" s="207">
        <f>RevBuild!W67*RevBuild!AC69</f>
        <v>1.3330000000000017</v>
      </c>
      <c r="AD69" s="207">
        <f>RevBuild!X67*RevBuild!AD69</f>
        <v>2.2899999999999898</v>
      </c>
      <c r="AE69" s="206">
        <f>RevBuild!Y67*RevBuild!AE69</f>
        <v>4.7734069963274699</v>
      </c>
      <c r="AF69" s="1299"/>
      <c r="AG69" s="206">
        <f>RevBuild!AA67*RevBuild!AG69</f>
        <v>1.6642000000000008</v>
      </c>
      <c r="AH69" s="207">
        <f>RevBuild!AB67*RevBuild!AH69</f>
        <v>1.7221799999999996</v>
      </c>
      <c r="AI69" s="207">
        <f>RevBuild!AC67*RevBuild!AI69</f>
        <v>1.1122300000000003</v>
      </c>
      <c r="AJ69" s="207">
        <f>RevBuild!AD67*RevBuild!AJ69</f>
        <v>1.8492320000000078</v>
      </c>
      <c r="AK69" s="206">
        <f>RevBuild!AE67*RevBuild!AK69</f>
        <v>6.3775168626029677</v>
      </c>
      <c r="AL69" s="1299"/>
      <c r="AM69" s="206">
        <f>RevBuild!AG67*RevBuild!AM69</f>
        <v>0.91820999999999942</v>
      </c>
      <c r="AN69" s="207">
        <f>RevBuild!AH67*RevBuild!AN69</f>
        <v>0.92759999999999798</v>
      </c>
      <c r="AO69" s="207">
        <f>RevBuild!AI67*RevBuild!AO69</f>
        <v>1.6248999999999998</v>
      </c>
      <c r="AP69" s="207">
        <f>RevBuild!AJ67*RevBuild!AP69</f>
        <v>3.3967999999999998</v>
      </c>
      <c r="AQ69" s="206">
        <f>RevBuild!AK67*RevBuild!AQ69</f>
        <v>6.5792619558009768</v>
      </c>
      <c r="AR69" s="1299"/>
      <c r="AS69" s="206">
        <f>RevBuild!AM67*RevBuild!AS69</f>
        <v>0.81500000000000083</v>
      </c>
      <c r="AT69" s="207">
        <f>RevBuild!AN67*RevBuild!AT69</f>
        <v>1.7038160000000011</v>
      </c>
      <c r="AU69" s="207">
        <f>RevBuild!AO67*RevBuild!AU69</f>
        <v>1.8959999999999992</v>
      </c>
      <c r="AV69" s="207">
        <f>RevBuild!AP67*RevBuild!AV69</f>
        <v>-0.11889999999999461</v>
      </c>
      <c r="AW69" s="206">
        <f>RevBuild!AQ67*RevBuild!AW69</f>
        <v>4.7025181410665002</v>
      </c>
      <c r="AX69" s="1299"/>
      <c r="AY69" s="206">
        <f>RevBuild!AS67*RevBuild!AY69</f>
        <v>2.0506499999999996</v>
      </c>
      <c r="AZ69" s="207">
        <f>RevBuild!AT67*RevBuild!AZ69</f>
        <v>1.0822700000000001</v>
      </c>
      <c r="BA69" s="207">
        <f>RevBuild!AU67*RevBuild!BA69</f>
        <v>0.31924000000000002</v>
      </c>
      <c r="BB69" s="207">
        <f>RevBuild!AV67*RevBuild!BB69</f>
        <v>3.0195400000000014</v>
      </c>
      <c r="BC69" s="206">
        <f>RevBuild!AW67*RevBuild!BC69</f>
        <v>6.4427400000000006</v>
      </c>
      <c r="BD69" s="1299"/>
      <c r="BE69" s="206">
        <f>RevBuild!AY67*RevBuild!BE69</f>
        <v>1.4938798839823653</v>
      </c>
      <c r="BF69" s="207">
        <f>RevBuild!AZ67*RevBuild!BF69</f>
        <v>1.5770219999999999</v>
      </c>
      <c r="BG69" s="207">
        <f>RevBuild!BA67*RevBuild!BG69</f>
        <v>1.2835044200000001</v>
      </c>
      <c r="BH69" s="207">
        <f>RevBuild!BB67*RevBuild!BH69</f>
        <v>0.79259443999908008</v>
      </c>
      <c r="BI69" s="206">
        <f>RevBuild!BC67*RevBuild!BI69</f>
        <v>5.2474850268565172</v>
      </c>
      <c r="BJ69" s="1299"/>
      <c r="BK69" s="206">
        <f>RevBuild!BE67*RevBuild!BK69</f>
        <v>0.95250000000000012</v>
      </c>
      <c r="BL69" s="207">
        <f>RevBuild!BF67*RevBuild!BL69</f>
        <v>1.0399484197580142</v>
      </c>
      <c r="BM69" s="207">
        <f>RevBuild!BG67*RevBuild!BM69</f>
        <v>1.1497523530753513</v>
      </c>
      <c r="BN69" s="207">
        <f>RevBuild!BH67*RevBuild!BN69</f>
        <v>1.9715984843587113</v>
      </c>
      <c r="BO69" s="206">
        <f>RevBuild!BI67*RevBuild!BO69</f>
        <v>4.8929910247876016</v>
      </c>
      <c r="BP69" s="1299"/>
      <c r="BQ69" s="206">
        <f>RevBuild!BK67*RevBuild!BQ69</f>
        <v>1.3335000000000004</v>
      </c>
      <c r="BR69" s="207">
        <f>RevBuild!BL67*RevBuild!BR69</f>
        <v>1.3438349866791059</v>
      </c>
      <c r="BS69" s="207">
        <f>RevBuild!BM67*RevBuild!BS69</f>
        <v>1.3304277228443351</v>
      </c>
      <c r="BT69" s="207">
        <f>RevBuild!BN67*RevBuild!BT69</f>
        <v>1.9370727733294368</v>
      </c>
      <c r="BU69" s="206">
        <f>RevBuild!BO67*RevBuild!BU69</f>
        <v>5.5545031684476527</v>
      </c>
      <c r="BV69" s="1299"/>
      <c r="BW69" s="206">
        <f>RevBuild!BQ67*RevBuild!BW69</f>
        <v>0.8959453125000002</v>
      </c>
      <c r="BX69" s="207">
        <f>RevBuild!BR67*RevBuild!BX69</f>
        <v>0.96308174045335937</v>
      </c>
      <c r="BY69" s="207">
        <f>RevBuild!BS67*RevBuild!BY69</f>
        <v>0.95347320137177349</v>
      </c>
      <c r="BZ69" s="207">
        <f>RevBuild!BT67*RevBuild!BZ69</f>
        <v>1.2363082112131993</v>
      </c>
      <c r="CA69" s="206">
        <f>RevBuild!BU67*RevBuild!CA69</f>
        <v>4.0488084655383316</v>
      </c>
      <c r="CB69" s="1299"/>
      <c r="CC69" s="206">
        <f>RevBuild!BW67*RevBuild!CC69</f>
        <v>0.94074257812500017</v>
      </c>
      <c r="CD69" s="207">
        <f>RevBuild!BX67*RevBuild!CD69</f>
        <v>1.0112358274760274</v>
      </c>
      <c r="CE69" s="207">
        <f>RevBuild!BY67*RevBuild!CE69</f>
        <v>1.0011468614403622</v>
      </c>
      <c r="CF69" s="207">
        <f>RevBuild!BZ67*RevBuild!CF69</f>
        <v>1.2981236217738594</v>
      </c>
      <c r="CG69" s="206">
        <f>RevBuild!CA67*RevBuild!CG69</f>
        <v>4.2512488888152493</v>
      </c>
      <c r="CH69" s="1299"/>
      <c r="CI69" s="206">
        <f>RevBuild!CC67*RevBuild!CI69</f>
        <v>0.98777970703125018</v>
      </c>
      <c r="CJ69" s="207">
        <f>RevBuild!CD67*RevBuild!CJ69</f>
        <v>1.0617976188498288</v>
      </c>
      <c r="CK69" s="207">
        <f>RevBuild!CE67*RevBuild!CK69</f>
        <v>1.0512042045123804</v>
      </c>
      <c r="CL69" s="207">
        <f>RevBuild!CF67*RevBuild!CL69</f>
        <v>1.3630298028625525</v>
      </c>
      <c r="CM69" s="206">
        <f>RevBuild!CG67*RevBuild!CM69</f>
        <v>4.4638113332560119</v>
      </c>
      <c r="CN69" s="68"/>
    </row>
    <row r="70" spans="1:117" s="358" customFormat="1" hidden="1" outlineLevel="1">
      <c r="A70" s="1301" t="s">
        <v>473</v>
      </c>
      <c r="B70" s="1302"/>
      <c r="C70" s="1303"/>
      <c r="D70" s="1303"/>
      <c r="E70" s="1303"/>
      <c r="F70" s="1303"/>
      <c r="G70" s="1304"/>
      <c r="H70" s="1305"/>
      <c r="I70" s="1306">
        <f>RevBuild!C16*OrgRev!I17</f>
        <v>21.37438000000008</v>
      </c>
      <c r="J70" s="1303">
        <f>RevBuild!D16*OrgRev!J17</f>
        <v>24.697200000000009</v>
      </c>
      <c r="K70" s="1303">
        <f>RevBuild!E16*OrgRev!K17</f>
        <v>23.092859999999945</v>
      </c>
      <c r="L70" s="1303">
        <f>RevBuild!F16*OrgRev!L17</f>
        <v>-1.1918799999999758</v>
      </c>
      <c r="M70" s="1304">
        <f>RevBuild!G16*OrgRev!M17</f>
        <v>61.567180000000121</v>
      </c>
      <c r="N70" s="1305"/>
      <c r="O70" s="1306">
        <f>RevBuild!I16*OrgRev!O17</f>
        <v>-22.580322222222268</v>
      </c>
      <c r="P70" s="1303">
        <f>RevBuild!J16*OrgRev!P17</f>
        <v>-23.693450000000023</v>
      </c>
      <c r="Q70" s="1303">
        <f>RevBuild!K16*OrgRev!Q17</f>
        <v>-16.210099999999933</v>
      </c>
      <c r="R70" s="1303">
        <f>RevBuild!L16*OrgRev!R17</f>
        <v>-14.582859999999926</v>
      </c>
      <c r="S70" s="1304">
        <f>RevBuild!M16*OrgRev!S17</f>
        <v>-77.566958329730042</v>
      </c>
      <c r="T70" s="1305"/>
      <c r="U70" s="1306">
        <f>RevBuild!O16*OrgRev!U17</f>
        <v>21.325919999999993</v>
      </c>
      <c r="V70" s="1303">
        <f>RevBuild!P16*OrgRev!V17</f>
        <v>31.846369999999986</v>
      </c>
      <c r="W70" s="1303">
        <f>RevBuild!Q16*OrgRev!W17</f>
        <v>34.700159932720581</v>
      </c>
      <c r="X70" s="1303">
        <f>RevBuild!R16*OrgRev!X17</f>
        <v>50.255796480058216</v>
      </c>
      <c r="Y70" s="1304">
        <f>RevBuild!S16*OrgRev!Y17</f>
        <v>135.56620027932294</v>
      </c>
      <c r="Z70" s="1305"/>
      <c r="AA70" s="1306">
        <f>RevBuild!U16*OrgRev!AA17</f>
        <v>52.548999999999999</v>
      </c>
      <c r="AB70" s="1303">
        <f>RevBuild!V16*OrgRev!AB17</f>
        <v>33.108700000000063</v>
      </c>
      <c r="AC70" s="1303">
        <f>RevBuild!W16*OrgRev!AC17</f>
        <v>37.454480000000004</v>
      </c>
      <c r="AD70" s="1303">
        <f>RevBuild!X16*OrgRev!AD17</f>
        <v>37.841999999999949</v>
      </c>
      <c r="AE70" s="1304">
        <f>RevBuild!Y16*OrgRev!AE17</f>
        <v>164.01902411908156</v>
      </c>
      <c r="AF70" s="1305"/>
      <c r="AG70" s="1306">
        <f>RevBuild!AA16*OrgRev!AG17</f>
        <v>1.4070600000000202</v>
      </c>
      <c r="AH70" s="1303">
        <f>RevBuild!AB16*OrgRev!AH17</f>
        <v>15.923928999999939</v>
      </c>
      <c r="AI70" s="1303">
        <f>RevBuild!AC16*OrgRev!AI17</f>
        <v>7.69041800000001</v>
      </c>
      <c r="AJ70" s="1303">
        <f>RevBuild!AD16*OrgRev!AJ17</f>
        <v>6.0816199999999876</v>
      </c>
      <c r="AK70" s="1304">
        <f>RevBuild!AE16*OrgRev!AK17</f>
        <v>30.406272000000186</v>
      </c>
      <c r="AL70" s="1305"/>
      <c r="AM70" s="1306">
        <f>RevBuild!AG16*OrgRev!AM17</f>
        <v>22.073281999999992</v>
      </c>
      <c r="AN70" s="1303">
        <f>RevBuild!AH16*OrgRev!AN17</f>
        <v>8.67930000000006</v>
      </c>
      <c r="AO70" s="1303">
        <f>RevBuild!AI16*OrgRev!AO17</f>
        <v>16.364040000000031</v>
      </c>
      <c r="AP70" s="1303">
        <f>RevBuild!AJ16*OrgRev!AP17</f>
        <v>54.117320000000014</v>
      </c>
      <c r="AQ70" s="1304">
        <f>RevBuild!AK16*OrgRev!AQ17</f>
        <v>101.59801224999975</v>
      </c>
      <c r="AR70" s="1305"/>
      <c r="AS70" s="1306">
        <f>RevBuild!AM16*OrgRev!AS17</f>
        <v>0.16999999999994569</v>
      </c>
      <c r="AT70" s="1303">
        <f>RevBuild!AN16*OrgRev!AT17</f>
        <v>22.565929999999994</v>
      </c>
      <c r="AU70" s="1303">
        <f>RevBuild!AO16*OrgRev!AU17</f>
        <v>31.274830000000065</v>
      </c>
      <c r="AV70" s="1303">
        <f>RevBuild!AP16*OrgRev!AV17</f>
        <v>41.039920000000002</v>
      </c>
      <c r="AW70" s="1304">
        <f>RevBuild!AQ16*OrgRev!AW17</f>
        <v>90.83865400000002</v>
      </c>
      <c r="AX70" s="1305"/>
      <c r="AY70" s="1306">
        <f>RevBuild!AS16*OrgRev!AY17</f>
        <v>47.116320000000044</v>
      </c>
      <c r="AZ70" s="1303">
        <f>RevBuild!AT16*OrgRev!AZ17</f>
        <v>36.547249000000015</v>
      </c>
      <c r="BA70" s="1303">
        <f>RevBuild!AU16*OrgRev!BA17</f>
        <v>31.084919999999965</v>
      </c>
      <c r="BB70" s="1303">
        <f>RevBuild!AV16*OrgRev!BB17</f>
        <v>46.193937988032602</v>
      </c>
      <c r="BC70" s="1304">
        <f>RevBuild!AW16*OrgRev!BC17</f>
        <v>158.13676400064426</v>
      </c>
      <c r="BD70" s="1305"/>
      <c r="BE70" s="1306">
        <f>RevBuild!AY16*OrgRev!BE17</f>
        <v>24.913428467819948</v>
      </c>
      <c r="BF70" s="1303">
        <f>RevBuild!AZ16*OrgRev!BF17</f>
        <v>40.253149999999941</v>
      </c>
      <c r="BG70" s="1303">
        <f>RevBuild!BA16*OrgRev!BG17</f>
        <v>23.875844000000072</v>
      </c>
      <c r="BH70" s="1303">
        <f>RevBuild!BB16*OrgRev!BH17</f>
        <v>48.043100000000067</v>
      </c>
      <c r="BI70" s="1304">
        <f>RevBuild!BC16*OrgRev!BI17</f>
        <v>137.32526097585446</v>
      </c>
      <c r="BJ70" s="1305"/>
      <c r="BK70" s="1306">
        <f>RevBuild!BE16*OrgRev!BK17</f>
        <v>32.227919999999976</v>
      </c>
      <c r="BL70" s="1303">
        <f>RevBuild!BF16*OrgRev!BL17</f>
        <v>27.055600000000076</v>
      </c>
      <c r="BM70" s="1303">
        <f>RevBuild!BG16*OrgRev!BM17</f>
        <v>37.436924999999903</v>
      </c>
      <c r="BN70" s="1303">
        <f>RevBuild!BH16*OrgRev!BN17</f>
        <v>39.624389999999934</v>
      </c>
      <c r="BO70" s="1304">
        <f>RevBuild!BI16*OrgRev!BO17</f>
        <v>140.300360625</v>
      </c>
      <c r="BP70" s="1305"/>
      <c r="BQ70" s="1306">
        <f>RevBuild!BK16*OrgRev!BQ17</f>
        <v>35.671120733777812</v>
      </c>
      <c r="BR70" s="1303">
        <f>RevBuild!BL16*OrgRev!BR17</f>
        <v>40.745653574639633</v>
      </c>
      <c r="BS70" s="1303">
        <f>RevBuild!BM16*OrgRev!BS17</f>
        <v>34.846951852921293</v>
      </c>
      <c r="BT70" s="1303">
        <f>RevBuild!BN16*OrgRev!BT17</f>
        <v>41.344097147010686</v>
      </c>
      <c r="BU70" s="1304">
        <f>RevBuild!BO16*OrgRev!BU17</f>
        <v>151.65967980834932</v>
      </c>
      <c r="BV70" s="1305"/>
      <c r="BW70" s="1306">
        <f>RevBuild!BQ16*OrgRev!BW17</f>
        <v>35.449817453832814</v>
      </c>
      <c r="BX70" s="1303">
        <f>RevBuild!BR16*OrgRev!BX17</f>
        <v>35.573467707975254</v>
      </c>
      <c r="BY70" s="1303">
        <f>RevBuild!BS16*OrgRev!BY17</f>
        <v>33.615273038396474</v>
      </c>
      <c r="BZ70" s="1303">
        <f>RevBuild!BT16*OrgRev!BZ17</f>
        <v>36.013490205171422</v>
      </c>
      <c r="CA70" s="1306">
        <f>RevBuild!BU16*OrgRev!CA17</f>
        <v>140.65204840537606</v>
      </c>
      <c r="CB70" s="1305"/>
      <c r="CC70" s="1306">
        <f>RevBuild!BW16*OrgRev!CC17</f>
        <v>33.206869849191847</v>
      </c>
      <c r="CD70" s="1303">
        <f>RevBuild!BX16*OrgRev!CD17</f>
        <v>32.533228382283987</v>
      </c>
      <c r="CE70" s="1303">
        <f>RevBuild!BY16*OrgRev!CE17</f>
        <v>31.250998636829586</v>
      </c>
      <c r="CF70" s="1303">
        <f>RevBuild!BZ16*OrgRev!CF17</f>
        <v>32.575677745941945</v>
      </c>
      <c r="CG70" s="1306">
        <f>RevBuild!CA16*OrgRev!CG17</f>
        <v>129.56677461424758</v>
      </c>
      <c r="CH70" s="1305"/>
      <c r="CI70" s="1306">
        <f>RevBuild!CC16*OrgRev!CI17</f>
        <v>35.135431886804618</v>
      </c>
      <c r="CJ70" s="1303">
        <f>RevBuild!CD16*OrgRev!CJ17</f>
        <v>34.236442512062538</v>
      </c>
      <c r="CK70" s="1303">
        <f>RevBuild!CE16*OrgRev!CK17</f>
        <v>32.823046931517602</v>
      </c>
      <c r="CL70" s="1303">
        <f>RevBuild!CF16*OrgRev!CL17</f>
        <v>34.150736395221948</v>
      </c>
      <c r="CM70" s="1306">
        <f>RevBuild!CG16*OrgRev!CM17</f>
        <v>136.34565772560654</v>
      </c>
      <c r="CN70" s="68"/>
      <c r="CO70" s="339"/>
      <c r="CP70" s="339"/>
      <c r="CQ70" s="339"/>
      <c r="CR70" s="339"/>
      <c r="CS70" s="339"/>
      <c r="CT70" s="339"/>
      <c r="CU70" s="339"/>
      <c r="CV70" s="339"/>
      <c r="CW70" s="339"/>
      <c r="CX70" s="339"/>
      <c r="CY70" s="339"/>
      <c r="CZ70" s="339"/>
      <c r="DA70" s="339"/>
      <c r="DB70" s="339"/>
      <c r="DC70" s="339"/>
      <c r="DD70" s="339"/>
      <c r="DE70" s="339"/>
      <c r="DF70" s="339"/>
      <c r="DG70" s="339"/>
      <c r="DH70" s="339"/>
      <c r="DI70" s="339"/>
      <c r="DJ70" s="339"/>
      <c r="DK70" s="339"/>
      <c r="DL70" s="339"/>
      <c r="DM70" s="339"/>
    </row>
    <row r="71" spans="1:117" s="339" customFormat="1" ht="4.5" hidden="1" customHeight="1" outlineLevel="1">
      <c r="A71" s="1324"/>
      <c r="B71" s="69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</row>
    <row r="72" spans="1:117" s="42" customFormat="1" hidden="1" outlineLevel="1">
      <c r="A72" s="154" t="s">
        <v>24</v>
      </c>
      <c r="B72" s="152"/>
      <c r="C72" s="152"/>
      <c r="D72" s="152"/>
      <c r="E72" s="152"/>
      <c r="F72" s="152"/>
      <c r="G72" s="152"/>
      <c r="H72" s="155"/>
      <c r="I72" s="152"/>
      <c r="J72" s="152"/>
      <c r="K72" s="152"/>
      <c r="L72" s="152"/>
      <c r="M72" s="152"/>
      <c r="N72" s="155"/>
      <c r="O72" s="152"/>
      <c r="P72" s="152"/>
      <c r="Q72" s="152"/>
      <c r="R72" s="152"/>
      <c r="S72" s="152"/>
      <c r="T72" s="155"/>
      <c r="U72" s="152"/>
      <c r="V72" s="153"/>
      <c r="W72" s="153"/>
      <c r="X72" s="153"/>
      <c r="Y72" s="153"/>
      <c r="Z72" s="155"/>
      <c r="AA72" s="153"/>
      <c r="AB72" s="157"/>
      <c r="AC72" s="157"/>
      <c r="AD72" s="152"/>
      <c r="AE72" s="152"/>
      <c r="AF72" s="155"/>
      <c r="AG72" s="153"/>
      <c r="AH72" s="153"/>
      <c r="AI72" s="153"/>
      <c r="AJ72" s="153"/>
      <c r="AK72" s="155"/>
      <c r="AL72" s="155"/>
      <c r="AM72" s="153"/>
      <c r="AN72" s="153"/>
      <c r="AO72" s="153"/>
      <c r="AP72" s="153"/>
      <c r="AQ72" s="155"/>
      <c r="AR72" s="155"/>
      <c r="AS72" s="153"/>
      <c r="AT72" s="153"/>
      <c r="AU72" s="153"/>
      <c r="AV72" s="153"/>
      <c r="AW72" s="155"/>
      <c r="AX72" s="155"/>
      <c r="AY72" s="153"/>
      <c r="AZ72" s="153"/>
      <c r="BA72" s="153"/>
      <c r="BB72" s="153"/>
      <c r="BC72" s="155"/>
      <c r="BD72" s="155"/>
      <c r="BE72" s="153"/>
      <c r="BF72" s="153"/>
      <c r="BG72" s="153"/>
      <c r="BH72" s="153"/>
      <c r="BI72" s="155"/>
      <c r="BJ72" s="155"/>
      <c r="BK72" s="153"/>
      <c r="BL72" s="153"/>
      <c r="BM72" s="153"/>
      <c r="BN72" s="153"/>
      <c r="BO72" s="155"/>
      <c r="BP72" s="155"/>
      <c r="BQ72" s="153"/>
      <c r="BR72" s="153"/>
      <c r="BS72" s="153"/>
      <c r="BT72" s="153"/>
      <c r="BU72" s="155"/>
      <c r="BV72" s="155"/>
      <c r="BW72" s="153"/>
      <c r="BX72" s="153"/>
      <c r="BY72" s="153"/>
      <c r="BZ72" s="153"/>
      <c r="CA72" s="155"/>
      <c r="CB72" s="155"/>
      <c r="CC72" s="153"/>
      <c r="CD72" s="153"/>
      <c r="CE72" s="153"/>
      <c r="CF72" s="153"/>
      <c r="CG72" s="155"/>
      <c r="CH72" s="155"/>
      <c r="CI72" s="153"/>
      <c r="CJ72" s="153"/>
      <c r="CK72" s="153"/>
      <c r="CL72" s="153"/>
      <c r="CM72" s="155"/>
      <c r="CO72" s="339"/>
      <c r="CP72" s="339"/>
      <c r="CQ72" s="339"/>
      <c r="CR72" s="339"/>
      <c r="CS72" s="339"/>
      <c r="CT72" s="339"/>
      <c r="CU72" s="339"/>
      <c r="CV72" s="339"/>
      <c r="CW72" s="339"/>
      <c r="CX72" s="339"/>
      <c r="CY72" s="339"/>
      <c r="CZ72" s="339"/>
      <c r="DA72" s="339"/>
      <c r="DB72" s="339"/>
      <c r="DC72" s="339"/>
      <c r="DD72" s="339"/>
      <c r="DE72" s="339"/>
      <c r="DF72" s="339"/>
      <c r="DG72" s="339"/>
      <c r="DH72" s="339"/>
      <c r="DI72" s="339"/>
      <c r="DJ72" s="339"/>
      <c r="DK72" s="339"/>
      <c r="DL72" s="339"/>
      <c r="DM72" s="339"/>
    </row>
    <row r="73" spans="1:117" s="339" customFormat="1" hidden="1" outlineLevel="1">
      <c r="A73" s="1300" t="s">
        <v>467</v>
      </c>
      <c r="B73" s="1319"/>
      <c r="C73" s="1320"/>
      <c r="D73" s="1320"/>
      <c r="E73" s="1320"/>
      <c r="F73" s="1320"/>
      <c r="G73" s="1321"/>
      <c r="H73" s="1322"/>
      <c r="I73" s="1323">
        <f>I58+C58</f>
        <v>17.712240000000033</v>
      </c>
      <c r="J73" s="1320">
        <f>J58+D58</f>
        <v>20.666159999999945</v>
      </c>
      <c r="K73" s="1320">
        <f>K58+E58</f>
        <v>18.446020000000015</v>
      </c>
      <c r="L73" s="1320">
        <f>L58+F58</f>
        <v>-0.84575999999996787</v>
      </c>
      <c r="M73" s="1323">
        <f>M58+G58</f>
        <v>50.843995000000227</v>
      </c>
      <c r="N73" s="1322"/>
      <c r="O73" s="1323">
        <f>O58+I58</f>
        <v>-1.1243600000000384</v>
      </c>
      <c r="P73" s="1320">
        <f t="shared" ref="P73:P85" si="121">P58+J58</f>
        <v>8.545609999999952</v>
      </c>
      <c r="Q73" s="1320">
        <f t="shared" ref="Q73:Q85" si="122">Q58+K58</f>
        <v>16.911989999999982</v>
      </c>
      <c r="R73" s="1320">
        <f t="shared" ref="R73:R85" si="123">R58+L58</f>
        <v>-3.2022399999998017</v>
      </c>
      <c r="S73" s="1323">
        <f t="shared" ref="S73:S85" si="124">S58+M58</f>
        <v>17.247250000000221</v>
      </c>
      <c r="T73" s="1322"/>
      <c r="U73" s="1323">
        <f>U58+O58</f>
        <v>0.37424000000002522</v>
      </c>
      <c r="V73" s="1320">
        <f t="shared" ref="V73:V85" si="125">V58+P58</f>
        <v>10.904170000000013</v>
      </c>
      <c r="W73" s="1320">
        <f t="shared" ref="W73:W85" si="126">W58+Q58</f>
        <v>25.151409999999974</v>
      </c>
      <c r="X73" s="1320">
        <f t="shared" ref="X73:X85" si="127">X58+R58</f>
        <v>43.250000000000043</v>
      </c>
      <c r="Y73" s="1323">
        <f t="shared" ref="Y73:Y85" si="128">Y58+S58</f>
        <v>79.873630000000105</v>
      </c>
      <c r="Z73" s="1322"/>
      <c r="AA73" s="1323">
        <f>AA58+U58</f>
        <v>66.992780000000053</v>
      </c>
      <c r="AB73" s="1320">
        <f t="shared" ref="AB73:AB85" si="129">AB58+V58</f>
        <v>52.307260000000035</v>
      </c>
      <c r="AC73" s="1320">
        <f t="shared" ref="AC73:AC85" si="130">AC58+W58</f>
        <v>59.312440000000031</v>
      </c>
      <c r="AD73" s="1320">
        <f t="shared" ref="AD73:AD85" si="131">AD58+X58</f>
        <v>74.006479999999826</v>
      </c>
      <c r="AE73" s="1323">
        <f t="shared" ref="AE73:AE85" si="132">AE58+Y58</f>
        <v>249.4048449999998</v>
      </c>
      <c r="AF73" s="1322"/>
      <c r="AG73" s="1323">
        <f>AG58+AA58</f>
        <v>44.085739999999937</v>
      </c>
      <c r="AH73" s="1320">
        <f t="shared" ref="AH73:AH85" si="133">AH58+AB58</f>
        <v>41.200270000000003</v>
      </c>
      <c r="AI73" s="1320">
        <f t="shared" ref="AI73:AI85" si="134">AI58+AC58</f>
        <v>40.867390000000029</v>
      </c>
      <c r="AJ73" s="1320">
        <f t="shared" ref="AJ73:AJ85" si="135">AJ58+AD58</f>
        <v>31.50254799999999</v>
      </c>
      <c r="AK73" s="1323">
        <f t="shared" ref="AK73:AK85" si="136">AK58+AE58</f>
        <v>155.97398099999978</v>
      </c>
      <c r="AL73" s="1322"/>
      <c r="AM73" s="1323">
        <f>AM58+AG58</f>
        <v>15.67532999999996</v>
      </c>
      <c r="AN73" s="1320">
        <f t="shared" ref="AN73:AN85" si="137">AN58+AH58</f>
        <v>21.614550000000015</v>
      </c>
      <c r="AO73" s="1320">
        <f t="shared" ref="AO73:AO85" si="138">AO58+AI58</f>
        <v>16.918849999999978</v>
      </c>
      <c r="AP73" s="1320">
        <f t="shared" ref="AP73:AP85" si="139">AP58+AJ58</f>
        <v>46.145388000000068</v>
      </c>
      <c r="AQ73" s="1323">
        <f t="shared" ref="AQ73:AQ85" si="140">AQ58+AK58</f>
        <v>101.17829349999985</v>
      </c>
      <c r="AR73" s="1322"/>
      <c r="AS73" s="1323">
        <f>AS58+AM58</f>
        <v>21.555530000000051</v>
      </c>
      <c r="AT73" s="1320">
        <f t="shared" ref="AT73:AT85" si="141">AT58+AN58</f>
        <v>32.137395999999995</v>
      </c>
      <c r="AU73" s="1320">
        <f t="shared" ref="AU73:AU85" si="142">AU58+AO58</f>
        <v>42.981460000000027</v>
      </c>
      <c r="AV73" s="1320">
        <f t="shared" ref="AV73:AV85" si="143">AV58+AP58</f>
        <v>92.071240000000117</v>
      </c>
      <c r="AW73" s="1323">
        <f t="shared" ref="AW73:AW85" si="144">AW58+AQ58</f>
        <v>184.5335222879298</v>
      </c>
      <c r="AX73" s="1322"/>
      <c r="AY73" s="1323">
        <f>AY58+AS58</f>
        <v>45.505405000000025</v>
      </c>
      <c r="AZ73" s="1320">
        <f t="shared" ref="AZ73:AZ85" si="145">AZ58+AT58</f>
        <v>57.691036614519007</v>
      </c>
      <c r="BA73" s="1320">
        <f t="shared" ref="BA73:BA85" si="146">BA58+AU58</f>
        <v>65.875739418468328</v>
      </c>
      <c r="BB73" s="1320">
        <f t="shared" ref="BB73:BB85" si="147">BB58+AV58</f>
        <v>81.528544783968869</v>
      </c>
      <c r="BC73" s="1323">
        <f t="shared" ref="BC73:BC85" si="148">BC58+AW58</f>
        <v>249.18550332294342</v>
      </c>
      <c r="BD73" s="1322"/>
      <c r="BE73" s="1323">
        <f>BE58+AY58</f>
        <v>64.759633443269024</v>
      </c>
      <c r="BF73" s="1320">
        <f t="shared" ref="BF73:BF85" si="149">BF58+AZ58</f>
        <v>71.454484344154821</v>
      </c>
      <c r="BG73" s="1320">
        <f t="shared" ref="BG73:BG85" si="150">BG58+BA58</f>
        <v>55.686823015829674</v>
      </c>
      <c r="BH73" s="1320">
        <f t="shared" ref="BH73:BH85" si="151">BH58+BB58</f>
        <v>87.52100478396882</v>
      </c>
      <c r="BI73" s="1323">
        <f t="shared" ref="BI73:BI85" si="152">BI58+BC58</f>
        <v>282.10082683487764</v>
      </c>
      <c r="BJ73" s="1322"/>
      <c r="BK73" s="1323">
        <f>BK58+BE58</f>
        <v>44.913158443269033</v>
      </c>
      <c r="BL73" s="1320">
        <f t="shared" ref="BL73:BL85" si="153">BL58+BF58</f>
        <v>60.040333729635734</v>
      </c>
      <c r="BM73" s="1320">
        <f t="shared" ref="BM73:BM85" si="154">BM58+BG58</f>
        <v>52.395953597361398</v>
      </c>
      <c r="BN73" s="1320">
        <f t="shared" ref="BN73:BN85" si="155">BN58+BH58</f>
        <v>86.621080000000049</v>
      </c>
      <c r="BO73" s="1323">
        <f t="shared" ref="BO73:BO85" si="156">BO58+BI58</f>
        <v>246.16974829986404</v>
      </c>
      <c r="BP73" s="1322"/>
      <c r="BQ73" s="1323">
        <f>BQ58+BK58</f>
        <v>54.093319565784164</v>
      </c>
      <c r="BR73" s="1320">
        <f t="shared" ref="BR73:BR85" si="157">BR58+BL58</f>
        <v>60.184918426566838</v>
      </c>
      <c r="BS73" s="1320">
        <f t="shared" ref="BS73:BS85" si="158">BS58+BM58</f>
        <v>58.487326031337616</v>
      </c>
      <c r="BT73" s="1320">
        <f t="shared" ref="BT73:BT85" si="159">BT58+BN58</f>
        <v>65.333184188816603</v>
      </c>
      <c r="BU73" s="1323">
        <f t="shared" ref="BU73:BU85" si="160">BU58+BO58</f>
        <v>239.62098471250519</v>
      </c>
      <c r="BV73" s="1322"/>
      <c r="BW73" s="1323">
        <f>BW58+BQ58</f>
        <v>61.950034513677402</v>
      </c>
      <c r="BX73" s="1320">
        <f t="shared" ref="BX73:BX85" si="161">BX58+BR58</f>
        <v>67.237997566968517</v>
      </c>
      <c r="BY73" s="1320">
        <f t="shared" ref="BY73:BY85" si="162">BY58+BS58</f>
        <v>59.077224524830385</v>
      </c>
      <c r="BZ73" s="1320">
        <f t="shared" ref="BZ73:BZ85" si="163">BZ58+BT58</f>
        <v>63.059659884060352</v>
      </c>
      <c r="CA73" s="1323">
        <f t="shared" ref="CA73:CA85" si="164">CA58+BU58</f>
        <v>250.18079798953664</v>
      </c>
      <c r="CB73" s="1322"/>
      <c r="CC73" s="1323">
        <f>CC58+BW58</f>
        <v>61.42276886338837</v>
      </c>
      <c r="CD73" s="1320">
        <f t="shared" ref="CD73:CD85" si="165">CD58+BX58</f>
        <v>59.899708836903216</v>
      </c>
      <c r="CE73" s="1320">
        <f t="shared" ref="CE73:CE85" si="166">CE58+BY58</f>
        <v>56.563349111998036</v>
      </c>
      <c r="CF73" s="1320">
        <f t="shared" ref="CF73:CF85" si="167">CF58+BZ58</f>
        <v>56.9251715677795</v>
      </c>
      <c r="CG73" s="1323">
        <f t="shared" ref="CG73:CG85" si="168">CG58+CA58</f>
        <v>234.81099838006907</v>
      </c>
      <c r="CH73" s="1322"/>
      <c r="CI73" s="1323">
        <f>CI58+CC58</f>
        <v>61.955022571918278</v>
      </c>
      <c r="CJ73" s="1320">
        <f t="shared" ref="CJ73:CJ85" si="169">CJ58+CD58</f>
        <v>59.547708088492769</v>
      </c>
      <c r="CK73" s="1320">
        <f t="shared" ref="CK73:CK85" si="170">CK58+CE58</f>
        <v>56.777238630782321</v>
      </c>
      <c r="CL73" s="1320">
        <f t="shared" ref="CL73:CL85" si="171">CL58+CF58</f>
        <v>56.523150300681323</v>
      </c>
      <c r="CM73" s="1323">
        <f t="shared" ref="CM73:CM85" si="172">CM58+CG58</f>
        <v>234.80311959187475</v>
      </c>
      <c r="CN73" s="69"/>
      <c r="CO73" s="358"/>
      <c r="CP73" s="358"/>
      <c r="CQ73" s="358"/>
      <c r="CR73" s="358"/>
      <c r="CS73" s="358"/>
      <c r="CT73" s="358"/>
      <c r="CU73" s="358"/>
      <c r="CV73" s="358"/>
      <c r="CW73" s="358"/>
      <c r="CX73" s="358"/>
      <c r="CY73" s="358"/>
      <c r="CZ73" s="358"/>
      <c r="DA73" s="358"/>
      <c r="DB73" s="358"/>
      <c r="DC73" s="358"/>
      <c r="DD73" s="358"/>
      <c r="DE73" s="358"/>
      <c r="DF73" s="358"/>
      <c r="DG73" s="358"/>
      <c r="DH73" s="358"/>
      <c r="DI73" s="358"/>
      <c r="DJ73" s="358"/>
      <c r="DK73" s="358"/>
      <c r="DL73" s="358"/>
      <c r="DM73" s="358"/>
    </row>
    <row r="74" spans="1:117" s="358" customFormat="1" hidden="1" outlineLevel="1">
      <c r="A74" s="182" t="s">
        <v>90</v>
      </c>
      <c r="B74" s="1078"/>
      <c r="C74" s="207"/>
      <c r="D74" s="207"/>
      <c r="E74" s="207"/>
      <c r="F74" s="207"/>
      <c r="G74" s="205"/>
      <c r="H74" s="1299"/>
      <c r="I74" s="206">
        <f t="shared" ref="I74:I85" si="173">I59+C59</f>
        <v>0</v>
      </c>
      <c r="J74" s="207">
        <f t="shared" ref="J74:J85" si="174">J59+D59</f>
        <v>0</v>
      </c>
      <c r="K74" s="207">
        <f t="shared" ref="K74:K85" si="175">K59+E59</f>
        <v>0</v>
      </c>
      <c r="L74" s="207">
        <f t="shared" ref="L74:L85" si="176">L59+F59</f>
        <v>0</v>
      </c>
      <c r="M74" s="206">
        <f t="shared" ref="M74:M85" si="177">M59+G59</f>
        <v>10.236254999999899</v>
      </c>
      <c r="N74" s="1299"/>
      <c r="O74" s="206">
        <f t="shared" ref="O74:O85" si="178">O59+I59</f>
        <v>-45.794076639999979</v>
      </c>
      <c r="P74" s="207">
        <f t="shared" si="121"/>
        <v>-22.508846010000013</v>
      </c>
      <c r="Q74" s="207">
        <f t="shared" si="122"/>
        <v>-9.2625811399999893</v>
      </c>
      <c r="R74" s="207">
        <f t="shared" si="123"/>
        <v>7.869133699999983</v>
      </c>
      <c r="S74" s="206">
        <f t="shared" si="124"/>
        <v>-62.481436551272552</v>
      </c>
      <c r="T74" s="1299"/>
      <c r="U74" s="206">
        <f t="shared" ref="U74:U85" si="179">U59+O59</f>
        <v>-35.750612788884794</v>
      </c>
      <c r="V74" s="207">
        <f t="shared" si="125"/>
        <v>-9.2240920909394895</v>
      </c>
      <c r="W74" s="207">
        <f t="shared" si="126"/>
        <v>7.0928171493336212</v>
      </c>
      <c r="X74" s="207">
        <f t="shared" si="127"/>
        <v>41.252065198248978</v>
      </c>
      <c r="Y74" s="206">
        <f t="shared" si="128"/>
        <v>-2.8534679640795986</v>
      </c>
      <c r="Z74" s="1299"/>
      <c r="AA74" s="206">
        <f t="shared" ref="AA74:AA85" si="180">AA59+U59</f>
        <v>45.816107806797262</v>
      </c>
      <c r="AB74" s="207">
        <f t="shared" si="129"/>
        <v>26.219591902445526</v>
      </c>
      <c r="AC74" s="207">
        <f t="shared" si="130"/>
        <v>36.072510941004587</v>
      </c>
      <c r="AD74" s="207">
        <f t="shared" si="131"/>
        <v>49.150076108715382</v>
      </c>
      <c r="AE74" s="206">
        <f t="shared" si="132"/>
        <v>160.03647552907654</v>
      </c>
      <c r="AF74" s="1299"/>
      <c r="AG74" s="206">
        <f t="shared" ref="AG74:AG85" si="181">AG59+AA59</f>
        <v>18.878999239528177</v>
      </c>
      <c r="AH74" s="207">
        <f t="shared" si="133"/>
        <v>16.398251280054495</v>
      </c>
      <c r="AI74" s="207">
        <f t="shared" si="134"/>
        <v>21.002237377987967</v>
      </c>
      <c r="AJ74" s="207">
        <f t="shared" si="135"/>
        <v>3.1479136023260796</v>
      </c>
      <c r="AK74" s="206">
        <f t="shared" si="136"/>
        <v>65.815480804999254</v>
      </c>
      <c r="AL74" s="1299"/>
      <c r="AM74" s="206">
        <f t="shared" ref="AM74:AM85" si="182">AM59+AG59</f>
        <v>-3.7360770230986393</v>
      </c>
      <c r="AN74" s="207">
        <f t="shared" si="137"/>
        <v>-0.700474472523263</v>
      </c>
      <c r="AO74" s="207">
        <f t="shared" si="138"/>
        <v>-3.8138344419910908</v>
      </c>
      <c r="AP74" s="207">
        <f t="shared" si="139"/>
        <v>10.101572436817586</v>
      </c>
      <c r="AQ74" s="206">
        <f t="shared" si="140"/>
        <v>1.0672481643554654</v>
      </c>
      <c r="AR74" s="1299"/>
      <c r="AS74" s="206">
        <f t="shared" ref="AS74:AS85" si="183">AS59+AM59</f>
        <v>4.99702420115735</v>
      </c>
      <c r="AT74" s="207">
        <f t="shared" si="141"/>
        <v>5.0024366908684765</v>
      </c>
      <c r="AU74" s="207">
        <f t="shared" si="142"/>
        <v>9.7044530049120468</v>
      </c>
      <c r="AV74" s="207">
        <f t="shared" si="143"/>
        <v>47.965473857559189</v>
      </c>
      <c r="AW74" s="206">
        <f t="shared" si="144"/>
        <v>63.713354987164522</v>
      </c>
      <c r="AX74" s="1299"/>
      <c r="AY74" s="206">
        <f t="shared" ref="AY74:AY85" si="184">AY59+AS59</f>
        <v>18.088414864642964</v>
      </c>
      <c r="AZ74" s="207">
        <f t="shared" si="145"/>
        <v>34.991678736345129</v>
      </c>
      <c r="BA74" s="207">
        <f t="shared" si="146"/>
        <v>36.648893699765665</v>
      </c>
      <c r="BB74" s="207">
        <f t="shared" si="147"/>
        <v>35.203696602087163</v>
      </c>
      <c r="BC74" s="206">
        <f t="shared" si="148"/>
        <v>128.17170731603778</v>
      </c>
      <c r="BD74" s="1299"/>
      <c r="BE74" s="206">
        <f t="shared" ref="BE74:BE85" si="185">BE59+AY59</f>
        <v>29.455555650931668</v>
      </c>
      <c r="BF74" s="207">
        <f t="shared" si="149"/>
        <v>39.962257169679475</v>
      </c>
      <c r="BG74" s="207">
        <f t="shared" si="150"/>
        <v>28.314803075692808</v>
      </c>
      <c r="BH74" s="207">
        <f t="shared" si="151"/>
        <v>41.712604074145808</v>
      </c>
      <c r="BI74" s="206">
        <f t="shared" si="152"/>
        <v>141.14639308395334</v>
      </c>
      <c r="BJ74" s="1299"/>
      <c r="BK74" s="206">
        <f t="shared" ref="BK74:BK85" si="186">BK59+BE59</f>
        <v>14.412519875724067</v>
      </c>
      <c r="BL74" s="207">
        <f t="shared" si="153"/>
        <v>23.141006702301979</v>
      </c>
      <c r="BM74" s="207">
        <f t="shared" si="154"/>
        <v>15.915947335409086</v>
      </c>
      <c r="BN74" s="207">
        <f t="shared" si="155"/>
        <v>40.995003100234577</v>
      </c>
      <c r="BO74" s="206">
        <f t="shared" si="156"/>
        <v>91.632553681322577</v>
      </c>
      <c r="BP74" s="1299"/>
      <c r="BQ74" s="206">
        <f t="shared" ref="BQ74:BQ85" si="187">BQ59+BK59</f>
        <v>24.989864610876456</v>
      </c>
      <c r="BR74" s="207">
        <f t="shared" si="157"/>
        <v>25.776491194045136</v>
      </c>
      <c r="BS74" s="207">
        <f t="shared" si="158"/>
        <v>20.355254738899944</v>
      </c>
      <c r="BT74" s="207">
        <f t="shared" si="159"/>
        <v>27.167206375361211</v>
      </c>
      <c r="BU74" s="206">
        <f t="shared" si="160"/>
        <v>100.40257163629826</v>
      </c>
      <c r="BV74" s="1299"/>
      <c r="BW74" s="206">
        <f t="shared" ref="BW74:BW85" si="188">BW59+BQ59</f>
        <v>26.552333065129453</v>
      </c>
      <c r="BX74" s="207">
        <f t="shared" si="161"/>
        <v>28.394084729759292</v>
      </c>
      <c r="BY74" s="207">
        <f t="shared" si="162"/>
        <v>22.438396812663299</v>
      </c>
      <c r="BZ74" s="207">
        <f t="shared" si="163"/>
        <v>28.642786183151877</v>
      </c>
      <c r="CA74" s="206">
        <f t="shared" si="164"/>
        <v>108.39861386868364</v>
      </c>
      <c r="CB74" s="1299"/>
      <c r="CC74" s="206">
        <f t="shared" ref="CC74:CC85" si="189">CC59+BW59</f>
        <v>25.135389453734327</v>
      </c>
      <c r="CD74" s="207">
        <f t="shared" si="165"/>
        <v>22.29922165965333</v>
      </c>
      <c r="CE74" s="207">
        <f t="shared" si="166"/>
        <v>22.951721457290091</v>
      </c>
      <c r="CF74" s="207">
        <f t="shared" si="167"/>
        <v>20.879629522954268</v>
      </c>
      <c r="CG74" s="206">
        <f t="shared" si="168"/>
        <v>94.542521009918971</v>
      </c>
      <c r="CH74" s="1299"/>
      <c r="CI74" s="206">
        <f t="shared" ref="CI74:CI85" si="190">CI59+CC59</f>
        <v>25.424127339207534</v>
      </c>
      <c r="CJ74" s="207">
        <f t="shared" si="169"/>
        <v>21.782149602666983</v>
      </c>
      <c r="CK74" s="207">
        <f t="shared" si="170"/>
        <v>23.359046001758045</v>
      </c>
      <c r="CL74" s="207">
        <f t="shared" si="171"/>
        <v>20.708634056792608</v>
      </c>
      <c r="CM74" s="206">
        <f t="shared" si="172"/>
        <v>94.327400531364006</v>
      </c>
      <c r="CN74" s="68"/>
    </row>
    <row r="75" spans="1:117" s="358" customFormat="1" hidden="1" outlineLevel="1">
      <c r="A75" s="183" t="s">
        <v>95</v>
      </c>
      <c r="B75" s="1078"/>
      <c r="C75" s="207"/>
      <c r="D75" s="207"/>
      <c r="E75" s="207"/>
      <c r="F75" s="207"/>
      <c r="G75" s="205"/>
      <c r="H75" s="1299"/>
      <c r="I75" s="206">
        <f t="shared" si="173"/>
        <v>-1.9661200000000074</v>
      </c>
      <c r="J75" s="207">
        <f t="shared" si="174"/>
        <v>5.5124049999999967</v>
      </c>
      <c r="K75" s="207">
        <f t="shared" si="175"/>
        <v>4.1024649999999987</v>
      </c>
      <c r="L75" s="207">
        <f t="shared" si="176"/>
        <v>4.1094999999999891</v>
      </c>
      <c r="M75" s="206">
        <f t="shared" si="177"/>
        <v>5.9259149999999643</v>
      </c>
      <c r="N75" s="1299"/>
      <c r="O75" s="206">
        <f t="shared" si="178"/>
        <v>-8.0861200000000064</v>
      </c>
      <c r="P75" s="207">
        <f t="shared" si="121"/>
        <v>3.3624049999999981</v>
      </c>
      <c r="Q75" s="207">
        <f t="shared" si="122"/>
        <v>-2.7972669000000074</v>
      </c>
      <c r="R75" s="207">
        <f t="shared" si="123"/>
        <v>4.1094999999999891</v>
      </c>
      <c r="S75" s="206">
        <f t="shared" si="124"/>
        <v>-9.486667887500003</v>
      </c>
      <c r="T75" s="1299"/>
      <c r="U75" s="206">
        <f t="shared" si="179"/>
        <v>2.13</v>
      </c>
      <c r="V75" s="207">
        <f t="shared" si="125"/>
        <v>6.0500000000000007</v>
      </c>
      <c r="W75" s="207">
        <f t="shared" si="126"/>
        <v>2.1002680999999939</v>
      </c>
      <c r="X75" s="207">
        <f t="shared" si="127"/>
        <v>12.600000000000001</v>
      </c>
      <c r="Y75" s="206">
        <f t="shared" si="128"/>
        <v>22.512417112500046</v>
      </c>
      <c r="Z75" s="1299"/>
      <c r="AA75" s="206">
        <f t="shared" si="180"/>
        <v>21.1875</v>
      </c>
      <c r="AB75" s="207">
        <f t="shared" si="129"/>
        <v>14.456600000000002</v>
      </c>
      <c r="AC75" s="207">
        <f t="shared" si="130"/>
        <v>16.425000000000001</v>
      </c>
      <c r="AD75" s="207">
        <f t="shared" si="131"/>
        <v>19.782000000000004</v>
      </c>
      <c r="AE75" s="206">
        <f t="shared" si="132"/>
        <v>71.291999999999973</v>
      </c>
      <c r="AF75" s="1299"/>
      <c r="AG75" s="206">
        <f t="shared" si="181"/>
        <v>2.1398625000000031</v>
      </c>
      <c r="AH75" s="207">
        <f t="shared" si="133"/>
        <v>0.19663600000000248</v>
      </c>
      <c r="AI75" s="207">
        <f t="shared" si="134"/>
        <v>7.4249999999999998</v>
      </c>
      <c r="AJ75" s="207">
        <f t="shared" si="135"/>
        <v>1.6929000000000007</v>
      </c>
      <c r="AK75" s="206">
        <f t="shared" si="136"/>
        <v>11.153962649999958</v>
      </c>
      <c r="AL75" s="1299"/>
      <c r="AM75" s="206">
        <f t="shared" si="182"/>
        <v>-0.1643763712499986</v>
      </c>
      <c r="AN75" s="207">
        <f t="shared" si="137"/>
        <v>6.0599640000011945E-3</v>
      </c>
      <c r="AO75" s="207">
        <f t="shared" si="138"/>
        <v>-4.5214124999999994</v>
      </c>
      <c r="AP75" s="207">
        <f t="shared" si="139"/>
        <v>2.7313761599999999</v>
      </c>
      <c r="AQ75" s="206">
        <f t="shared" si="140"/>
        <v>-1.7626790509999495</v>
      </c>
      <c r="AR75" s="1299"/>
      <c r="AS75" s="206">
        <f t="shared" si="183"/>
        <v>1.9854333559124999</v>
      </c>
      <c r="AT75" s="207">
        <f t="shared" si="141"/>
        <v>4.1432781863199999</v>
      </c>
      <c r="AU75" s="207">
        <f t="shared" si="142"/>
        <v>0.37651644707766785</v>
      </c>
      <c r="AV75" s="207">
        <f t="shared" si="143"/>
        <v>16.300346009762677</v>
      </c>
      <c r="AW75" s="206">
        <f t="shared" si="144"/>
        <v>22.225676780851281</v>
      </c>
      <c r="AX75" s="1299"/>
      <c r="AY75" s="206">
        <f t="shared" si="184"/>
        <v>4.030848611894811</v>
      </c>
      <c r="AZ75" s="207">
        <f t="shared" si="145"/>
        <v>9.9872530196467828</v>
      </c>
      <c r="BA75" s="207">
        <f t="shared" si="146"/>
        <v>14.020039595403126</v>
      </c>
      <c r="BB75" s="207">
        <f t="shared" si="147"/>
        <v>11.426523255175558</v>
      </c>
      <c r="BC75" s="206">
        <f t="shared" si="148"/>
        <v>39.189072166537514</v>
      </c>
      <c r="BD75" s="1299"/>
      <c r="BE75" s="206">
        <f t="shared" si="185"/>
        <v>10.350609083053016</v>
      </c>
      <c r="BF75" s="207">
        <f t="shared" si="149"/>
        <v>18.425909842834372</v>
      </c>
      <c r="BG75" s="207">
        <f t="shared" si="150"/>
        <v>12.096919926945841</v>
      </c>
      <c r="BH75" s="207">
        <f t="shared" si="151"/>
        <v>16.406312442274444</v>
      </c>
      <c r="BI75" s="206">
        <f t="shared" si="152"/>
        <v>57.499970659283058</v>
      </c>
      <c r="BJ75" s="1299"/>
      <c r="BK75" s="206">
        <f t="shared" si="186"/>
        <v>3.02532235456682</v>
      </c>
      <c r="BL75" s="207">
        <f t="shared" si="153"/>
        <v>9.7207378856741204</v>
      </c>
      <c r="BM75" s="207">
        <f t="shared" si="154"/>
        <v>6.2913682044432093</v>
      </c>
      <c r="BN75" s="207">
        <f t="shared" si="155"/>
        <v>17.129919436683416</v>
      </c>
      <c r="BO75" s="206">
        <f t="shared" si="156"/>
        <v>36.557124624050545</v>
      </c>
      <c r="BP75" s="1299"/>
      <c r="BQ75" s="206">
        <f t="shared" si="187"/>
        <v>10.974448795304536</v>
      </c>
      <c r="BR75" s="207">
        <f t="shared" si="157"/>
        <v>8.6530324684496378</v>
      </c>
      <c r="BS75" s="207">
        <f t="shared" si="158"/>
        <v>7.2774778715198076</v>
      </c>
      <c r="BT75" s="207">
        <f t="shared" si="159"/>
        <v>9.165268712069448</v>
      </c>
      <c r="BU75" s="206">
        <f t="shared" si="160"/>
        <v>36.663986346066565</v>
      </c>
      <c r="BV75" s="1299"/>
      <c r="BW75" s="206">
        <f t="shared" si="188"/>
        <v>10.562906965480618</v>
      </c>
      <c r="BX75" s="207">
        <f t="shared" si="161"/>
        <v>10.024698356040915</v>
      </c>
      <c r="BY75" s="207">
        <f t="shared" si="162"/>
        <v>7.5653551862812289</v>
      </c>
      <c r="BZ75" s="207">
        <f t="shared" si="163"/>
        <v>9.7314658763929032</v>
      </c>
      <c r="CA75" s="206">
        <f t="shared" si="164"/>
        <v>37.952313055522382</v>
      </c>
      <c r="CB75" s="1299"/>
      <c r="CC75" s="206">
        <f t="shared" si="189"/>
        <v>10.130788044165502</v>
      </c>
      <c r="CD75" s="207">
        <f t="shared" si="165"/>
        <v>9.3360451646259293</v>
      </c>
      <c r="CE75" s="207">
        <f t="shared" si="166"/>
        <v>7.3350277495889511</v>
      </c>
      <c r="CF75" s="207">
        <f t="shared" si="167"/>
        <v>9.4351911430357056</v>
      </c>
      <c r="CG75" s="206">
        <f t="shared" si="168"/>
        <v>36.237052101416047</v>
      </c>
      <c r="CH75" s="1299"/>
      <c r="CI75" s="206">
        <f t="shared" si="190"/>
        <v>10.637327446373778</v>
      </c>
      <c r="CJ75" s="207">
        <f t="shared" si="169"/>
        <v>9.7094869712109659</v>
      </c>
      <c r="CK75" s="207">
        <f t="shared" si="170"/>
        <v>7.5917537208245633</v>
      </c>
      <c r="CL75" s="207">
        <f t="shared" si="171"/>
        <v>9.7654228330419546</v>
      </c>
      <c r="CM75" s="206">
        <f t="shared" si="172"/>
        <v>37.703990971451262</v>
      </c>
      <c r="CN75" s="68"/>
    </row>
    <row r="76" spans="1:117" s="358" customFormat="1" hidden="1" outlineLevel="1">
      <c r="A76" s="183" t="s">
        <v>96</v>
      </c>
      <c r="B76" s="167"/>
      <c r="C76" s="207"/>
      <c r="D76" s="207"/>
      <c r="E76" s="207"/>
      <c r="F76" s="207"/>
      <c r="G76" s="205"/>
      <c r="H76" s="1299"/>
      <c r="I76" s="206">
        <f t="shared" si="173"/>
        <v>0</v>
      </c>
      <c r="J76" s="207">
        <f t="shared" si="174"/>
        <v>0</v>
      </c>
      <c r="K76" s="207">
        <f t="shared" si="175"/>
        <v>0</v>
      </c>
      <c r="L76" s="207">
        <f t="shared" si="176"/>
        <v>0</v>
      </c>
      <c r="M76" s="206">
        <f t="shared" si="177"/>
        <v>4.3103399999999414</v>
      </c>
      <c r="N76" s="1299"/>
      <c r="O76" s="206">
        <f t="shared" si="178"/>
        <v>-39.674076640000003</v>
      </c>
      <c r="P76" s="207">
        <f t="shared" si="121"/>
        <v>-20.358846010000001</v>
      </c>
      <c r="Q76" s="207">
        <f t="shared" si="122"/>
        <v>-2.3628492400000036</v>
      </c>
      <c r="R76" s="207">
        <f t="shared" si="123"/>
        <v>7.8691337000000159</v>
      </c>
      <c r="S76" s="206">
        <f t="shared" si="124"/>
        <v>-50.30337569000001</v>
      </c>
      <c r="T76" s="1299"/>
      <c r="U76" s="206">
        <f t="shared" si="179"/>
        <v>-37.880612788884811</v>
      </c>
      <c r="V76" s="207">
        <f t="shared" si="125"/>
        <v>-15.274092090939497</v>
      </c>
      <c r="W76" s="207">
        <f t="shared" si="126"/>
        <v>4.9925490493335962</v>
      </c>
      <c r="X76" s="207">
        <f t="shared" si="127"/>
        <v>28.652065198249002</v>
      </c>
      <c r="Y76" s="206">
        <f t="shared" si="128"/>
        <v>-20.669305707466727</v>
      </c>
      <c r="Z76" s="1299"/>
      <c r="AA76" s="206">
        <f t="shared" si="180"/>
        <v>24.62860780679728</v>
      </c>
      <c r="AB76" s="207">
        <f t="shared" si="129"/>
        <v>11.762991902445499</v>
      </c>
      <c r="AC76" s="207">
        <f t="shared" si="130"/>
        <v>19.647510941004573</v>
      </c>
      <c r="AD76" s="207">
        <f t="shared" si="131"/>
        <v>29.368076108715414</v>
      </c>
      <c r="AE76" s="206">
        <f t="shared" si="132"/>
        <v>83.134637291751233</v>
      </c>
      <c r="AF76" s="1299"/>
      <c r="AG76" s="206">
        <f t="shared" si="181"/>
        <v>16.739136739528199</v>
      </c>
      <c r="AH76" s="207">
        <f t="shared" si="133"/>
        <v>16.201615280054494</v>
      </c>
      <c r="AI76" s="207">
        <f t="shared" si="134"/>
        <v>13.577237377987981</v>
      </c>
      <c r="AJ76" s="207">
        <f t="shared" si="135"/>
        <v>1.4550136023261011</v>
      </c>
      <c r="AK76" s="206">
        <f t="shared" si="136"/>
        <v>47.092990900685272</v>
      </c>
      <c r="AL76" s="1299"/>
      <c r="AM76" s="206">
        <f t="shared" si="182"/>
        <v>-3.5717006518486283</v>
      </c>
      <c r="AN76" s="207">
        <f t="shared" si="137"/>
        <v>-0.70653443652324555</v>
      </c>
      <c r="AO76" s="207">
        <f t="shared" si="138"/>
        <v>0.70757805800891893</v>
      </c>
      <c r="AP76" s="207">
        <f t="shared" si="139"/>
        <v>7.3701962768175235</v>
      </c>
      <c r="AQ76" s="206">
        <f t="shared" si="140"/>
        <v>4.3847967869268594</v>
      </c>
      <c r="AR76" s="1299"/>
      <c r="AS76" s="206">
        <f t="shared" si="183"/>
        <v>3.011590845244891</v>
      </c>
      <c r="AT76" s="207">
        <f t="shared" si="141"/>
        <v>0.85915850454848375</v>
      </c>
      <c r="AU76" s="207">
        <f t="shared" si="142"/>
        <v>9.3279365578343718</v>
      </c>
      <c r="AV76" s="207">
        <f t="shared" si="143"/>
        <v>31.665127847796491</v>
      </c>
      <c r="AW76" s="206">
        <f t="shared" si="144"/>
        <v>42.996050399533104</v>
      </c>
      <c r="AX76" s="1299"/>
      <c r="AY76" s="206">
        <f t="shared" si="184"/>
        <v>14.057566252748209</v>
      </c>
      <c r="AZ76" s="207">
        <f t="shared" si="145"/>
        <v>25.004425716698307</v>
      </c>
      <c r="BA76" s="207">
        <f t="shared" si="146"/>
        <v>22.628854104362524</v>
      </c>
      <c r="BB76" s="207">
        <f t="shared" si="147"/>
        <v>23.777173346911688</v>
      </c>
      <c r="BC76" s="206">
        <f t="shared" si="148"/>
        <v>84.309050969621424</v>
      </c>
      <c r="BD76" s="1299"/>
      <c r="BE76" s="206">
        <f t="shared" si="185"/>
        <v>19.104946567878667</v>
      </c>
      <c r="BF76" s="207">
        <f t="shared" si="149"/>
        <v>21.536347326845075</v>
      </c>
      <c r="BG76" s="207">
        <f t="shared" si="150"/>
        <v>16.217883148746985</v>
      </c>
      <c r="BH76" s="207">
        <f t="shared" si="151"/>
        <v>25.306291631871396</v>
      </c>
      <c r="BI76" s="206">
        <f t="shared" si="152"/>
        <v>82.926621508919851</v>
      </c>
      <c r="BJ76" s="1299"/>
      <c r="BK76" s="206">
        <f t="shared" si="186"/>
        <v>11.387197521157239</v>
      </c>
      <c r="BL76" s="207">
        <f t="shared" si="153"/>
        <v>13.42026881662788</v>
      </c>
      <c r="BM76" s="207">
        <f t="shared" si="154"/>
        <v>9.6245791309658983</v>
      </c>
      <c r="BN76" s="207">
        <f t="shared" si="155"/>
        <v>23.865083663551175</v>
      </c>
      <c r="BO76" s="206">
        <f t="shared" si="156"/>
        <v>59.801689226298336</v>
      </c>
      <c r="BP76" s="1299"/>
      <c r="BQ76" s="206">
        <f t="shared" si="187"/>
        <v>14.015415815571927</v>
      </c>
      <c r="BR76" s="207">
        <f t="shared" si="157"/>
        <v>17.123458725595494</v>
      </c>
      <c r="BS76" s="207">
        <f t="shared" si="158"/>
        <v>13.077776867380098</v>
      </c>
      <c r="BT76" s="207">
        <f t="shared" si="159"/>
        <v>18.001937663291763</v>
      </c>
      <c r="BU76" s="206">
        <f t="shared" si="160"/>
        <v>64.115024659700751</v>
      </c>
      <c r="BV76" s="1299"/>
      <c r="BW76" s="206">
        <f t="shared" si="188"/>
        <v>15.989426099648838</v>
      </c>
      <c r="BX76" s="207">
        <f t="shared" si="161"/>
        <v>18.369386373718324</v>
      </c>
      <c r="BY76" s="207">
        <f t="shared" si="162"/>
        <v>14.873041626382005</v>
      </c>
      <c r="BZ76" s="207">
        <f t="shared" si="163"/>
        <v>18.911320306758959</v>
      </c>
      <c r="CA76" s="206">
        <f t="shared" si="164"/>
        <v>68.32255008146214</v>
      </c>
      <c r="CB76" s="1299"/>
      <c r="CC76" s="206">
        <f t="shared" si="189"/>
        <v>15.004601409568817</v>
      </c>
      <c r="CD76" s="207">
        <f t="shared" si="165"/>
        <v>12.963176495027424</v>
      </c>
      <c r="CE76" s="207">
        <f t="shared" si="166"/>
        <v>15.616693707701106</v>
      </c>
      <c r="CF76" s="207">
        <f t="shared" si="167"/>
        <v>11.444438379918591</v>
      </c>
      <c r="CG76" s="206">
        <f t="shared" si="168"/>
        <v>55.028909992216001</v>
      </c>
      <c r="CH76" s="1299"/>
      <c r="CI76" s="206">
        <f t="shared" si="190"/>
        <v>14.786799892833766</v>
      </c>
      <c r="CJ76" s="207">
        <f t="shared" si="169"/>
        <v>12.072662631456005</v>
      </c>
      <c r="CK76" s="207">
        <f t="shared" si="170"/>
        <v>15.767292280933454</v>
      </c>
      <c r="CL76" s="207">
        <f t="shared" si="171"/>
        <v>10.94321122375068</v>
      </c>
      <c r="CM76" s="206">
        <f t="shared" si="172"/>
        <v>53.569966028973852</v>
      </c>
      <c r="CN76" s="68"/>
    </row>
    <row r="77" spans="1:117" s="358" customFormat="1" hidden="1" outlineLevel="1">
      <c r="A77" s="183" t="s">
        <v>97</v>
      </c>
      <c r="B77" s="1420"/>
      <c r="C77" s="207"/>
      <c r="D77" s="207"/>
      <c r="E77" s="207"/>
      <c r="F77" s="207"/>
      <c r="G77" s="205"/>
      <c r="H77" s="1299"/>
      <c r="I77" s="206">
        <f t="shared" si="173"/>
        <v>0</v>
      </c>
      <c r="J77" s="207">
        <f t="shared" si="174"/>
        <v>0</v>
      </c>
      <c r="K77" s="207">
        <f t="shared" si="175"/>
        <v>0</v>
      </c>
      <c r="L77" s="207">
        <f t="shared" si="176"/>
        <v>0</v>
      </c>
      <c r="M77" s="206">
        <f t="shared" si="177"/>
        <v>0</v>
      </c>
      <c r="N77" s="1299"/>
      <c r="O77" s="206">
        <f t="shared" si="178"/>
        <v>-13.26</v>
      </c>
      <c r="P77" s="207">
        <f t="shared" si="121"/>
        <v>-9.6772499999999972</v>
      </c>
      <c r="Q77" s="207">
        <f t="shared" si="122"/>
        <v>-4.1650000000000009</v>
      </c>
      <c r="R77" s="207">
        <f t="shared" si="123"/>
        <v>-3.3999999999999972</v>
      </c>
      <c r="S77" s="206">
        <f t="shared" si="124"/>
        <v>-30.52167878398879</v>
      </c>
      <c r="T77" s="1299"/>
      <c r="U77" s="206">
        <f t="shared" si="179"/>
        <v>-18.776159999999997</v>
      </c>
      <c r="V77" s="207">
        <f t="shared" si="125"/>
        <v>-8.8441649999999949</v>
      </c>
      <c r="W77" s="207">
        <f t="shared" si="126"/>
        <v>-1.7159799999999983</v>
      </c>
      <c r="X77" s="207">
        <f t="shared" si="127"/>
        <v>4.4250000000000025</v>
      </c>
      <c r="Y77" s="206">
        <f t="shared" si="128"/>
        <v>-27.27657445209223</v>
      </c>
      <c r="Z77" s="1299"/>
      <c r="AA77" s="206">
        <f t="shared" si="180"/>
        <v>-4.6703487999999966</v>
      </c>
      <c r="AB77" s="207">
        <f t="shared" si="129"/>
        <v>2.0660508000000024</v>
      </c>
      <c r="AC77" s="207">
        <f t="shared" si="130"/>
        <v>3.7225104000000027</v>
      </c>
      <c r="AD77" s="207">
        <f t="shared" si="131"/>
        <v>9.6169999999999991</v>
      </c>
      <c r="AE77" s="206">
        <f t="shared" si="132"/>
        <v>8.3893717318965599</v>
      </c>
      <c r="AF77" s="1299"/>
      <c r="AG77" s="206">
        <f t="shared" si="181"/>
        <v>-3.6369881600000005</v>
      </c>
      <c r="AH77" s="207">
        <f t="shared" si="133"/>
        <v>1.2329658000000001</v>
      </c>
      <c r="AI77" s="207">
        <f t="shared" si="134"/>
        <v>0.92964799200000003</v>
      </c>
      <c r="AJ77" s="207">
        <f t="shared" si="135"/>
        <v>-0.2580480000000005</v>
      </c>
      <c r="AK77" s="206">
        <f t="shared" si="136"/>
        <v>-3.5740792158500003</v>
      </c>
      <c r="AL77" s="1299"/>
      <c r="AM77" s="206">
        <f t="shared" si="182"/>
        <v>-4.1331410099200001</v>
      </c>
      <c r="AN77" s="207">
        <f t="shared" si="137"/>
        <v>-3.2889362715000008</v>
      </c>
      <c r="AO77" s="207">
        <f t="shared" si="138"/>
        <v>-0.67393111967999997</v>
      </c>
      <c r="AP77" s="207">
        <f t="shared" si="139"/>
        <v>2.3389183999999998</v>
      </c>
      <c r="AQ77" s="206">
        <f t="shared" si="140"/>
        <v>-8.4001695773825009</v>
      </c>
      <c r="AR77" s="1299"/>
      <c r="AS77" s="206">
        <f t="shared" si="183"/>
        <v>0.52273923336960015</v>
      </c>
      <c r="AT77" s="207">
        <f t="shared" si="141"/>
        <v>-1.8418043120400005</v>
      </c>
      <c r="AU77" s="207">
        <f t="shared" si="142"/>
        <v>2.2313996909567999</v>
      </c>
      <c r="AV77" s="207">
        <f t="shared" si="143"/>
        <v>8.6550417408000015</v>
      </c>
      <c r="AW77" s="206">
        <f t="shared" si="144"/>
        <v>7.5442117945569018</v>
      </c>
      <c r="AX77" s="1299"/>
      <c r="AY77" s="206">
        <f t="shared" si="184"/>
        <v>2.7393165236478421</v>
      </c>
      <c r="AZ77" s="207">
        <f t="shared" si="145"/>
        <v>5.2901066483627881</v>
      </c>
      <c r="BA77" s="207">
        <f t="shared" si="146"/>
        <v>6.5018900496230554</v>
      </c>
      <c r="BB77" s="207">
        <f t="shared" si="147"/>
        <v>9.0971686600704018</v>
      </c>
      <c r="BC77" s="206">
        <f t="shared" si="148"/>
        <v>23.203796378727297</v>
      </c>
      <c r="BD77" s="1299"/>
      <c r="BE77" s="206">
        <f t="shared" si="185"/>
        <v>3.6851703192959149</v>
      </c>
      <c r="BF77" s="207">
        <f t="shared" si="149"/>
        <v>5.9438263699298632</v>
      </c>
      <c r="BG77" s="207">
        <f t="shared" si="150"/>
        <v>5.1119935763428934</v>
      </c>
      <c r="BH77" s="207">
        <f t="shared" si="151"/>
        <v>10.827260642810339</v>
      </c>
      <c r="BI77" s="206">
        <f t="shared" si="152"/>
        <v>25.461168600546074</v>
      </c>
      <c r="BJ77" s="1299"/>
      <c r="BK77" s="206">
        <f t="shared" si="186"/>
        <v>2.2861231948225078</v>
      </c>
      <c r="BL77" s="207">
        <f t="shared" si="153"/>
        <v>3.4785798927929585</v>
      </c>
      <c r="BM77" s="207">
        <f t="shared" si="154"/>
        <v>3.0331889403739742</v>
      </c>
      <c r="BN77" s="207">
        <f t="shared" si="155"/>
        <v>7.9141854548714363</v>
      </c>
      <c r="BO77" s="206">
        <f t="shared" si="156"/>
        <v>16.270273907515492</v>
      </c>
      <c r="BP77" s="1299"/>
      <c r="BQ77" s="206">
        <f t="shared" si="187"/>
        <v>2.8012524381236048</v>
      </c>
      <c r="BR77" s="207">
        <f t="shared" si="157"/>
        <v>4.5706133425333171</v>
      </c>
      <c r="BS77" s="207">
        <f t="shared" si="158"/>
        <v>3.8348898426957119</v>
      </c>
      <c r="BT77" s="207">
        <f t="shared" si="159"/>
        <v>6.119606084907085</v>
      </c>
      <c r="BU77" s="206">
        <f t="shared" si="160"/>
        <v>18.052702986613561</v>
      </c>
      <c r="BV77" s="1299"/>
      <c r="BW77" s="206">
        <f t="shared" si="188"/>
        <v>3.171105299094612</v>
      </c>
      <c r="BX77" s="207">
        <f t="shared" si="161"/>
        <v>5.1263544599543804</v>
      </c>
      <c r="BY77" s="207">
        <f t="shared" si="162"/>
        <v>3.630858810288212</v>
      </c>
      <c r="BZ77" s="207">
        <f t="shared" si="163"/>
        <v>6.3852132357338718</v>
      </c>
      <c r="CA77" s="206">
        <f t="shared" si="164"/>
        <v>19.330927392929347</v>
      </c>
      <c r="CB77" s="1299"/>
      <c r="CC77" s="206">
        <f t="shared" si="189"/>
        <v>2.9467278967722006</v>
      </c>
      <c r="CD77" s="207">
        <f t="shared" si="165"/>
        <v>3.5575835657039816</v>
      </c>
      <c r="CE77" s="207">
        <f t="shared" si="166"/>
        <v>3.8124017508026231</v>
      </c>
      <c r="CF77" s="207">
        <f t="shared" si="167"/>
        <v>4.4414938239099495</v>
      </c>
      <c r="CG77" s="206">
        <f t="shared" si="168"/>
        <v>16.050794604797694</v>
      </c>
      <c r="CH77" s="1299"/>
      <c r="CI77" s="206">
        <f t="shared" si="190"/>
        <v>2.903954231027698</v>
      </c>
      <c r="CJ77" s="207">
        <f t="shared" si="169"/>
        <v>3.3131930424947518</v>
      </c>
      <c r="CK77" s="207">
        <f t="shared" si="170"/>
        <v>4.4174133329952134</v>
      </c>
      <c r="CL77" s="207">
        <f t="shared" si="171"/>
        <v>4.5925046139228876</v>
      </c>
      <c r="CM77" s="206">
        <f t="shared" si="172"/>
        <v>16.313945770986567</v>
      </c>
      <c r="CN77" s="68"/>
    </row>
    <row r="78" spans="1:117" s="358" customFormat="1" hidden="1" outlineLevel="1">
      <c r="A78" s="183" t="s">
        <v>98</v>
      </c>
      <c r="B78" s="1420"/>
      <c r="C78" s="207"/>
      <c r="D78" s="207"/>
      <c r="E78" s="207"/>
      <c r="F78" s="207"/>
      <c r="G78" s="205"/>
      <c r="H78" s="1299"/>
      <c r="I78" s="206">
        <f t="shared" si="173"/>
        <v>0</v>
      </c>
      <c r="J78" s="207">
        <f t="shared" si="174"/>
        <v>0</v>
      </c>
      <c r="K78" s="207">
        <f t="shared" si="175"/>
        <v>0</v>
      </c>
      <c r="L78" s="207">
        <f t="shared" si="176"/>
        <v>0</v>
      </c>
      <c r="M78" s="206">
        <f t="shared" si="177"/>
        <v>0</v>
      </c>
      <c r="N78" s="1299"/>
      <c r="O78" s="206">
        <f t="shared" si="178"/>
        <v>-17.005999999999997</v>
      </c>
      <c r="P78" s="207">
        <f t="shared" si="121"/>
        <v>-5.6849999999999978</v>
      </c>
      <c r="Q78" s="207">
        <f t="shared" si="122"/>
        <v>7.9030000000000014</v>
      </c>
      <c r="R78" s="207">
        <f t="shared" si="123"/>
        <v>14.774999999999995</v>
      </c>
      <c r="S78" s="206">
        <f t="shared" si="124"/>
        <v>-1.7056484563859799</v>
      </c>
      <c r="T78" s="1299"/>
      <c r="U78" s="206">
        <f t="shared" si="179"/>
        <v>-7.7459999999999969</v>
      </c>
      <c r="V78" s="207">
        <f t="shared" si="125"/>
        <v>-1.931249999999995</v>
      </c>
      <c r="W78" s="207">
        <f t="shared" si="126"/>
        <v>10.998000000000001</v>
      </c>
      <c r="X78" s="207">
        <f t="shared" si="127"/>
        <v>26.049999999999997</v>
      </c>
      <c r="Y78" s="206">
        <f t="shared" si="128"/>
        <v>29.232557533808251</v>
      </c>
      <c r="Z78" s="1299"/>
      <c r="AA78" s="206">
        <f t="shared" si="180"/>
        <v>19.059999999999999</v>
      </c>
      <c r="AB78" s="207">
        <f t="shared" si="129"/>
        <v>7.4662500000000023</v>
      </c>
      <c r="AC78" s="207">
        <f t="shared" si="130"/>
        <v>9.0229999999999997</v>
      </c>
      <c r="AD78" s="207">
        <f t="shared" si="131"/>
        <v>19.283000000000001</v>
      </c>
      <c r="AE78" s="206">
        <f t="shared" si="132"/>
        <v>60.705705990194232</v>
      </c>
      <c r="AF78" s="1299"/>
      <c r="AG78" s="206">
        <f t="shared" si="181"/>
        <v>9.7999999999999989</v>
      </c>
      <c r="AH78" s="207">
        <f t="shared" si="133"/>
        <v>10.828125</v>
      </c>
      <c r="AI78" s="207">
        <f t="shared" si="134"/>
        <v>4.7819199999999995</v>
      </c>
      <c r="AJ78" s="207">
        <f t="shared" si="135"/>
        <v>4.4524479999999986</v>
      </c>
      <c r="AK78" s="206">
        <f t="shared" si="136"/>
        <v>34.735064250000001</v>
      </c>
      <c r="AL78" s="1299"/>
      <c r="AM78" s="206">
        <f t="shared" si="182"/>
        <v>1.1147499999999999</v>
      </c>
      <c r="AN78" s="207">
        <f t="shared" si="137"/>
        <v>2.4933149999999999</v>
      </c>
      <c r="AO78" s="207">
        <f t="shared" si="138"/>
        <v>-1.6904680000000001</v>
      </c>
      <c r="AP78" s="207">
        <f t="shared" si="139"/>
        <v>4.0565616000000002</v>
      </c>
      <c r="AQ78" s="206">
        <f t="shared" si="140"/>
        <v>6.5655238020000013</v>
      </c>
      <c r="AR78" s="1299"/>
      <c r="AS78" s="206">
        <f t="shared" si="183"/>
        <v>1.1147499999999999</v>
      </c>
      <c r="AT78" s="207">
        <f t="shared" si="141"/>
        <v>-1.3011536999999995</v>
      </c>
      <c r="AU78" s="207">
        <f t="shared" si="142"/>
        <v>3.680062879999999</v>
      </c>
      <c r="AV78" s="207">
        <f t="shared" si="143"/>
        <v>15.833196288000002</v>
      </c>
      <c r="AW78" s="206">
        <f t="shared" si="144"/>
        <v>15.774747232000001</v>
      </c>
      <c r="AX78" s="1299"/>
      <c r="AY78" s="206">
        <f t="shared" si="184"/>
        <v>4.3107025779999999</v>
      </c>
      <c r="AZ78" s="207">
        <f t="shared" si="145"/>
        <v>9.714382177500001</v>
      </c>
      <c r="BA78" s="207">
        <f t="shared" si="146"/>
        <v>9.5282489598399991</v>
      </c>
      <c r="BB78" s="207">
        <f t="shared" si="147"/>
        <v>9.8068062222748811</v>
      </c>
      <c r="BC78" s="206">
        <f t="shared" si="148"/>
        <v>34.093891185679432</v>
      </c>
      <c r="BD78" s="1299"/>
      <c r="BE78" s="206">
        <f t="shared" si="185"/>
        <v>7.24404783557</v>
      </c>
      <c r="BF78" s="207">
        <f t="shared" si="149"/>
        <v>10.381474928736511</v>
      </c>
      <c r="BG78" s="207">
        <f t="shared" si="150"/>
        <v>7.0472078357615997</v>
      </c>
      <c r="BH78" s="207">
        <f t="shared" si="151"/>
        <v>12.402911479684237</v>
      </c>
      <c r="BI78" s="206">
        <f t="shared" si="152"/>
        <v>37.882512164142526</v>
      </c>
      <c r="BJ78" s="1299"/>
      <c r="BK78" s="206">
        <f t="shared" si="186"/>
        <v>5.7713562592739107</v>
      </c>
      <c r="BL78" s="207">
        <f t="shared" si="153"/>
        <v>6.8874023968803506</v>
      </c>
      <c r="BM78" s="207">
        <f t="shared" si="154"/>
        <v>4.744244571801465</v>
      </c>
      <c r="BN78" s="207">
        <f t="shared" si="155"/>
        <v>13.957500815099735</v>
      </c>
      <c r="BO78" s="206">
        <f t="shared" si="156"/>
        <v>30.462020014655184</v>
      </c>
      <c r="BP78" s="1299"/>
      <c r="BQ78" s="206">
        <f t="shared" si="187"/>
        <v>6.8112264040893855</v>
      </c>
      <c r="BR78" s="207">
        <f t="shared" si="157"/>
        <v>8.3263684086891097</v>
      </c>
      <c r="BS78" s="207">
        <f t="shared" si="158"/>
        <v>6.1817197207125218</v>
      </c>
      <c r="BT78" s="207">
        <f t="shared" si="159"/>
        <v>10.01944529717683</v>
      </c>
      <c r="BU78" s="206">
        <f t="shared" si="160"/>
        <v>32.206359900310296</v>
      </c>
      <c r="BV78" s="1299"/>
      <c r="BW78" s="206">
        <f t="shared" si="188"/>
        <v>7.710521140254313</v>
      </c>
      <c r="BX78" s="207">
        <f t="shared" si="161"/>
        <v>8.7136952956671276</v>
      </c>
      <c r="BY78" s="207">
        <f t="shared" si="162"/>
        <v>7.1887998849218047</v>
      </c>
      <c r="BZ78" s="207">
        <f t="shared" si="163"/>
        <v>11.085230540292454</v>
      </c>
      <c r="CA78" s="206">
        <f t="shared" si="164"/>
        <v>35.718638278517737</v>
      </c>
      <c r="CB78" s="1299"/>
      <c r="CC78" s="206">
        <f t="shared" si="189"/>
        <v>7.1649490003142571</v>
      </c>
      <c r="CD78" s="207">
        <f t="shared" si="165"/>
        <v>6.0471236280242184</v>
      </c>
      <c r="CE78" s="207">
        <f t="shared" si="166"/>
        <v>7.5482398791678946</v>
      </c>
      <c r="CF78" s="207">
        <f t="shared" si="167"/>
        <v>7.9242888445265081</v>
      </c>
      <c r="CG78" s="206">
        <f t="shared" si="168"/>
        <v>30.099081723722158</v>
      </c>
      <c r="CH78" s="1299"/>
      <c r="CI78" s="206">
        <f t="shared" si="190"/>
        <v>7.0609451206375642</v>
      </c>
      <c r="CJ78" s="207">
        <f t="shared" si="169"/>
        <v>5.6317125266208166</v>
      </c>
      <c r="CK78" s="207">
        <f t="shared" si="170"/>
        <v>7.257666043111433</v>
      </c>
      <c r="CL78" s="207">
        <f t="shared" si="171"/>
        <v>7.5627999483195092</v>
      </c>
      <c r="CM78" s="206">
        <f t="shared" si="172"/>
        <v>28.798936883923027</v>
      </c>
      <c r="CN78" s="68"/>
    </row>
    <row r="79" spans="1:117" s="358" customFormat="1" hidden="1" outlineLevel="1">
      <c r="A79" s="183" t="s">
        <v>99</v>
      </c>
      <c r="B79" s="1078"/>
      <c r="C79" s="207"/>
      <c r="D79" s="207"/>
      <c r="E79" s="207"/>
      <c r="F79" s="207"/>
      <c r="G79" s="205"/>
      <c r="H79" s="1299"/>
      <c r="I79" s="206">
        <f t="shared" si="173"/>
        <v>0</v>
      </c>
      <c r="J79" s="207">
        <f t="shared" si="174"/>
        <v>0</v>
      </c>
      <c r="K79" s="207">
        <f t="shared" si="175"/>
        <v>0</v>
      </c>
      <c r="L79" s="207">
        <f t="shared" si="176"/>
        <v>0</v>
      </c>
      <c r="M79" s="206">
        <f t="shared" si="177"/>
        <v>0</v>
      </c>
      <c r="N79" s="1299"/>
      <c r="O79" s="206">
        <f t="shared" si="178"/>
        <v>-9.4080766399999991</v>
      </c>
      <c r="P79" s="207">
        <f t="shared" si="121"/>
        <v>-4.9965960099999993</v>
      </c>
      <c r="Q79" s="207">
        <f t="shared" si="122"/>
        <v>-6.1008492399999987</v>
      </c>
      <c r="R79" s="207">
        <f t="shared" si="123"/>
        <v>-3.5058662999999997</v>
      </c>
      <c r="S79" s="206">
        <f t="shared" si="124"/>
        <v>-24.2052810275</v>
      </c>
      <c r="T79" s="1299"/>
      <c r="U79" s="206">
        <f t="shared" si="179"/>
        <v>-11.358452788884799</v>
      </c>
      <c r="V79" s="207">
        <f t="shared" si="125"/>
        <v>-4.4986770909394993</v>
      </c>
      <c r="W79" s="207">
        <f t="shared" si="126"/>
        <v>-4.2894709506663986</v>
      </c>
      <c r="X79" s="207">
        <f t="shared" si="127"/>
        <v>-1.8229348017510001</v>
      </c>
      <c r="Y79" s="206">
        <f t="shared" si="128"/>
        <v>-22.744227338280876</v>
      </c>
      <c r="Z79" s="1299"/>
      <c r="AA79" s="206">
        <f t="shared" si="180"/>
        <v>10.238956606797281</v>
      </c>
      <c r="AB79" s="207">
        <f t="shared" si="129"/>
        <v>2.2306911024454923</v>
      </c>
      <c r="AC79" s="207">
        <f t="shared" si="130"/>
        <v>6.9020005410045728</v>
      </c>
      <c r="AD79" s="207">
        <f t="shared" si="131"/>
        <v>0.46807610871543703</v>
      </c>
      <c r="AE79" s="206">
        <f t="shared" si="132"/>
        <v>23.149493091113264</v>
      </c>
      <c r="AF79" s="1299"/>
      <c r="AG79" s="206">
        <f t="shared" si="181"/>
        <v>10.576124899528191</v>
      </c>
      <c r="AH79" s="207">
        <f t="shared" si="133"/>
        <v>4.1405244800545038</v>
      </c>
      <c r="AI79" s="207">
        <f t="shared" si="134"/>
        <v>7.8656693859879638</v>
      </c>
      <c r="AJ79" s="207">
        <f t="shared" si="135"/>
        <v>-2.7393863976739192</v>
      </c>
      <c r="AK79" s="206">
        <f t="shared" si="136"/>
        <v>23.836715172495165</v>
      </c>
      <c r="AL79" s="1299"/>
      <c r="AM79" s="206">
        <f t="shared" si="182"/>
        <v>-0.55330964192862875</v>
      </c>
      <c r="AN79" s="207">
        <f t="shared" si="137"/>
        <v>8.9086834976772167E-2</v>
      </c>
      <c r="AO79" s="207">
        <f t="shared" si="138"/>
        <v>3.0719771776889093</v>
      </c>
      <c r="AP79" s="207">
        <f t="shared" si="139"/>
        <v>0.97471627681747974</v>
      </c>
      <c r="AQ79" s="206">
        <f t="shared" si="140"/>
        <v>3.9800679553837273</v>
      </c>
      <c r="AR79" s="1299"/>
      <c r="AS79" s="206">
        <f t="shared" si="183"/>
        <v>1.3741016118752829</v>
      </c>
      <c r="AT79" s="207">
        <f t="shared" si="141"/>
        <v>4.0021165165884769</v>
      </c>
      <c r="AU79" s="207">
        <f t="shared" si="142"/>
        <v>3.4164739868775755</v>
      </c>
      <c r="AV79" s="207">
        <f t="shared" si="143"/>
        <v>7.1768898189964965</v>
      </c>
      <c r="AW79" s="206">
        <f t="shared" si="144"/>
        <v>16.952966969317757</v>
      </c>
      <c r="AX79" s="1299"/>
      <c r="AY79" s="206">
        <f t="shared" si="184"/>
        <v>7.0075471511003444</v>
      </c>
      <c r="AZ79" s="207">
        <f t="shared" si="145"/>
        <v>9.9999368908355208</v>
      </c>
      <c r="BA79" s="207">
        <f t="shared" si="146"/>
        <v>6.5987150948994895</v>
      </c>
      <c r="BB79" s="207">
        <f t="shared" si="147"/>
        <v>4.8731984645664452</v>
      </c>
      <c r="BC79" s="206">
        <f t="shared" si="148"/>
        <v>29.36854813553116</v>
      </c>
      <c r="BD79" s="1299"/>
      <c r="BE79" s="206">
        <f t="shared" si="185"/>
        <v>8.1757284130127417</v>
      </c>
      <c r="BF79" s="207">
        <f t="shared" si="149"/>
        <v>5.2110460281787088</v>
      </c>
      <c r="BG79" s="207">
        <f t="shared" si="150"/>
        <v>4.0586817366424857</v>
      </c>
      <c r="BH79" s="207">
        <f t="shared" si="151"/>
        <v>2.0761195093767837</v>
      </c>
      <c r="BI79" s="206">
        <f t="shared" si="152"/>
        <v>19.894766697961884</v>
      </c>
      <c r="BJ79" s="1299"/>
      <c r="BK79" s="206">
        <f t="shared" si="186"/>
        <v>3.329718067060818</v>
      </c>
      <c r="BL79" s="207">
        <f t="shared" si="153"/>
        <v>3.054286526954578</v>
      </c>
      <c r="BM79" s="207">
        <f t="shared" si="154"/>
        <v>1.8471456187904489</v>
      </c>
      <c r="BN79" s="207">
        <f t="shared" si="155"/>
        <v>1.9933973935799383</v>
      </c>
      <c r="BO79" s="206">
        <f t="shared" si="156"/>
        <v>10.256022316411265</v>
      </c>
      <c r="BP79" s="1299"/>
      <c r="BQ79" s="206">
        <f t="shared" si="187"/>
        <v>4.4029369733589219</v>
      </c>
      <c r="BR79" s="207">
        <f t="shared" si="157"/>
        <v>4.2264769743730444</v>
      </c>
      <c r="BS79" s="207">
        <f t="shared" si="158"/>
        <v>3.0611673039718772</v>
      </c>
      <c r="BT79" s="207">
        <f t="shared" si="159"/>
        <v>1.8628862812078177</v>
      </c>
      <c r="BU79" s="206">
        <f t="shared" si="160"/>
        <v>13.414176187071902</v>
      </c>
      <c r="BV79" s="1299"/>
      <c r="BW79" s="206">
        <f t="shared" si="188"/>
        <v>5.1077996602998983</v>
      </c>
      <c r="BX79" s="207">
        <f t="shared" si="161"/>
        <v>4.5293366180968064</v>
      </c>
      <c r="BY79" s="207">
        <f t="shared" si="162"/>
        <v>4.053382931171984</v>
      </c>
      <c r="BZ79" s="207">
        <f t="shared" si="163"/>
        <v>1.4408765307326292</v>
      </c>
      <c r="CA79" s="206">
        <f t="shared" si="164"/>
        <v>14.821286921460928</v>
      </c>
      <c r="CB79" s="1299"/>
      <c r="CC79" s="206">
        <f t="shared" si="189"/>
        <v>4.8929245124823453</v>
      </c>
      <c r="CD79" s="207">
        <f t="shared" si="165"/>
        <v>3.3584693012992437</v>
      </c>
      <c r="CE79" s="207">
        <f t="shared" si="166"/>
        <v>4.2560520777305832</v>
      </c>
      <c r="CF79" s="207">
        <f t="shared" si="167"/>
        <v>-0.92134428851786021</v>
      </c>
      <c r="CG79" s="206">
        <f t="shared" si="168"/>
        <v>10.821675332981863</v>
      </c>
      <c r="CH79" s="1299"/>
      <c r="CI79" s="206">
        <f t="shared" si="190"/>
        <v>4.8219005411685174</v>
      </c>
      <c r="CJ79" s="207">
        <f t="shared" si="169"/>
        <v>3.1277570623404261</v>
      </c>
      <c r="CK79" s="207">
        <f t="shared" si="170"/>
        <v>4.0922129048267957</v>
      </c>
      <c r="CL79" s="207">
        <f t="shared" si="171"/>
        <v>-1.2120933384917514</v>
      </c>
      <c r="CM79" s="206">
        <f t="shared" si="172"/>
        <v>9.7827554694710592</v>
      </c>
      <c r="CN79" s="68"/>
    </row>
    <row r="80" spans="1:117" s="358" customFormat="1" hidden="1" outlineLevel="1">
      <c r="A80" s="183" t="s">
        <v>224</v>
      </c>
      <c r="B80" s="1069"/>
      <c r="C80" s="207"/>
      <c r="D80" s="207"/>
      <c r="E80" s="207"/>
      <c r="F80" s="207"/>
      <c r="G80" s="205"/>
      <c r="H80" s="1299"/>
      <c r="I80" s="206">
        <f t="shared" si="173"/>
        <v>0</v>
      </c>
      <c r="J80" s="207">
        <f t="shared" si="174"/>
        <v>0</v>
      </c>
      <c r="K80" s="207">
        <f t="shared" si="175"/>
        <v>0</v>
      </c>
      <c r="L80" s="207">
        <f t="shared" si="176"/>
        <v>0</v>
      </c>
      <c r="M80" s="206">
        <f t="shared" si="177"/>
        <v>0</v>
      </c>
      <c r="N80" s="1299"/>
      <c r="O80" s="206">
        <f t="shared" si="178"/>
        <v>-2.4225600000000007</v>
      </c>
      <c r="P80" s="207">
        <f t="shared" si="121"/>
        <v>-3.4822500000000041</v>
      </c>
      <c r="Q80" s="207">
        <f t="shared" si="122"/>
        <v>3.8647800000000037</v>
      </c>
      <c r="R80" s="207">
        <f t="shared" si="123"/>
        <v>1.2609999999999935</v>
      </c>
      <c r="S80" s="206">
        <f t="shared" si="124"/>
        <v>-0.63140552999853072</v>
      </c>
      <c r="T80" s="1299"/>
      <c r="U80" s="206">
        <f t="shared" si="179"/>
        <v>2.7122299999999973</v>
      </c>
      <c r="V80" s="207">
        <f t="shared" si="125"/>
        <v>0.91173125000000343</v>
      </c>
      <c r="W80" s="207">
        <f t="shared" si="126"/>
        <v>8.9939125000000022</v>
      </c>
      <c r="X80" s="207">
        <f t="shared" si="127"/>
        <v>7.2658524999999941</v>
      </c>
      <c r="Y80" s="206">
        <f t="shared" si="128"/>
        <v>19.993873555271925</v>
      </c>
      <c r="Z80" s="1299"/>
      <c r="AA80" s="206">
        <f t="shared" si="180"/>
        <v>10.286385242857149</v>
      </c>
      <c r="AB80" s="207">
        <f t="shared" si="129"/>
        <v>12.14818160841838</v>
      </c>
      <c r="AC80" s="207">
        <f t="shared" si="130"/>
        <v>8.2629889417841902</v>
      </c>
      <c r="AD80" s="207">
        <f t="shared" si="131"/>
        <v>9.0450642482861028</v>
      </c>
      <c r="AE80" s="206">
        <f t="shared" si="132"/>
        <v>39.913359904489305</v>
      </c>
      <c r="AF80" s="1299"/>
      <c r="AG80" s="206">
        <f t="shared" si="181"/>
        <v>8.3544480128571674</v>
      </c>
      <c r="AH80" s="207">
        <f t="shared" si="133"/>
        <v>7.4541715063775609</v>
      </c>
      <c r="AI80" s="207">
        <f t="shared" si="134"/>
        <v>5.7730453607341508</v>
      </c>
      <c r="AJ80" s="207">
        <f t="shared" si="135"/>
        <v>8.3350507101421254</v>
      </c>
      <c r="AK80" s="206">
        <f t="shared" si="136"/>
        <v>30.206852145272755</v>
      </c>
      <c r="AL80" s="1299"/>
      <c r="AM80" s="206">
        <f t="shared" si="182"/>
        <v>5.0611672254000251</v>
      </c>
      <c r="AN80" s="207">
        <f t="shared" si="137"/>
        <v>2.9192308520404344</v>
      </c>
      <c r="AO80" s="207">
        <f t="shared" si="138"/>
        <v>7.4256390892589401</v>
      </c>
      <c r="AP80" s="207">
        <f t="shared" si="139"/>
        <v>12.543199271229291</v>
      </c>
      <c r="AQ80" s="206">
        <f t="shared" si="140"/>
        <v>27.954322094476822</v>
      </c>
      <c r="AR80" s="1299"/>
      <c r="AS80" s="206">
        <f t="shared" si="183"/>
        <v>2.5111999999999974</v>
      </c>
      <c r="AT80" s="207">
        <f t="shared" si="141"/>
        <v>5.4668071307983475</v>
      </c>
      <c r="AU80" s="207">
        <f t="shared" si="142"/>
        <v>7.2264501703089064</v>
      </c>
      <c r="AV80" s="207">
        <f t="shared" si="143"/>
        <v>12.244730986238478</v>
      </c>
      <c r="AW80" s="206">
        <f t="shared" si="144"/>
        <v>27.154856495997102</v>
      </c>
      <c r="AX80" s="1299"/>
      <c r="AY80" s="206">
        <f t="shared" si="184"/>
        <v>9.6491255445999791</v>
      </c>
      <c r="AZ80" s="207">
        <f t="shared" si="145"/>
        <v>8.7699374267171368</v>
      </c>
      <c r="BA80" s="207">
        <f t="shared" si="146"/>
        <v>8.5211220000000054</v>
      </c>
      <c r="BB80" s="207">
        <f t="shared" si="147"/>
        <v>10.116585394269368</v>
      </c>
      <c r="BC80" s="206">
        <f t="shared" si="148"/>
        <v>37.059883148735985</v>
      </c>
      <c r="BD80" s="1299"/>
      <c r="BE80" s="206">
        <f t="shared" si="185"/>
        <v>16.282719151402212</v>
      </c>
      <c r="BF80" s="207">
        <f t="shared" si="149"/>
        <v>15.779536763956802</v>
      </c>
      <c r="BG80" s="207">
        <f t="shared" si="150"/>
        <v>11.80772649301521</v>
      </c>
      <c r="BH80" s="207">
        <f t="shared" si="151"/>
        <v>13.051425198274689</v>
      </c>
      <c r="BI80" s="206">
        <f t="shared" si="152"/>
        <v>57.154963337310747</v>
      </c>
      <c r="BJ80" s="1299"/>
      <c r="BK80" s="206">
        <f t="shared" si="186"/>
        <v>11.880681324920694</v>
      </c>
      <c r="BL80" s="207">
        <f t="shared" si="153"/>
        <v>13.903448195334525</v>
      </c>
      <c r="BM80" s="207">
        <f t="shared" si="154"/>
        <v>13.65061437112875</v>
      </c>
      <c r="BN80" s="207">
        <f t="shared" si="155"/>
        <v>15.678516628545973</v>
      </c>
      <c r="BO80" s="206">
        <f t="shared" si="156"/>
        <v>55.098111242370095</v>
      </c>
      <c r="BP80" s="1299"/>
      <c r="BQ80" s="206">
        <f t="shared" si="187"/>
        <v>15.909250365027377</v>
      </c>
      <c r="BR80" s="207">
        <f t="shared" si="157"/>
        <v>18.370376102949379</v>
      </c>
      <c r="BS80" s="207">
        <f t="shared" si="158"/>
        <v>16.05877694832601</v>
      </c>
      <c r="BT80" s="207">
        <f t="shared" si="159"/>
        <v>16.796863913696413</v>
      </c>
      <c r="BU80" s="206">
        <f t="shared" si="160"/>
        <v>67.441052569232426</v>
      </c>
      <c r="BV80" s="1299"/>
      <c r="BW80" s="206">
        <f t="shared" si="188"/>
        <v>19.468912162763839</v>
      </c>
      <c r="BX80" s="207">
        <f t="shared" si="161"/>
        <v>22.087906359807576</v>
      </c>
      <c r="BY80" s="207">
        <f t="shared" si="162"/>
        <v>16.215907253132571</v>
      </c>
      <c r="BZ80" s="207">
        <f t="shared" si="163"/>
        <v>17.817573734876849</v>
      </c>
      <c r="CA80" s="206">
        <f t="shared" si="164"/>
        <v>75.936167632631879</v>
      </c>
      <c r="CB80" s="1299"/>
      <c r="CC80" s="206">
        <f t="shared" si="189"/>
        <v>14.844036131086927</v>
      </c>
      <c r="CD80" s="207">
        <f t="shared" si="165"/>
        <v>15.138535355707081</v>
      </c>
      <c r="CE80" s="207">
        <f t="shared" si="166"/>
        <v>14.626863731085535</v>
      </c>
      <c r="CF80" s="207">
        <f t="shared" si="167"/>
        <v>15.870108903629136</v>
      </c>
      <c r="CG80" s="206">
        <f t="shared" si="168"/>
        <v>60.504085573140316</v>
      </c>
      <c r="CH80" s="1299"/>
      <c r="CI80" s="206">
        <f t="shared" si="190"/>
        <v>13.800951357429554</v>
      </c>
      <c r="CJ80" s="207">
        <f t="shared" si="169"/>
        <v>13.955889554990517</v>
      </c>
      <c r="CK80" s="207">
        <f t="shared" si="170"/>
        <v>13.484190509220623</v>
      </c>
      <c r="CL80" s="207">
        <f t="shared" si="171"/>
        <v>14.630311445632916</v>
      </c>
      <c r="CM80" s="206">
        <f t="shared" si="172"/>
        <v>55.896763720431423</v>
      </c>
      <c r="CN80" s="68"/>
    </row>
    <row r="81" spans="1:117" s="358" customFormat="1" hidden="1" outlineLevel="1">
      <c r="A81" s="184" t="s">
        <v>49</v>
      </c>
      <c r="B81" s="70"/>
      <c r="C81" s="207"/>
      <c r="D81" s="207"/>
      <c r="E81" s="207"/>
      <c r="F81" s="207"/>
      <c r="G81" s="205"/>
      <c r="H81" s="1299"/>
      <c r="I81" s="206">
        <f t="shared" si="173"/>
        <v>8.2621200000000083</v>
      </c>
      <c r="J81" s="207">
        <f t="shared" si="174"/>
        <v>15.876260000000004</v>
      </c>
      <c r="K81" s="207">
        <f t="shared" si="175"/>
        <v>13.981399999999995</v>
      </c>
      <c r="L81" s="207">
        <f t="shared" si="176"/>
        <v>3.0569999999999693</v>
      </c>
      <c r="M81" s="206">
        <f t="shared" si="177"/>
        <v>42.236469912487848</v>
      </c>
      <c r="N81" s="1299"/>
      <c r="O81" s="206">
        <f t="shared" si="178"/>
        <v>7.5237999999999952</v>
      </c>
      <c r="P81" s="207">
        <f t="shared" si="121"/>
        <v>15.317580000000005</v>
      </c>
      <c r="Q81" s="207">
        <f t="shared" si="122"/>
        <v>21.285619999999994</v>
      </c>
      <c r="R81" s="207">
        <f t="shared" si="123"/>
        <v>6.36700000000004</v>
      </c>
      <c r="S81" s="206">
        <f t="shared" si="124"/>
        <v>51.436610129453562</v>
      </c>
      <c r="T81" s="1299"/>
      <c r="U81" s="206">
        <f t="shared" si="179"/>
        <v>3.3314400000000095</v>
      </c>
      <c r="V81" s="207">
        <f t="shared" si="125"/>
        <v>4.8788499999999937</v>
      </c>
      <c r="W81" s="207">
        <f t="shared" si="126"/>
        <v>12.719820000000006</v>
      </c>
      <c r="X81" s="207">
        <f t="shared" si="127"/>
        <v>13.471000000000005</v>
      </c>
      <c r="Y81" s="206">
        <f t="shared" si="128"/>
        <v>34.051251164126768</v>
      </c>
      <c r="Z81" s="1299"/>
      <c r="AA81" s="206">
        <f t="shared" si="180"/>
        <v>10.368599999999999</v>
      </c>
      <c r="AB81" s="207">
        <f t="shared" si="129"/>
        <v>14.129369999999994</v>
      </c>
      <c r="AC81" s="207">
        <f t="shared" si="130"/>
        <v>14.440440000000017</v>
      </c>
      <c r="AD81" s="207">
        <f t="shared" si="131"/>
        <v>19.636999999999937</v>
      </c>
      <c r="AE81" s="206">
        <f t="shared" si="132"/>
        <v>58.27371900798645</v>
      </c>
      <c r="AF81" s="1299"/>
      <c r="AG81" s="206">
        <f t="shared" si="181"/>
        <v>16.803979999999989</v>
      </c>
      <c r="AH81" s="207">
        <f t="shared" si="133"/>
        <v>17.046969999999995</v>
      </c>
      <c r="AI81" s="207">
        <f t="shared" si="134"/>
        <v>17.851190000000003</v>
      </c>
      <c r="AJ81" s="207">
        <f t="shared" si="135"/>
        <v>21.91442000000005</v>
      </c>
      <c r="AK81" s="206">
        <f t="shared" si="136"/>
        <v>73.527756284648177</v>
      </c>
      <c r="AL81" s="1299"/>
      <c r="AM81" s="206">
        <f t="shared" si="182"/>
        <v>16.278460000000013</v>
      </c>
      <c r="AN81" s="207">
        <f t="shared" si="137"/>
        <v>18.473729999999989</v>
      </c>
      <c r="AO81" s="207">
        <f t="shared" si="138"/>
        <v>15.229029999999995</v>
      </c>
      <c r="AP81" s="207">
        <f t="shared" si="139"/>
        <v>24.459500000000023</v>
      </c>
      <c r="AQ81" s="206">
        <f t="shared" si="140"/>
        <v>74.137117317404375</v>
      </c>
      <c r="AR81" s="1299"/>
      <c r="AS81" s="206">
        <f t="shared" si="183"/>
        <v>14.047319999999994</v>
      </c>
      <c r="AT81" s="207">
        <f t="shared" si="141"/>
        <v>21.87955199999999</v>
      </c>
      <c r="AU81" s="207">
        <f t="shared" si="142"/>
        <v>22.132680000000008</v>
      </c>
      <c r="AV81" s="207">
        <f t="shared" si="143"/>
        <v>29.933630000000029</v>
      </c>
      <c r="AW81" s="206">
        <f t="shared" si="144"/>
        <v>87.156048412830387</v>
      </c>
      <c r="AX81" s="1299"/>
      <c r="AY81" s="206">
        <f t="shared" si="184"/>
        <v>29.698389999999989</v>
      </c>
      <c r="AZ81" s="207">
        <f t="shared" si="145"/>
        <v>24.084201999999994</v>
      </c>
      <c r="BA81" s="207">
        <f t="shared" si="146"/>
        <v>29.043759999999807</v>
      </c>
      <c r="BB81" s="207">
        <f t="shared" si="147"/>
        <v>23.212812380000052</v>
      </c>
      <c r="BC81" s="206">
        <f t="shared" si="148"/>
        <v>107.07206912619192</v>
      </c>
      <c r="BD81" s="1299"/>
      <c r="BE81" s="206">
        <f t="shared" si="185"/>
        <v>32.447374728729251</v>
      </c>
      <c r="BF81" s="207">
        <f t="shared" si="149"/>
        <v>24.807096442447488</v>
      </c>
      <c r="BG81" s="207">
        <f t="shared" si="150"/>
        <v>24.831935267919789</v>
      </c>
      <c r="BH81" s="207">
        <f t="shared" si="151"/>
        <v>20.744651217917401</v>
      </c>
      <c r="BI81" s="206">
        <f t="shared" si="152"/>
        <v>104.40125359355395</v>
      </c>
      <c r="BJ81" s="1299"/>
      <c r="BK81" s="206">
        <f t="shared" si="186"/>
        <v>18.028005013230835</v>
      </c>
      <c r="BL81" s="207">
        <f t="shared" si="153"/>
        <v>21.751047881946764</v>
      </c>
      <c r="BM81" s="207">
        <f t="shared" si="154"/>
        <v>21.737391719892308</v>
      </c>
      <c r="BN81" s="207">
        <f t="shared" si="155"/>
        <v>29.533819769211359</v>
      </c>
      <c r="BO81" s="206">
        <f t="shared" si="156"/>
        <v>90.872791301690711</v>
      </c>
      <c r="BP81" s="1299"/>
      <c r="BQ81" s="206">
        <f t="shared" si="187"/>
        <v>24.275501333004151</v>
      </c>
      <c r="BR81" s="207">
        <f t="shared" si="157"/>
        <v>23.50419236332921</v>
      </c>
      <c r="BS81" s="207">
        <f t="shared" si="158"/>
        <v>23.141347313201429</v>
      </c>
      <c r="BT81" s="207">
        <f t="shared" si="159"/>
        <v>26.102742775359012</v>
      </c>
      <c r="BU81" s="206">
        <f t="shared" si="160"/>
        <v>97.888411228794297</v>
      </c>
      <c r="BV81" s="1299"/>
      <c r="BW81" s="206">
        <f t="shared" si="188"/>
        <v>27.679870989554576</v>
      </c>
      <c r="BX81" s="207">
        <f t="shared" si="161"/>
        <v>25.140851031374979</v>
      </c>
      <c r="BY81" s="207">
        <f t="shared" si="162"/>
        <v>22.182991311776632</v>
      </c>
      <c r="BZ81" s="207">
        <f t="shared" si="163"/>
        <v>21.854986547087577</v>
      </c>
      <c r="CA81" s="206">
        <f t="shared" si="164"/>
        <v>98.018818260522082</v>
      </c>
      <c r="CB81" s="1299"/>
      <c r="CC81" s="206">
        <f t="shared" si="189"/>
        <v>21.443343278567131</v>
      </c>
      <c r="CD81" s="207">
        <f t="shared" si="165"/>
        <v>22.46195182154279</v>
      </c>
      <c r="CE81" s="207">
        <f t="shared" si="166"/>
        <v>18.984763923622431</v>
      </c>
      <c r="CF81" s="207">
        <f t="shared" si="167"/>
        <v>20.175433141196176</v>
      </c>
      <c r="CG81" s="206">
        <f t="shared" si="168"/>
        <v>83.322737279734554</v>
      </c>
      <c r="CH81" s="1299"/>
      <c r="CI81" s="206">
        <f t="shared" si="190"/>
        <v>22.729943875281158</v>
      </c>
      <c r="CJ81" s="207">
        <f t="shared" si="169"/>
        <v>23.809668930835358</v>
      </c>
      <c r="CK81" s="207">
        <f t="shared" si="170"/>
        <v>19.934002119803559</v>
      </c>
      <c r="CL81" s="207">
        <f t="shared" si="171"/>
        <v>21.184204798255983</v>
      </c>
      <c r="CM81" s="206">
        <f t="shared" si="172"/>
        <v>87.89133934880563</v>
      </c>
      <c r="CN81" s="68"/>
      <c r="CO81" s="339"/>
      <c r="CP81" s="339"/>
      <c r="CQ81" s="339"/>
      <c r="CR81" s="339"/>
      <c r="CS81" s="339"/>
      <c r="CT81" s="339"/>
      <c r="CU81" s="339"/>
      <c r="CV81" s="339"/>
      <c r="CW81" s="339"/>
      <c r="CX81" s="339"/>
      <c r="CY81" s="339"/>
      <c r="CZ81" s="339"/>
      <c r="DA81" s="339"/>
      <c r="DB81" s="339"/>
      <c r="DC81" s="339"/>
      <c r="DD81" s="339"/>
      <c r="DE81" s="339"/>
      <c r="DF81" s="339"/>
      <c r="DG81" s="339"/>
      <c r="DH81" s="339"/>
      <c r="DI81" s="339"/>
      <c r="DJ81" s="339"/>
      <c r="DK81" s="339"/>
      <c r="DL81" s="339"/>
      <c r="DM81" s="339"/>
    </row>
    <row r="82" spans="1:117" s="339" customFormat="1" hidden="1" outlineLevel="1">
      <c r="A82" s="1300" t="s">
        <v>0</v>
      </c>
      <c r="B82" s="1319"/>
      <c r="C82" s="1320"/>
      <c r="D82" s="1320"/>
      <c r="E82" s="1320"/>
      <c r="F82" s="1320"/>
      <c r="G82" s="1321"/>
      <c r="H82" s="1322"/>
      <c r="I82" s="1323">
        <f t="shared" si="173"/>
        <v>3.81372</v>
      </c>
      <c r="J82" s="1320">
        <f t="shared" si="174"/>
        <v>4.7724000000000002</v>
      </c>
      <c r="K82" s="1320">
        <f t="shared" si="175"/>
        <v>5.1060800000000004</v>
      </c>
      <c r="L82" s="1320">
        <f t="shared" si="176"/>
        <v>-1.0159399999999998</v>
      </c>
      <c r="M82" s="1323">
        <f t="shared" si="177"/>
        <v>14.709434999999999</v>
      </c>
      <c r="N82" s="1322"/>
      <c r="O82" s="1323">
        <f t="shared" si="178"/>
        <v>1.5727199999999999</v>
      </c>
      <c r="P82" s="1320">
        <f t="shared" si="121"/>
        <v>0.24168000000000056</v>
      </c>
      <c r="Q82" s="1320">
        <f t="shared" si="122"/>
        <v>-2.0701300000000007</v>
      </c>
      <c r="R82" s="1320">
        <f t="shared" si="123"/>
        <v>-4.4052699999999998</v>
      </c>
      <c r="S82" s="1323">
        <f t="shared" si="124"/>
        <v>-2.6930550000000011</v>
      </c>
      <c r="T82" s="1322"/>
      <c r="U82" s="1323">
        <f t="shared" si="179"/>
        <v>0.47683999999999971</v>
      </c>
      <c r="V82" s="1320">
        <f t="shared" si="125"/>
        <v>4.5034800000000006</v>
      </c>
      <c r="W82" s="1320">
        <f t="shared" si="126"/>
        <v>0.47198999999999902</v>
      </c>
      <c r="X82" s="1320">
        <f t="shared" si="127"/>
        <v>2.0007100000000002</v>
      </c>
      <c r="Y82" s="1323">
        <f t="shared" si="128"/>
        <v>8.0541975000000008</v>
      </c>
      <c r="Z82" s="1322"/>
      <c r="AA82" s="1323">
        <f t="shared" si="180"/>
        <v>7.2114799999999999</v>
      </c>
      <c r="AB82" s="1320">
        <f t="shared" si="129"/>
        <v>13.1106</v>
      </c>
      <c r="AC82" s="1320">
        <f t="shared" si="130"/>
        <v>12.269629999999999</v>
      </c>
      <c r="AD82" s="1320">
        <f t="shared" si="131"/>
        <v>14.651627879393992</v>
      </c>
      <c r="AE82" s="1323">
        <f t="shared" si="132"/>
        <v>47.338015983924215</v>
      </c>
      <c r="AF82" s="1322"/>
      <c r="AG82" s="1323">
        <f t="shared" si="181"/>
        <v>8.7899400000000014</v>
      </c>
      <c r="AH82" s="1320">
        <f t="shared" si="133"/>
        <v>9.2503600000000006</v>
      </c>
      <c r="AI82" s="1320">
        <f t="shared" si="134"/>
        <v>5.1066400000000005</v>
      </c>
      <c r="AJ82" s="1320">
        <f t="shared" si="135"/>
        <v>13.54824787939399</v>
      </c>
      <c r="AK82" s="1323">
        <f t="shared" si="136"/>
        <v>37.801641483924243</v>
      </c>
      <c r="AL82" s="1322"/>
      <c r="AM82" s="1323">
        <f t="shared" si="182"/>
        <v>7.3713030000000082</v>
      </c>
      <c r="AN82" s="1320">
        <f t="shared" si="137"/>
        <v>4.1564399999999937</v>
      </c>
      <c r="AO82" s="1320">
        <f t="shared" si="138"/>
        <v>8.1707899999999984</v>
      </c>
      <c r="AP82" s="1320">
        <f t="shared" si="139"/>
        <v>15.361139999999981</v>
      </c>
      <c r="AQ82" s="1323">
        <f t="shared" si="140"/>
        <v>36.840452999999997</v>
      </c>
      <c r="AR82" s="1322"/>
      <c r="AS82" s="1323">
        <f t="shared" si="183"/>
        <v>1.0610030000000075</v>
      </c>
      <c r="AT82" s="1320">
        <f t="shared" si="141"/>
        <v>-0.75012478106180602</v>
      </c>
      <c r="AU82" s="1320">
        <f t="shared" si="142"/>
        <v>4.4346223929690822</v>
      </c>
      <c r="AV82" s="1320">
        <f t="shared" si="143"/>
        <v>2.3854671049525518</v>
      </c>
      <c r="AW82" s="1323">
        <f t="shared" si="144"/>
        <v>8.9056033524350102</v>
      </c>
      <c r="AX82" s="1322"/>
      <c r="AY82" s="1323">
        <f t="shared" si="184"/>
        <v>3.6989600000000107</v>
      </c>
      <c r="AZ82" s="1320">
        <f t="shared" si="145"/>
        <v>2.4800152189381959</v>
      </c>
      <c r="BA82" s="1320">
        <f t="shared" si="146"/>
        <v>-0.63777360703091146</v>
      </c>
      <c r="BB82" s="1320">
        <f t="shared" si="147"/>
        <v>5.0047803090162404</v>
      </c>
      <c r="BC82" s="1323">
        <f t="shared" si="148"/>
        <v>11.051134943661525</v>
      </c>
      <c r="BD82" s="1322"/>
      <c r="BE82" s="1323">
        <f t="shared" si="185"/>
        <v>7.1398200245508612</v>
      </c>
      <c r="BF82" s="1320">
        <f t="shared" si="149"/>
        <v>7.3673262703642246</v>
      </c>
      <c r="BG82" s="1320">
        <f t="shared" si="150"/>
        <v>3.2660944026385539</v>
      </c>
      <c r="BH82" s="1320">
        <f t="shared" si="151"/>
        <v>11.809963204063692</v>
      </c>
      <c r="BI82" s="1323">
        <f t="shared" si="152"/>
        <v>28.931407767216779</v>
      </c>
      <c r="BJ82" s="1322"/>
      <c r="BK82" s="1323">
        <f t="shared" si="186"/>
        <v>5.9379200245508521</v>
      </c>
      <c r="BL82" s="1320">
        <f t="shared" si="153"/>
        <v>8.3739962703642234</v>
      </c>
      <c r="BM82" s="1320">
        <f t="shared" si="154"/>
        <v>6.276117902638557</v>
      </c>
      <c r="BN82" s="1320">
        <f t="shared" si="155"/>
        <v>6.1403400000000241</v>
      </c>
      <c r="BO82" s="1323">
        <f t="shared" si="156"/>
        <v>26.823936175990365</v>
      </c>
      <c r="BP82" s="1322"/>
      <c r="BQ82" s="1323">
        <f t="shared" si="187"/>
        <v>7.3466611679937284</v>
      </c>
      <c r="BR82" s="1320">
        <f t="shared" si="157"/>
        <v>7.6163351480727703</v>
      </c>
      <c r="BS82" s="1320">
        <f t="shared" si="158"/>
        <v>10.264703321583649</v>
      </c>
      <c r="BT82" s="1320">
        <f t="shared" si="159"/>
        <v>15.635302958194105</v>
      </c>
      <c r="BU82" s="1323">
        <f t="shared" si="160"/>
        <v>39.970232595844223</v>
      </c>
      <c r="BV82" s="1322"/>
      <c r="BW82" s="1323">
        <f t="shared" si="188"/>
        <v>6.9537736739332274</v>
      </c>
      <c r="BX82" s="1320">
        <f t="shared" si="161"/>
        <v>9.0811237156465836</v>
      </c>
      <c r="BY82" s="1320">
        <f t="shared" si="162"/>
        <v>9.3850003664872759</v>
      </c>
      <c r="BZ82" s="1320">
        <f t="shared" si="163"/>
        <v>14.297927468121721</v>
      </c>
      <c r="CA82" s="1323">
        <f t="shared" si="164"/>
        <v>39.244582724188732</v>
      </c>
      <c r="CB82" s="1322"/>
      <c r="CC82" s="1323">
        <f t="shared" si="189"/>
        <v>7.2339184396361649</v>
      </c>
      <c r="CD82" s="1320">
        <f t="shared" si="165"/>
        <v>8.2069872533561554</v>
      </c>
      <c r="CE82" s="1320">
        <f t="shared" si="166"/>
        <v>8.3029225632280017</v>
      </c>
      <c r="CF82" s="1320">
        <f t="shared" si="167"/>
        <v>11.663996383333728</v>
      </c>
      <c r="CG82" s="1323">
        <f t="shared" si="168"/>
        <v>35.407824639554036</v>
      </c>
      <c r="CH82" s="1322"/>
      <c r="CI82" s="1323">
        <f t="shared" si="190"/>
        <v>6.3872791640781754</v>
      </c>
      <c r="CJ82" s="1320">
        <f t="shared" si="169"/>
        <v>7.2219628058537975</v>
      </c>
      <c r="CK82" s="1320">
        <f t="shared" si="170"/>
        <v>7.296806937564952</v>
      </c>
      <c r="CL82" s="1320">
        <f t="shared" si="171"/>
        <v>10.203263840482506</v>
      </c>
      <c r="CM82" s="1323">
        <f t="shared" si="172"/>
        <v>31.10931274797931</v>
      </c>
      <c r="CN82" s="69"/>
      <c r="CO82" s="358"/>
      <c r="CP82" s="358"/>
      <c r="CQ82" s="358"/>
      <c r="CR82" s="358"/>
      <c r="CS82" s="358"/>
      <c r="CT82" s="358"/>
      <c r="CU82" s="358"/>
      <c r="CV82" s="358"/>
      <c r="CW82" s="358"/>
      <c r="CX82" s="358"/>
      <c r="CY82" s="358"/>
      <c r="CZ82" s="358"/>
      <c r="DA82" s="358"/>
      <c r="DB82" s="358"/>
      <c r="DC82" s="358"/>
      <c r="DD82" s="358"/>
      <c r="DE82" s="358"/>
      <c r="DF82" s="358"/>
      <c r="DG82" s="358"/>
      <c r="DH82" s="358"/>
      <c r="DI82" s="358"/>
      <c r="DJ82" s="358"/>
      <c r="DK82" s="358"/>
      <c r="DL82" s="358"/>
      <c r="DM82" s="358"/>
    </row>
    <row r="83" spans="1:117" s="358" customFormat="1" hidden="1" outlineLevel="1">
      <c r="A83" s="183" t="s">
        <v>91</v>
      </c>
      <c r="B83" s="70"/>
      <c r="C83" s="207"/>
      <c r="D83" s="207"/>
      <c r="E83" s="207"/>
      <c r="F83" s="207"/>
      <c r="G83" s="205"/>
      <c r="H83" s="1299"/>
      <c r="I83" s="206">
        <f t="shared" si="173"/>
        <v>0</v>
      </c>
      <c r="J83" s="207">
        <f t="shared" si="174"/>
        <v>0</v>
      </c>
      <c r="K83" s="207">
        <f t="shared" si="175"/>
        <v>0</v>
      </c>
      <c r="L83" s="207">
        <f t="shared" si="176"/>
        <v>0</v>
      </c>
      <c r="M83" s="206">
        <f t="shared" si="177"/>
        <v>22.603559999999998</v>
      </c>
      <c r="N83" s="1299"/>
      <c r="O83" s="206">
        <f t="shared" si="178"/>
        <v>-5.6190000000000015</v>
      </c>
      <c r="P83" s="207">
        <f t="shared" si="121"/>
        <v>-4.7338000000000022</v>
      </c>
      <c r="Q83" s="207">
        <f t="shared" si="122"/>
        <v>-7.233380000000003</v>
      </c>
      <c r="R83" s="207">
        <f t="shared" si="123"/>
        <v>-2.2399999999999811</v>
      </c>
      <c r="S83" s="206">
        <f t="shared" si="124"/>
        <v>3.3988688642772651</v>
      </c>
      <c r="T83" s="1299"/>
      <c r="U83" s="206">
        <f t="shared" si="179"/>
        <v>-4.2640000000000047</v>
      </c>
      <c r="V83" s="207">
        <f t="shared" si="125"/>
        <v>2.1182199999999964</v>
      </c>
      <c r="W83" s="207">
        <f t="shared" si="126"/>
        <v>8.9419999999999611E-2</v>
      </c>
      <c r="X83" s="207">
        <f t="shared" si="127"/>
        <v>2.2400000000000095</v>
      </c>
      <c r="Y83" s="206">
        <f t="shared" si="128"/>
        <v>1.7125371507556899</v>
      </c>
      <c r="Z83" s="1299"/>
      <c r="AA83" s="206">
        <f t="shared" si="180"/>
        <v>5.1050599999999964</v>
      </c>
      <c r="AB83" s="207">
        <f t="shared" si="129"/>
        <v>10.460819999999995</v>
      </c>
      <c r="AC83" s="207">
        <f t="shared" si="130"/>
        <v>10.817280000000006</v>
      </c>
      <c r="AD83" s="207">
        <f t="shared" si="131"/>
        <v>11.632000000000005</v>
      </c>
      <c r="AE83" s="206">
        <f t="shared" si="132"/>
        <v>38.922568286478437</v>
      </c>
      <c r="AF83" s="1299"/>
      <c r="AG83" s="206">
        <f t="shared" si="181"/>
        <v>6.9603599999999997</v>
      </c>
      <c r="AH83" s="207">
        <f t="shared" si="133"/>
        <v>7.5060999999999964</v>
      </c>
      <c r="AI83" s="207">
        <f t="shared" si="134"/>
        <v>3.8602800000000026</v>
      </c>
      <c r="AJ83" s="207">
        <f t="shared" si="135"/>
        <v>10.452500000000017</v>
      </c>
      <c r="AK83" s="206">
        <f t="shared" si="136"/>
        <v>28.779240000000016</v>
      </c>
      <c r="AL83" s="1299"/>
      <c r="AM83" s="206">
        <f t="shared" si="182"/>
        <v>5.3042999999999996</v>
      </c>
      <c r="AN83" s="207">
        <f t="shared" si="137"/>
        <v>2.7574800000000002</v>
      </c>
      <c r="AO83" s="207">
        <f t="shared" si="138"/>
        <v>5.6433999999999997</v>
      </c>
      <c r="AP83" s="207">
        <f t="shared" si="139"/>
        <v>11.16994</v>
      </c>
      <c r="AQ83" s="206">
        <f t="shared" si="140"/>
        <v>24.875120000000003</v>
      </c>
      <c r="AR83" s="1299"/>
      <c r="AS83" s="206">
        <f t="shared" si="183"/>
        <v>4.2574199999999998</v>
      </c>
      <c r="AT83" s="207">
        <f t="shared" si="141"/>
        <v>4.5064200000000003</v>
      </c>
      <c r="AU83" s="207">
        <f t="shared" si="142"/>
        <v>6.4938299999999991</v>
      </c>
      <c r="AV83" s="207">
        <f t="shared" si="143"/>
        <v>5.0755400000000002</v>
      </c>
      <c r="AW83" s="206">
        <f t="shared" si="144"/>
        <v>20.333210000000001</v>
      </c>
      <c r="AX83" s="1299"/>
      <c r="AY83" s="206">
        <f t="shared" si="184"/>
        <v>6.8153400000000008</v>
      </c>
      <c r="AZ83" s="207">
        <f t="shared" si="145"/>
        <v>2.5659200000000006</v>
      </c>
      <c r="BA83" s="207">
        <f t="shared" si="146"/>
        <v>2.0200299999999998</v>
      </c>
      <c r="BB83" s="207">
        <f t="shared" si="147"/>
        <v>5.4468780000000017</v>
      </c>
      <c r="BC83" s="206">
        <f t="shared" si="148"/>
        <v>16.848168000000001</v>
      </c>
      <c r="BD83" s="1299"/>
      <c r="BE83" s="206">
        <f t="shared" si="185"/>
        <v>4.2541263658624828</v>
      </c>
      <c r="BF83" s="207">
        <f t="shared" si="149"/>
        <v>0.95522322476870736</v>
      </c>
      <c r="BG83" s="207">
        <f t="shared" si="150"/>
        <v>0.6831297999999999</v>
      </c>
      <c r="BH83" s="207">
        <f t="shared" si="151"/>
        <v>6.2289719118644022</v>
      </c>
      <c r="BI83" s="206">
        <f t="shared" si="152"/>
        <v>12.121451302495592</v>
      </c>
      <c r="BJ83" s="1299"/>
      <c r="BK83" s="206">
        <f t="shared" si="186"/>
        <v>3.3198089857190944</v>
      </c>
      <c r="BL83" s="207">
        <f t="shared" si="153"/>
        <v>7.1319059374854579</v>
      </c>
      <c r="BM83" s="207">
        <f t="shared" si="154"/>
        <v>4.6255704205524966</v>
      </c>
      <c r="BN83" s="207">
        <f t="shared" si="155"/>
        <v>4.5603075618234161</v>
      </c>
      <c r="BO83" s="206">
        <f t="shared" si="156"/>
        <v>19.637592905580465</v>
      </c>
      <c r="BP83" s="1299"/>
      <c r="BQ83" s="206">
        <f t="shared" si="187"/>
        <v>5.6447719939232979</v>
      </c>
      <c r="BR83" s="207">
        <f t="shared" si="157"/>
        <v>6.1392339498479576</v>
      </c>
      <c r="BS83" s="207">
        <f t="shared" si="158"/>
        <v>7.4278665711646568</v>
      </c>
      <c r="BT83" s="207">
        <f t="shared" si="159"/>
        <v>10.428589804709777</v>
      </c>
      <c r="BU83" s="206">
        <f t="shared" si="160"/>
        <v>29.640462319645685</v>
      </c>
      <c r="BV83" s="1299"/>
      <c r="BW83" s="206">
        <f t="shared" si="188"/>
        <v>5.1493965675061828</v>
      </c>
      <c r="BX83" s="207">
        <f t="shared" si="161"/>
        <v>6.7638680642516533</v>
      </c>
      <c r="BY83" s="207">
        <f t="shared" si="162"/>
        <v>6.4716572941440145</v>
      </c>
      <c r="BZ83" s="207">
        <f t="shared" si="163"/>
        <v>9.306962453465168</v>
      </c>
      <c r="CA83" s="206">
        <f t="shared" si="164"/>
        <v>27.691884379367018</v>
      </c>
      <c r="CB83" s="1299"/>
      <c r="CC83" s="206">
        <f t="shared" si="189"/>
        <v>5.3972305490111587</v>
      </c>
      <c r="CD83" s="207">
        <f t="shared" si="165"/>
        <v>6.2326696854267487</v>
      </c>
      <c r="CE83" s="207">
        <f t="shared" si="166"/>
        <v>6.3483025004158558</v>
      </c>
      <c r="CF83" s="207">
        <f t="shared" si="167"/>
        <v>9.1295645503466343</v>
      </c>
      <c r="CG83" s="206">
        <f t="shared" si="168"/>
        <v>27.107767285200396</v>
      </c>
      <c r="CH83" s="1299"/>
      <c r="CI83" s="206">
        <f t="shared" si="190"/>
        <v>4.4587568789219052</v>
      </c>
      <c r="CJ83" s="207">
        <f t="shared" si="169"/>
        <v>5.1489293595279193</v>
      </c>
      <c r="CK83" s="207">
        <f t="shared" si="170"/>
        <v>5.2444558716122032</v>
      </c>
      <c r="CL83" s="207">
        <f t="shared" si="171"/>
        <v>7.5421104158460643</v>
      </c>
      <c r="CM83" s="206">
        <f t="shared" si="172"/>
        <v>22.394252525908094</v>
      </c>
      <c r="CN83" s="68"/>
    </row>
    <row r="84" spans="1:117" s="358" customFormat="1" hidden="1" outlineLevel="1">
      <c r="A84" s="183" t="s">
        <v>77</v>
      </c>
      <c r="B84" s="70"/>
      <c r="C84" s="207"/>
      <c r="D84" s="207"/>
      <c r="E84" s="207"/>
      <c r="F84" s="207"/>
      <c r="G84" s="205"/>
      <c r="H84" s="1299"/>
      <c r="I84" s="206">
        <f t="shared" si="173"/>
        <v>1.0083200000000001</v>
      </c>
      <c r="J84" s="207">
        <f t="shared" si="174"/>
        <v>2.4386300000000003</v>
      </c>
      <c r="K84" s="207">
        <f t="shared" si="175"/>
        <v>2.3259800000000004</v>
      </c>
      <c r="L84" s="207">
        <f t="shared" si="176"/>
        <v>2.1069999999999989</v>
      </c>
      <c r="M84" s="206">
        <f t="shared" si="177"/>
        <v>7.8302706328182028</v>
      </c>
      <c r="N84" s="1299"/>
      <c r="O84" s="206">
        <f t="shared" si="178"/>
        <v>1.7563200000000012</v>
      </c>
      <c r="P84" s="207">
        <f t="shared" si="121"/>
        <v>2.062949999999999</v>
      </c>
      <c r="Q84" s="207">
        <f t="shared" si="122"/>
        <v>4.6106200000000008</v>
      </c>
      <c r="R84" s="207">
        <f t="shared" si="123"/>
        <v>0.84100000000000041</v>
      </c>
      <c r="S84" s="206">
        <f t="shared" si="124"/>
        <v>9.5390251660837766</v>
      </c>
      <c r="T84" s="1299"/>
      <c r="U84" s="206">
        <f t="shared" si="179"/>
        <v>1.5080799999999979</v>
      </c>
      <c r="V84" s="207">
        <f t="shared" si="125"/>
        <v>1.5939499999999993</v>
      </c>
      <c r="W84" s="207">
        <f t="shared" si="126"/>
        <v>1.2832399999999993</v>
      </c>
      <c r="X84" s="207">
        <f t="shared" si="127"/>
        <v>1.1330000000000056</v>
      </c>
      <c r="Y84" s="206">
        <f t="shared" si="128"/>
        <v>6.2858725732980201</v>
      </c>
      <c r="Z84" s="1299"/>
      <c r="AA84" s="206">
        <f t="shared" si="180"/>
        <v>1.7770799999999971</v>
      </c>
      <c r="AB84" s="207">
        <f t="shared" si="129"/>
        <v>2.1869900000000015</v>
      </c>
      <c r="AC84" s="207">
        <f t="shared" si="130"/>
        <v>0.33160000000000101</v>
      </c>
      <c r="AD84" s="207">
        <f t="shared" si="131"/>
        <v>4.6889999999999938</v>
      </c>
      <c r="AE84" s="206">
        <f t="shared" si="132"/>
        <v>9.3505250363599171</v>
      </c>
      <c r="AF84" s="1299"/>
      <c r="AG84" s="206">
        <f t="shared" si="181"/>
        <v>2.6812000000000014</v>
      </c>
      <c r="AH84" s="207">
        <f t="shared" si="133"/>
        <v>1.9395400000000009</v>
      </c>
      <c r="AI84" s="207">
        <f t="shared" si="134"/>
        <v>2.4452300000000022</v>
      </c>
      <c r="AJ84" s="207">
        <f t="shared" si="135"/>
        <v>4.139231999999998</v>
      </c>
      <c r="AK84" s="206">
        <f t="shared" si="136"/>
        <v>11.150923858930437</v>
      </c>
      <c r="AL84" s="1299"/>
      <c r="AM84" s="206">
        <f t="shared" si="182"/>
        <v>2.5824100000000003</v>
      </c>
      <c r="AN84" s="207">
        <f t="shared" si="137"/>
        <v>2.6497799999999976</v>
      </c>
      <c r="AO84" s="207">
        <f t="shared" si="138"/>
        <v>2.7371300000000001</v>
      </c>
      <c r="AP84" s="207">
        <f t="shared" si="139"/>
        <v>5.2460320000000076</v>
      </c>
      <c r="AQ84" s="206">
        <f t="shared" si="140"/>
        <v>12.956778818403944</v>
      </c>
      <c r="AR84" s="1299"/>
      <c r="AS84" s="206">
        <f t="shared" si="183"/>
        <v>1.7332100000000001</v>
      </c>
      <c r="AT84" s="207">
        <f t="shared" si="141"/>
        <v>2.6314159999999989</v>
      </c>
      <c r="AU84" s="207">
        <f t="shared" si="142"/>
        <v>3.5208999999999993</v>
      </c>
      <c r="AV84" s="207">
        <f t="shared" si="143"/>
        <v>3.2779000000000051</v>
      </c>
      <c r="AW84" s="206">
        <f t="shared" si="144"/>
        <v>11.281780096867477</v>
      </c>
      <c r="AX84" s="1299"/>
      <c r="AY84" s="206">
        <f t="shared" si="184"/>
        <v>2.8656500000000005</v>
      </c>
      <c r="AZ84" s="207">
        <f t="shared" si="145"/>
        <v>2.786086000000001</v>
      </c>
      <c r="BA84" s="207">
        <f t="shared" si="146"/>
        <v>2.2152399999999992</v>
      </c>
      <c r="BB84" s="207">
        <f t="shared" si="147"/>
        <v>2.9006400000000068</v>
      </c>
      <c r="BC84" s="206">
        <f t="shared" si="148"/>
        <v>11.145258141066501</v>
      </c>
      <c r="BD84" s="1299"/>
      <c r="BE84" s="206">
        <f t="shared" si="185"/>
        <v>3.5445298839823649</v>
      </c>
      <c r="BF84" s="207">
        <f t="shared" si="149"/>
        <v>2.6592919999999998</v>
      </c>
      <c r="BG84" s="207">
        <f t="shared" si="150"/>
        <v>1.6027444200000001</v>
      </c>
      <c r="BH84" s="207">
        <f t="shared" si="151"/>
        <v>3.8121344399990815</v>
      </c>
      <c r="BI84" s="206">
        <f t="shared" si="152"/>
        <v>11.690225026856517</v>
      </c>
      <c r="BJ84" s="1299"/>
      <c r="BK84" s="206">
        <f t="shared" si="186"/>
        <v>2.4463798839823654</v>
      </c>
      <c r="BL84" s="207">
        <f t="shared" si="153"/>
        <v>2.6169704197580144</v>
      </c>
      <c r="BM84" s="207">
        <f t="shared" si="154"/>
        <v>2.4332567730753514</v>
      </c>
      <c r="BN84" s="207">
        <f t="shared" si="155"/>
        <v>2.7641929243577916</v>
      </c>
      <c r="BO84" s="206">
        <f t="shared" si="156"/>
        <v>10.140476051644118</v>
      </c>
      <c r="BP84" s="1299"/>
      <c r="BQ84" s="206">
        <f t="shared" si="187"/>
        <v>2.2860000000000005</v>
      </c>
      <c r="BR84" s="207">
        <f t="shared" si="157"/>
        <v>2.3837834064371202</v>
      </c>
      <c r="BS84" s="207">
        <f t="shared" si="158"/>
        <v>2.4801800759196864</v>
      </c>
      <c r="BT84" s="207">
        <f t="shared" si="159"/>
        <v>3.9086712576881482</v>
      </c>
      <c r="BU84" s="206">
        <f t="shared" si="160"/>
        <v>10.447494193235254</v>
      </c>
      <c r="BV84" s="1299"/>
      <c r="BW84" s="206">
        <f t="shared" si="188"/>
        <v>2.2294453125000007</v>
      </c>
      <c r="BX84" s="207">
        <f t="shared" si="161"/>
        <v>2.3069167271324655</v>
      </c>
      <c r="BY84" s="207">
        <f t="shared" si="162"/>
        <v>2.2839009242161086</v>
      </c>
      <c r="BZ84" s="207">
        <f t="shared" si="163"/>
        <v>3.1733809845426362</v>
      </c>
      <c r="CA84" s="206">
        <f t="shared" si="164"/>
        <v>9.6033116339859852</v>
      </c>
      <c r="CB84" s="1299"/>
      <c r="CC84" s="206">
        <f t="shared" si="189"/>
        <v>1.8366878906250004</v>
      </c>
      <c r="CD84" s="207">
        <f t="shared" si="165"/>
        <v>1.9743175679293867</v>
      </c>
      <c r="CE84" s="207">
        <f t="shared" si="166"/>
        <v>1.9546200628121357</v>
      </c>
      <c r="CF84" s="207">
        <f t="shared" si="167"/>
        <v>2.5344318329870585</v>
      </c>
      <c r="CG84" s="206">
        <f t="shared" si="168"/>
        <v>8.3000573543535801</v>
      </c>
      <c r="CH84" s="1299"/>
      <c r="CI84" s="206">
        <f t="shared" si="190"/>
        <v>1.9285222851562502</v>
      </c>
      <c r="CJ84" s="207">
        <f t="shared" si="169"/>
        <v>2.073033446325856</v>
      </c>
      <c r="CK84" s="207">
        <f t="shared" si="170"/>
        <v>2.0523510659527426</v>
      </c>
      <c r="CL84" s="207">
        <f t="shared" si="171"/>
        <v>2.6611534246364119</v>
      </c>
      <c r="CM84" s="206">
        <f t="shared" si="172"/>
        <v>8.7150602220712621</v>
      </c>
      <c r="CN84" s="68"/>
    </row>
    <row r="85" spans="1:117" s="358" customFormat="1" hidden="1" outlineLevel="1">
      <c r="A85" s="1301" t="s">
        <v>473</v>
      </c>
      <c r="B85" s="1302"/>
      <c r="C85" s="1303"/>
      <c r="D85" s="1303"/>
      <c r="E85" s="1303"/>
      <c r="F85" s="1303"/>
      <c r="G85" s="1304"/>
      <c r="H85" s="1305"/>
      <c r="I85" s="1306">
        <f t="shared" si="173"/>
        <v>21.37438000000008</v>
      </c>
      <c r="J85" s="1303">
        <f t="shared" si="174"/>
        <v>24.697200000000009</v>
      </c>
      <c r="K85" s="1303">
        <f t="shared" si="175"/>
        <v>23.092859999999945</v>
      </c>
      <c r="L85" s="1303">
        <f t="shared" si="176"/>
        <v>-1.1918799999999758</v>
      </c>
      <c r="M85" s="1304">
        <f t="shared" si="177"/>
        <v>61.567180000000121</v>
      </c>
      <c r="N85" s="1305"/>
      <c r="O85" s="1306">
        <f t="shared" si="178"/>
        <v>-1.2059422222221876</v>
      </c>
      <c r="P85" s="1303">
        <f t="shared" si="121"/>
        <v>1.0037499999999859</v>
      </c>
      <c r="Q85" s="1303">
        <f t="shared" si="122"/>
        <v>6.8827600000000118</v>
      </c>
      <c r="R85" s="1303">
        <f t="shared" si="123"/>
        <v>-15.774739999999902</v>
      </c>
      <c r="S85" s="1304">
        <f t="shared" si="124"/>
        <v>-15.999778329729921</v>
      </c>
      <c r="T85" s="1305"/>
      <c r="U85" s="1306">
        <f t="shared" si="179"/>
        <v>-1.254402222222275</v>
      </c>
      <c r="V85" s="1303">
        <f t="shared" si="125"/>
        <v>8.1529199999999626</v>
      </c>
      <c r="W85" s="1303">
        <f t="shared" si="126"/>
        <v>18.490059932720648</v>
      </c>
      <c r="X85" s="1303">
        <f t="shared" si="127"/>
        <v>35.67293648005829</v>
      </c>
      <c r="Y85" s="1304">
        <f t="shared" si="128"/>
        <v>57.9992419495929</v>
      </c>
      <c r="Z85" s="1305"/>
      <c r="AA85" s="1306">
        <f t="shared" si="180"/>
        <v>73.874919999999989</v>
      </c>
      <c r="AB85" s="1303">
        <f t="shared" si="129"/>
        <v>64.955070000000049</v>
      </c>
      <c r="AC85" s="1303">
        <f t="shared" si="130"/>
        <v>72.154639932720585</v>
      </c>
      <c r="AD85" s="1303">
        <f t="shared" si="131"/>
        <v>88.097796480058165</v>
      </c>
      <c r="AE85" s="1304">
        <f t="shared" si="132"/>
        <v>299.58522439840453</v>
      </c>
      <c r="AF85" s="1305"/>
      <c r="AG85" s="1306">
        <f t="shared" si="181"/>
        <v>53.956060000000022</v>
      </c>
      <c r="AH85" s="1303">
        <f t="shared" si="133"/>
        <v>49.032629</v>
      </c>
      <c r="AI85" s="1303">
        <f t="shared" si="134"/>
        <v>45.144898000000012</v>
      </c>
      <c r="AJ85" s="1303">
        <f t="shared" si="135"/>
        <v>43.923619999999936</v>
      </c>
      <c r="AK85" s="1304">
        <f t="shared" si="136"/>
        <v>194.42529611908174</v>
      </c>
      <c r="AL85" s="1305"/>
      <c r="AM85" s="1306">
        <f t="shared" si="182"/>
        <v>23.480342000000011</v>
      </c>
      <c r="AN85" s="1303">
        <f t="shared" si="137"/>
        <v>24.603228999999999</v>
      </c>
      <c r="AO85" s="1303">
        <f t="shared" si="138"/>
        <v>24.054458000000039</v>
      </c>
      <c r="AP85" s="1303">
        <f t="shared" si="139"/>
        <v>60.19894</v>
      </c>
      <c r="AQ85" s="1304">
        <f t="shared" si="140"/>
        <v>132.00428424999996</v>
      </c>
      <c r="AR85" s="1305"/>
      <c r="AS85" s="1306">
        <f t="shared" si="183"/>
        <v>22.243281999999937</v>
      </c>
      <c r="AT85" s="1303">
        <f t="shared" si="141"/>
        <v>31.245230000000056</v>
      </c>
      <c r="AU85" s="1303">
        <f t="shared" si="142"/>
        <v>47.638870000000097</v>
      </c>
      <c r="AV85" s="1303">
        <f t="shared" si="143"/>
        <v>95.157240000000016</v>
      </c>
      <c r="AW85" s="1304">
        <f t="shared" si="144"/>
        <v>192.43666624999977</v>
      </c>
      <c r="AX85" s="1305"/>
      <c r="AY85" s="1306">
        <f t="shared" si="184"/>
        <v>47.286319999999989</v>
      </c>
      <c r="AZ85" s="1303">
        <f t="shared" si="145"/>
        <v>59.113179000000009</v>
      </c>
      <c r="BA85" s="1303">
        <f t="shared" si="146"/>
        <v>62.359750000000034</v>
      </c>
      <c r="BB85" s="1303">
        <f t="shared" si="147"/>
        <v>87.233857988032611</v>
      </c>
      <c r="BC85" s="1304">
        <f t="shared" si="148"/>
        <v>248.97541800064428</v>
      </c>
      <c r="BD85" s="1305"/>
      <c r="BE85" s="1306">
        <f t="shared" si="185"/>
        <v>72.029748467819985</v>
      </c>
      <c r="BF85" s="1303">
        <f t="shared" si="149"/>
        <v>76.800398999999956</v>
      </c>
      <c r="BG85" s="1303">
        <f t="shared" si="150"/>
        <v>54.96076400000004</v>
      </c>
      <c r="BH85" s="1303">
        <f t="shared" si="151"/>
        <v>94.237037988032668</v>
      </c>
      <c r="BI85" s="1304">
        <f t="shared" si="152"/>
        <v>295.4620249764987</v>
      </c>
      <c r="BJ85" s="1305"/>
      <c r="BK85" s="1306">
        <f t="shared" si="186"/>
        <v>57.141348467819924</v>
      </c>
      <c r="BL85" s="1303">
        <f t="shared" si="153"/>
        <v>67.308750000000018</v>
      </c>
      <c r="BM85" s="1303">
        <f t="shared" si="154"/>
        <v>61.312768999999975</v>
      </c>
      <c r="BN85" s="1303">
        <f t="shared" si="155"/>
        <v>87.667490000000001</v>
      </c>
      <c r="BO85" s="1304">
        <f t="shared" si="156"/>
        <v>277.62562160085446</v>
      </c>
      <c r="BP85" s="1305"/>
      <c r="BQ85" s="1306">
        <f t="shared" si="187"/>
        <v>67.899040733777781</v>
      </c>
      <c r="BR85" s="1303">
        <f t="shared" si="157"/>
        <v>67.801253574639702</v>
      </c>
      <c r="BS85" s="1303">
        <f t="shared" si="158"/>
        <v>72.283876852921196</v>
      </c>
      <c r="BT85" s="1303">
        <f t="shared" si="159"/>
        <v>80.96848714701062</v>
      </c>
      <c r="BU85" s="1304">
        <f t="shared" si="160"/>
        <v>291.96004043334932</v>
      </c>
      <c r="BV85" s="1305"/>
      <c r="BW85" s="1306">
        <f t="shared" si="188"/>
        <v>71.120938187610619</v>
      </c>
      <c r="BX85" s="1303">
        <f t="shared" si="161"/>
        <v>76.319121282614887</v>
      </c>
      <c r="BY85" s="1303">
        <f t="shared" si="162"/>
        <v>68.46222489131776</v>
      </c>
      <c r="BZ85" s="1303">
        <f t="shared" si="163"/>
        <v>77.357587352182108</v>
      </c>
      <c r="CA85" s="1306">
        <f t="shared" si="164"/>
        <v>292.31172821372536</v>
      </c>
      <c r="CB85" s="1305"/>
      <c r="CC85" s="1306">
        <f t="shared" si="189"/>
        <v>68.656687303024654</v>
      </c>
      <c r="CD85" s="1303">
        <f t="shared" si="165"/>
        <v>68.106696090259248</v>
      </c>
      <c r="CE85" s="1303">
        <f t="shared" si="166"/>
        <v>64.866271675226059</v>
      </c>
      <c r="CF85" s="1303">
        <f t="shared" si="167"/>
        <v>68.589167951113367</v>
      </c>
      <c r="CG85" s="1306">
        <f t="shared" si="168"/>
        <v>270.21882301962364</v>
      </c>
      <c r="CH85" s="1305"/>
      <c r="CI85" s="1306">
        <f t="shared" si="190"/>
        <v>68.342301735996472</v>
      </c>
      <c r="CJ85" s="1303">
        <f t="shared" si="169"/>
        <v>66.769670894346518</v>
      </c>
      <c r="CK85" s="1303">
        <f t="shared" si="170"/>
        <v>64.074045568347188</v>
      </c>
      <c r="CL85" s="1303">
        <f t="shared" si="171"/>
        <v>66.7264141411639</v>
      </c>
      <c r="CM85" s="1306">
        <f t="shared" si="172"/>
        <v>265.91243233985415</v>
      </c>
      <c r="CN85" s="68"/>
      <c r="CO85" s="339"/>
      <c r="CP85" s="339"/>
      <c r="CQ85" s="339"/>
      <c r="CR85" s="339"/>
      <c r="CS85" s="339"/>
      <c r="CT85" s="339"/>
      <c r="CU85" s="339"/>
      <c r="CV85" s="339"/>
      <c r="CW85" s="339"/>
      <c r="CX85" s="339"/>
      <c r="CY85" s="339"/>
      <c r="CZ85" s="339"/>
      <c r="DA85" s="339"/>
      <c r="DB85" s="339"/>
      <c r="DC85" s="339"/>
      <c r="DD85" s="339"/>
      <c r="DE85" s="339"/>
      <c r="DF85" s="339"/>
      <c r="DG85" s="339"/>
      <c r="DH85" s="339"/>
      <c r="DI85" s="339"/>
      <c r="DJ85" s="339"/>
      <c r="DK85" s="339"/>
      <c r="DL85" s="339"/>
      <c r="DM85" s="339"/>
    </row>
    <row r="86" spans="1:117" s="339" customFormat="1" ht="4.5" hidden="1" customHeight="1" outlineLevel="1">
      <c r="A86" s="1324"/>
      <c r="B86" s="69"/>
      <c r="CO86" s="358"/>
      <c r="CP86" s="358"/>
      <c r="CQ86" s="358"/>
      <c r="CR86" s="358"/>
      <c r="CS86" s="15"/>
      <c r="CT86" s="15"/>
      <c r="CU86" s="15"/>
      <c r="CV86" s="15"/>
      <c r="CW86" s="15"/>
      <c r="CX86" s="15"/>
      <c r="CY86" s="15"/>
      <c r="CZ86" s="15"/>
      <c r="DA86" s="15"/>
      <c r="DB86" s="15"/>
      <c r="DC86" s="15"/>
      <c r="DD86" s="15"/>
      <c r="DE86" s="15"/>
      <c r="DF86" s="15"/>
      <c r="DG86" s="15"/>
      <c r="DH86" s="15"/>
      <c r="DI86" s="15"/>
      <c r="DJ86" s="15"/>
      <c r="DK86" s="15"/>
      <c r="DL86" s="15"/>
      <c r="DM86" s="15"/>
    </row>
    <row r="87" spans="1:117" s="15" customFormat="1" hidden="1" outlineLevel="1">
      <c r="A87" s="1275" t="s">
        <v>18</v>
      </c>
      <c r="B87" s="1276"/>
      <c r="C87" s="1277"/>
      <c r="D87" s="1276"/>
      <c r="E87" s="1276"/>
      <c r="F87" s="1276"/>
      <c r="G87" s="1278"/>
      <c r="H87" s="1276"/>
      <c r="I87" s="1277"/>
      <c r="J87" s="1276"/>
      <c r="K87" s="1276"/>
      <c r="L87" s="1276"/>
      <c r="M87" s="1278"/>
      <c r="N87" s="1276"/>
      <c r="O87" s="1277"/>
      <c r="P87" s="1276"/>
      <c r="Q87" s="1276"/>
      <c r="R87" s="1276"/>
      <c r="S87" s="1278"/>
      <c r="T87" s="1276"/>
      <c r="U87" s="1277"/>
      <c r="V87" s="1276"/>
      <c r="W87" s="1276"/>
      <c r="X87" s="1276"/>
      <c r="Y87" s="1278"/>
      <c r="Z87" s="1276"/>
      <c r="AA87" s="1277"/>
      <c r="AB87" s="1276"/>
      <c r="AC87" s="1276"/>
      <c r="AD87" s="1276"/>
      <c r="AE87" s="1278"/>
      <c r="AF87" s="1276"/>
      <c r="AG87" s="1277"/>
      <c r="AH87" s="1276"/>
      <c r="AI87" s="1276"/>
      <c r="AJ87" s="1276"/>
      <c r="AK87" s="1278"/>
      <c r="AL87" s="1276"/>
      <c r="AM87" s="1277"/>
      <c r="AN87" s="1276"/>
      <c r="AO87" s="1276"/>
      <c r="AP87" s="1276"/>
      <c r="AQ87" s="1278"/>
      <c r="AR87" s="1276"/>
      <c r="AS87" s="1277"/>
      <c r="AT87" s="1276"/>
      <c r="AU87" s="1276"/>
      <c r="AV87" s="1276"/>
      <c r="AW87" s="1278"/>
      <c r="AX87" s="1276"/>
      <c r="AY87" s="1277"/>
      <c r="AZ87" s="1276"/>
      <c r="BA87" s="1276"/>
      <c r="BB87" s="1276"/>
      <c r="BC87" s="1278"/>
      <c r="BD87" s="1276"/>
      <c r="BE87" s="1277"/>
      <c r="BF87" s="1276"/>
      <c r="BG87" s="1276"/>
      <c r="BH87" s="1276"/>
      <c r="BI87" s="1278"/>
      <c r="BJ87" s="1276"/>
      <c r="BK87" s="1277"/>
      <c r="BL87" s="1276"/>
      <c r="BM87" s="1276"/>
      <c r="BN87" s="1276"/>
      <c r="BO87" s="1278"/>
      <c r="BP87" s="1276"/>
      <c r="BQ87" s="1277"/>
      <c r="BR87" s="1276"/>
      <c r="BS87" s="1276"/>
      <c r="BT87" s="1276"/>
      <c r="BU87" s="1278"/>
      <c r="BV87" s="1276"/>
      <c r="BW87" s="1277"/>
      <c r="BX87" s="1276"/>
      <c r="BY87" s="1276"/>
      <c r="BZ87" s="1276"/>
      <c r="CA87" s="1278"/>
      <c r="CB87" s="1276"/>
      <c r="CC87" s="1277"/>
      <c r="CD87" s="1276"/>
      <c r="CE87" s="1276"/>
      <c r="CF87" s="1276"/>
      <c r="CG87" s="1278"/>
      <c r="CH87" s="1276"/>
      <c r="CI87" s="1277"/>
      <c r="CJ87" s="1276"/>
      <c r="CK87" s="1276"/>
      <c r="CL87" s="1276"/>
      <c r="CM87" s="1278"/>
      <c r="CN87" s="358"/>
      <c r="CO87" s="339"/>
      <c r="CP87" s="339"/>
      <c r="CQ87" s="339"/>
      <c r="CR87" s="339"/>
      <c r="CS87" s="151"/>
      <c r="CT87" s="151"/>
      <c r="CU87" s="151"/>
      <c r="CV87" s="151"/>
      <c r="CW87" s="151"/>
      <c r="CX87" s="151"/>
      <c r="CY87" s="151"/>
      <c r="CZ87" s="151"/>
      <c r="DA87" s="151"/>
      <c r="DB87" s="151"/>
      <c r="DC87" s="151"/>
      <c r="DD87" s="151"/>
      <c r="DE87" s="151"/>
      <c r="DF87" s="151"/>
      <c r="DG87" s="151"/>
      <c r="DH87" s="151"/>
      <c r="DI87" s="151"/>
      <c r="DJ87" s="151"/>
      <c r="DK87" s="151"/>
      <c r="DL87" s="151"/>
      <c r="DM87" s="151"/>
    </row>
    <row r="88" spans="1:117" s="151" customFormat="1" hidden="1" outlineLevel="1">
      <c r="A88" s="1325" t="s">
        <v>19</v>
      </c>
      <c r="B88" s="1326"/>
      <c r="C88" s="1327"/>
      <c r="D88" s="1326"/>
      <c r="E88" s="1326"/>
      <c r="F88" s="1326"/>
      <c r="G88" s="1328"/>
      <c r="H88" s="1326"/>
      <c r="I88" s="1327"/>
      <c r="J88" s="1326"/>
      <c r="K88" s="1326"/>
      <c r="L88" s="1326"/>
      <c r="M88" s="1328"/>
      <c r="N88" s="1326"/>
      <c r="O88" s="1327"/>
      <c r="P88" s="1326"/>
      <c r="Q88" s="1326"/>
      <c r="R88" s="1326"/>
      <c r="S88" s="1328"/>
      <c r="T88" s="1326"/>
      <c r="U88" s="1327"/>
      <c r="V88" s="1326"/>
      <c r="W88" s="1326"/>
      <c r="X88" s="1326"/>
      <c r="Y88" s="1328"/>
      <c r="Z88" s="1326"/>
      <c r="AA88" s="1327"/>
      <c r="AB88" s="1326"/>
      <c r="AC88" s="1326"/>
      <c r="AD88" s="1326"/>
      <c r="AE88" s="1328"/>
      <c r="AF88" s="1326"/>
      <c r="AG88" s="1329"/>
      <c r="AH88" s="1330"/>
      <c r="AI88" s="1330"/>
      <c r="AJ88" s="1330"/>
      <c r="AK88" s="1331"/>
      <c r="AL88" s="1326"/>
      <c r="AM88" s="1329"/>
      <c r="AN88" s="1330"/>
      <c r="AO88" s="1330"/>
      <c r="AP88" s="1330"/>
      <c r="AQ88" s="1331"/>
      <c r="AR88" s="1326"/>
      <c r="AS88" s="1329"/>
      <c r="AT88" s="1330"/>
      <c r="AU88" s="1330"/>
      <c r="AV88" s="1330"/>
      <c r="AW88" s="1331"/>
      <c r="AX88" s="1326"/>
      <c r="AY88" s="1329"/>
      <c r="AZ88" s="1330"/>
      <c r="BA88" s="1330"/>
      <c r="BB88" s="1330"/>
      <c r="BC88" s="1331"/>
      <c r="BD88" s="1326"/>
      <c r="BE88" s="1329"/>
      <c r="BF88" s="1330"/>
      <c r="BG88" s="1330"/>
      <c r="BH88" s="1330"/>
      <c r="BI88" s="1331"/>
      <c r="BJ88" s="1326"/>
      <c r="BK88" s="1329"/>
      <c r="BL88" s="1330"/>
      <c r="BM88" s="1330"/>
      <c r="BN88" s="1330"/>
      <c r="BO88" s="1331"/>
      <c r="BP88" s="1326"/>
      <c r="BQ88" s="1329"/>
      <c r="BR88" s="1330"/>
      <c r="BS88" s="1330"/>
      <c r="BT88" s="1330"/>
      <c r="BU88" s="1331"/>
      <c r="BV88" s="1326"/>
      <c r="BW88" s="1329"/>
      <c r="BX88" s="1330"/>
      <c r="BY88" s="1330"/>
      <c r="BZ88" s="1330"/>
      <c r="CA88" s="1331"/>
      <c r="CB88" s="1326"/>
      <c r="CC88" s="1329"/>
      <c r="CD88" s="1330"/>
      <c r="CE88" s="1330"/>
      <c r="CF88" s="1330"/>
      <c r="CG88" s="1331"/>
      <c r="CH88" s="1326"/>
      <c r="CI88" s="1329"/>
      <c r="CJ88" s="1330"/>
      <c r="CK88" s="1330"/>
      <c r="CL88" s="1330"/>
      <c r="CM88" s="1331"/>
      <c r="CN88" s="339"/>
      <c r="CO88" s="358"/>
      <c r="CP88" s="358"/>
      <c r="CQ88" s="358"/>
      <c r="CR88" s="358"/>
      <c r="CS88" s="15"/>
      <c r="CT88" s="15"/>
      <c r="CU88" s="15"/>
      <c r="CV88" s="15"/>
      <c r="CW88" s="15"/>
      <c r="CX88" s="15"/>
      <c r="CY88" s="15"/>
      <c r="CZ88" s="15"/>
      <c r="DA88" s="15"/>
      <c r="DB88" s="15"/>
      <c r="DC88" s="15"/>
      <c r="DD88" s="15"/>
      <c r="DE88" s="15"/>
      <c r="DF88" s="15"/>
      <c r="DG88" s="15"/>
      <c r="DH88" s="15"/>
      <c r="DI88" s="15"/>
      <c r="DJ88" s="15"/>
      <c r="DK88" s="15"/>
      <c r="DL88" s="15"/>
      <c r="DM88" s="15"/>
    </row>
    <row r="89" spans="1:117" s="15" customFormat="1" hidden="1" outlineLevel="1">
      <c r="A89" s="1279" t="s">
        <v>191</v>
      </c>
      <c r="B89" s="23"/>
      <c r="C89" s="1280"/>
      <c r="D89" s="23"/>
      <c r="E89" s="23"/>
      <c r="F89" s="23"/>
      <c r="G89" s="1281"/>
      <c r="H89" s="23"/>
      <c r="I89" s="1282">
        <f>IS!I17-IS!C17</f>
        <v>11.930000000000007</v>
      </c>
      <c r="J89" s="1283">
        <f>IS!J17-IS!D17</f>
        <v>9.7120000000000033</v>
      </c>
      <c r="K89" s="1283">
        <f>IS!K17-IS!E17</f>
        <v>9.2539999999999907</v>
      </c>
      <c r="L89" s="1283">
        <f>IS!L17-IS!F17</f>
        <v>-0.53199999999999648</v>
      </c>
      <c r="M89" s="1284">
        <f>IS!M17-IS!G17</f>
        <v>30.364000000000033</v>
      </c>
      <c r="N89" s="1283"/>
      <c r="O89" s="1282">
        <f>IS!O17-IS!I17</f>
        <v>-8.9779999999999944</v>
      </c>
      <c r="P89" s="1283">
        <f>IS!P17-IS!J17</f>
        <v>-8.2520000000000095</v>
      </c>
      <c r="Q89" s="1283">
        <f>IS!Q17-IS!K17</f>
        <v>-4.7879999999999967</v>
      </c>
      <c r="R89" s="1283">
        <f>IS!R17-IS!L17</f>
        <v>6.0220000000000056</v>
      </c>
      <c r="S89" s="1284">
        <f>IS!S17-IS!M17</f>
        <v>-15.996000000000038</v>
      </c>
      <c r="T89" s="1283"/>
      <c r="U89" s="1282">
        <f>IS!U17-IS!O17</f>
        <v>7.833999999999989</v>
      </c>
      <c r="V89" s="1283">
        <f>IS!V17-IS!P17</f>
        <v>1.2560000000000002</v>
      </c>
      <c r="W89" s="1283">
        <f>IS!W17-IS!Q17</f>
        <v>3.6310000000000002</v>
      </c>
      <c r="X89" s="1283">
        <f>IS!X17-IS!R17</f>
        <v>11.031999999999996</v>
      </c>
      <c r="Y89" s="1284">
        <f>IS!Y17-IS!S17</f>
        <v>23.753000000000043</v>
      </c>
      <c r="Z89" s="1283"/>
      <c r="AA89" s="1282">
        <f>IS!AA17-IS!U17</f>
        <v>12.430999999999997</v>
      </c>
      <c r="AB89" s="1283">
        <f>IS!AB17-IS!V17</f>
        <v>20.5</v>
      </c>
      <c r="AC89" s="1283">
        <f>IS!AC17-IS!W17</f>
        <v>11.905000000000001</v>
      </c>
      <c r="AD89" s="1283">
        <f>IS!AD17-IS!X17</f>
        <v>5.7189999999999941</v>
      </c>
      <c r="AE89" s="1284">
        <f>IS!AE17-IS!Y17</f>
        <v>50.55499999999995</v>
      </c>
      <c r="AF89" s="1283"/>
      <c r="AG89" s="1282">
        <f>IS!AG17-IS!AA17</f>
        <v>-0.51600000000000534</v>
      </c>
      <c r="AH89" s="1283">
        <f>IS!AH17-IS!AB17</f>
        <v>-5.4990000000000094</v>
      </c>
      <c r="AI89" s="1283">
        <f>IS!AI17-IS!AC17</f>
        <v>-4.8389999999999986</v>
      </c>
      <c r="AJ89" s="1283">
        <f>IS!AJ17-IS!AD17</f>
        <v>-3.8049999999999926</v>
      </c>
      <c r="AK89" s="1284">
        <f>IS!AK17-IS!AE17</f>
        <v>-14.658999999999992</v>
      </c>
      <c r="AL89" s="1283"/>
      <c r="AM89" s="1282">
        <f>IS!AM17-IS!AG17</f>
        <v>0.97900000000001342</v>
      </c>
      <c r="AN89" s="1283">
        <f>IS!AN17-IS!AH17</f>
        <v>0.21100000000001273</v>
      </c>
      <c r="AO89" s="1283">
        <f>IS!AO17-IS!AI17</f>
        <v>4.3430000000000035</v>
      </c>
      <c r="AP89" s="1283">
        <f>IS!AP17-IS!AJ17</f>
        <v>7.5350000000000108</v>
      </c>
      <c r="AQ89" s="1284">
        <f>IS!AQ17-IS!AK17</f>
        <v>13.067999999999984</v>
      </c>
      <c r="AR89" s="1283"/>
      <c r="AS89" s="1282">
        <f>IS!AS17-IS!AM17</f>
        <v>0.73000000000000398</v>
      </c>
      <c r="AT89" s="1283">
        <f>IS!AT17-IS!AN17</f>
        <v>5.7310000000000088</v>
      </c>
      <c r="AU89" s="1283">
        <f>IS!AU17-IS!AO17</f>
        <v>4.3199999999999932</v>
      </c>
      <c r="AV89" s="1283">
        <f>IS!AV17-IS!AP17</f>
        <v>0.8089999999999975</v>
      </c>
      <c r="AW89" s="1284">
        <f>IS!AW17-IS!AQ17</f>
        <v>11.590000000000089</v>
      </c>
      <c r="AX89" s="1283"/>
      <c r="AY89" s="1282">
        <f>IS!AY17-IS!AS17</f>
        <v>0.16199999999997772</v>
      </c>
      <c r="AZ89" s="1283">
        <f>IS!AZ17-IS!AT17</f>
        <v>-5.2379999999999995</v>
      </c>
      <c r="BA89" s="1283">
        <f>IS!BA17-IS!AU17</f>
        <v>0.88800000000000523</v>
      </c>
      <c r="BB89" s="1283">
        <f>IS!BB17-IS!AV17</f>
        <v>-2.5300000000000153</v>
      </c>
      <c r="BC89" s="1284">
        <f>IS!BC17-IS!AW17</f>
        <v>-6.7180000000000746</v>
      </c>
      <c r="BD89" s="1283"/>
      <c r="BE89" s="1282">
        <f>IS!BE17-IS!AY17</f>
        <v>0.17900000000001626</v>
      </c>
      <c r="BF89" s="1283">
        <f>IS!BF17-IS!AZ17</f>
        <v>6.9569999999999936</v>
      </c>
      <c r="BG89" s="1283">
        <f>IS!BG17-IS!BA17</f>
        <v>-2.5999999999996248E-2</v>
      </c>
      <c r="BH89" s="1283">
        <f>IS!BH17-IS!BB17</f>
        <v>3.6880000000000024</v>
      </c>
      <c r="BI89" s="1284">
        <f>IS!BI17-IS!BC17</f>
        <v>10.798000000000059</v>
      </c>
      <c r="BJ89" s="1283"/>
      <c r="BK89" s="1282">
        <f>IS!BK17-IS!BE17</f>
        <v>2.5180000000000007</v>
      </c>
      <c r="BL89" s="1283">
        <f>IS!BL17-IS!BF17</f>
        <v>0.92599999999998772</v>
      </c>
      <c r="BM89" s="1283">
        <f>IS!BM17-IS!BG17</f>
        <v>5.9119999999999919</v>
      </c>
      <c r="BN89" s="1283">
        <f>IS!BN17-IS!BH17</f>
        <v>16.03</v>
      </c>
      <c r="BO89" s="1284">
        <f>IS!BO17-IS!BI17</f>
        <v>25.385999999999854</v>
      </c>
      <c r="BP89" s="1283"/>
      <c r="BQ89" s="1282">
        <f>IS!BQ17-IS!BK17</f>
        <v>8.8745375650451734</v>
      </c>
      <c r="BR89" s="1283">
        <f>IS!BR17-IS!BL17</f>
        <v>9.4867490812379458</v>
      </c>
      <c r="BS89" s="1283">
        <f>IS!BS17-IS!BM17</f>
        <v>6.3891551213440323</v>
      </c>
      <c r="BT89" s="1283">
        <f>IS!BT17-IS!BN17</f>
        <v>7.3143451494769067</v>
      </c>
      <c r="BU89" s="1284">
        <f>IS!BU17-IS!BO17</f>
        <v>32.064786917104129</v>
      </c>
      <c r="BV89" s="1283"/>
      <c r="BW89" s="1282">
        <f>IS!BW17-IS!BQ17</f>
        <v>8.5200250403993891</v>
      </c>
      <c r="BX89" s="1283">
        <f>IS!BX17-IS!BR17</f>
        <v>8.0834293220940481</v>
      </c>
      <c r="BY89" s="1283">
        <f>IS!BY17-IS!BS17</f>
        <v>7.5548688135526731</v>
      </c>
      <c r="BZ89" s="1283">
        <f>IS!BZ17-IS!BT17</f>
        <v>7.5405326395771226</v>
      </c>
      <c r="CA89" s="1284">
        <f>IS!CA17-IS!BU17</f>
        <v>31.698855815623233</v>
      </c>
      <c r="CB89" s="1283"/>
      <c r="CC89" s="1282">
        <f>IS!CC17-IS!BW17</f>
        <v>7.9809540062330768</v>
      </c>
      <c r="CD89" s="1283">
        <f>IS!CD17-IS!BX17</f>
        <v>7.3925897358828365</v>
      </c>
      <c r="CE89" s="1283">
        <f>IS!CE17-IS!BY17</f>
        <v>7.0235096625299605</v>
      </c>
      <c r="CF89" s="1283">
        <f>IS!CF17-IS!BZ17</f>
        <v>6.8207207882436478</v>
      </c>
      <c r="CG89" s="1284">
        <f>IS!CG17-IS!CA17</f>
        <v>29.217774192889578</v>
      </c>
      <c r="CH89" s="1283"/>
      <c r="CI89" s="1282">
        <f>IS!CI17-IS!CC17</f>
        <v>8.4444654720910535</v>
      </c>
      <c r="CJ89" s="1283">
        <f>IS!CJ17-IS!CD17</f>
        <v>7.7796144463068231</v>
      </c>
      <c r="CK89" s="1283">
        <f>IS!CK17-IS!CE17</f>
        <v>7.3768198564222303</v>
      </c>
      <c r="CL89" s="1283">
        <f>IS!CL17-IS!CF17</f>
        <v>7.1505077954589922</v>
      </c>
      <c r="CM89" s="1284">
        <f>IS!CM17-IS!CG17</f>
        <v>30.751407570279071</v>
      </c>
      <c r="CN89" s="358"/>
      <c r="CO89" s="358"/>
      <c r="CP89" s="358"/>
      <c r="CQ89" s="358"/>
      <c r="CR89" s="358"/>
    </row>
    <row r="90" spans="1:117" s="15" customFormat="1" hidden="1" outlineLevel="1">
      <c r="A90" s="1279" t="s">
        <v>87</v>
      </c>
      <c r="B90" s="23"/>
      <c r="C90" s="1280"/>
      <c r="D90" s="23"/>
      <c r="E90" s="23"/>
      <c r="F90" s="23"/>
      <c r="G90" s="1281"/>
      <c r="H90" s="23"/>
      <c r="I90" s="1282">
        <f>IS!I16-IS!C16</f>
        <v>1.0640000000000001</v>
      </c>
      <c r="J90" s="1283">
        <f>IS!J16-IS!D16</f>
        <v>3.1130000000000031</v>
      </c>
      <c r="K90" s="1283">
        <f>IS!K16-IS!E16</f>
        <v>0.21499999999999986</v>
      </c>
      <c r="L90" s="1283">
        <f>IS!L16-IS!F16</f>
        <v>-1.2100000000000009</v>
      </c>
      <c r="M90" s="1284">
        <f>IS!M16-IS!G16</f>
        <v>3.1820000000000022</v>
      </c>
      <c r="N90" s="1283"/>
      <c r="O90" s="1282">
        <f>IS!O16-IS!I16</f>
        <v>-1.4540000000000006</v>
      </c>
      <c r="P90" s="1283">
        <f>IS!P16-IS!J16</f>
        <v>-2.5060000000000002</v>
      </c>
      <c r="Q90" s="1283">
        <f>IS!Q16-IS!K16</f>
        <v>-0.63600000000000279</v>
      </c>
      <c r="R90" s="1283">
        <f>IS!R16-IS!L16</f>
        <v>0.16199999999999903</v>
      </c>
      <c r="S90" s="1284">
        <f>IS!S16-IS!M16</f>
        <v>-4.4340000000000117</v>
      </c>
      <c r="T90" s="1283"/>
      <c r="U90" s="1282">
        <f>IS!U16-IS!O16</f>
        <v>1.7439999999999998</v>
      </c>
      <c r="V90" s="1283">
        <f>IS!V16-IS!P16</f>
        <v>1.0849999999999973</v>
      </c>
      <c r="W90" s="1283">
        <f>IS!W16-IS!Q16</f>
        <v>1.2140000000000022</v>
      </c>
      <c r="X90" s="1283">
        <f>IS!X16-IS!R16</f>
        <v>3.0770000000000017</v>
      </c>
      <c r="Y90" s="1284">
        <f>IS!Y16-IS!S16</f>
        <v>7.1200000000000045</v>
      </c>
      <c r="Z90" s="1283"/>
      <c r="AA90" s="1282">
        <f>IS!AA16-IS!U16</f>
        <v>2.1780000000000008</v>
      </c>
      <c r="AB90" s="1283">
        <f>IS!AB16-IS!V16</f>
        <v>2.2070000000000007</v>
      </c>
      <c r="AC90" s="1283">
        <f>IS!AC16-IS!W16</f>
        <v>2.847999999999999</v>
      </c>
      <c r="AD90" s="1283">
        <f>IS!AD16-IS!X16</f>
        <v>0.83999999999999986</v>
      </c>
      <c r="AE90" s="1284">
        <f>IS!AE16-IS!Y16</f>
        <v>8.0730000000000075</v>
      </c>
      <c r="AF90" s="1283"/>
      <c r="AG90" s="1282">
        <f>IS!AG16-IS!AA16</f>
        <v>1.093</v>
      </c>
      <c r="AH90" s="1283">
        <f>IS!AH16-IS!AB16</f>
        <v>0.92900000000000205</v>
      </c>
      <c r="AI90" s="1283">
        <f>IS!AI16-IS!AC16</f>
        <v>0.38400000000000034</v>
      </c>
      <c r="AJ90" s="1283">
        <f>IS!AJ16-IS!AD16</f>
        <v>1.2509999999999977</v>
      </c>
      <c r="AK90" s="1284">
        <f>IS!AK16-IS!AE16</f>
        <v>3.6569999999999965</v>
      </c>
      <c r="AL90" s="1283"/>
      <c r="AM90" s="1282">
        <f>IS!AM16-IS!AG16</f>
        <v>1.9649999999999999</v>
      </c>
      <c r="AN90" s="1283">
        <f>IS!AN16-IS!AH16</f>
        <v>0.70699999999999719</v>
      </c>
      <c r="AO90" s="1283">
        <f>IS!AO16-IS!AI16</f>
        <v>-0.15700000000000003</v>
      </c>
      <c r="AP90" s="1283">
        <f>IS!AP16-IS!AJ16</f>
        <v>2.017000000000003</v>
      </c>
      <c r="AQ90" s="1284">
        <f>IS!AQ16-IS!AK16</f>
        <v>4.5319999999999965</v>
      </c>
      <c r="AR90" s="1283"/>
      <c r="AS90" s="1282">
        <f>IS!AS16-IS!AM16</f>
        <v>-0.5660000000000025</v>
      </c>
      <c r="AT90" s="1283">
        <f>IS!AT16-IS!AN16</f>
        <v>2.3270000000000017</v>
      </c>
      <c r="AU90" s="1283">
        <f>IS!AU16-IS!AO16</f>
        <v>3.6799999999999997</v>
      </c>
      <c r="AV90" s="1283">
        <f>IS!AV16-IS!AP16</f>
        <v>1.7489999999999988</v>
      </c>
      <c r="AW90" s="1284">
        <f>IS!AW16-IS!AQ16</f>
        <v>7.1899999999999977</v>
      </c>
      <c r="AX90" s="1283"/>
      <c r="AY90" s="1282">
        <f>IS!AY16-IS!AS16</f>
        <v>4.2050000000000018</v>
      </c>
      <c r="AZ90" s="1283">
        <f>IS!AZ16-IS!AT16</f>
        <v>3.5779999999999994</v>
      </c>
      <c r="BA90" s="1283">
        <f>IS!BA16-IS!AU16</f>
        <v>3.4239999999999995</v>
      </c>
      <c r="BB90" s="1283">
        <f>IS!BB16-IS!AV16</f>
        <v>-0.38800000000000168</v>
      </c>
      <c r="BC90" s="1284">
        <f>IS!BC16-IS!AW16</f>
        <v>10.819000000000003</v>
      </c>
      <c r="BD90" s="1283"/>
      <c r="BE90" s="1282">
        <f>IS!BE16-IS!AY16</f>
        <v>0.48699999999999832</v>
      </c>
      <c r="BF90" s="1283">
        <f>IS!BF16-IS!AZ16</f>
        <v>2.0230000000000032</v>
      </c>
      <c r="BG90" s="1283">
        <f>IS!BG16-IS!BA16</f>
        <v>-0.28500000000000014</v>
      </c>
      <c r="BH90" s="1283">
        <f>IS!BH16-IS!BB16</f>
        <v>4.4170000000000016</v>
      </c>
      <c r="BI90" s="1284">
        <f>IS!BI16-IS!BC16</f>
        <v>6.6419999999999959</v>
      </c>
      <c r="BJ90" s="1283"/>
      <c r="BK90" s="1282">
        <f>IS!BK16-IS!BE16</f>
        <v>1.3140000000000001</v>
      </c>
      <c r="BL90" s="1283">
        <f>IS!BL16-IS!BF16</f>
        <v>0.35899999999999466</v>
      </c>
      <c r="BM90" s="1283">
        <f>IS!BM16-IS!BG16</f>
        <v>3.3639999999999972</v>
      </c>
      <c r="BN90" s="1283">
        <f>IS!BN16-IS!BH16</f>
        <v>2.3689999999999998</v>
      </c>
      <c r="BO90" s="1284">
        <f>IS!BO16-IS!BI16</f>
        <v>7.4059999999999917</v>
      </c>
      <c r="BP90" s="1283"/>
      <c r="BQ90" s="1282">
        <f>IS!BQ16-IS!BK16</f>
        <v>2.6641446458015174</v>
      </c>
      <c r="BR90" s="1283">
        <f>IS!BR16-IS!BL16</f>
        <v>2.8980668079496681</v>
      </c>
      <c r="BS90" s="1283">
        <f>IS!BS16-IS!BM16</f>
        <v>2.1489519591632487</v>
      </c>
      <c r="BT90" s="1283">
        <f>IS!BT16-IS!BN16</f>
        <v>2.2884285660722483</v>
      </c>
      <c r="BU90" s="1284">
        <f>IS!BU16-IS!BO16</f>
        <v>9.9995919789867003</v>
      </c>
      <c r="BV90" s="1283"/>
      <c r="BW90" s="1282">
        <f>IS!BW16-IS!BQ16</f>
        <v>2.1891980953438193</v>
      </c>
      <c r="BX90" s="1283">
        <f>IS!BX16-IS!BR16</f>
        <v>2.0988505255666539</v>
      </c>
      <c r="BY90" s="1283">
        <f>IS!BY16-IS!BS16</f>
        <v>2.0078205072687894</v>
      </c>
      <c r="BZ90" s="1283">
        <f>IS!BZ16-IS!BT16</f>
        <v>1.8404071194005738</v>
      </c>
      <c r="CA90" s="1284">
        <f>IS!CA16-IS!BU16</f>
        <v>8.1362762475798149</v>
      </c>
      <c r="CB90" s="1283"/>
      <c r="CC90" s="1282">
        <f>IS!CC16-IS!BW16</f>
        <v>2.0506852065135561</v>
      </c>
      <c r="CD90" s="1283">
        <f>IS!CD16-IS!BX16</f>
        <v>1.9194750438464609</v>
      </c>
      <c r="CE90" s="1283">
        <f>IS!CE16-IS!BY16</f>
        <v>1.8666037864391072</v>
      </c>
      <c r="CF90" s="1283">
        <f>IS!CF16-IS!BZ16</f>
        <v>1.6647236605332338</v>
      </c>
      <c r="CG90" s="1284">
        <f>IS!CG16-IS!CA16</f>
        <v>7.501487697332351</v>
      </c>
      <c r="CH90" s="1283"/>
      <c r="CI90" s="1282">
        <f>IS!CI16-IS!CC16</f>
        <v>2.1697832623778055</v>
      </c>
      <c r="CJ90" s="1283">
        <f>IS!CJ16-IS!CD16</f>
        <v>2.0199654402504379</v>
      </c>
      <c r="CK90" s="1283">
        <f>IS!CK16-IS!CE16</f>
        <v>1.9605013073929456</v>
      </c>
      <c r="CL90" s="1283">
        <f>IS!CL16-IS!CF16</f>
        <v>1.7452143082070251</v>
      </c>
      <c r="CM90" s="1284">
        <f>IS!CM16-IS!CG16</f>
        <v>7.8954643182282211</v>
      </c>
      <c r="CN90" s="358"/>
      <c r="CO90" s="358"/>
      <c r="CP90" s="358"/>
      <c r="CQ90" s="358"/>
      <c r="CR90" s="358"/>
    </row>
    <row r="91" spans="1:117" s="15" customFormat="1" hidden="1" outlineLevel="1">
      <c r="A91" s="1446" t="s">
        <v>227</v>
      </c>
      <c r="B91" s="23"/>
      <c r="C91" s="1280"/>
      <c r="D91" s="23"/>
      <c r="E91" s="23"/>
      <c r="F91" s="23"/>
      <c r="G91" s="1281"/>
      <c r="H91" s="23"/>
      <c r="I91" s="1282">
        <f>IS!I22-IS!C22</f>
        <v>16.008000000000052</v>
      </c>
      <c r="J91" s="1283">
        <f>IS!J22-IS!D22</f>
        <v>18.717000000000013</v>
      </c>
      <c r="K91" s="1283">
        <f>IS!K22-IS!E22</f>
        <v>18.005999999999972</v>
      </c>
      <c r="L91" s="1283">
        <f>IS!L22-IS!F22</f>
        <v>-6.2010000000000076</v>
      </c>
      <c r="M91" s="1284">
        <f>IS!M22-IS!G22</f>
        <v>46.5300000000002</v>
      </c>
      <c r="N91" s="1283"/>
      <c r="O91" s="1282">
        <f>IS!O22-IS!I22</f>
        <v>-0.51700000000003854</v>
      </c>
      <c r="P91" s="1283">
        <f>IS!P22-IS!J22</f>
        <v>-2.5120000000000289</v>
      </c>
      <c r="Q91" s="1283">
        <f>IS!Q22-IS!K22</f>
        <v>-2.7459999999999383</v>
      </c>
      <c r="R91" s="1283">
        <f>IS!R22-IS!L22</f>
        <v>5.465000000000046</v>
      </c>
      <c r="S91" s="1284">
        <f>IS!S22-IS!M22</f>
        <v>-0.30999999999994543</v>
      </c>
      <c r="T91" s="1283"/>
      <c r="U91" s="1282">
        <f>IS!U22-IS!O22</f>
        <v>6.5919999999999845</v>
      </c>
      <c r="V91" s="1283">
        <f>IS!V22-IS!P22</f>
        <v>14.89800000000001</v>
      </c>
      <c r="W91" s="1283">
        <f>IS!W22-IS!Q22</f>
        <v>12.387999999999977</v>
      </c>
      <c r="X91" s="1283">
        <f>IS!X22-IS!R22</f>
        <v>21.499000000000024</v>
      </c>
      <c r="Y91" s="1284">
        <f>IS!Y22-IS!S22</f>
        <v>55.376999999999953</v>
      </c>
      <c r="Z91" s="1283"/>
      <c r="AA91" s="1282">
        <f>IS!AA22-IS!U22</f>
        <v>21.39700000000002</v>
      </c>
      <c r="AB91" s="1283">
        <f>IS!AB22-IS!V22</f>
        <v>12.895000000000053</v>
      </c>
      <c r="AC91" s="1283">
        <f>IS!AC22-IS!W22</f>
        <v>21.410000000000011</v>
      </c>
      <c r="AD91" s="1283">
        <f>IS!AD22-IS!X22</f>
        <v>16.292999999999978</v>
      </c>
      <c r="AE91" s="1284">
        <f>IS!AE22-IS!Y22</f>
        <v>71.995000000000005</v>
      </c>
      <c r="AF91" s="1283"/>
      <c r="AG91" s="1282">
        <f>IS!AG22-IS!AA22</f>
        <v>-5.1829999999999927</v>
      </c>
      <c r="AH91" s="1283">
        <f>IS!AH22-IS!AB22</f>
        <v>7.1549999999999443</v>
      </c>
      <c r="AI91" s="1283">
        <f>IS!AI22-IS!AC22</f>
        <v>-2.5109999999999957</v>
      </c>
      <c r="AJ91" s="1283">
        <f>IS!AJ22-IS!AD22</f>
        <v>-1.2200000000000557</v>
      </c>
      <c r="AK91" s="1284">
        <f>IS!AK22-IS!AE22</f>
        <v>-1.7590000000000146</v>
      </c>
      <c r="AL91" s="1283"/>
      <c r="AM91" s="1282">
        <f>IS!AM22-IS!AG22</f>
        <v>-0.34199999999998454</v>
      </c>
      <c r="AN91" s="1283">
        <f>IS!AN22-IS!AH22</f>
        <v>-12.240999999999985</v>
      </c>
      <c r="AO91" s="1283">
        <f>IS!AO22-IS!AI22</f>
        <v>-5.6869999999999834</v>
      </c>
      <c r="AP91" s="1283">
        <f>IS!AP22-IS!AJ22</f>
        <v>13.50200000000001</v>
      </c>
      <c r="AQ91" s="1284">
        <f>IS!AQ22-IS!AK22</f>
        <v>-4.7680000000000291</v>
      </c>
      <c r="AR91" s="1283"/>
      <c r="AS91" s="1282">
        <f>IS!AS22-IS!AM22</f>
        <v>-13.145000000000067</v>
      </c>
      <c r="AT91" s="1283">
        <f>IS!AT22-IS!AN22</f>
        <v>9.1039999999999566</v>
      </c>
      <c r="AU91" s="1283">
        <f>IS!AU22-IS!AO22</f>
        <v>17.194000000000017</v>
      </c>
      <c r="AV91" s="1283">
        <f>IS!AV22-IS!AP22</f>
        <v>11.736000000000047</v>
      </c>
      <c r="AW91" s="1284">
        <f>IS!AW22-IS!AQ22</f>
        <v>24.888999999999896</v>
      </c>
      <c r="AX91" s="1283"/>
      <c r="AY91" s="1282">
        <f>IS!AY22-IS!AS22</f>
        <v>24.002000000000066</v>
      </c>
      <c r="AZ91" s="1283">
        <f>IS!AZ22-IS!AT22</f>
        <v>7.745000000000033</v>
      </c>
      <c r="BA91" s="1283">
        <f>IS!BA22-IS!AU22</f>
        <v>-1.4810000000001082</v>
      </c>
      <c r="BB91" s="1283">
        <f>IS!BB22-IS!AV22</f>
        <v>0.86200000000002319</v>
      </c>
      <c r="BC91" s="1284">
        <f>IS!BC22-IS!AW22</f>
        <v>31.127999999999929</v>
      </c>
      <c r="BD91" s="1283"/>
      <c r="BE91" s="1282">
        <f>IS!BE22-IS!AY22</f>
        <v>2.2709999999999297</v>
      </c>
      <c r="BF91" s="1283">
        <f>IS!BF22-IS!AZ22</f>
        <v>21.167999999999921</v>
      </c>
      <c r="BG91" s="1283">
        <f>IS!BG22-IS!BA22</f>
        <v>15.02300000000011</v>
      </c>
      <c r="BH91" s="1283">
        <f>IS!BH22-IS!BB22</f>
        <v>20.407999999999959</v>
      </c>
      <c r="BI91" s="1284">
        <f>IS!BI22-IS!BC22</f>
        <v>58.869999999999891</v>
      </c>
      <c r="BJ91" s="1283"/>
      <c r="BK91" s="1282">
        <f>IS!BK22-IS!BE22</f>
        <v>8.9470000000000596</v>
      </c>
      <c r="BL91" s="1283">
        <f>IS!BL22-IS!BF22</f>
        <v>11.157000000000068</v>
      </c>
      <c r="BM91" s="1283">
        <f>IS!BM22-IS!BG22</f>
        <v>11.929999999999893</v>
      </c>
      <c r="BN91" s="1283">
        <f>IS!BN22-IS!BH22</f>
        <v>21.214999999999918</v>
      </c>
      <c r="BO91" s="1284">
        <f>IS!BO22-IS!BI22</f>
        <v>53.249000000000365</v>
      </c>
      <c r="BP91" s="1283"/>
      <c r="BQ91" s="1282">
        <f>IS!BQ22-IS!BK22</f>
        <v>13.211465961535708</v>
      </c>
      <c r="BR91" s="1283">
        <f>IS!BR22-IS!BL22</f>
        <v>16.56173989574242</v>
      </c>
      <c r="BS91" s="1283">
        <f>IS!BS22-IS!BM22</f>
        <v>12.417010960419219</v>
      </c>
      <c r="BT91" s="1283">
        <f>IS!BT22-IS!BN22</f>
        <v>17.549085114314124</v>
      </c>
      <c r="BU91" s="1284">
        <f>IS!BU22-IS!BO22</f>
        <v>59.739301932011358</v>
      </c>
      <c r="BV91" s="1283"/>
      <c r="BW91" s="1282">
        <f>IS!BW22-IS!BQ22</f>
        <v>11.07763536679974</v>
      </c>
      <c r="BX91" s="1283">
        <f>IS!BX22-IS!BR22</f>
        <v>12.259496518132948</v>
      </c>
      <c r="BY91" s="1283">
        <f>IS!BY22-IS!BS22</f>
        <v>11.517626945439417</v>
      </c>
      <c r="BZ91" s="1283">
        <f>IS!BZ22-IS!BT22</f>
        <v>14.296416793944587</v>
      </c>
      <c r="CA91" s="1284">
        <f>IS!CA22-IS!BU22</f>
        <v>49.151175624316579</v>
      </c>
      <c r="CB91" s="1283"/>
      <c r="CC91" s="1282">
        <f>IS!CC22-IS!BW22</f>
        <v>10.559020365929342</v>
      </c>
      <c r="CD91" s="1283">
        <f>IS!CD22-IS!BX22</f>
        <v>11.411144060341002</v>
      </c>
      <c r="CE91" s="1283">
        <f>IS!CE22-IS!BY22</f>
        <v>10.946149093583898</v>
      </c>
      <c r="CF91" s="1283">
        <f>IS!CF22-IS!BZ22</f>
        <v>13.230125671560302</v>
      </c>
      <c r="CG91" s="1284">
        <f>IS!CG22-IS!CA22</f>
        <v>46.146439191414743</v>
      </c>
      <c r="CH91" s="1283"/>
      <c r="CI91" s="1282">
        <f>IS!CI22-IS!CC22</f>
        <v>11.250485703248245</v>
      </c>
      <c r="CJ91" s="1283">
        <f>IS!CJ22-IS!CD22</f>
        <v>12.074352326183629</v>
      </c>
      <c r="CK91" s="1283">
        <f>IS!CK22-IS!CE22</f>
        <v>11.570796834414011</v>
      </c>
      <c r="CL91" s="1283">
        <f>IS!CL22-IS!CF22</f>
        <v>13.933000318845984</v>
      </c>
      <c r="CM91" s="1284">
        <f>IS!CM22-IS!CG22</f>
        <v>48.828635182691755</v>
      </c>
      <c r="CN91" s="358"/>
      <c r="CO91" s="358"/>
      <c r="CP91" s="358"/>
      <c r="CQ91" s="358"/>
      <c r="CR91" s="358"/>
    </row>
    <row r="92" spans="1:117" s="15" customFormat="1" hidden="1" outlineLevel="1">
      <c r="A92" s="1285" t="s">
        <v>20</v>
      </c>
      <c r="B92" s="1286"/>
      <c r="C92" s="1287"/>
      <c r="D92" s="1286"/>
      <c r="E92" s="1286"/>
      <c r="F92" s="1286"/>
      <c r="G92" s="1288"/>
      <c r="H92" s="1286"/>
      <c r="I92" s="1289">
        <v>7.0999837237446357</v>
      </c>
      <c r="J92" s="1290">
        <v>7.6878421756732607</v>
      </c>
      <c r="K92" s="1290">
        <v>16.252054719177178</v>
      </c>
      <c r="L92" s="1290">
        <v>8.6679953305493829</v>
      </c>
      <c r="M92" s="1291">
        <v>37.836921397753301</v>
      </c>
      <c r="N92" s="1290"/>
      <c r="O92" s="1289">
        <v>2.177117444357183</v>
      </c>
      <c r="P92" s="1290">
        <v>-3.8566890607023403</v>
      </c>
      <c r="Q92" s="1290">
        <v>-12.22800667894572</v>
      </c>
      <c r="R92" s="1290">
        <v>-13.298805897489661</v>
      </c>
      <c r="S92" s="1291">
        <v>-24.641876135391293</v>
      </c>
      <c r="T92" s="1290"/>
      <c r="U92" s="1289">
        <v>1.6437534678995966</v>
      </c>
      <c r="V92" s="1290">
        <v>21.542497939216169</v>
      </c>
      <c r="W92" s="1290">
        <v>25.720375797741724</v>
      </c>
      <c r="X92" s="1290">
        <v>32.561710792673949</v>
      </c>
      <c r="Y92" s="1291">
        <v>79.866162641980026</v>
      </c>
      <c r="Z92" s="1290"/>
      <c r="AA92" s="1289">
        <v>28.88482813278933</v>
      </c>
      <c r="AB92" s="1290">
        <v>8.9801523121808557</v>
      </c>
      <c r="AC92" s="1290">
        <v>18.360287328658192</v>
      </c>
      <c r="AD92" s="1290">
        <v>22.965018947644083</v>
      </c>
      <c r="AE92" s="1291">
        <v>82.779607823355676</v>
      </c>
      <c r="AF92" s="1290"/>
      <c r="AG92" s="1289">
        <v>3.8425702032058053</v>
      </c>
      <c r="AH92" s="1290">
        <v>14.793917754181624</v>
      </c>
      <c r="AI92" s="1290">
        <v>5.5507805349954076</v>
      </c>
      <c r="AJ92" s="1290">
        <v>2.1085794852764539</v>
      </c>
      <c r="AK92" s="1291">
        <v>25.559434887464754</v>
      </c>
      <c r="AL92" s="1290"/>
      <c r="AM92" s="1289">
        <v>14.744290385029041</v>
      </c>
      <c r="AN92" s="1290">
        <v>-2.4935767557804134</v>
      </c>
      <c r="AO92" s="1290">
        <v>6.9438065978209504</v>
      </c>
      <c r="AP92" s="1290">
        <v>32.443546071546642</v>
      </c>
      <c r="AQ92" s="1291">
        <v>52.239670932927424</v>
      </c>
      <c r="AR92" s="1290"/>
      <c r="AS92" s="1289">
        <v>-13.497821183496928</v>
      </c>
      <c r="AT92" s="1290">
        <v>8.3253961174911435</v>
      </c>
      <c r="AU92" s="1290">
        <v>20.612467901151422</v>
      </c>
      <c r="AV92" s="1290">
        <v>37.223619781228656</v>
      </c>
      <c r="AW92" s="1291">
        <v>49.338042244878473</v>
      </c>
      <c r="AX92" s="1290"/>
      <c r="AY92" s="1289">
        <v>45.820589082940408</v>
      </c>
      <c r="AZ92" s="1290">
        <v>30.803641913496321</v>
      </c>
      <c r="BA92" s="1290">
        <v>27.139244580611425</v>
      </c>
      <c r="BB92" s="1290">
        <v>41.923938524346212</v>
      </c>
      <c r="BC92" s="1291">
        <v>142.89505486646956</v>
      </c>
      <c r="BD92" s="1290"/>
      <c r="BE92" s="1289">
        <v>13.241687746727207</v>
      </c>
      <c r="BF92" s="1290">
        <v>28.334665948641309</v>
      </c>
      <c r="BG92" s="1290">
        <v>12.28920349196278</v>
      </c>
      <c r="BH92" s="1290">
        <v>34.110568457433587</v>
      </c>
      <c r="BI92" s="1291">
        <v>88.249571578488457</v>
      </c>
      <c r="BJ92" s="1290"/>
      <c r="BK92" s="1289">
        <v>22.163510337605089</v>
      </c>
      <c r="BL92" s="1290">
        <v>17.913500574938226</v>
      </c>
      <c r="BM92" s="1290">
        <v>19.888924999999901</v>
      </c>
      <c r="BN92" s="1290">
        <v>20.750389999999882</v>
      </c>
      <c r="BO92" s="1291">
        <v>84.68493028426218</v>
      </c>
      <c r="BP92" s="1290"/>
      <c r="BQ92" s="1289">
        <v>17.280613172382445</v>
      </c>
      <c r="BR92" s="1290">
        <v>20.572805784930082</v>
      </c>
      <c r="BS92" s="1290">
        <v>19.823950040926505</v>
      </c>
      <c r="BT92" s="1290">
        <v>23.715483829863317</v>
      </c>
      <c r="BU92" s="1291">
        <v>80.444709328102249</v>
      </c>
      <c r="BV92" s="1290"/>
      <c r="BW92" s="1289">
        <v>21.786858502542962</v>
      </c>
      <c r="BX92" s="1290">
        <v>22.441776365793601</v>
      </c>
      <c r="BY92" s="1290">
        <v>21.080316266260859</v>
      </c>
      <c r="BZ92" s="1290">
        <v>23.677356552922333</v>
      </c>
      <c r="CA92" s="1291">
        <v>88.986307687519826</v>
      </c>
      <c r="CB92" s="1290"/>
      <c r="CC92" s="1289">
        <v>20.590659578675925</v>
      </c>
      <c r="CD92" s="1290">
        <v>20.723208840070235</v>
      </c>
      <c r="CE92" s="1290">
        <v>19.836262542552895</v>
      </c>
      <c r="CF92" s="1290">
        <v>21.715570120337119</v>
      </c>
      <c r="CG92" s="1291">
        <v>82.865701081636615</v>
      </c>
      <c r="CH92" s="1290"/>
      <c r="CI92" s="1289">
        <v>21.864734437717182</v>
      </c>
      <c r="CJ92" s="1290">
        <v>21.873932212740854</v>
      </c>
      <c r="CK92" s="1290">
        <v>20.90811799822918</v>
      </c>
      <c r="CL92" s="1290">
        <v>22.828722422512051</v>
      </c>
      <c r="CM92" s="1291">
        <v>87.47550707119899</v>
      </c>
      <c r="CN92" s="358"/>
      <c r="CO92" s="339"/>
      <c r="CP92" s="339"/>
      <c r="CQ92" s="339"/>
      <c r="CR92" s="339"/>
      <c r="CS92" s="151"/>
      <c r="CT92" s="151"/>
      <c r="CU92" s="151"/>
      <c r="CV92" s="151"/>
      <c r="CW92" s="151"/>
      <c r="CX92" s="151"/>
      <c r="CY92" s="151"/>
      <c r="CZ92" s="151"/>
      <c r="DA92" s="151"/>
      <c r="DB92" s="151"/>
      <c r="DC92" s="151"/>
      <c r="DD92" s="151"/>
      <c r="DE92" s="151"/>
      <c r="DF92" s="151"/>
      <c r="DG92" s="151"/>
      <c r="DH92" s="151"/>
      <c r="DI92" s="151"/>
      <c r="DJ92" s="151"/>
      <c r="DK92" s="151"/>
      <c r="DL92" s="151"/>
      <c r="DM92" s="151"/>
    </row>
    <row r="93" spans="1:117" s="151" customFormat="1" hidden="1" outlineLevel="1">
      <c r="A93" s="1325" t="s">
        <v>21</v>
      </c>
      <c r="B93" s="1326"/>
      <c r="C93" s="1327"/>
      <c r="D93" s="1326"/>
      <c r="E93" s="1326"/>
      <c r="F93" s="1326"/>
      <c r="G93" s="1328"/>
      <c r="H93" s="1326"/>
      <c r="I93" s="1327"/>
      <c r="J93" s="1326"/>
      <c r="K93" s="1326"/>
      <c r="L93" s="1326"/>
      <c r="M93" s="1328"/>
      <c r="N93" s="1326"/>
      <c r="O93" s="1327"/>
      <c r="P93" s="1326"/>
      <c r="Q93" s="1326"/>
      <c r="R93" s="1326"/>
      <c r="S93" s="1328"/>
      <c r="T93" s="1326"/>
      <c r="U93" s="1327"/>
      <c r="V93" s="1326"/>
      <c r="W93" s="1326"/>
      <c r="X93" s="1326"/>
      <c r="Y93" s="1328"/>
      <c r="Z93" s="1326"/>
      <c r="AA93" s="1327"/>
      <c r="AB93" s="1326"/>
      <c r="AC93" s="1326"/>
      <c r="AD93" s="1326"/>
      <c r="AE93" s="1328"/>
      <c r="AF93" s="1326"/>
      <c r="AG93" s="1329"/>
      <c r="AH93" s="1330"/>
      <c r="AI93" s="1330"/>
      <c r="AJ93" s="1330"/>
      <c r="AK93" s="1331"/>
      <c r="AL93" s="1326"/>
      <c r="AM93" s="1329"/>
      <c r="AN93" s="1330"/>
      <c r="AO93" s="1330"/>
      <c r="AP93" s="1330"/>
      <c r="AQ93" s="1331"/>
      <c r="AR93" s="1326"/>
      <c r="AS93" s="1329"/>
      <c r="AT93" s="1330"/>
      <c r="AU93" s="1330"/>
      <c r="AV93" s="1330"/>
      <c r="AW93" s="1331"/>
      <c r="AX93" s="1326"/>
      <c r="AY93" s="1329"/>
      <c r="AZ93" s="1330"/>
      <c r="BA93" s="1330"/>
      <c r="BB93" s="1330"/>
      <c r="BC93" s="1331"/>
      <c r="BD93" s="1326"/>
      <c r="BE93" s="1329"/>
      <c r="BF93" s="1330"/>
      <c r="BG93" s="1330"/>
      <c r="BH93" s="1330"/>
      <c r="BI93" s="1331"/>
      <c r="BJ93" s="1326"/>
      <c r="BK93" s="1329"/>
      <c r="BL93" s="1330"/>
      <c r="BM93" s="1330"/>
      <c r="BN93" s="1330"/>
      <c r="BO93" s="1331"/>
      <c r="BP93" s="1326"/>
      <c r="BQ93" s="1329"/>
      <c r="BR93" s="1330"/>
      <c r="BS93" s="1330"/>
      <c r="BT93" s="1330"/>
      <c r="BU93" s="1331"/>
      <c r="BV93" s="1326"/>
      <c r="BW93" s="1329"/>
      <c r="BX93" s="1330"/>
      <c r="BY93" s="1330"/>
      <c r="BZ93" s="1330"/>
      <c r="CA93" s="1331"/>
      <c r="CB93" s="1326"/>
      <c r="CC93" s="1329"/>
      <c r="CD93" s="1330"/>
      <c r="CE93" s="1330"/>
      <c r="CF93" s="1330"/>
      <c r="CG93" s="1331"/>
      <c r="CH93" s="1326"/>
      <c r="CI93" s="1329"/>
      <c r="CJ93" s="1330"/>
      <c r="CK93" s="1330"/>
      <c r="CL93" s="1330"/>
      <c r="CM93" s="1331"/>
      <c r="CN93" s="339"/>
      <c r="CO93" s="358"/>
      <c r="CP93" s="358"/>
      <c r="CQ93" s="358"/>
      <c r="CR93" s="358"/>
      <c r="CS93" s="15"/>
      <c r="CT93" s="15"/>
      <c r="CU93" s="15"/>
      <c r="CV93" s="15"/>
      <c r="CW93" s="15"/>
      <c r="CX93" s="15"/>
      <c r="CY93" s="15"/>
      <c r="CZ93" s="15"/>
      <c r="DA93" s="15"/>
      <c r="DB93" s="15"/>
      <c r="DC93" s="15"/>
      <c r="DD93" s="15"/>
      <c r="DE93" s="15"/>
      <c r="DF93" s="15"/>
      <c r="DG93" s="15"/>
      <c r="DH93" s="15"/>
      <c r="DI93" s="15"/>
      <c r="DJ93" s="15"/>
      <c r="DK93" s="15"/>
      <c r="DL93" s="15"/>
      <c r="DM93" s="15"/>
    </row>
    <row r="94" spans="1:117" s="15" customFormat="1" hidden="1" outlineLevel="1">
      <c r="A94" s="1279" t="s">
        <v>191</v>
      </c>
      <c r="B94" s="23"/>
      <c r="C94" s="1280"/>
      <c r="D94" s="23"/>
      <c r="E94" s="23"/>
      <c r="F94" s="23"/>
      <c r="G94" s="1281"/>
      <c r="H94" s="23"/>
      <c r="I94" s="1282">
        <f>I89+C89</f>
        <v>11.930000000000007</v>
      </c>
      <c r="J94" s="1283">
        <f t="shared" ref="J94:BO95" si="191">J89+D89</f>
        <v>9.7120000000000033</v>
      </c>
      <c r="K94" s="1283">
        <f t="shared" si="191"/>
        <v>9.2539999999999907</v>
      </c>
      <c r="L94" s="1283">
        <f t="shared" si="191"/>
        <v>-0.53199999999999648</v>
      </c>
      <c r="M94" s="1284">
        <f t="shared" si="191"/>
        <v>30.364000000000033</v>
      </c>
      <c r="N94" s="1283"/>
      <c r="O94" s="1282">
        <f t="shared" si="191"/>
        <v>2.9520000000000124</v>
      </c>
      <c r="P94" s="1283">
        <f t="shared" si="191"/>
        <v>1.4599999999999937</v>
      </c>
      <c r="Q94" s="1283">
        <f t="shared" si="191"/>
        <v>4.465999999999994</v>
      </c>
      <c r="R94" s="1283">
        <f t="shared" si="191"/>
        <v>5.4900000000000091</v>
      </c>
      <c r="S94" s="1284">
        <f t="shared" si="191"/>
        <v>14.367999999999995</v>
      </c>
      <c r="T94" s="1283"/>
      <c r="U94" s="1282">
        <f t="shared" si="191"/>
        <v>-1.1440000000000055</v>
      </c>
      <c r="V94" s="1283">
        <f t="shared" si="191"/>
        <v>-6.9960000000000093</v>
      </c>
      <c r="W94" s="1283">
        <f t="shared" si="191"/>
        <v>-1.1569999999999965</v>
      </c>
      <c r="X94" s="1283">
        <f t="shared" si="191"/>
        <v>17.054000000000002</v>
      </c>
      <c r="Y94" s="1284">
        <f t="shared" si="191"/>
        <v>7.757000000000005</v>
      </c>
      <c r="Z94" s="1283"/>
      <c r="AA94" s="1282">
        <f>AA89+U89</f>
        <v>20.264999999999986</v>
      </c>
      <c r="AB94" s="1283">
        <f t="shared" si="191"/>
        <v>21.756</v>
      </c>
      <c r="AC94" s="1283">
        <f t="shared" si="191"/>
        <v>15.536000000000001</v>
      </c>
      <c r="AD94" s="1283">
        <f t="shared" si="191"/>
        <v>16.750999999999991</v>
      </c>
      <c r="AE94" s="1284">
        <f t="shared" si="191"/>
        <v>74.307999999999993</v>
      </c>
      <c r="AF94" s="1283"/>
      <c r="AG94" s="1282">
        <f t="shared" si="191"/>
        <v>11.914999999999992</v>
      </c>
      <c r="AH94" s="1283">
        <f t="shared" si="191"/>
        <v>15.000999999999991</v>
      </c>
      <c r="AI94" s="1283">
        <f t="shared" si="191"/>
        <v>7.0660000000000025</v>
      </c>
      <c r="AJ94" s="1283">
        <f t="shared" si="191"/>
        <v>1.9140000000000015</v>
      </c>
      <c r="AK94" s="1284">
        <f t="shared" si="191"/>
        <v>35.895999999999958</v>
      </c>
      <c r="AL94" s="1283"/>
      <c r="AM94" s="1282">
        <f t="shared" si="191"/>
        <v>0.46300000000000807</v>
      </c>
      <c r="AN94" s="1283">
        <f t="shared" si="191"/>
        <v>-5.2879999999999967</v>
      </c>
      <c r="AO94" s="1283">
        <f t="shared" si="191"/>
        <v>-0.49599999999999511</v>
      </c>
      <c r="AP94" s="1283">
        <f t="shared" si="191"/>
        <v>3.7300000000000182</v>
      </c>
      <c r="AQ94" s="1284">
        <f t="shared" si="191"/>
        <v>-1.5910000000000082</v>
      </c>
      <c r="AR94" s="1283"/>
      <c r="AS94" s="1282">
        <f t="shared" si="191"/>
        <v>1.7090000000000174</v>
      </c>
      <c r="AT94" s="1283">
        <f t="shared" si="191"/>
        <v>5.9420000000000215</v>
      </c>
      <c r="AU94" s="1283">
        <f t="shared" si="191"/>
        <v>8.6629999999999967</v>
      </c>
      <c r="AV94" s="1283">
        <f t="shared" si="191"/>
        <v>8.3440000000000083</v>
      </c>
      <c r="AW94" s="1284">
        <f t="shared" si="191"/>
        <v>24.658000000000072</v>
      </c>
      <c r="AX94" s="1283"/>
      <c r="AY94" s="1282">
        <f t="shared" si="191"/>
        <v>0.8919999999999817</v>
      </c>
      <c r="AZ94" s="1283">
        <f t="shared" si="191"/>
        <v>0.49300000000000921</v>
      </c>
      <c r="BA94" s="1283">
        <f t="shared" si="191"/>
        <v>5.2079999999999984</v>
      </c>
      <c r="BB94" s="1283">
        <f t="shared" si="191"/>
        <v>-1.7210000000000178</v>
      </c>
      <c r="BC94" s="1284">
        <f t="shared" si="191"/>
        <v>4.8720000000000141</v>
      </c>
      <c r="BD94" s="1283"/>
      <c r="BE94" s="1282">
        <f t="shared" si="191"/>
        <v>0.34099999999999397</v>
      </c>
      <c r="BF94" s="1283">
        <f t="shared" si="191"/>
        <v>1.7189999999999941</v>
      </c>
      <c r="BG94" s="1283">
        <f t="shared" si="191"/>
        <v>0.86200000000000898</v>
      </c>
      <c r="BH94" s="1283">
        <f t="shared" si="191"/>
        <v>1.157999999999987</v>
      </c>
      <c r="BI94" s="1284">
        <f t="shared" si="191"/>
        <v>4.0799999999999841</v>
      </c>
      <c r="BJ94" s="1283"/>
      <c r="BK94" s="1282">
        <f t="shared" si="191"/>
        <v>2.6970000000000169</v>
      </c>
      <c r="BL94" s="1283">
        <f t="shared" si="191"/>
        <v>7.8829999999999814</v>
      </c>
      <c r="BM94" s="1283">
        <f t="shared" si="191"/>
        <v>5.8859999999999957</v>
      </c>
      <c r="BN94" s="1283">
        <f t="shared" si="191"/>
        <v>19.718000000000004</v>
      </c>
      <c r="BO94" s="1284">
        <f t="shared" si="191"/>
        <v>36.183999999999912</v>
      </c>
      <c r="BP94" s="1283"/>
      <c r="BQ94" s="1282">
        <f t="shared" ref="BQ94:BU97" si="192">BQ89+BK89</f>
        <v>11.392537565045174</v>
      </c>
      <c r="BR94" s="1283">
        <f t="shared" si="192"/>
        <v>10.412749081237934</v>
      </c>
      <c r="BS94" s="1283">
        <f t="shared" si="192"/>
        <v>12.301155121344024</v>
      </c>
      <c r="BT94" s="1283">
        <f t="shared" si="192"/>
        <v>23.344345149476908</v>
      </c>
      <c r="BU94" s="1284">
        <f t="shared" si="192"/>
        <v>57.450786917103983</v>
      </c>
      <c r="BV94" s="1283"/>
      <c r="BW94" s="1282">
        <f t="shared" ref="BW94:CA97" si="193">BW89+BQ89</f>
        <v>17.394562605444563</v>
      </c>
      <c r="BX94" s="1283">
        <f t="shared" si="193"/>
        <v>17.570178403331994</v>
      </c>
      <c r="BY94" s="1283">
        <f t="shared" si="193"/>
        <v>13.944023934896705</v>
      </c>
      <c r="BZ94" s="1283">
        <f t="shared" si="193"/>
        <v>14.854877789054029</v>
      </c>
      <c r="CA94" s="1284">
        <f t="shared" si="193"/>
        <v>63.763642732727362</v>
      </c>
      <c r="CB94" s="1283"/>
      <c r="CC94" s="1282">
        <f t="shared" ref="CC94:CG97" si="194">CC89+BW89</f>
        <v>16.500979046632466</v>
      </c>
      <c r="CD94" s="1283">
        <f t="shared" si="194"/>
        <v>15.476019057976885</v>
      </c>
      <c r="CE94" s="1283">
        <f t="shared" si="194"/>
        <v>14.578378476082634</v>
      </c>
      <c r="CF94" s="1283">
        <f t="shared" si="194"/>
        <v>14.36125342782077</v>
      </c>
      <c r="CG94" s="1284">
        <f t="shared" si="194"/>
        <v>60.916630008512811</v>
      </c>
      <c r="CH94" s="1283"/>
      <c r="CI94" s="1282">
        <f t="shared" ref="CI94:CM97" si="195">CI89+CC89</f>
        <v>16.42541947832413</v>
      </c>
      <c r="CJ94" s="1283">
        <f t="shared" si="195"/>
        <v>15.17220418218966</v>
      </c>
      <c r="CK94" s="1283">
        <f t="shared" si="195"/>
        <v>14.400329518952191</v>
      </c>
      <c r="CL94" s="1283">
        <f t="shared" si="195"/>
        <v>13.97122858370264</v>
      </c>
      <c r="CM94" s="1284">
        <f t="shared" si="195"/>
        <v>59.969181763168649</v>
      </c>
      <c r="CN94" s="358"/>
      <c r="CO94" s="358"/>
      <c r="CP94" s="358"/>
      <c r="CQ94" s="358"/>
      <c r="CR94" s="358"/>
    </row>
    <row r="95" spans="1:117" s="15" customFormat="1" hidden="1" outlineLevel="1">
      <c r="A95" s="1279" t="s">
        <v>87</v>
      </c>
      <c r="B95" s="23"/>
      <c r="C95" s="1280"/>
      <c r="D95" s="23"/>
      <c r="E95" s="23"/>
      <c r="F95" s="23"/>
      <c r="G95" s="1281"/>
      <c r="H95" s="23"/>
      <c r="I95" s="1282">
        <f>I90+C90</f>
        <v>1.0640000000000001</v>
      </c>
      <c r="J95" s="1283">
        <f t="shared" si="191"/>
        <v>3.1130000000000031</v>
      </c>
      <c r="K95" s="1283">
        <f t="shared" si="191"/>
        <v>0.21499999999999986</v>
      </c>
      <c r="L95" s="1283">
        <f t="shared" si="191"/>
        <v>-1.2100000000000009</v>
      </c>
      <c r="M95" s="1284">
        <f t="shared" si="191"/>
        <v>3.1820000000000022</v>
      </c>
      <c r="N95" s="1283"/>
      <c r="O95" s="1282">
        <f t="shared" si="191"/>
        <v>-0.39000000000000057</v>
      </c>
      <c r="P95" s="1283">
        <f t="shared" si="191"/>
        <v>0.60700000000000287</v>
      </c>
      <c r="Q95" s="1283">
        <f t="shared" si="191"/>
        <v>-0.42100000000000293</v>
      </c>
      <c r="R95" s="1283">
        <f t="shared" si="191"/>
        <v>-1.0480000000000018</v>
      </c>
      <c r="S95" s="1284">
        <f t="shared" si="191"/>
        <v>-1.2520000000000095</v>
      </c>
      <c r="T95" s="1283"/>
      <c r="U95" s="1282">
        <f t="shared" si="191"/>
        <v>0.28999999999999915</v>
      </c>
      <c r="V95" s="1283">
        <f t="shared" si="191"/>
        <v>-1.4210000000000029</v>
      </c>
      <c r="W95" s="1283">
        <f t="shared" si="191"/>
        <v>0.5779999999999994</v>
      </c>
      <c r="X95" s="1283">
        <f t="shared" si="191"/>
        <v>3.2390000000000008</v>
      </c>
      <c r="Y95" s="1284">
        <f t="shared" si="191"/>
        <v>2.6859999999999928</v>
      </c>
      <c r="Z95" s="1283"/>
      <c r="AA95" s="1282">
        <f>AA90+U90</f>
        <v>3.9220000000000006</v>
      </c>
      <c r="AB95" s="1283">
        <f t="shared" si="191"/>
        <v>3.291999999999998</v>
      </c>
      <c r="AC95" s="1283">
        <f t="shared" si="191"/>
        <v>4.0620000000000012</v>
      </c>
      <c r="AD95" s="1283">
        <f t="shared" si="191"/>
        <v>3.9170000000000016</v>
      </c>
      <c r="AE95" s="1284">
        <f t="shared" si="191"/>
        <v>15.193000000000012</v>
      </c>
      <c r="AF95" s="1283"/>
      <c r="AG95" s="1282">
        <f t="shared" si="191"/>
        <v>3.2710000000000008</v>
      </c>
      <c r="AH95" s="1283">
        <f t="shared" si="191"/>
        <v>3.1360000000000028</v>
      </c>
      <c r="AI95" s="1283">
        <f t="shared" si="191"/>
        <v>3.2319999999999993</v>
      </c>
      <c r="AJ95" s="1283">
        <f t="shared" si="191"/>
        <v>2.0909999999999975</v>
      </c>
      <c r="AK95" s="1284">
        <f t="shared" si="191"/>
        <v>11.730000000000004</v>
      </c>
      <c r="AL95" s="1283"/>
      <c r="AM95" s="1282">
        <f t="shared" si="191"/>
        <v>3.0579999999999998</v>
      </c>
      <c r="AN95" s="1283">
        <f t="shared" si="191"/>
        <v>1.6359999999999992</v>
      </c>
      <c r="AO95" s="1283">
        <f t="shared" si="191"/>
        <v>0.22700000000000031</v>
      </c>
      <c r="AP95" s="1283">
        <f t="shared" si="191"/>
        <v>3.2680000000000007</v>
      </c>
      <c r="AQ95" s="1284">
        <f t="shared" si="191"/>
        <v>8.188999999999993</v>
      </c>
      <c r="AR95" s="1283"/>
      <c r="AS95" s="1282">
        <f t="shared" si="191"/>
        <v>1.3989999999999974</v>
      </c>
      <c r="AT95" s="1283">
        <f t="shared" si="191"/>
        <v>3.0339999999999989</v>
      </c>
      <c r="AU95" s="1283">
        <f t="shared" si="191"/>
        <v>3.5229999999999997</v>
      </c>
      <c r="AV95" s="1283">
        <f t="shared" si="191"/>
        <v>3.7660000000000018</v>
      </c>
      <c r="AW95" s="1284">
        <f t="shared" si="191"/>
        <v>11.721999999999994</v>
      </c>
      <c r="AX95" s="1283"/>
      <c r="AY95" s="1282">
        <f t="shared" si="191"/>
        <v>3.6389999999999993</v>
      </c>
      <c r="AZ95" s="1283">
        <f t="shared" si="191"/>
        <v>5.9050000000000011</v>
      </c>
      <c r="BA95" s="1283">
        <f t="shared" si="191"/>
        <v>7.1039999999999992</v>
      </c>
      <c r="BB95" s="1283">
        <f t="shared" si="191"/>
        <v>1.3609999999999971</v>
      </c>
      <c r="BC95" s="1284">
        <f t="shared" si="191"/>
        <v>18.009</v>
      </c>
      <c r="BD95" s="1283"/>
      <c r="BE95" s="1282">
        <f t="shared" si="191"/>
        <v>4.6920000000000002</v>
      </c>
      <c r="BF95" s="1283">
        <f t="shared" si="191"/>
        <v>5.6010000000000026</v>
      </c>
      <c r="BG95" s="1283">
        <f t="shared" si="191"/>
        <v>3.1389999999999993</v>
      </c>
      <c r="BH95" s="1283">
        <f t="shared" si="191"/>
        <v>4.0289999999999999</v>
      </c>
      <c r="BI95" s="1284">
        <f t="shared" si="191"/>
        <v>17.460999999999999</v>
      </c>
      <c r="BJ95" s="1283"/>
      <c r="BK95" s="1282">
        <f t="shared" si="191"/>
        <v>1.8009999999999984</v>
      </c>
      <c r="BL95" s="1283">
        <f t="shared" si="191"/>
        <v>2.3819999999999979</v>
      </c>
      <c r="BM95" s="1283">
        <f t="shared" si="191"/>
        <v>3.0789999999999971</v>
      </c>
      <c r="BN95" s="1283">
        <f t="shared" si="191"/>
        <v>6.7860000000000014</v>
      </c>
      <c r="BO95" s="1284">
        <f t="shared" si="191"/>
        <v>14.047999999999988</v>
      </c>
      <c r="BP95" s="1283"/>
      <c r="BQ95" s="1282">
        <f t="shared" si="192"/>
        <v>3.9781446458015175</v>
      </c>
      <c r="BR95" s="1283">
        <f t="shared" si="192"/>
        <v>3.2570668079496627</v>
      </c>
      <c r="BS95" s="1283">
        <f t="shared" si="192"/>
        <v>5.5129519591632459</v>
      </c>
      <c r="BT95" s="1283">
        <f t="shared" si="192"/>
        <v>4.6574285660722481</v>
      </c>
      <c r="BU95" s="1284">
        <f t="shared" si="192"/>
        <v>17.405591978986692</v>
      </c>
      <c r="BV95" s="1283"/>
      <c r="BW95" s="1282">
        <f t="shared" si="193"/>
        <v>4.8533427411453367</v>
      </c>
      <c r="BX95" s="1283">
        <f t="shared" si="193"/>
        <v>4.9969173335163219</v>
      </c>
      <c r="BY95" s="1283">
        <f t="shared" si="193"/>
        <v>4.156772466432038</v>
      </c>
      <c r="BZ95" s="1283">
        <f t="shared" si="193"/>
        <v>4.1288356854728221</v>
      </c>
      <c r="CA95" s="1284">
        <f t="shared" si="193"/>
        <v>18.135868226566515</v>
      </c>
      <c r="CB95" s="1283"/>
      <c r="CC95" s="1282">
        <f t="shared" si="194"/>
        <v>4.2398833018573754</v>
      </c>
      <c r="CD95" s="1283">
        <f t="shared" si="194"/>
        <v>4.0183255694131148</v>
      </c>
      <c r="CE95" s="1283">
        <f t="shared" si="194"/>
        <v>3.8744242937078965</v>
      </c>
      <c r="CF95" s="1283">
        <f t="shared" si="194"/>
        <v>3.5051307799338076</v>
      </c>
      <c r="CG95" s="1284">
        <f t="shared" si="194"/>
        <v>15.637763944912166</v>
      </c>
      <c r="CH95" s="1283"/>
      <c r="CI95" s="1282">
        <f t="shared" si="195"/>
        <v>4.2204684688913616</v>
      </c>
      <c r="CJ95" s="1283">
        <f t="shared" si="195"/>
        <v>3.9394404840968988</v>
      </c>
      <c r="CK95" s="1283">
        <f t="shared" si="195"/>
        <v>3.8271050938320528</v>
      </c>
      <c r="CL95" s="1283">
        <f t="shared" si="195"/>
        <v>3.4099379687402589</v>
      </c>
      <c r="CM95" s="1284">
        <f t="shared" si="195"/>
        <v>15.396952015560572</v>
      </c>
      <c r="CN95" s="358"/>
      <c r="CO95" s="358"/>
    </row>
    <row r="96" spans="1:117" s="15" customFormat="1" hidden="1" outlineLevel="1">
      <c r="A96" s="1446" t="s">
        <v>227</v>
      </c>
      <c r="B96" s="23"/>
      <c r="C96" s="1280"/>
      <c r="D96" s="23"/>
      <c r="E96" s="23"/>
      <c r="F96" s="23"/>
      <c r="G96" s="1281"/>
      <c r="H96" s="23"/>
      <c r="I96" s="1282">
        <f>I91+C91</f>
        <v>16.008000000000052</v>
      </c>
      <c r="J96" s="1283">
        <f t="shared" ref="J96:M97" si="196">J91+D91</f>
        <v>18.717000000000013</v>
      </c>
      <c r="K96" s="1283">
        <f t="shared" si="196"/>
        <v>18.005999999999972</v>
      </c>
      <c r="L96" s="1283">
        <f t="shared" si="196"/>
        <v>-6.2010000000000076</v>
      </c>
      <c r="M96" s="1284">
        <f t="shared" si="196"/>
        <v>46.5300000000002</v>
      </c>
      <c r="N96" s="1283"/>
      <c r="O96" s="1282">
        <f t="shared" ref="O96:S97" si="197">O91+I91</f>
        <v>15.491000000000014</v>
      </c>
      <c r="P96" s="1283">
        <f t="shared" si="197"/>
        <v>16.204999999999984</v>
      </c>
      <c r="Q96" s="1283">
        <f t="shared" si="197"/>
        <v>15.260000000000034</v>
      </c>
      <c r="R96" s="1283">
        <f t="shared" si="197"/>
        <v>-0.73599999999996157</v>
      </c>
      <c r="S96" s="1284">
        <f t="shared" si="197"/>
        <v>46.220000000000255</v>
      </c>
      <c r="T96" s="1283"/>
      <c r="U96" s="1282">
        <f t="shared" ref="U96:Y97" si="198">U91+O91</f>
        <v>6.074999999999946</v>
      </c>
      <c r="V96" s="1283">
        <f t="shared" si="198"/>
        <v>12.385999999999981</v>
      </c>
      <c r="W96" s="1283">
        <f t="shared" si="198"/>
        <v>9.6420000000000385</v>
      </c>
      <c r="X96" s="1283">
        <f t="shared" si="198"/>
        <v>26.96400000000007</v>
      </c>
      <c r="Y96" s="1284">
        <f t="shared" si="198"/>
        <v>55.067000000000007</v>
      </c>
      <c r="Z96" s="1283"/>
      <c r="AA96" s="1282">
        <f>AA91+U91</f>
        <v>27.989000000000004</v>
      </c>
      <c r="AB96" s="1283">
        <f t="shared" ref="AB96:AE97" si="199">AB91+V91</f>
        <v>27.793000000000063</v>
      </c>
      <c r="AC96" s="1283">
        <f t="shared" si="199"/>
        <v>33.797999999999988</v>
      </c>
      <c r="AD96" s="1283">
        <f t="shared" si="199"/>
        <v>37.792000000000002</v>
      </c>
      <c r="AE96" s="1284">
        <f t="shared" si="199"/>
        <v>127.37199999999996</v>
      </c>
      <c r="AF96" s="1283"/>
      <c r="AG96" s="1282">
        <f t="shared" ref="AG96:AK97" si="200">AG91+AA91</f>
        <v>16.214000000000027</v>
      </c>
      <c r="AH96" s="1283">
        <f t="shared" si="200"/>
        <v>20.049999999999997</v>
      </c>
      <c r="AI96" s="1283">
        <f t="shared" si="200"/>
        <v>18.899000000000015</v>
      </c>
      <c r="AJ96" s="1283">
        <f t="shared" si="200"/>
        <v>15.072999999999922</v>
      </c>
      <c r="AK96" s="1284">
        <f t="shared" si="200"/>
        <v>70.23599999999999</v>
      </c>
      <c r="AL96" s="1283"/>
      <c r="AM96" s="1282">
        <f t="shared" ref="AM96:AQ97" si="201">AM91+AG91</f>
        <v>-5.5249999999999773</v>
      </c>
      <c r="AN96" s="1283">
        <f t="shared" si="201"/>
        <v>-5.0860000000000412</v>
      </c>
      <c r="AO96" s="1283">
        <f t="shared" si="201"/>
        <v>-8.1979999999999791</v>
      </c>
      <c r="AP96" s="1283">
        <f t="shared" si="201"/>
        <v>12.281999999999954</v>
      </c>
      <c r="AQ96" s="1284">
        <f t="shared" si="201"/>
        <v>-6.5270000000000437</v>
      </c>
      <c r="AR96" s="1283"/>
      <c r="AS96" s="1282">
        <f t="shared" ref="AS96:AW97" si="202">AS91+AM91</f>
        <v>-13.487000000000052</v>
      </c>
      <c r="AT96" s="1283">
        <f t="shared" si="202"/>
        <v>-3.1370000000000289</v>
      </c>
      <c r="AU96" s="1283">
        <f t="shared" si="202"/>
        <v>11.507000000000033</v>
      </c>
      <c r="AV96" s="1283">
        <f t="shared" si="202"/>
        <v>25.238000000000056</v>
      </c>
      <c r="AW96" s="1284">
        <f t="shared" si="202"/>
        <v>20.120999999999867</v>
      </c>
      <c r="AX96" s="1283"/>
      <c r="AY96" s="1282">
        <f t="shared" ref="AY96:BC97" si="203">AY91+AS91</f>
        <v>10.856999999999999</v>
      </c>
      <c r="AZ96" s="1283">
        <f t="shared" si="203"/>
        <v>16.84899999999999</v>
      </c>
      <c r="BA96" s="1283">
        <f t="shared" si="203"/>
        <v>15.712999999999909</v>
      </c>
      <c r="BB96" s="1283">
        <f t="shared" si="203"/>
        <v>12.59800000000007</v>
      </c>
      <c r="BC96" s="1284">
        <f t="shared" si="203"/>
        <v>56.016999999999825</v>
      </c>
      <c r="BD96" s="1283"/>
      <c r="BE96" s="1282">
        <f t="shared" ref="BE96:BI97" si="204">BE91+AY91</f>
        <v>26.272999999999996</v>
      </c>
      <c r="BF96" s="1283">
        <f t="shared" si="204"/>
        <v>28.912999999999954</v>
      </c>
      <c r="BG96" s="1283">
        <f t="shared" si="204"/>
        <v>13.542000000000002</v>
      </c>
      <c r="BH96" s="1283">
        <f t="shared" si="204"/>
        <v>21.269999999999982</v>
      </c>
      <c r="BI96" s="1284">
        <f t="shared" si="204"/>
        <v>89.99799999999982</v>
      </c>
      <c r="BJ96" s="1283"/>
      <c r="BK96" s="1282">
        <f t="shared" ref="BK96:BO97" si="205">BK91+BE91</f>
        <v>11.217999999999989</v>
      </c>
      <c r="BL96" s="1283">
        <f t="shared" si="205"/>
        <v>32.324999999999989</v>
      </c>
      <c r="BM96" s="1283">
        <f t="shared" si="205"/>
        <v>26.953000000000003</v>
      </c>
      <c r="BN96" s="1283">
        <f t="shared" si="205"/>
        <v>41.622999999999877</v>
      </c>
      <c r="BO96" s="1284">
        <f t="shared" si="205"/>
        <v>112.11900000000026</v>
      </c>
      <c r="BP96" s="1283"/>
      <c r="BQ96" s="1282">
        <f t="shared" si="192"/>
        <v>22.158465961535768</v>
      </c>
      <c r="BR96" s="1283">
        <f t="shared" si="192"/>
        <v>27.718739895742488</v>
      </c>
      <c r="BS96" s="1283">
        <f t="shared" si="192"/>
        <v>24.347010960419112</v>
      </c>
      <c r="BT96" s="1283">
        <f t="shared" si="192"/>
        <v>38.764085114314042</v>
      </c>
      <c r="BU96" s="1284">
        <f t="shared" si="192"/>
        <v>112.98830193201172</v>
      </c>
      <c r="BV96" s="1283"/>
      <c r="BW96" s="1282">
        <f t="shared" si="193"/>
        <v>24.289101328335448</v>
      </c>
      <c r="BX96" s="1283">
        <f t="shared" si="193"/>
        <v>28.821236413875368</v>
      </c>
      <c r="BY96" s="1283">
        <f t="shared" si="193"/>
        <v>23.934637905858636</v>
      </c>
      <c r="BZ96" s="1283">
        <f t="shared" si="193"/>
        <v>31.845501908258711</v>
      </c>
      <c r="CA96" s="1284">
        <f t="shared" si="193"/>
        <v>108.89047755632794</v>
      </c>
      <c r="CB96" s="1283"/>
      <c r="CC96" s="1282">
        <f t="shared" si="194"/>
        <v>21.636655732729082</v>
      </c>
      <c r="CD96" s="1283">
        <f t="shared" si="194"/>
        <v>23.67064057847395</v>
      </c>
      <c r="CE96" s="1283">
        <f t="shared" si="194"/>
        <v>22.463776039023315</v>
      </c>
      <c r="CF96" s="1283">
        <f t="shared" si="194"/>
        <v>27.526542465504889</v>
      </c>
      <c r="CG96" s="1284">
        <f t="shared" si="194"/>
        <v>95.297614815731322</v>
      </c>
      <c r="CH96" s="1283"/>
      <c r="CI96" s="1282">
        <f t="shared" si="195"/>
        <v>21.809506069177587</v>
      </c>
      <c r="CJ96" s="1283">
        <f t="shared" si="195"/>
        <v>23.48549638652463</v>
      </c>
      <c r="CK96" s="1283">
        <f t="shared" si="195"/>
        <v>22.516945927997909</v>
      </c>
      <c r="CL96" s="1283">
        <f t="shared" si="195"/>
        <v>27.163125990406286</v>
      </c>
      <c r="CM96" s="1284">
        <f t="shared" si="195"/>
        <v>94.975074374106498</v>
      </c>
      <c r="CN96" s="358"/>
      <c r="CO96" s="358"/>
      <c r="CP96" s="358"/>
      <c r="CQ96" s="358"/>
      <c r="CR96" s="358"/>
    </row>
    <row r="97" spans="1:117" s="15" customFormat="1" hidden="1" outlineLevel="1">
      <c r="A97" s="1292" t="s">
        <v>20</v>
      </c>
      <c r="B97" s="316"/>
      <c r="C97" s="1293"/>
      <c r="D97" s="316"/>
      <c r="E97" s="316"/>
      <c r="F97" s="316"/>
      <c r="G97" s="1294"/>
      <c r="H97" s="316"/>
      <c r="I97" s="1295">
        <f>I92+C92</f>
        <v>7.0999837237446357</v>
      </c>
      <c r="J97" s="1296">
        <f t="shared" si="196"/>
        <v>7.6878421756732607</v>
      </c>
      <c r="K97" s="1296">
        <f t="shared" si="196"/>
        <v>16.252054719177178</v>
      </c>
      <c r="L97" s="1296">
        <f t="shared" si="196"/>
        <v>8.6679953305493829</v>
      </c>
      <c r="M97" s="1297">
        <f t="shared" si="196"/>
        <v>37.836921397753301</v>
      </c>
      <c r="N97" s="1296"/>
      <c r="O97" s="1295">
        <f t="shared" si="197"/>
        <v>9.2771011681018187</v>
      </c>
      <c r="P97" s="1296">
        <f t="shared" si="197"/>
        <v>3.8311531149709204</v>
      </c>
      <c r="Q97" s="1296">
        <f t="shared" si="197"/>
        <v>4.0240480402314578</v>
      </c>
      <c r="R97" s="1296">
        <f t="shared" si="197"/>
        <v>-4.6308105669402782</v>
      </c>
      <c r="S97" s="1297">
        <f t="shared" si="197"/>
        <v>13.195045262362008</v>
      </c>
      <c r="T97" s="1296"/>
      <c r="U97" s="1295">
        <f t="shared" si="198"/>
        <v>3.8208709122567797</v>
      </c>
      <c r="V97" s="1296">
        <f t="shared" si="198"/>
        <v>17.685808878513829</v>
      </c>
      <c r="W97" s="1296">
        <f t="shared" si="198"/>
        <v>13.492369118796004</v>
      </c>
      <c r="X97" s="1296">
        <f t="shared" si="198"/>
        <v>19.262904895184288</v>
      </c>
      <c r="Y97" s="1297">
        <f t="shared" si="198"/>
        <v>55.224286506588733</v>
      </c>
      <c r="Z97" s="1296"/>
      <c r="AA97" s="1295">
        <f>AA92+U92</f>
        <v>30.528581600688927</v>
      </c>
      <c r="AB97" s="1296">
        <f t="shared" si="199"/>
        <v>30.522650251397025</v>
      </c>
      <c r="AC97" s="1296">
        <f t="shared" si="199"/>
        <v>44.080663126399912</v>
      </c>
      <c r="AD97" s="1296">
        <f t="shared" si="199"/>
        <v>55.526729740318032</v>
      </c>
      <c r="AE97" s="1297">
        <f t="shared" si="199"/>
        <v>162.64577046533572</v>
      </c>
      <c r="AF97" s="1296"/>
      <c r="AG97" s="1295">
        <f t="shared" si="200"/>
        <v>32.727398335995133</v>
      </c>
      <c r="AH97" s="1296">
        <f t="shared" si="200"/>
        <v>23.77407006636248</v>
      </c>
      <c r="AI97" s="1296">
        <f t="shared" si="200"/>
        <v>23.911067863653599</v>
      </c>
      <c r="AJ97" s="1296">
        <f t="shared" si="200"/>
        <v>25.073598432920537</v>
      </c>
      <c r="AK97" s="1297">
        <f t="shared" si="200"/>
        <v>108.33904271082042</v>
      </c>
      <c r="AL97" s="1296"/>
      <c r="AM97" s="1295">
        <f t="shared" si="201"/>
        <v>18.586860588234845</v>
      </c>
      <c r="AN97" s="1296">
        <f t="shared" si="201"/>
        <v>12.300340998401211</v>
      </c>
      <c r="AO97" s="1296">
        <f t="shared" si="201"/>
        <v>12.494587132816358</v>
      </c>
      <c r="AP97" s="1296">
        <f t="shared" si="201"/>
        <v>34.552125556823093</v>
      </c>
      <c r="AQ97" s="1297">
        <f t="shared" si="201"/>
        <v>77.799105820392185</v>
      </c>
      <c r="AR97" s="1296"/>
      <c r="AS97" s="1295">
        <f t="shared" si="202"/>
        <v>1.246469201532113</v>
      </c>
      <c r="AT97" s="1296">
        <f t="shared" si="202"/>
        <v>5.8318193617107301</v>
      </c>
      <c r="AU97" s="1296">
        <f t="shared" si="202"/>
        <v>27.556274498972371</v>
      </c>
      <c r="AV97" s="1296">
        <f t="shared" si="202"/>
        <v>69.667165852775298</v>
      </c>
      <c r="AW97" s="1297">
        <f t="shared" si="202"/>
        <v>101.57771317780589</v>
      </c>
      <c r="AX97" s="1296"/>
      <c r="AY97" s="1295">
        <f t="shared" si="203"/>
        <v>32.322767899443477</v>
      </c>
      <c r="AZ97" s="1296">
        <f t="shared" si="203"/>
        <v>39.129038030987466</v>
      </c>
      <c r="BA97" s="1296">
        <f t="shared" si="203"/>
        <v>47.751712481762851</v>
      </c>
      <c r="BB97" s="1296">
        <f t="shared" si="203"/>
        <v>79.147558305574876</v>
      </c>
      <c r="BC97" s="1297">
        <f t="shared" si="203"/>
        <v>192.23309711134803</v>
      </c>
      <c r="BD97" s="1296"/>
      <c r="BE97" s="1295">
        <f t="shared" si="204"/>
        <v>59.062276829667617</v>
      </c>
      <c r="BF97" s="1296">
        <f t="shared" si="204"/>
        <v>59.13830786213763</v>
      </c>
      <c r="BG97" s="1296">
        <f t="shared" si="204"/>
        <v>39.428448072574206</v>
      </c>
      <c r="BH97" s="1296">
        <f t="shared" si="204"/>
        <v>76.034506981779799</v>
      </c>
      <c r="BI97" s="1297">
        <f t="shared" si="204"/>
        <v>231.14462644495802</v>
      </c>
      <c r="BJ97" s="1296"/>
      <c r="BK97" s="1295">
        <f t="shared" si="205"/>
        <v>35.405198084332298</v>
      </c>
      <c r="BL97" s="1296">
        <f t="shared" si="205"/>
        <v>46.248166523579535</v>
      </c>
      <c r="BM97" s="1296">
        <f t="shared" si="205"/>
        <v>32.178128491962681</v>
      </c>
      <c r="BN97" s="1296">
        <f t="shared" si="205"/>
        <v>54.860958457433469</v>
      </c>
      <c r="BO97" s="1297">
        <f t="shared" si="205"/>
        <v>172.93450186275064</v>
      </c>
      <c r="BP97" s="1296"/>
      <c r="BQ97" s="1295">
        <f t="shared" si="192"/>
        <v>39.444123509987534</v>
      </c>
      <c r="BR97" s="1296">
        <f t="shared" si="192"/>
        <v>38.486306359868308</v>
      </c>
      <c r="BS97" s="1296">
        <f t="shared" si="192"/>
        <v>39.712875040926406</v>
      </c>
      <c r="BT97" s="1296">
        <f t="shared" si="192"/>
        <v>44.465873829863199</v>
      </c>
      <c r="BU97" s="1297">
        <f t="shared" si="192"/>
        <v>165.12963961236443</v>
      </c>
      <c r="BV97" s="1296"/>
      <c r="BW97" s="1295">
        <f t="shared" si="193"/>
        <v>39.067471674925407</v>
      </c>
      <c r="BX97" s="1296">
        <f t="shared" si="193"/>
        <v>43.014582150723683</v>
      </c>
      <c r="BY97" s="1296">
        <f t="shared" si="193"/>
        <v>40.904266307187363</v>
      </c>
      <c r="BZ97" s="1296">
        <f t="shared" si="193"/>
        <v>47.39284038278565</v>
      </c>
      <c r="CA97" s="1297">
        <f t="shared" si="193"/>
        <v>169.43101701562207</v>
      </c>
      <c r="CB97" s="1296"/>
      <c r="CC97" s="1295">
        <f t="shared" si="194"/>
        <v>42.377518081218888</v>
      </c>
      <c r="CD97" s="1296">
        <f t="shared" si="194"/>
        <v>43.164985205863836</v>
      </c>
      <c r="CE97" s="1296">
        <f t="shared" si="194"/>
        <v>40.916578808813753</v>
      </c>
      <c r="CF97" s="1296">
        <f t="shared" si="194"/>
        <v>45.392926673259453</v>
      </c>
      <c r="CG97" s="1297">
        <f t="shared" si="194"/>
        <v>171.85200876915644</v>
      </c>
      <c r="CH97" s="1296"/>
      <c r="CI97" s="1295">
        <f t="shared" si="195"/>
        <v>42.455394016393107</v>
      </c>
      <c r="CJ97" s="1296">
        <f t="shared" si="195"/>
        <v>42.597141052811089</v>
      </c>
      <c r="CK97" s="1296">
        <f t="shared" si="195"/>
        <v>40.744380540782075</v>
      </c>
      <c r="CL97" s="1296">
        <f t="shared" si="195"/>
        <v>44.544292542849171</v>
      </c>
      <c r="CM97" s="1297">
        <f t="shared" si="195"/>
        <v>170.34120815283561</v>
      </c>
      <c r="CN97" s="358"/>
    </row>
    <row r="98" spans="1:117" s="15" customFormat="1" ht="11.25" collapsed="1">
      <c r="A98" s="1280"/>
      <c r="B98" s="23"/>
      <c r="AY98" s="1164"/>
      <c r="AZ98" s="1164"/>
      <c r="BA98" s="1164"/>
    </row>
    <row r="99" spans="1:117" s="15" customFormat="1" ht="11.25">
      <c r="A99" s="1581" t="s">
        <v>493</v>
      </c>
      <c r="B99" s="152"/>
      <c r="C99" s="152"/>
      <c r="D99" s="152"/>
      <c r="E99" s="152"/>
      <c r="F99" s="152"/>
      <c r="G99" s="152"/>
      <c r="H99" s="153"/>
      <c r="I99" s="154"/>
      <c r="J99" s="152"/>
      <c r="K99" s="152"/>
      <c r="L99" s="152"/>
      <c r="M99" s="152"/>
      <c r="N99" s="153"/>
      <c r="O99" s="154"/>
      <c r="P99" s="152"/>
      <c r="Q99" s="152"/>
      <c r="R99" s="152"/>
      <c r="S99" s="152"/>
      <c r="T99" s="153"/>
      <c r="U99" s="152"/>
      <c r="V99" s="153"/>
      <c r="W99" s="153"/>
      <c r="X99" s="153"/>
      <c r="Y99" s="153"/>
      <c r="Z99" s="153"/>
      <c r="AA99" s="153"/>
      <c r="AB99" s="153"/>
      <c r="AC99" s="152"/>
      <c r="AD99" s="153"/>
      <c r="AE99" s="153"/>
      <c r="AF99" s="153"/>
      <c r="AG99" s="153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  <c r="AV99" s="153"/>
      <c r="AW99" s="153"/>
      <c r="AX99" s="153"/>
      <c r="AY99" s="153"/>
      <c r="AZ99" s="153"/>
      <c r="BA99" s="153"/>
      <c r="BB99" s="153"/>
      <c r="BC99" s="153"/>
      <c r="BD99" s="153"/>
      <c r="BE99" s="153"/>
      <c r="BF99" s="153"/>
      <c r="BG99" s="153"/>
      <c r="BH99" s="153"/>
      <c r="BI99" s="153"/>
      <c r="BJ99" s="153"/>
      <c r="BK99" s="153"/>
      <c r="BL99" s="153"/>
      <c r="BM99" s="153"/>
      <c r="BN99" s="153"/>
      <c r="BO99" s="153"/>
      <c r="BP99" s="153"/>
      <c r="BQ99" s="153"/>
      <c r="BR99" s="153"/>
      <c r="BS99" s="153"/>
      <c r="BT99" s="153"/>
      <c r="BU99" s="153"/>
      <c r="BV99" s="153"/>
      <c r="BW99" s="153"/>
      <c r="BX99" s="153"/>
      <c r="BY99" s="153"/>
      <c r="BZ99" s="153"/>
      <c r="CA99" s="153"/>
      <c r="CB99" s="153"/>
      <c r="CC99" s="153"/>
      <c r="CD99" s="153"/>
      <c r="CE99" s="153"/>
      <c r="CF99" s="153"/>
      <c r="CG99" s="153"/>
      <c r="CH99" s="153"/>
      <c r="CI99" s="153"/>
      <c r="CJ99" s="153"/>
      <c r="CK99" s="153"/>
      <c r="CL99" s="153"/>
      <c r="CM99" s="153"/>
    </row>
    <row r="100" spans="1:117" s="15" customFormat="1" ht="11.25">
      <c r="A100" s="1096" t="s">
        <v>465</v>
      </c>
      <c r="B100" s="167"/>
      <c r="C100" s="109">
        <f>RevBuild!C98</f>
        <v>0.21</v>
      </c>
      <c r="D100" s="109">
        <f>RevBuild!D98</f>
        <v>0.18</v>
      </c>
      <c r="E100" s="109">
        <f>RevBuild!E98</f>
        <v>0.18</v>
      </c>
      <c r="F100" s="109">
        <f>RevBuild!F98</f>
        <v>0.12</v>
      </c>
      <c r="G100" s="1075">
        <f>RevBuild!G98</f>
        <v>0</v>
      </c>
      <c r="H100" s="1075">
        <f>RevBuild!H98</f>
        <v>0</v>
      </c>
      <c r="I100" s="176">
        <f>RevBuild!I98</f>
        <v>0.09</v>
      </c>
      <c r="J100" s="109">
        <f>RevBuild!J98</f>
        <v>0.06</v>
      </c>
      <c r="K100" s="109">
        <f>RevBuild!K98</f>
        <v>0.01</v>
      </c>
      <c r="L100" s="109">
        <f>RevBuild!L98</f>
        <v>-0.1</v>
      </c>
      <c r="M100" s="176">
        <f>RevBuild!M98</f>
        <v>3.4999999999999996E-2</v>
      </c>
      <c r="N100" s="1075">
        <f>RevBuild!N98</f>
        <v>0</v>
      </c>
      <c r="O100" s="176">
        <f>RevBuild!O98</f>
        <v>-0.06</v>
      </c>
      <c r="P100" s="109">
        <f>RevBuild!P98</f>
        <v>-0.06</v>
      </c>
      <c r="Q100" s="109">
        <f>RevBuild!Q98</f>
        <v>-0.03</v>
      </c>
      <c r="R100" s="109">
        <f>RevBuild!R98</f>
        <v>0.01</v>
      </c>
      <c r="S100" s="1075">
        <f>RevBuild!S98</f>
        <v>-4.4999999999999998E-2</v>
      </c>
      <c r="T100" s="1075">
        <f>RevBuild!T98</f>
        <v>0</v>
      </c>
      <c r="U100" s="176">
        <f>RevBuild!U98</f>
        <v>0.02</v>
      </c>
      <c r="V100" s="109">
        <f>RevBuild!V98</f>
        <v>0.11</v>
      </c>
      <c r="W100" s="109">
        <f>RevBuild!W98</f>
        <v>0.11</v>
      </c>
      <c r="X100" s="109">
        <f>RevBuild!X98</f>
        <v>0.1</v>
      </c>
      <c r="Y100" s="1075">
        <f>RevBuild!Y98</f>
        <v>0.10500000000000001</v>
      </c>
      <c r="Z100" s="1075">
        <f>RevBuild!Z98</f>
        <v>0</v>
      </c>
      <c r="AA100" s="176">
        <f>RevBuild!AA98</f>
        <v>0.08</v>
      </c>
      <c r="AB100" s="109">
        <f>RevBuild!AB98</f>
        <v>0.02</v>
      </c>
      <c r="AC100" s="109">
        <f>RevBuild!AC98</f>
        <v>0.08</v>
      </c>
      <c r="AD100" s="109">
        <f>RevBuild!AD98</f>
        <v>0.08</v>
      </c>
      <c r="AE100" s="1075">
        <f>RevBuild!AE98</f>
        <v>0.08</v>
      </c>
      <c r="AF100" s="109">
        <f>RevBuild!AF98</f>
        <v>0</v>
      </c>
      <c r="AG100" s="176">
        <f>RevBuild!AG98</f>
        <v>0.02</v>
      </c>
      <c r="AH100" s="109">
        <f>RevBuild!AH98</f>
        <v>7.0000000000000007E-2</v>
      </c>
      <c r="AI100" s="109">
        <f>RevBuild!AI98</f>
        <v>-0.04</v>
      </c>
      <c r="AJ100" s="1077">
        <f>RevBuild!AJ98</f>
        <v>0</v>
      </c>
      <c r="AK100" s="1075">
        <f>RevBuild!AK98</f>
        <v>0</v>
      </c>
      <c r="AL100" s="109">
        <f>RevBuild!AL98</f>
        <v>0</v>
      </c>
      <c r="AM100" s="176">
        <f>RevBuild!AM98</f>
        <v>0.06</v>
      </c>
      <c r="AN100" s="109">
        <f>RevBuild!AN98</f>
        <v>-0.02</v>
      </c>
      <c r="AO100" s="109">
        <f>RevBuild!AO98</f>
        <v>0.06</v>
      </c>
      <c r="AP100" s="109">
        <f>RevBuild!AP98</f>
        <v>0.1</v>
      </c>
      <c r="AQ100" s="1075">
        <f>RevBuild!AQ98</f>
        <v>0.05</v>
      </c>
      <c r="AR100" s="109">
        <f>RevBuild!AR98</f>
        <v>0</v>
      </c>
      <c r="AS100" s="176">
        <f>RevBuild!AS98</f>
        <v>-0.02</v>
      </c>
      <c r="AT100" s="109">
        <f>RevBuild!AT98</f>
        <v>0.11</v>
      </c>
      <c r="AU100" s="109">
        <f>RevBuild!AU98</f>
        <v>0.08</v>
      </c>
      <c r="AV100" s="109">
        <f>RevBuild!AV98</f>
        <v>0.1</v>
      </c>
      <c r="AW100" s="1075">
        <f t="shared" ref="AW100:AW105" si="206">+AVERAGE(AS100:AV100)</f>
        <v>6.7500000000000004E-2</v>
      </c>
      <c r="AX100" s="2054"/>
      <c r="AY100" s="2055">
        <f>RevBuild!AY98</f>
        <v>0.16500000000000001</v>
      </c>
      <c r="AZ100" s="2056">
        <f>RevBuild!AZ98</f>
        <v>7.0000000000000007E-2</v>
      </c>
      <c r="BA100" s="2056">
        <f>RevBuild!BA98</f>
        <v>0.13</v>
      </c>
      <c r="BB100" s="2056">
        <f>RevBuild!BB98</f>
        <v>7.5000000000000011E-2</v>
      </c>
      <c r="BC100" s="2054">
        <f t="shared" ref="BC100:BC105" si="207">+AVERAGE(AY100:BB100)</f>
        <v>0.11</v>
      </c>
      <c r="BD100" s="2054"/>
      <c r="BE100" s="2055">
        <f>RevBuild!BE98</f>
        <v>1.4999999999999999E-2</v>
      </c>
      <c r="BF100" s="2056">
        <f>RevBuild!BF98</f>
        <v>0.06</v>
      </c>
      <c r="BG100" s="2056">
        <f>RevBuild!BG98</f>
        <v>-0.01</v>
      </c>
      <c r="BH100" s="2056">
        <f>RevBuild!BH98</f>
        <v>-0.01</v>
      </c>
      <c r="BI100" s="2054">
        <f>+AVERAGE(BE100:BH100)</f>
        <v>1.375E-2</v>
      </c>
      <c r="BJ100" s="2054"/>
      <c r="BK100" s="2055">
        <f>RevBuild!BK98</f>
        <v>-7.0000000000000007E-2</v>
      </c>
      <c r="BL100" s="2056">
        <f>RevBuild!BL98</f>
        <v>-0.02</v>
      </c>
      <c r="BM100" s="2056">
        <f>RevBuild!BM98</f>
        <v>2.5600000000000001E-2</v>
      </c>
      <c r="BN100" s="2056">
        <f>RevBuild!BN98</f>
        <v>0.09</v>
      </c>
      <c r="BO100" s="2054">
        <f>+AVERAGE(BK100:BN100)</f>
        <v>6.399999999999996E-3</v>
      </c>
      <c r="BP100" s="2054"/>
      <c r="BQ100" s="2055"/>
      <c r="BR100" s="2056"/>
      <c r="BS100" s="2056"/>
      <c r="BT100" s="2056"/>
      <c r="BU100" s="2054"/>
      <c r="BV100" s="2054"/>
      <c r="BW100" s="2055"/>
      <c r="BX100" s="2056"/>
      <c r="BY100" s="2056"/>
      <c r="BZ100" s="2056"/>
      <c r="CA100" s="2054"/>
      <c r="CB100" s="2054"/>
      <c r="CC100" s="2055"/>
      <c r="CD100" s="2056"/>
      <c r="CE100" s="2056"/>
      <c r="CF100" s="2056"/>
      <c r="CG100" s="2054"/>
      <c r="CH100" s="2054"/>
      <c r="CI100" s="2055"/>
      <c r="CJ100" s="2056"/>
      <c r="CK100" s="2056"/>
      <c r="CL100" s="2056"/>
      <c r="CM100" s="2054"/>
    </row>
    <row r="101" spans="1:117" s="15" customFormat="1" ht="11.25">
      <c r="A101" s="1096" t="s">
        <v>459</v>
      </c>
      <c r="B101" s="167"/>
      <c r="C101" s="109">
        <f>RevBuild!C99</f>
        <v>7.0000000000000007E-2</v>
      </c>
      <c r="D101" s="109">
        <f>RevBuild!D99</f>
        <v>0.14000000000000001</v>
      </c>
      <c r="E101" s="109">
        <f>RevBuild!E99</f>
        <v>0.12</v>
      </c>
      <c r="F101" s="109">
        <f>RevBuild!F99</f>
        <v>0.05</v>
      </c>
      <c r="G101" s="1075">
        <f>RevBuild!G99</f>
        <v>0</v>
      </c>
      <c r="H101" s="1075">
        <f>RevBuild!H99</f>
        <v>0</v>
      </c>
      <c r="I101" s="176">
        <f>RevBuild!I99</f>
        <v>-0.02</v>
      </c>
      <c r="J101" s="109">
        <f>RevBuild!J99</f>
        <v>0.03</v>
      </c>
      <c r="K101" s="109">
        <f>RevBuild!K99</f>
        <v>7.0000000000000007E-2</v>
      </c>
      <c r="L101" s="109">
        <f>RevBuild!L99</f>
        <v>0.05</v>
      </c>
      <c r="M101" s="176">
        <f>RevBuild!M99</f>
        <v>0.04</v>
      </c>
      <c r="N101" s="1075">
        <f>RevBuild!N99</f>
        <v>0</v>
      </c>
      <c r="O101" s="176">
        <f>RevBuild!O99</f>
        <v>-0.03</v>
      </c>
      <c r="P101" s="109">
        <f>RevBuild!P99</f>
        <v>-0.04</v>
      </c>
      <c r="Q101" s="109">
        <f>RevBuild!Q99</f>
        <v>-0.02</v>
      </c>
      <c r="R101" s="109">
        <f>RevBuild!R99</f>
        <v>-0.05</v>
      </c>
      <c r="S101" s="1075">
        <f>RevBuild!S99</f>
        <v>-3.5000000000000003E-2</v>
      </c>
      <c r="T101" s="1075">
        <f>RevBuild!T99</f>
        <v>0</v>
      </c>
      <c r="U101" s="176">
        <f>RevBuild!U99</f>
        <v>0.02</v>
      </c>
      <c r="V101" s="109">
        <f>RevBuild!V99</f>
        <v>0.09</v>
      </c>
      <c r="W101" s="109">
        <f>RevBuild!W99</f>
        <v>-0.03</v>
      </c>
      <c r="X101" s="109">
        <f>RevBuild!X99</f>
        <v>0.05</v>
      </c>
      <c r="Y101" s="1075">
        <f>RevBuild!Y99</f>
        <v>3.5000000000000003E-2</v>
      </c>
      <c r="Z101" s="1075">
        <f>RevBuild!Z99</f>
        <v>0</v>
      </c>
      <c r="AA101" s="176">
        <f>RevBuild!AA99</f>
        <v>0.12</v>
      </c>
      <c r="AB101" s="109">
        <f>RevBuild!AB99</f>
        <v>0.06</v>
      </c>
      <c r="AC101" s="109">
        <f>RevBuild!AC99</f>
        <v>0.13</v>
      </c>
      <c r="AD101" s="109">
        <f>RevBuild!AD99</f>
        <v>0.14000000000000001</v>
      </c>
      <c r="AE101" s="1075">
        <f>RevBuild!AE99</f>
        <v>0.12</v>
      </c>
      <c r="AF101" s="109">
        <f>RevBuild!AF99</f>
        <v>0</v>
      </c>
      <c r="AG101" s="176">
        <f>RevBuild!AG99</f>
        <v>0</v>
      </c>
      <c r="AH101" s="109">
        <f>RevBuild!AH99</f>
        <v>0</v>
      </c>
      <c r="AI101" s="109">
        <f>RevBuild!AI99</f>
        <v>0.04</v>
      </c>
      <c r="AJ101" s="1077">
        <f>RevBuild!AJ99</f>
        <v>0</v>
      </c>
      <c r="AK101" s="1075">
        <f>RevBuild!AK99</f>
        <v>-0.04</v>
      </c>
      <c r="AL101" s="109">
        <f>RevBuild!AL99</f>
        <v>0</v>
      </c>
      <c r="AM101" s="176">
        <f>RevBuild!AM99</f>
        <v>0.01</v>
      </c>
      <c r="AN101" s="109">
        <f>RevBuild!AN99</f>
        <v>7.0000000000000007E-2</v>
      </c>
      <c r="AO101" s="109">
        <f>RevBuild!AO99</f>
        <v>-0.01</v>
      </c>
      <c r="AP101" s="109">
        <f>RevBuild!AP99</f>
        <v>0.05</v>
      </c>
      <c r="AQ101" s="1075">
        <f>RevBuild!AQ99</f>
        <v>3.0000000000000002E-2</v>
      </c>
      <c r="AR101" s="109">
        <f>RevBuild!AR99</f>
        <v>0</v>
      </c>
      <c r="AS101" s="176">
        <f>RevBuild!AS99</f>
        <v>0.02</v>
      </c>
      <c r="AT101" s="109">
        <f>RevBuild!AT99</f>
        <v>0.02</v>
      </c>
      <c r="AU101" s="109">
        <f>RevBuild!AU99</f>
        <v>0.09</v>
      </c>
      <c r="AV101" s="109">
        <f>RevBuild!AV99</f>
        <v>0.1</v>
      </c>
      <c r="AW101" s="1075">
        <f t="shared" si="206"/>
        <v>5.7500000000000002E-2</v>
      </c>
      <c r="AX101" s="2054"/>
      <c r="AY101" s="2055">
        <f>RevBuild!AY99</f>
        <v>6.5000000000000002E-2</v>
      </c>
      <c r="AZ101" s="2056">
        <f>RevBuild!AZ99</f>
        <v>0.05</v>
      </c>
      <c r="BA101" s="2056">
        <f>RevBuild!BA99</f>
        <v>7.0000000000000007E-2</v>
      </c>
      <c r="BB101" s="2056">
        <f>RevBuild!BB99</f>
        <v>6.5000000000000002E-2</v>
      </c>
      <c r="BC101" s="2054">
        <f t="shared" si="207"/>
        <v>6.25E-2</v>
      </c>
      <c r="BD101" s="2054"/>
      <c r="BE101" s="2055">
        <f>RevBuild!BE99</f>
        <v>2.5000000000000001E-2</v>
      </c>
      <c r="BF101" s="2056">
        <f>RevBuild!BF99</f>
        <v>0.12</v>
      </c>
      <c r="BG101" s="2056">
        <f>RevBuild!BG99</f>
        <v>-0.01</v>
      </c>
      <c r="BH101" s="2056">
        <f>RevBuild!BH99</f>
        <v>0.09</v>
      </c>
      <c r="BI101" s="2054">
        <f>+AVERAGE(BE101:BH101)</f>
        <v>5.6249999999999994E-2</v>
      </c>
      <c r="BJ101" s="2054"/>
      <c r="BK101" s="2055">
        <f>RevBuild!BK99</f>
        <v>0.09</v>
      </c>
      <c r="BL101" s="2056">
        <f>RevBuild!BL99</f>
        <v>0.05</v>
      </c>
      <c r="BM101" s="2056">
        <f>RevBuild!BM99</f>
        <v>0.13</v>
      </c>
      <c r="BN101" s="2056">
        <f>RevBuild!BN99</f>
        <v>7.0000000000000007E-2</v>
      </c>
      <c r="BO101" s="2054">
        <f>+AVERAGE(BK101:BN101)</f>
        <v>8.5000000000000006E-2</v>
      </c>
      <c r="BP101" s="2054"/>
      <c r="BQ101" s="2055"/>
      <c r="BR101" s="2056"/>
      <c r="BS101" s="2056"/>
      <c r="BT101" s="2056"/>
      <c r="BU101" s="2054"/>
      <c r="BV101" s="2054"/>
      <c r="BW101" s="2055"/>
      <c r="BX101" s="2056"/>
      <c r="BY101" s="2056"/>
      <c r="BZ101" s="2056"/>
      <c r="CA101" s="2054"/>
      <c r="CB101" s="2054"/>
      <c r="CC101" s="2055"/>
      <c r="CD101" s="2056"/>
      <c r="CE101" s="2056"/>
      <c r="CF101" s="2056"/>
      <c r="CG101" s="2054"/>
      <c r="CH101" s="2054"/>
      <c r="CI101" s="2055"/>
      <c r="CJ101" s="2056"/>
      <c r="CK101" s="2056"/>
      <c r="CL101" s="2056"/>
      <c r="CM101" s="2054"/>
    </row>
    <row r="102" spans="1:117" s="15" customFormat="1" ht="11.25">
      <c r="A102" s="1096" t="s">
        <v>460</v>
      </c>
      <c r="B102" s="167"/>
      <c r="C102" s="109" t="str">
        <f>RevBuild!C100</f>
        <v>NA</v>
      </c>
      <c r="D102" s="109" t="str">
        <f>RevBuild!D100</f>
        <v>NA</v>
      </c>
      <c r="E102" s="109" t="str">
        <f>RevBuild!E100</f>
        <v>NA</v>
      </c>
      <c r="F102" s="109">
        <f>RevBuild!F100</f>
        <v>-0.12</v>
      </c>
      <c r="G102" s="1075">
        <f>RevBuild!G100</f>
        <v>0</v>
      </c>
      <c r="H102" s="1075">
        <f>RevBuild!H100</f>
        <v>0</v>
      </c>
      <c r="I102" s="176">
        <f>RevBuild!I100</f>
        <v>-0.09</v>
      </c>
      <c r="J102" s="109">
        <f>RevBuild!J100</f>
        <v>-0.06</v>
      </c>
      <c r="K102" s="109">
        <f>RevBuild!K100</f>
        <v>0.1</v>
      </c>
      <c r="L102" s="109">
        <f>RevBuild!L100</f>
        <v>0.02</v>
      </c>
      <c r="M102" s="176">
        <f>RevBuild!M100</f>
        <v>-1.9999999999999997E-2</v>
      </c>
      <c r="N102" s="1075">
        <f>RevBuild!N100</f>
        <v>0</v>
      </c>
      <c r="O102" s="176">
        <f>RevBuild!O100</f>
        <v>-7.0000000000000007E-2</v>
      </c>
      <c r="P102" s="109">
        <f>RevBuild!P100</f>
        <v>0.05</v>
      </c>
      <c r="Q102" s="109">
        <f>RevBuild!Q100</f>
        <v>-0.08</v>
      </c>
      <c r="R102" s="109">
        <f>RevBuild!R100</f>
        <v>0.03</v>
      </c>
      <c r="S102" s="1075">
        <f>RevBuild!S100</f>
        <v>-2.0000000000000004E-2</v>
      </c>
      <c r="T102" s="1075">
        <f>RevBuild!T100</f>
        <v>0</v>
      </c>
      <c r="U102" s="176">
        <f>RevBuild!U100</f>
        <v>0.22</v>
      </c>
      <c r="V102" s="109">
        <f>RevBuild!V100</f>
        <v>-0.03</v>
      </c>
      <c r="W102" s="109">
        <f>RevBuild!W100</f>
        <v>0.03</v>
      </c>
      <c r="X102" s="109">
        <f>RevBuild!X100</f>
        <v>0.04</v>
      </c>
      <c r="Y102" s="1075">
        <f>RevBuild!Y100</f>
        <v>3.5000000000000003E-2</v>
      </c>
      <c r="Z102" s="1075">
        <f>RevBuild!Z100</f>
        <v>0</v>
      </c>
      <c r="AA102" s="176">
        <f>RevBuild!AA100</f>
        <v>-0.01</v>
      </c>
      <c r="AB102" s="109">
        <f>RevBuild!AB100</f>
        <v>0.11</v>
      </c>
      <c r="AC102" s="109">
        <f>RevBuild!AC100</f>
        <v>0.06</v>
      </c>
      <c r="AD102" s="109">
        <f>RevBuild!AD100</f>
        <v>0</v>
      </c>
      <c r="AE102" s="1075">
        <f>RevBuild!AE100</f>
        <v>0</v>
      </c>
      <c r="AF102" s="109">
        <f>RevBuild!AF100</f>
        <v>0</v>
      </c>
      <c r="AG102" s="176">
        <f>RevBuild!AG100</f>
        <v>-0.03</v>
      </c>
      <c r="AH102" s="109">
        <f>RevBuild!AH100</f>
        <v>-0.01</v>
      </c>
      <c r="AI102" s="109">
        <f>RevBuild!AI100</f>
        <v>-0.01</v>
      </c>
      <c r="AJ102" s="1077">
        <f>RevBuild!AJ100</f>
        <v>0</v>
      </c>
      <c r="AK102" s="1075">
        <f>RevBuild!AK100</f>
        <v>-0.02</v>
      </c>
      <c r="AL102" s="109">
        <f>RevBuild!AL100</f>
        <v>0</v>
      </c>
      <c r="AM102" s="176">
        <f>RevBuild!AM100</f>
        <v>-0.02</v>
      </c>
      <c r="AN102" s="109">
        <f>RevBuild!AN100</f>
        <v>-0.06</v>
      </c>
      <c r="AO102" s="109">
        <f>RevBuild!AO100</f>
        <v>0.05</v>
      </c>
      <c r="AP102" s="109">
        <f>RevBuild!AP100</f>
        <v>0.03</v>
      </c>
      <c r="AQ102" s="1075">
        <f>RevBuild!AQ100</f>
        <v>0</v>
      </c>
      <c r="AR102" s="109">
        <f>RevBuild!AR100</f>
        <v>0</v>
      </c>
      <c r="AS102" s="176">
        <f>RevBuild!AS100</f>
        <v>0.08</v>
      </c>
      <c r="AT102" s="109">
        <f>RevBuild!AT100</f>
        <v>0.04</v>
      </c>
      <c r="AU102" s="109">
        <f>RevBuild!AU100</f>
        <v>0.04</v>
      </c>
      <c r="AV102" s="109">
        <f>RevBuild!AV100</f>
        <v>0</v>
      </c>
      <c r="AW102" s="1075">
        <f t="shared" si="206"/>
        <v>0.04</v>
      </c>
      <c r="AX102" s="2054"/>
      <c r="AY102" s="2055">
        <f>RevBuild!AY100</f>
        <v>-3.5000000000000003E-2</v>
      </c>
      <c r="AZ102" s="2056">
        <f>RevBuild!AZ100</f>
        <v>0.05</v>
      </c>
      <c r="BA102" s="2056">
        <f>RevBuild!BA100</f>
        <v>0.01</v>
      </c>
      <c r="BB102" s="2056">
        <f>RevBuild!BB100</f>
        <v>3.5000000000000003E-2</v>
      </c>
      <c r="BC102" s="2054">
        <f t="shared" si="207"/>
        <v>1.5000000000000001E-2</v>
      </c>
      <c r="BD102" s="2054"/>
      <c r="BE102" s="2055">
        <f>RevBuild!BE100</f>
        <v>0.08</v>
      </c>
      <c r="BF102" s="2056">
        <f>RevBuild!BF100</f>
        <v>0.03</v>
      </c>
      <c r="BG102" s="2056">
        <f>RevBuild!BG100</f>
        <v>-0.02</v>
      </c>
      <c r="BH102" s="2056">
        <f>RevBuild!BH100</f>
        <v>0.06</v>
      </c>
      <c r="BI102" s="2054">
        <f>+AVERAGE(BE102:BH102)</f>
        <v>3.7499999999999999E-2</v>
      </c>
      <c r="BJ102" s="2054"/>
      <c r="BK102" s="2055">
        <f>RevBuild!BK100</f>
        <v>-0.08</v>
      </c>
      <c r="BL102" s="2056">
        <f>RevBuild!BL100</f>
        <v>0.12</v>
      </c>
      <c r="BM102" s="2056">
        <f>RevBuild!BM100</f>
        <v>0.08</v>
      </c>
      <c r="BN102" s="2056">
        <f>RevBuild!BN100</f>
        <v>3.5000000000000003E-2</v>
      </c>
      <c r="BO102" s="2054">
        <f>+AVERAGE(BK102:BN102)</f>
        <v>3.875E-2</v>
      </c>
      <c r="BP102" s="2054"/>
      <c r="BQ102" s="2055"/>
      <c r="BR102" s="2056"/>
      <c r="BS102" s="2056"/>
      <c r="BT102" s="2056"/>
      <c r="BU102" s="2054"/>
      <c r="BV102" s="2054"/>
      <c r="BW102" s="2055"/>
      <c r="BX102" s="2056"/>
      <c r="BY102" s="2056"/>
      <c r="BZ102" s="2056"/>
      <c r="CA102" s="2054"/>
      <c r="CB102" s="2054"/>
      <c r="CC102" s="2055"/>
      <c r="CD102" s="2056"/>
      <c r="CE102" s="2056"/>
      <c r="CF102" s="2056"/>
      <c r="CG102" s="2054"/>
      <c r="CH102" s="2054"/>
      <c r="CI102" s="2055"/>
      <c r="CJ102" s="2056"/>
      <c r="CK102" s="2056"/>
      <c r="CL102" s="2056"/>
      <c r="CM102" s="2054"/>
    </row>
    <row r="103" spans="1:117" s="15" customFormat="1">
      <c r="A103" s="1096" t="s">
        <v>13</v>
      </c>
      <c r="B103" s="167"/>
      <c r="C103" s="109">
        <f>RevBuild!C101</f>
        <v>0</v>
      </c>
      <c r="D103" s="109">
        <f>RevBuild!D101</f>
        <v>0</v>
      </c>
      <c r="E103" s="109">
        <f>RevBuild!E101</f>
        <v>0</v>
      </c>
      <c r="F103" s="109">
        <f>RevBuild!F101</f>
        <v>0</v>
      </c>
      <c r="G103" s="1075">
        <f>RevBuild!G101</f>
        <v>0</v>
      </c>
      <c r="H103" s="1075">
        <f>RevBuild!H101</f>
        <v>0</v>
      </c>
      <c r="I103" s="176">
        <f>RevBuild!I101</f>
        <v>0</v>
      </c>
      <c r="J103" s="109">
        <f>RevBuild!J101</f>
        <v>0</v>
      </c>
      <c r="K103" s="109">
        <f>RevBuild!K101</f>
        <v>0</v>
      </c>
      <c r="L103" s="109">
        <f>RevBuild!L101</f>
        <v>0</v>
      </c>
      <c r="M103" s="176">
        <f>RevBuild!M101</f>
        <v>0</v>
      </c>
      <c r="N103" s="1075">
        <f>RevBuild!N101</f>
        <v>0</v>
      </c>
      <c r="O103" s="176">
        <f>RevBuild!O101</f>
        <v>0</v>
      </c>
      <c r="P103" s="109">
        <f>RevBuild!P101</f>
        <v>0</v>
      </c>
      <c r="Q103" s="109">
        <f>RevBuild!Q101</f>
        <v>0</v>
      </c>
      <c r="R103" s="109">
        <f>RevBuild!R101</f>
        <v>0</v>
      </c>
      <c r="S103" s="1075">
        <f>RevBuild!S101</f>
        <v>0</v>
      </c>
      <c r="T103" s="1075">
        <f>RevBuild!T101</f>
        <v>0</v>
      </c>
      <c r="U103" s="176">
        <f>RevBuild!U101</f>
        <v>0</v>
      </c>
      <c r="V103" s="109">
        <f>RevBuild!V101</f>
        <v>0</v>
      </c>
      <c r="W103" s="109">
        <f>RevBuild!W101</f>
        <v>0</v>
      </c>
      <c r="X103" s="109">
        <f>RevBuild!X101</f>
        <v>0</v>
      </c>
      <c r="Y103" s="1075">
        <f>RevBuild!Y101</f>
        <v>0</v>
      </c>
      <c r="Z103" s="1075">
        <f>RevBuild!Z101</f>
        <v>0</v>
      </c>
      <c r="AA103" s="176">
        <f>RevBuild!AA101</f>
        <v>0</v>
      </c>
      <c r="AB103" s="109">
        <f>RevBuild!AB101</f>
        <v>0</v>
      </c>
      <c r="AC103" s="109">
        <f>RevBuild!AC101</f>
        <v>0</v>
      </c>
      <c r="AD103" s="109">
        <f>RevBuild!AD101</f>
        <v>0</v>
      </c>
      <c r="AE103" s="1075">
        <f>RevBuild!AE101</f>
        <v>0</v>
      </c>
      <c r="AF103" s="109">
        <f>RevBuild!AF101</f>
        <v>0</v>
      </c>
      <c r="AG103" s="176">
        <f>RevBuild!AG101</f>
        <v>0</v>
      </c>
      <c r="AH103" s="109">
        <f>RevBuild!AH101</f>
        <v>0</v>
      </c>
      <c r="AI103" s="109">
        <f>RevBuild!AI101</f>
        <v>0</v>
      </c>
      <c r="AJ103" s="1077">
        <f>RevBuild!AJ101</f>
        <v>0</v>
      </c>
      <c r="AK103" s="1075">
        <f>RevBuild!AK101</f>
        <v>0</v>
      </c>
      <c r="AL103" s="109">
        <f>RevBuild!AL101</f>
        <v>0</v>
      </c>
      <c r="AM103" s="176">
        <f>RevBuild!AM101</f>
        <v>9.3472595919577905E-2</v>
      </c>
      <c r="AN103" s="109">
        <f>RevBuild!AN101</f>
        <v>0.17662574618725579</v>
      </c>
      <c r="AO103" s="109">
        <f>RevBuild!AO101</f>
        <v>6.5916833396420405E-2</v>
      </c>
      <c r="AP103" s="109">
        <f>RevBuild!AP101</f>
        <v>0.18220410080875227</v>
      </c>
      <c r="AQ103" s="1075">
        <f>RevBuild!AQ101</f>
        <v>0.12955481907800159</v>
      </c>
      <c r="AR103" s="109">
        <f>RevBuild!AR101</f>
        <v>0</v>
      </c>
      <c r="AS103" s="176">
        <f>RevBuild!AS101</f>
        <v>1.0352199387265726E-2</v>
      </c>
      <c r="AT103" s="109">
        <f>RevBuild!AT101</f>
        <v>-9.1456953410444575E-2</v>
      </c>
      <c r="AU103" s="109">
        <f>RevBuild!AU101</f>
        <v>-4.6476451288326892E-2</v>
      </c>
      <c r="AV103" s="109">
        <f>RevBuild!AV101</f>
        <v>9.5713629934273903E-2</v>
      </c>
      <c r="AW103" s="1075">
        <f t="shared" si="206"/>
        <v>-7.9668938443079595E-3</v>
      </c>
      <c r="AX103" s="2054"/>
      <c r="AY103" s="2055">
        <f>RevBuild!AY101</f>
        <v>0.15584395901056697</v>
      </c>
      <c r="AZ103" s="2056">
        <f>RevBuild!AZ101</f>
        <v>0.25460815418816685</v>
      </c>
      <c r="BA103" s="2056">
        <f>RevBuild!BA101</f>
        <v>0.2</v>
      </c>
      <c r="BB103" s="2056">
        <f>RevBuild!BB101</f>
        <v>0.125</v>
      </c>
      <c r="BC103" s="2054">
        <f t="shared" si="207"/>
        <v>0.18386302829968346</v>
      </c>
      <c r="BD103" s="2054"/>
      <c r="BE103" s="2055">
        <f>RevBuild!BE101</f>
        <v>0.15</v>
      </c>
      <c r="BF103" s="2056">
        <f>RevBuild!BF101</f>
        <v>0.16</v>
      </c>
      <c r="BG103" s="2056">
        <f>RevBuild!BG101</f>
        <v>0.18</v>
      </c>
      <c r="BH103" s="2056">
        <f>RevBuild!BH101</f>
        <v>0.16</v>
      </c>
      <c r="BI103" s="2054">
        <f>+AVERAGE(BE103:BH103)</f>
        <v>0.16250000000000001</v>
      </c>
      <c r="BJ103" s="2054"/>
      <c r="BK103" s="2055">
        <f>RevBuild!BK101</f>
        <v>0.18</v>
      </c>
      <c r="BL103" s="2056">
        <f>RevBuild!BL101</f>
        <v>0.16</v>
      </c>
      <c r="BM103" s="2056">
        <f>RevBuild!BM101</f>
        <v>0.16</v>
      </c>
      <c r="BN103" s="2056">
        <f>RevBuild!BN101</f>
        <v>0.14000000000000001</v>
      </c>
      <c r="BO103" s="2054">
        <f>+AVERAGE(BK103:BN103)</f>
        <v>0.16</v>
      </c>
      <c r="BP103" s="2054"/>
      <c r="BQ103" s="2055"/>
      <c r="BR103" s="2056"/>
      <c r="BS103" s="2056"/>
      <c r="BT103" s="2056"/>
      <c r="BU103" s="2054"/>
      <c r="BV103" s="2054"/>
      <c r="BW103" s="2055"/>
      <c r="BX103" s="2056"/>
      <c r="BY103" s="2056"/>
      <c r="BZ103" s="2056"/>
      <c r="CA103" s="2054"/>
      <c r="CB103" s="2054"/>
      <c r="CC103" s="2055"/>
      <c r="CD103" s="2056"/>
      <c r="CE103" s="2056"/>
      <c r="CF103" s="2056"/>
      <c r="CG103" s="2054"/>
      <c r="CH103" s="2054"/>
      <c r="CI103" s="2055"/>
      <c r="CJ103" s="2056"/>
      <c r="CK103" s="2056"/>
      <c r="CL103" s="2056"/>
      <c r="CM103" s="2054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</row>
    <row r="104" spans="1:117">
      <c r="A104" s="1096" t="s">
        <v>469</v>
      </c>
      <c r="B104" s="167"/>
      <c r="C104" s="109" t="str">
        <f>RevBuild!C102</f>
        <v>NA</v>
      </c>
      <c r="D104" s="109" t="str">
        <f>RevBuild!D102</f>
        <v>NA</v>
      </c>
      <c r="E104" s="109" t="str">
        <f>RevBuild!E102</f>
        <v>NA</v>
      </c>
      <c r="F104" s="109">
        <f>RevBuild!F102</f>
        <v>0.18</v>
      </c>
      <c r="G104" s="1075">
        <f>RevBuild!G102</f>
        <v>0</v>
      </c>
      <c r="H104" s="1075">
        <f>RevBuild!H102</f>
        <v>0</v>
      </c>
      <c r="I104" s="176">
        <f>RevBuild!I102</f>
        <v>0.27</v>
      </c>
      <c r="J104" s="109">
        <f>RevBuild!J102</f>
        <v>0.22</v>
      </c>
      <c r="K104" s="109">
        <f>RevBuild!K102</f>
        <v>0.11</v>
      </c>
      <c r="L104" s="109">
        <f>RevBuild!L102</f>
        <v>0.17</v>
      </c>
      <c r="M104" s="176">
        <f>RevBuild!M102</f>
        <v>0.19500000000000001</v>
      </c>
      <c r="N104" s="1075">
        <f>RevBuild!N102</f>
        <v>0</v>
      </c>
      <c r="O104" s="176">
        <f>RevBuild!O102</f>
        <v>-0.06</v>
      </c>
      <c r="P104" s="109">
        <f>RevBuild!P102</f>
        <v>0.01</v>
      </c>
      <c r="Q104" s="109">
        <f>RevBuild!Q102</f>
        <v>0.04</v>
      </c>
      <c r="R104" s="109">
        <f>RevBuild!R102</f>
        <v>0</v>
      </c>
      <c r="S104" s="1075">
        <f>RevBuild!S102</f>
        <v>0.01</v>
      </c>
      <c r="T104" s="1075">
        <f>RevBuild!T102</f>
        <v>0</v>
      </c>
      <c r="U104" s="176">
        <f>RevBuild!U102</f>
        <v>0.12</v>
      </c>
      <c r="V104" s="109">
        <f>RevBuild!V102</f>
        <v>0.14000000000000001</v>
      </c>
      <c r="W104" s="109">
        <f>RevBuild!W102</f>
        <v>0.28000000000000003</v>
      </c>
      <c r="X104" s="109">
        <f>RevBuild!X102</f>
        <v>0.32</v>
      </c>
      <c r="Y104" s="1075">
        <f>RevBuild!Y102</f>
        <v>0.21000000000000002</v>
      </c>
      <c r="Z104" s="1075">
        <f>RevBuild!Z102</f>
        <v>0</v>
      </c>
      <c r="AA104" s="176">
        <f>RevBuild!AA102</f>
        <v>0.28999999999999998</v>
      </c>
      <c r="AB104" s="109">
        <f>RevBuild!AB102</f>
        <v>0.14000000000000001</v>
      </c>
      <c r="AC104" s="109">
        <f>RevBuild!AC102</f>
        <v>0.08</v>
      </c>
      <c r="AD104" s="109">
        <f>RevBuild!AD102</f>
        <v>-0.01</v>
      </c>
      <c r="AE104" s="1075">
        <f>RevBuild!AE102</f>
        <v>0.16</v>
      </c>
      <c r="AF104" s="109">
        <f>RevBuild!AF102</f>
        <v>0</v>
      </c>
      <c r="AG104" s="176">
        <f>RevBuild!AG102</f>
        <v>0.05</v>
      </c>
      <c r="AH104" s="109">
        <f>RevBuild!AH102</f>
        <v>7.0000000000000007E-2</v>
      </c>
      <c r="AI104" s="109">
        <f>RevBuild!AI102</f>
        <v>0.09</v>
      </c>
      <c r="AJ104" s="1077">
        <f>RevBuild!AJ102</f>
        <v>0</v>
      </c>
      <c r="AK104" s="1075">
        <f>RevBuild!AK102</f>
        <v>0.21</v>
      </c>
      <c r="AL104" s="109">
        <f>RevBuild!AL102</f>
        <v>0</v>
      </c>
      <c r="AM104" s="176">
        <f>RevBuild!AM102</f>
        <v>0.05</v>
      </c>
      <c r="AN104" s="109">
        <f>RevBuild!AN102</f>
        <v>0.03</v>
      </c>
      <c r="AO104" s="109">
        <f>RevBuild!AO102</f>
        <v>0.06</v>
      </c>
      <c r="AP104" s="109">
        <f>RevBuild!AP102</f>
        <v>0.15</v>
      </c>
      <c r="AQ104" s="1075">
        <f>RevBuild!AQ102</f>
        <v>7.2500000000000009E-2</v>
      </c>
      <c r="AR104" s="109">
        <f>RevBuild!AR102</f>
        <v>0</v>
      </c>
      <c r="AS104" s="176">
        <f>RevBuild!AS102</f>
        <v>0.01</v>
      </c>
      <c r="AT104" s="109">
        <f>RevBuild!AT102</f>
        <v>0.04</v>
      </c>
      <c r="AU104" s="109">
        <f>RevBuild!AU102</f>
        <v>0.05</v>
      </c>
      <c r="AV104" s="109">
        <f>RevBuild!AV102</f>
        <v>0.08</v>
      </c>
      <c r="AW104" s="1075">
        <f t="shared" si="206"/>
        <v>4.4999999999999998E-2</v>
      </c>
      <c r="AX104" s="2054"/>
      <c r="AY104" s="2055">
        <f>RevBuild!AY102</f>
        <v>0.16500000000000001</v>
      </c>
      <c r="AZ104" s="2056">
        <f>RevBuild!AZ102</f>
        <v>0.26</v>
      </c>
      <c r="BA104" s="2056">
        <f>RevBuild!BA102</f>
        <v>0.14000000000000001</v>
      </c>
      <c r="BB104" s="2056">
        <f>RevBuild!BB102</f>
        <v>0.17500000000000002</v>
      </c>
      <c r="BC104" s="2054">
        <f t="shared" si="207"/>
        <v>0.18500000000000003</v>
      </c>
      <c r="BD104" s="2054"/>
      <c r="BE104" s="2055">
        <f>RevBuild!BE102</f>
        <v>0.11</v>
      </c>
      <c r="BF104" s="2056">
        <f>RevBuild!BF102</f>
        <v>0.1</v>
      </c>
      <c r="BG104" s="2056">
        <f>RevBuild!BG102</f>
        <v>0.18</v>
      </c>
      <c r="BH104" s="2056">
        <f>RevBuild!BH102</f>
        <v>0.18</v>
      </c>
      <c r="BI104" s="2054">
        <f>+AVERAGE(BE104:BH104)</f>
        <v>0.14250000000000002</v>
      </c>
      <c r="BJ104" s="2054"/>
      <c r="BK104" s="2055">
        <f>RevBuild!BK102</f>
        <v>0.1825</v>
      </c>
      <c r="BL104" s="2056">
        <f>RevBuild!BL102</f>
        <v>0.11600000000000001</v>
      </c>
      <c r="BM104" s="2056">
        <f>RevBuild!BM102</f>
        <v>0.08</v>
      </c>
      <c r="BN104" s="2056">
        <f>RevBuild!BN102</f>
        <v>5.1999999999999998E-2</v>
      </c>
      <c r="BO104" s="2054">
        <f>+AVERAGE(BK104:BN104)</f>
        <v>0.107625</v>
      </c>
      <c r="BP104" s="2054"/>
      <c r="BQ104" s="2055"/>
      <c r="BR104" s="2056"/>
      <c r="BS104" s="2056"/>
      <c r="BT104" s="2056"/>
      <c r="BU104" s="2054"/>
      <c r="BV104" s="2054"/>
      <c r="BW104" s="2055"/>
      <c r="BX104" s="2056"/>
      <c r="BY104" s="2056"/>
      <c r="BZ104" s="2056"/>
      <c r="CA104" s="2054"/>
      <c r="CB104" s="2054"/>
      <c r="CC104" s="2055"/>
      <c r="CD104" s="2056"/>
      <c r="CE104" s="2056"/>
      <c r="CF104" s="2056"/>
      <c r="CG104" s="2054"/>
      <c r="CH104" s="2054"/>
      <c r="CI104" s="2055"/>
      <c r="CJ104" s="2056"/>
      <c r="CK104" s="2056"/>
      <c r="CL104" s="2056"/>
      <c r="CM104" s="2054"/>
    </row>
    <row r="105" spans="1:117">
      <c r="A105" s="1585" t="s">
        <v>462</v>
      </c>
      <c r="B105" s="1569"/>
      <c r="C105" s="1570">
        <f>RevBuild!C104</f>
        <v>0</v>
      </c>
      <c r="D105" s="1570">
        <f>RevBuild!D104</f>
        <v>0</v>
      </c>
      <c r="E105" s="1570">
        <f>RevBuild!E104</f>
        <v>0</v>
      </c>
      <c r="F105" s="1570">
        <f>RevBuild!F104</f>
        <v>0</v>
      </c>
      <c r="G105" s="1571">
        <f>RevBuild!G104</f>
        <v>0</v>
      </c>
      <c r="H105" s="1571">
        <f>RevBuild!H104</f>
        <v>0</v>
      </c>
      <c r="I105" s="1572">
        <f>RevBuild!I104</f>
        <v>0</v>
      </c>
      <c r="J105" s="1570">
        <f>RevBuild!J104</f>
        <v>0</v>
      </c>
      <c r="K105" s="1570">
        <f>RevBuild!K104</f>
        <v>0</v>
      </c>
      <c r="L105" s="1570">
        <f>RevBuild!L104</f>
        <v>0</v>
      </c>
      <c r="M105" s="1572">
        <f>RevBuild!M104</f>
        <v>0</v>
      </c>
      <c r="N105" s="1571">
        <f>RevBuild!N104</f>
        <v>0</v>
      </c>
      <c r="O105" s="1572">
        <f>RevBuild!O104</f>
        <v>0</v>
      </c>
      <c r="P105" s="1570">
        <f>RevBuild!P104</f>
        <v>0</v>
      </c>
      <c r="Q105" s="1570">
        <f>RevBuild!Q104</f>
        <v>0</v>
      </c>
      <c r="R105" s="1570">
        <f>RevBuild!R104</f>
        <v>0</v>
      </c>
      <c r="S105" s="1571">
        <f>RevBuild!S104</f>
        <v>0</v>
      </c>
      <c r="T105" s="1571">
        <f>RevBuild!T104</f>
        <v>0</v>
      </c>
      <c r="U105" s="1572">
        <f>RevBuild!U104</f>
        <v>0</v>
      </c>
      <c r="V105" s="1570">
        <f>RevBuild!V104</f>
        <v>0</v>
      </c>
      <c r="W105" s="1570">
        <f>RevBuild!W104</f>
        <v>0</v>
      </c>
      <c r="X105" s="1570">
        <f>RevBuild!X104</f>
        <v>0</v>
      </c>
      <c r="Y105" s="1571">
        <f>RevBuild!Y104</f>
        <v>0</v>
      </c>
      <c r="Z105" s="1571">
        <f>RevBuild!Z104</f>
        <v>0</v>
      </c>
      <c r="AA105" s="1572">
        <f>RevBuild!AA104</f>
        <v>0</v>
      </c>
      <c r="AB105" s="1570">
        <f>RevBuild!AB104</f>
        <v>0.23</v>
      </c>
      <c r="AC105" s="1570">
        <f>RevBuild!AC104</f>
        <v>0.06</v>
      </c>
      <c r="AD105" s="1570">
        <f>RevBuild!AD104</f>
        <v>0</v>
      </c>
      <c r="AE105" s="1571">
        <f>RevBuild!AE104</f>
        <v>0.14500000000000002</v>
      </c>
      <c r="AF105" s="1570">
        <f>RevBuild!AF104</f>
        <v>0</v>
      </c>
      <c r="AG105" s="1572">
        <f>RevBuild!AG104</f>
        <v>0</v>
      </c>
      <c r="AH105" s="1570">
        <f>RevBuild!AH104</f>
        <v>0</v>
      </c>
      <c r="AI105" s="1570">
        <f>RevBuild!AI104</f>
        <v>0</v>
      </c>
      <c r="AJ105" s="1573">
        <f>RevBuild!AJ104</f>
        <v>0</v>
      </c>
      <c r="AK105" s="1571">
        <f>RevBuild!AK104</f>
        <v>-7.0000000000000007E-2</v>
      </c>
      <c r="AL105" s="1570">
        <f>RevBuild!AL104</f>
        <v>0</v>
      </c>
      <c r="AM105" s="1572">
        <f>RevBuild!AM104</f>
        <v>0</v>
      </c>
      <c r="AN105" s="1570">
        <f>RevBuild!AN104</f>
        <v>0</v>
      </c>
      <c r="AO105" s="1570">
        <f>RevBuild!AO104</f>
        <v>0</v>
      </c>
      <c r="AP105" s="1570">
        <f>RevBuild!AP104</f>
        <v>0</v>
      </c>
      <c r="AQ105" s="1571">
        <f>RevBuild!AQ104</f>
        <v>0.15</v>
      </c>
      <c r="AR105" s="1570">
        <f>RevBuild!AR104</f>
        <v>0</v>
      </c>
      <c r="AS105" s="1572">
        <f>RevBuild!AS104</f>
        <v>0</v>
      </c>
      <c r="AT105" s="1570">
        <f>RevBuild!AT104</f>
        <v>0</v>
      </c>
      <c r="AU105" s="1570">
        <f>RevBuild!AU104</f>
        <v>0.15</v>
      </c>
      <c r="AV105" s="1570">
        <f>RevBuild!AV104</f>
        <v>0</v>
      </c>
      <c r="AW105" s="1571">
        <f t="shared" si="206"/>
        <v>3.7499999999999999E-2</v>
      </c>
      <c r="AX105" s="2057"/>
      <c r="AY105" s="2058">
        <f>RevBuild!AY104</f>
        <v>0.12</v>
      </c>
      <c r="AZ105" s="2059">
        <f>RevBuild!AZ104</f>
        <v>0</v>
      </c>
      <c r="BA105" s="2059">
        <f>RevBuild!BA104</f>
        <v>0</v>
      </c>
      <c r="BB105" s="2059">
        <f>RevBuild!BB104</f>
        <v>0</v>
      </c>
      <c r="BC105" s="2057">
        <f t="shared" si="207"/>
        <v>0.03</v>
      </c>
      <c r="BD105" s="2057"/>
      <c r="BE105" s="2058" t="str">
        <f>RevBuild!BE104</f>
        <v>NA</v>
      </c>
      <c r="BF105" s="2059" t="str">
        <f>RevBuild!BF104</f>
        <v>NA</v>
      </c>
      <c r="BG105" s="2059" t="str">
        <f>RevBuild!BG104</f>
        <v>NA</v>
      </c>
      <c r="BH105" s="2059" t="str">
        <f>RevBuild!BH104</f>
        <v>NA</v>
      </c>
      <c r="BI105" s="2057" t="str">
        <f>RevBuild!BI104</f>
        <v>NA</v>
      </c>
      <c r="BJ105" s="2057"/>
      <c r="BK105" s="2058" t="str">
        <f>RevBuild!BK104</f>
        <v>NA</v>
      </c>
      <c r="BL105" s="2059" t="str">
        <f>RevBuild!BL104</f>
        <v>NA</v>
      </c>
      <c r="BM105" s="2059" t="str">
        <f>RevBuild!BM104</f>
        <v>NA</v>
      </c>
      <c r="BN105" s="2059" t="str">
        <f>RevBuild!BN104</f>
        <v>NA</v>
      </c>
      <c r="BO105" s="2057" t="str">
        <f>RevBuild!BO104</f>
        <v>NA</v>
      </c>
      <c r="BP105" s="2057"/>
      <c r="BQ105" s="2058"/>
      <c r="BR105" s="2059"/>
      <c r="BS105" s="2059"/>
      <c r="BT105" s="2059"/>
      <c r="BU105" s="2057"/>
      <c r="BV105" s="2057"/>
      <c r="BW105" s="2058"/>
      <c r="BX105" s="2059"/>
      <c r="BY105" s="2059"/>
      <c r="BZ105" s="2059"/>
      <c r="CA105" s="2057"/>
      <c r="CB105" s="2057"/>
      <c r="CC105" s="2058"/>
      <c r="CD105" s="2059"/>
      <c r="CE105" s="2059"/>
      <c r="CF105" s="2059"/>
      <c r="CG105" s="2057"/>
      <c r="CH105" s="2057"/>
      <c r="CI105" s="2058"/>
      <c r="CJ105" s="2059"/>
      <c r="CK105" s="2059"/>
      <c r="CL105" s="2059"/>
      <c r="CM105" s="2057"/>
    </row>
    <row r="106" spans="1:117">
      <c r="A106" s="1581" t="s">
        <v>492</v>
      </c>
      <c r="B106" s="152"/>
      <c r="C106" s="152"/>
      <c r="D106" s="152"/>
      <c r="E106" s="152"/>
      <c r="F106" s="152"/>
      <c r="G106" s="152"/>
      <c r="H106" s="153"/>
      <c r="I106" s="154"/>
      <c r="J106" s="152"/>
      <c r="K106" s="152"/>
      <c r="L106" s="152"/>
      <c r="M106" s="152"/>
      <c r="N106" s="153"/>
      <c r="O106" s="154"/>
      <c r="P106" s="152"/>
      <c r="Q106" s="152"/>
      <c r="R106" s="152"/>
      <c r="S106" s="152"/>
      <c r="T106" s="153"/>
      <c r="U106" s="152"/>
      <c r="V106" s="153"/>
      <c r="W106" s="153"/>
      <c r="X106" s="153"/>
      <c r="Y106" s="153"/>
      <c r="Z106" s="153"/>
      <c r="AA106" s="153"/>
      <c r="AB106" s="153"/>
      <c r="AC106" s="152"/>
      <c r="AD106" s="153"/>
      <c r="AE106" s="153"/>
      <c r="AF106" s="153"/>
      <c r="AG106" s="153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  <c r="AV106" s="153"/>
      <c r="AW106" s="153"/>
      <c r="AX106" s="153"/>
      <c r="AY106" s="153"/>
      <c r="AZ106" s="153"/>
      <c r="BA106" s="153"/>
      <c r="BB106" s="153"/>
      <c r="BC106" s="153"/>
      <c r="BD106" s="153"/>
      <c r="BE106" s="153"/>
      <c r="BF106" s="153"/>
      <c r="BG106" s="153"/>
      <c r="BH106" s="153"/>
      <c r="BI106" s="153"/>
      <c r="BJ106" s="153"/>
      <c r="BK106" s="153"/>
      <c r="BL106" s="153"/>
      <c r="BM106" s="153"/>
      <c r="BN106" s="153"/>
      <c r="BO106" s="153"/>
      <c r="BP106" s="153"/>
      <c r="BQ106" s="153"/>
      <c r="BR106" s="153"/>
      <c r="BS106" s="153"/>
      <c r="BT106" s="153"/>
      <c r="BU106" s="153"/>
      <c r="BV106" s="153"/>
      <c r="BW106" s="153"/>
      <c r="BX106" s="153"/>
      <c r="BY106" s="153"/>
      <c r="BZ106" s="153"/>
      <c r="CA106" s="153"/>
      <c r="CB106" s="153"/>
      <c r="CC106" s="153"/>
      <c r="CD106" s="153"/>
      <c r="CE106" s="153"/>
      <c r="CF106" s="153"/>
      <c r="CG106" s="153"/>
      <c r="CH106" s="153"/>
      <c r="CI106" s="153"/>
      <c r="CJ106" s="153"/>
      <c r="CK106" s="153"/>
      <c r="CL106" s="153"/>
      <c r="CM106" s="153"/>
    </row>
    <row r="107" spans="1:117">
      <c r="A107" s="1096" t="s">
        <v>465</v>
      </c>
      <c r="B107" s="167"/>
      <c r="C107" s="109"/>
      <c r="D107" s="109"/>
      <c r="E107" s="109"/>
      <c r="F107" s="109"/>
      <c r="G107" s="1075"/>
      <c r="H107" s="1075"/>
      <c r="I107" s="176"/>
      <c r="J107" s="109"/>
      <c r="K107" s="109"/>
      <c r="L107" s="109"/>
      <c r="M107" s="176"/>
      <c r="N107" s="1075"/>
      <c r="O107" s="176"/>
      <c r="P107" s="109"/>
      <c r="Q107" s="109"/>
      <c r="R107" s="109"/>
      <c r="S107" s="1075"/>
      <c r="T107" s="1075"/>
      <c r="U107" s="176"/>
      <c r="V107" s="109"/>
      <c r="W107" s="109"/>
      <c r="X107" s="109"/>
      <c r="Y107" s="1075"/>
      <c r="Z107" s="1075"/>
      <c r="AA107" s="176"/>
      <c r="AB107" s="109"/>
      <c r="AC107" s="109"/>
      <c r="AD107" s="109"/>
      <c r="AE107" s="1075"/>
      <c r="AF107" s="109"/>
      <c r="AG107" s="176"/>
      <c r="AH107" s="109"/>
      <c r="AI107" s="109"/>
      <c r="AJ107" s="1077"/>
      <c r="AK107" s="1075"/>
      <c r="AL107" s="109"/>
      <c r="AM107" s="176"/>
      <c r="AN107" s="109"/>
      <c r="AO107" s="109"/>
      <c r="AP107" s="109"/>
      <c r="AQ107" s="1075"/>
      <c r="AR107" s="109"/>
      <c r="AS107" s="176">
        <f t="shared" ref="AS107:AW112" si="208">+AS100+AM100</f>
        <v>3.9999999999999994E-2</v>
      </c>
      <c r="AT107" s="109">
        <f t="shared" si="208"/>
        <v>0.09</v>
      </c>
      <c r="AU107" s="109">
        <f t="shared" si="208"/>
        <v>0.14000000000000001</v>
      </c>
      <c r="AV107" s="109">
        <f t="shared" si="208"/>
        <v>0.2</v>
      </c>
      <c r="AW107" s="1075">
        <f t="shared" si="208"/>
        <v>0.11750000000000001</v>
      </c>
      <c r="AX107" s="2054"/>
      <c r="AY107" s="2055">
        <f t="shared" ref="AY107:BC112" si="209">+AY100+AS100</f>
        <v>0.14500000000000002</v>
      </c>
      <c r="AZ107" s="2056">
        <f t="shared" si="209"/>
        <v>0.18</v>
      </c>
      <c r="BA107" s="2056">
        <f t="shared" si="209"/>
        <v>0.21000000000000002</v>
      </c>
      <c r="BB107" s="2056">
        <f t="shared" si="209"/>
        <v>0.17500000000000002</v>
      </c>
      <c r="BC107" s="2054">
        <f t="shared" si="209"/>
        <v>0.17749999999999999</v>
      </c>
      <c r="BD107" s="2054"/>
      <c r="BE107" s="2055">
        <f t="shared" ref="BE107:BM111" si="210">+BE100+AY100</f>
        <v>0.18</v>
      </c>
      <c r="BF107" s="2056">
        <f t="shared" si="210"/>
        <v>0.13</v>
      </c>
      <c r="BG107" s="2056">
        <f t="shared" si="210"/>
        <v>0.12000000000000001</v>
      </c>
      <c r="BH107" s="2056">
        <f t="shared" si="210"/>
        <v>6.5000000000000016E-2</v>
      </c>
      <c r="BI107" s="2054">
        <f t="shared" si="210"/>
        <v>0.12375</v>
      </c>
      <c r="BJ107" s="2054"/>
      <c r="BK107" s="2055">
        <f t="shared" si="210"/>
        <v>-5.5000000000000007E-2</v>
      </c>
      <c r="BL107" s="2056">
        <f t="shared" si="210"/>
        <v>3.9999999999999994E-2</v>
      </c>
      <c r="BM107" s="2056">
        <f t="shared" si="210"/>
        <v>1.5600000000000001E-2</v>
      </c>
      <c r="BN107" s="2056">
        <f t="shared" ref="BN107:BN111" si="211">+BN100+BH100</f>
        <v>0.08</v>
      </c>
      <c r="BO107" s="2054">
        <f t="shared" ref="BO107:BO111" si="212">+BO100+BI100</f>
        <v>2.0149999999999994E-2</v>
      </c>
      <c r="BP107" s="2054"/>
      <c r="BQ107" s="2055"/>
      <c r="BR107" s="2056"/>
      <c r="BS107" s="2056"/>
      <c r="BT107" s="2056"/>
      <c r="BU107" s="2054"/>
      <c r="BV107" s="2054"/>
      <c r="BW107" s="2055"/>
      <c r="BX107" s="2056"/>
      <c r="BY107" s="2056"/>
      <c r="BZ107" s="2056"/>
      <c r="CA107" s="2054"/>
      <c r="CB107" s="2054"/>
      <c r="CC107" s="2055"/>
      <c r="CD107" s="2056"/>
      <c r="CE107" s="2056"/>
      <c r="CF107" s="2056"/>
      <c r="CG107" s="2054"/>
      <c r="CH107" s="2054"/>
      <c r="CI107" s="2055"/>
      <c r="CJ107" s="2056"/>
      <c r="CK107" s="2056"/>
      <c r="CL107" s="2056"/>
      <c r="CM107" s="2054"/>
    </row>
    <row r="108" spans="1:117">
      <c r="A108" s="1096" t="s">
        <v>459</v>
      </c>
      <c r="B108" s="167"/>
      <c r="C108" s="109"/>
      <c r="D108" s="109"/>
      <c r="E108" s="109"/>
      <c r="F108" s="109"/>
      <c r="G108" s="1075"/>
      <c r="H108" s="1075"/>
      <c r="I108" s="176"/>
      <c r="J108" s="109"/>
      <c r="K108" s="109"/>
      <c r="L108" s="109"/>
      <c r="M108" s="176"/>
      <c r="N108" s="1075"/>
      <c r="O108" s="176"/>
      <c r="P108" s="109"/>
      <c r="Q108" s="109"/>
      <c r="R108" s="109"/>
      <c r="S108" s="1075"/>
      <c r="T108" s="1075"/>
      <c r="U108" s="176"/>
      <c r="V108" s="109"/>
      <c r="W108" s="109"/>
      <c r="X108" s="109"/>
      <c r="Y108" s="1075"/>
      <c r="Z108" s="1075"/>
      <c r="AA108" s="176"/>
      <c r="AB108" s="109"/>
      <c r="AC108" s="109"/>
      <c r="AD108" s="109"/>
      <c r="AE108" s="1075"/>
      <c r="AF108" s="109"/>
      <c r="AG108" s="176"/>
      <c r="AH108" s="109"/>
      <c r="AI108" s="109"/>
      <c r="AJ108" s="1077"/>
      <c r="AK108" s="1075"/>
      <c r="AL108" s="109"/>
      <c r="AM108" s="176"/>
      <c r="AN108" s="109"/>
      <c r="AO108" s="109"/>
      <c r="AP108" s="109"/>
      <c r="AQ108" s="1075"/>
      <c r="AR108" s="109"/>
      <c r="AS108" s="176">
        <f t="shared" si="208"/>
        <v>0.03</v>
      </c>
      <c r="AT108" s="109">
        <f t="shared" si="208"/>
        <v>9.0000000000000011E-2</v>
      </c>
      <c r="AU108" s="109">
        <f t="shared" si="208"/>
        <v>0.08</v>
      </c>
      <c r="AV108" s="109">
        <f t="shared" si="208"/>
        <v>0.15000000000000002</v>
      </c>
      <c r="AW108" s="1075">
        <f t="shared" si="208"/>
        <v>8.7500000000000008E-2</v>
      </c>
      <c r="AX108" s="2054"/>
      <c r="AY108" s="2055">
        <f t="shared" si="209"/>
        <v>8.5000000000000006E-2</v>
      </c>
      <c r="AZ108" s="2056">
        <f t="shared" si="209"/>
        <v>7.0000000000000007E-2</v>
      </c>
      <c r="BA108" s="2056">
        <f t="shared" si="209"/>
        <v>0.16</v>
      </c>
      <c r="BB108" s="2056">
        <f t="shared" si="209"/>
        <v>0.16500000000000001</v>
      </c>
      <c r="BC108" s="2054">
        <f t="shared" si="209"/>
        <v>0.12</v>
      </c>
      <c r="BD108" s="2054"/>
      <c r="BE108" s="2055">
        <f t="shared" si="210"/>
        <v>0.09</v>
      </c>
      <c r="BF108" s="2056">
        <f t="shared" si="210"/>
        <v>0.16999999999999998</v>
      </c>
      <c r="BG108" s="2056">
        <f t="shared" si="210"/>
        <v>6.0000000000000005E-2</v>
      </c>
      <c r="BH108" s="2056">
        <f t="shared" si="210"/>
        <v>0.155</v>
      </c>
      <c r="BI108" s="2054">
        <f t="shared" si="210"/>
        <v>0.11874999999999999</v>
      </c>
      <c r="BJ108" s="2054"/>
      <c r="BK108" s="2055">
        <f t="shared" si="210"/>
        <v>0.11499999999999999</v>
      </c>
      <c r="BL108" s="2056">
        <f t="shared" si="210"/>
        <v>0.16999999999999998</v>
      </c>
      <c r="BM108" s="2056">
        <f t="shared" si="210"/>
        <v>0.12000000000000001</v>
      </c>
      <c r="BN108" s="2056">
        <f t="shared" si="211"/>
        <v>0.16</v>
      </c>
      <c r="BO108" s="2054">
        <f t="shared" si="212"/>
        <v>0.14124999999999999</v>
      </c>
      <c r="BP108" s="2054"/>
      <c r="BQ108" s="2055"/>
      <c r="BR108" s="2056"/>
      <c r="BS108" s="2056"/>
      <c r="BT108" s="2056"/>
      <c r="BU108" s="2054"/>
      <c r="BV108" s="2054"/>
      <c r="BW108" s="2055"/>
      <c r="BX108" s="2056"/>
      <c r="BY108" s="2056"/>
      <c r="BZ108" s="2056"/>
      <c r="CA108" s="2054"/>
      <c r="CB108" s="2054"/>
      <c r="CC108" s="2055"/>
      <c r="CD108" s="2056"/>
      <c r="CE108" s="2056"/>
      <c r="CF108" s="2056"/>
      <c r="CG108" s="2054"/>
      <c r="CH108" s="2054"/>
      <c r="CI108" s="2055"/>
      <c r="CJ108" s="2056"/>
      <c r="CK108" s="2056"/>
      <c r="CL108" s="2056"/>
      <c r="CM108" s="2054"/>
    </row>
    <row r="109" spans="1:117">
      <c r="A109" s="1096" t="s">
        <v>460</v>
      </c>
      <c r="B109" s="167"/>
      <c r="C109" s="109"/>
      <c r="D109" s="109"/>
      <c r="E109" s="109"/>
      <c r="F109" s="109"/>
      <c r="G109" s="1075"/>
      <c r="H109" s="1075"/>
      <c r="I109" s="176"/>
      <c r="J109" s="109"/>
      <c r="K109" s="109"/>
      <c r="L109" s="109"/>
      <c r="M109" s="176"/>
      <c r="N109" s="1075"/>
      <c r="O109" s="176"/>
      <c r="P109" s="109"/>
      <c r="Q109" s="109"/>
      <c r="R109" s="109"/>
      <c r="S109" s="1075"/>
      <c r="T109" s="1075"/>
      <c r="U109" s="176"/>
      <c r="V109" s="109"/>
      <c r="W109" s="109"/>
      <c r="X109" s="109"/>
      <c r="Y109" s="1075"/>
      <c r="Z109" s="1075"/>
      <c r="AA109" s="176"/>
      <c r="AB109" s="109"/>
      <c r="AC109" s="109"/>
      <c r="AD109" s="109"/>
      <c r="AE109" s="1075"/>
      <c r="AF109" s="109"/>
      <c r="AG109" s="176"/>
      <c r="AH109" s="109"/>
      <c r="AI109" s="109"/>
      <c r="AJ109" s="1077"/>
      <c r="AK109" s="1075"/>
      <c r="AL109" s="109"/>
      <c r="AM109" s="176">
        <f t="shared" ref="AM109:AP110" si="213">+AM102+AG102</f>
        <v>-0.05</v>
      </c>
      <c r="AN109" s="109">
        <f t="shared" si="213"/>
        <v>-6.9999999999999993E-2</v>
      </c>
      <c r="AO109" s="109">
        <f t="shared" si="213"/>
        <v>0.04</v>
      </c>
      <c r="AP109" s="109">
        <f t="shared" si="213"/>
        <v>0.03</v>
      </c>
      <c r="AQ109" s="1075"/>
      <c r="AR109" s="109"/>
      <c r="AS109" s="176">
        <f t="shared" si="208"/>
        <v>0.06</v>
      </c>
      <c r="AT109" s="109">
        <f t="shared" si="208"/>
        <v>-1.9999999999999997E-2</v>
      </c>
      <c r="AU109" s="109">
        <f t="shared" si="208"/>
        <v>0.09</v>
      </c>
      <c r="AV109" s="109">
        <f t="shared" si="208"/>
        <v>0.03</v>
      </c>
      <c r="AW109" s="1075">
        <f t="shared" si="208"/>
        <v>0.04</v>
      </c>
      <c r="AX109" s="2054"/>
      <c r="AY109" s="2055">
        <f t="shared" si="209"/>
        <v>4.4999999999999998E-2</v>
      </c>
      <c r="AZ109" s="2056">
        <f t="shared" si="209"/>
        <v>0.09</v>
      </c>
      <c r="BA109" s="2056">
        <f t="shared" si="209"/>
        <v>0.05</v>
      </c>
      <c r="BB109" s="2056">
        <f t="shared" si="209"/>
        <v>3.5000000000000003E-2</v>
      </c>
      <c r="BC109" s="2054">
        <f t="shared" si="209"/>
        <v>5.5E-2</v>
      </c>
      <c r="BD109" s="2054"/>
      <c r="BE109" s="2055">
        <f t="shared" si="210"/>
        <v>4.4999999999999998E-2</v>
      </c>
      <c r="BF109" s="2056">
        <f t="shared" si="210"/>
        <v>0.08</v>
      </c>
      <c r="BG109" s="2056">
        <f t="shared" si="210"/>
        <v>-0.01</v>
      </c>
      <c r="BH109" s="2056">
        <f t="shared" si="210"/>
        <v>9.5000000000000001E-2</v>
      </c>
      <c r="BI109" s="2054">
        <f t="shared" si="210"/>
        <v>5.2499999999999998E-2</v>
      </c>
      <c r="BJ109" s="2054"/>
      <c r="BK109" s="2055">
        <f t="shared" si="210"/>
        <v>0</v>
      </c>
      <c r="BL109" s="2056">
        <f t="shared" si="210"/>
        <v>0.15</v>
      </c>
      <c r="BM109" s="2056">
        <f t="shared" si="210"/>
        <v>0.06</v>
      </c>
      <c r="BN109" s="2056">
        <f t="shared" si="211"/>
        <v>9.5000000000000001E-2</v>
      </c>
      <c r="BO109" s="2054">
        <f t="shared" si="212"/>
        <v>7.6249999999999998E-2</v>
      </c>
      <c r="BP109" s="2054"/>
      <c r="BQ109" s="2055"/>
      <c r="BR109" s="2056"/>
      <c r="BS109" s="2056"/>
      <c r="BT109" s="2056"/>
      <c r="BU109" s="2054"/>
      <c r="BV109" s="2054"/>
      <c r="BW109" s="2055"/>
      <c r="BX109" s="2056"/>
      <c r="BY109" s="2056"/>
      <c r="BZ109" s="2056"/>
      <c r="CA109" s="2054"/>
      <c r="CB109" s="2054"/>
      <c r="CC109" s="2055"/>
      <c r="CD109" s="2056"/>
      <c r="CE109" s="2056"/>
      <c r="CF109" s="2056"/>
      <c r="CG109" s="2054"/>
      <c r="CH109" s="2054"/>
      <c r="CI109" s="2055"/>
      <c r="CJ109" s="2056"/>
      <c r="CK109" s="2056"/>
      <c r="CL109" s="2056"/>
      <c r="CM109" s="2054"/>
    </row>
    <row r="110" spans="1:117">
      <c r="A110" s="1096" t="s">
        <v>13</v>
      </c>
      <c r="B110" s="167"/>
      <c r="C110" s="109"/>
      <c r="D110" s="109"/>
      <c r="E110" s="109"/>
      <c r="F110" s="109"/>
      <c r="G110" s="1075"/>
      <c r="H110" s="1075"/>
      <c r="I110" s="176"/>
      <c r="J110" s="109"/>
      <c r="K110" s="109"/>
      <c r="L110" s="109"/>
      <c r="M110" s="176"/>
      <c r="N110" s="1075"/>
      <c r="O110" s="176"/>
      <c r="P110" s="109"/>
      <c r="Q110" s="109"/>
      <c r="R110" s="109"/>
      <c r="S110" s="1075"/>
      <c r="T110" s="1075"/>
      <c r="U110" s="176"/>
      <c r="V110" s="109"/>
      <c r="W110" s="109"/>
      <c r="X110" s="109"/>
      <c r="Y110" s="1075"/>
      <c r="Z110" s="1075"/>
      <c r="AA110" s="176"/>
      <c r="AB110" s="109"/>
      <c r="AC110" s="109"/>
      <c r="AD110" s="109"/>
      <c r="AE110" s="1075"/>
      <c r="AF110" s="109"/>
      <c r="AG110" s="176"/>
      <c r="AH110" s="109"/>
      <c r="AI110" s="109"/>
      <c r="AJ110" s="1077"/>
      <c r="AK110" s="1075"/>
      <c r="AL110" s="109"/>
      <c r="AM110" s="176">
        <f t="shared" si="213"/>
        <v>9.3472595919577905E-2</v>
      </c>
      <c r="AN110" s="109">
        <f t="shared" si="213"/>
        <v>0.17662574618725579</v>
      </c>
      <c r="AO110" s="109">
        <f t="shared" si="213"/>
        <v>6.5916833396420405E-2</v>
      </c>
      <c r="AP110" s="109">
        <f t="shared" si="213"/>
        <v>0.18220410080875227</v>
      </c>
      <c r="AQ110" s="1075"/>
      <c r="AR110" s="109"/>
      <c r="AS110" s="176">
        <f t="shared" si="208"/>
        <v>0.10382479530684363</v>
      </c>
      <c r="AT110" s="109">
        <f t="shared" si="208"/>
        <v>8.516879277681122E-2</v>
      </c>
      <c r="AU110" s="109">
        <f t="shared" si="208"/>
        <v>1.9440382108093512E-2</v>
      </c>
      <c r="AV110" s="109">
        <f t="shared" si="208"/>
        <v>0.27791773074302617</v>
      </c>
      <c r="AW110" s="1075">
        <f t="shared" si="208"/>
        <v>0.12158792523369363</v>
      </c>
      <c r="AX110" s="2054"/>
      <c r="AY110" s="2055">
        <f t="shared" si="209"/>
        <v>0.16619615839783269</v>
      </c>
      <c r="AZ110" s="2056">
        <f t="shared" si="209"/>
        <v>0.16315120077772227</v>
      </c>
      <c r="BA110" s="2056">
        <f t="shared" si="209"/>
        <v>0.15352354871167312</v>
      </c>
      <c r="BB110" s="2056">
        <f t="shared" si="209"/>
        <v>0.2207136299342739</v>
      </c>
      <c r="BC110" s="2054">
        <f t="shared" si="209"/>
        <v>0.1758961344553755</v>
      </c>
      <c r="BD110" s="2054"/>
      <c r="BE110" s="2055">
        <f t="shared" si="210"/>
        <v>0.30584395901056693</v>
      </c>
      <c r="BF110" s="2056">
        <f t="shared" si="210"/>
        <v>0.41460815418816688</v>
      </c>
      <c r="BG110" s="2056">
        <f t="shared" si="210"/>
        <v>0.38</v>
      </c>
      <c r="BH110" s="2056">
        <f t="shared" si="210"/>
        <v>0.28500000000000003</v>
      </c>
      <c r="BI110" s="2054">
        <f t="shared" si="210"/>
        <v>0.34636302829968346</v>
      </c>
      <c r="BJ110" s="2054"/>
      <c r="BK110" s="2055">
        <f t="shared" si="210"/>
        <v>0.32999999999999996</v>
      </c>
      <c r="BL110" s="2056">
        <f t="shared" si="210"/>
        <v>0.32</v>
      </c>
      <c r="BM110" s="2056">
        <f t="shared" si="210"/>
        <v>0.33999999999999997</v>
      </c>
      <c r="BN110" s="2056">
        <f t="shared" si="211"/>
        <v>0.30000000000000004</v>
      </c>
      <c r="BO110" s="2054">
        <f t="shared" si="212"/>
        <v>0.32250000000000001</v>
      </c>
      <c r="BP110" s="2054"/>
      <c r="BQ110" s="2055"/>
      <c r="BR110" s="2056"/>
      <c r="BS110" s="2056"/>
      <c r="BT110" s="2056"/>
      <c r="BU110" s="2054"/>
      <c r="BV110" s="2054"/>
      <c r="BW110" s="2055"/>
      <c r="BX110" s="2056"/>
      <c r="BY110" s="2056"/>
      <c r="BZ110" s="2056"/>
      <c r="CA110" s="2054"/>
      <c r="CB110" s="2054"/>
      <c r="CC110" s="2055"/>
      <c r="CD110" s="2056"/>
      <c r="CE110" s="2056"/>
      <c r="CF110" s="2056"/>
      <c r="CG110" s="2054"/>
      <c r="CH110" s="2054"/>
      <c r="CI110" s="2055"/>
      <c r="CJ110" s="2056"/>
      <c r="CK110" s="2056"/>
      <c r="CL110" s="2056"/>
      <c r="CM110" s="2054"/>
    </row>
    <row r="111" spans="1:117">
      <c r="A111" s="1096" t="s">
        <v>469</v>
      </c>
      <c r="B111" s="167"/>
      <c r="C111" s="109"/>
      <c r="D111" s="109"/>
      <c r="E111" s="109"/>
      <c r="F111" s="109"/>
      <c r="G111" s="1075"/>
      <c r="H111" s="1075"/>
      <c r="I111" s="176"/>
      <c r="J111" s="109"/>
      <c r="K111" s="109"/>
      <c r="L111" s="109"/>
      <c r="M111" s="176"/>
      <c r="N111" s="1075"/>
      <c r="O111" s="176"/>
      <c r="P111" s="109"/>
      <c r="Q111" s="109"/>
      <c r="R111" s="109"/>
      <c r="S111" s="1075"/>
      <c r="T111" s="1075"/>
      <c r="U111" s="176"/>
      <c r="V111" s="109"/>
      <c r="W111" s="109"/>
      <c r="X111" s="109"/>
      <c r="Y111" s="1075"/>
      <c r="Z111" s="1075"/>
      <c r="AA111" s="176"/>
      <c r="AB111" s="109"/>
      <c r="AC111" s="109"/>
      <c r="AD111" s="109"/>
      <c r="AE111" s="1075"/>
      <c r="AF111" s="109"/>
      <c r="AG111" s="176"/>
      <c r="AH111" s="109"/>
      <c r="AI111" s="109"/>
      <c r="AJ111" s="1077"/>
      <c r="AK111" s="1075"/>
      <c r="AL111" s="109"/>
      <c r="AM111" s="176"/>
      <c r="AN111" s="109"/>
      <c r="AO111" s="109"/>
      <c r="AP111" s="109"/>
      <c r="AQ111" s="1075"/>
      <c r="AR111" s="109"/>
      <c r="AS111" s="176">
        <f t="shared" si="208"/>
        <v>6.0000000000000005E-2</v>
      </c>
      <c r="AT111" s="109">
        <f t="shared" si="208"/>
        <v>7.0000000000000007E-2</v>
      </c>
      <c r="AU111" s="109">
        <f t="shared" si="208"/>
        <v>0.11</v>
      </c>
      <c r="AV111" s="109">
        <f t="shared" si="208"/>
        <v>0.22999999999999998</v>
      </c>
      <c r="AW111" s="1075">
        <f t="shared" si="208"/>
        <v>0.11750000000000001</v>
      </c>
      <c r="AX111" s="2054"/>
      <c r="AY111" s="2055">
        <f t="shared" si="209"/>
        <v>0.17500000000000002</v>
      </c>
      <c r="AZ111" s="2056">
        <f t="shared" si="209"/>
        <v>0.3</v>
      </c>
      <c r="BA111" s="2056">
        <f t="shared" si="209"/>
        <v>0.19</v>
      </c>
      <c r="BB111" s="2056">
        <f t="shared" si="209"/>
        <v>0.255</v>
      </c>
      <c r="BC111" s="2054">
        <f t="shared" si="209"/>
        <v>0.23000000000000004</v>
      </c>
      <c r="BD111" s="2054"/>
      <c r="BE111" s="2055">
        <f t="shared" si="210"/>
        <v>0.27500000000000002</v>
      </c>
      <c r="BF111" s="2056">
        <f t="shared" si="210"/>
        <v>0.36</v>
      </c>
      <c r="BG111" s="2056">
        <f t="shared" si="210"/>
        <v>0.32</v>
      </c>
      <c r="BH111" s="2056">
        <f t="shared" si="210"/>
        <v>0.35499999999999998</v>
      </c>
      <c r="BI111" s="2054">
        <f t="shared" si="210"/>
        <v>0.32750000000000001</v>
      </c>
      <c r="BJ111" s="2054"/>
      <c r="BK111" s="2055">
        <f t="shared" si="210"/>
        <v>0.29249999999999998</v>
      </c>
      <c r="BL111" s="2056">
        <f t="shared" si="210"/>
        <v>0.21600000000000003</v>
      </c>
      <c r="BM111" s="2056">
        <f t="shared" si="210"/>
        <v>0.26</v>
      </c>
      <c r="BN111" s="2056">
        <f t="shared" si="211"/>
        <v>0.23199999999999998</v>
      </c>
      <c r="BO111" s="2054">
        <f t="shared" si="212"/>
        <v>0.25012500000000004</v>
      </c>
      <c r="BP111" s="2054"/>
      <c r="BQ111" s="2055"/>
      <c r="BR111" s="2056"/>
      <c r="BS111" s="2056"/>
      <c r="BT111" s="2056"/>
      <c r="BU111" s="2054"/>
      <c r="BV111" s="2054"/>
      <c r="BW111" s="2055"/>
      <c r="BX111" s="2056"/>
      <c r="BY111" s="2056"/>
      <c r="BZ111" s="2056"/>
      <c r="CA111" s="2054"/>
      <c r="CB111" s="2054"/>
      <c r="CC111" s="2055"/>
      <c r="CD111" s="2056"/>
      <c r="CE111" s="2056"/>
      <c r="CF111" s="2056"/>
      <c r="CG111" s="2054"/>
      <c r="CH111" s="2054"/>
      <c r="CI111" s="2055"/>
      <c r="CJ111" s="2056"/>
      <c r="CK111" s="2056"/>
      <c r="CL111" s="2056"/>
      <c r="CM111" s="2054"/>
    </row>
    <row r="112" spans="1:117">
      <c r="A112" s="1585" t="s">
        <v>462</v>
      </c>
      <c r="B112" s="1569"/>
      <c r="C112" s="1570"/>
      <c r="D112" s="1570"/>
      <c r="E112" s="1570"/>
      <c r="F112" s="1570"/>
      <c r="G112" s="1571"/>
      <c r="H112" s="1571"/>
      <c r="I112" s="1572"/>
      <c r="J112" s="1570"/>
      <c r="K112" s="1570"/>
      <c r="L112" s="1570"/>
      <c r="M112" s="1572"/>
      <c r="N112" s="1571"/>
      <c r="O112" s="1572"/>
      <c r="P112" s="1570"/>
      <c r="Q112" s="1570"/>
      <c r="R112" s="1570"/>
      <c r="S112" s="1571"/>
      <c r="T112" s="1571"/>
      <c r="U112" s="1572"/>
      <c r="V112" s="1570"/>
      <c r="W112" s="1570"/>
      <c r="X112" s="1570"/>
      <c r="Y112" s="1571"/>
      <c r="Z112" s="1571"/>
      <c r="AA112" s="1572"/>
      <c r="AB112" s="1570"/>
      <c r="AC112" s="1570"/>
      <c r="AD112" s="1570"/>
      <c r="AE112" s="1571"/>
      <c r="AF112" s="1570"/>
      <c r="AG112" s="1572"/>
      <c r="AH112" s="1570"/>
      <c r="AI112" s="1570"/>
      <c r="AJ112" s="1573"/>
      <c r="AK112" s="1571"/>
      <c r="AL112" s="1570"/>
      <c r="AM112" s="1572"/>
      <c r="AN112" s="1570"/>
      <c r="AO112" s="1570"/>
      <c r="AP112" s="1570"/>
      <c r="AQ112" s="1571"/>
      <c r="AR112" s="1570"/>
      <c r="AS112" s="1572">
        <f t="shared" si="208"/>
        <v>0</v>
      </c>
      <c r="AT112" s="1570">
        <f t="shared" si="208"/>
        <v>0</v>
      </c>
      <c r="AU112" s="1570">
        <f t="shared" si="208"/>
        <v>0.15</v>
      </c>
      <c r="AV112" s="1570">
        <f t="shared" si="208"/>
        <v>0</v>
      </c>
      <c r="AW112" s="1571">
        <f t="shared" si="208"/>
        <v>0.1875</v>
      </c>
      <c r="AX112" s="2057"/>
      <c r="AY112" s="2058">
        <f t="shared" si="209"/>
        <v>0.12</v>
      </c>
      <c r="AZ112" s="2059">
        <f t="shared" si="209"/>
        <v>0</v>
      </c>
      <c r="BA112" s="2059">
        <f t="shared" si="209"/>
        <v>0.15</v>
      </c>
      <c r="BB112" s="2059">
        <f t="shared" si="209"/>
        <v>0</v>
      </c>
      <c r="BC112" s="2057">
        <f t="shared" si="209"/>
        <v>6.7500000000000004E-2</v>
      </c>
      <c r="BD112" s="2057"/>
      <c r="BE112" s="2058" t="str">
        <f>IFERROR(+BE105+AY105,"NA")</f>
        <v>NA</v>
      </c>
      <c r="BF112" s="2059" t="str">
        <f>IFERROR(+BF105+AZ105,"NA")</f>
        <v>NA</v>
      </c>
      <c r="BG112" s="2059" t="str">
        <f>IFERROR(+BG105+BA105,"NA")</f>
        <v>NA</v>
      </c>
      <c r="BH112" s="2059" t="str">
        <f>IFERROR(+BH105+BB105,"NA")</f>
        <v>NA</v>
      </c>
      <c r="BI112" s="2057" t="str">
        <f>IFERROR(+BI105+BC105,"NA")</f>
        <v>NA</v>
      </c>
      <c r="BJ112" s="2057"/>
      <c r="BK112" s="2058" t="str">
        <f>IFERROR(+BK105+BE105,"NA")</f>
        <v>NA</v>
      </c>
      <c r="BL112" s="2059" t="str">
        <f>IFERROR(+BL105+BF105,"NA")</f>
        <v>NA</v>
      </c>
      <c r="BM112" s="2059" t="str">
        <f>IFERROR(+BM105+BG105,"NA")</f>
        <v>NA</v>
      </c>
      <c r="BN112" s="2059" t="str">
        <f>IFERROR(+BN105+BH105,"NA")</f>
        <v>NA</v>
      </c>
      <c r="BO112" s="2057" t="str">
        <f>IFERROR(+BO105+BI105,"NA")</f>
        <v>NA</v>
      </c>
      <c r="BP112" s="2057"/>
      <c r="BQ112" s="2058"/>
      <c r="BR112" s="2059"/>
      <c r="BS112" s="2059"/>
      <c r="BT112" s="2059"/>
      <c r="BU112" s="2057"/>
      <c r="BV112" s="2057"/>
      <c r="BW112" s="2058"/>
      <c r="BX112" s="2059"/>
      <c r="BY112" s="2059"/>
      <c r="BZ112" s="2059"/>
      <c r="CA112" s="2057"/>
      <c r="CB112" s="2057"/>
      <c r="CC112" s="2058"/>
      <c r="CD112" s="2059"/>
      <c r="CE112" s="2059"/>
      <c r="CF112" s="2059"/>
      <c r="CG112" s="2057"/>
      <c r="CH112" s="2057"/>
      <c r="CI112" s="2058"/>
      <c r="CJ112" s="2059"/>
      <c r="CK112" s="2059"/>
      <c r="CL112" s="2059"/>
      <c r="CM112" s="2057"/>
    </row>
    <row r="113" spans="1:117">
      <c r="A113" s="171"/>
    </row>
    <row r="114" spans="1:117">
      <c r="A114" s="9" t="s">
        <v>108</v>
      </c>
      <c r="B114" s="10"/>
      <c r="C114" s="10"/>
      <c r="D114" s="11"/>
      <c r="E114" s="10"/>
      <c r="F114" s="10"/>
      <c r="G114" s="10"/>
      <c r="H114" s="10"/>
      <c r="I114" s="10"/>
      <c r="J114" s="11"/>
      <c r="K114" s="10"/>
      <c r="L114" s="10"/>
      <c r="M114" s="10"/>
      <c r="N114" s="10"/>
      <c r="O114" s="10"/>
      <c r="P114" s="11"/>
      <c r="Q114" s="10"/>
      <c r="R114" s="10"/>
      <c r="S114" s="10"/>
      <c r="T114" s="10"/>
      <c r="U114" s="10"/>
      <c r="V114" s="11"/>
      <c r="W114" s="10"/>
      <c r="X114" s="10"/>
      <c r="Y114" s="10"/>
      <c r="Z114" s="10"/>
      <c r="AA114" s="80"/>
      <c r="AB114" s="80"/>
      <c r="AC114" s="80"/>
      <c r="AD114" s="10"/>
      <c r="AE114" s="80"/>
      <c r="AF114" s="80"/>
      <c r="AG114" s="80"/>
      <c r="AH114" s="80"/>
      <c r="AI114" s="80"/>
      <c r="AJ114" s="1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80"/>
      <c r="BZ114" s="80"/>
      <c r="CA114" s="80"/>
      <c r="CB114" s="80"/>
      <c r="CC114" s="80"/>
      <c r="CD114" s="80"/>
      <c r="CE114" s="80"/>
      <c r="CF114" s="80"/>
      <c r="CG114" s="80"/>
      <c r="CH114" s="80"/>
      <c r="CI114" s="80"/>
      <c r="CJ114" s="80"/>
      <c r="CK114" s="80"/>
      <c r="CL114" s="80"/>
      <c r="CM114" s="80"/>
      <c r="CO114" s="24"/>
      <c r="CP114" s="24"/>
      <c r="CQ114" s="24"/>
      <c r="CR114" s="24"/>
      <c r="CS114" s="24"/>
      <c r="CT114" s="24"/>
      <c r="CU114" s="24"/>
      <c r="CV114" s="24"/>
      <c r="CW114" s="24"/>
      <c r="CX114" s="24"/>
      <c r="CY114" s="24"/>
      <c r="CZ114" s="24"/>
      <c r="DA114" s="24"/>
      <c r="DB114" s="24"/>
      <c r="DC114" s="24"/>
      <c r="DD114" s="24"/>
      <c r="DE114" s="24"/>
      <c r="DF114" s="24"/>
      <c r="DG114" s="24"/>
      <c r="DH114" s="24"/>
      <c r="DI114" s="24"/>
      <c r="DJ114" s="24"/>
      <c r="DK114" s="24"/>
      <c r="DL114" s="24"/>
      <c r="DM114" s="24"/>
    </row>
    <row r="115" spans="1:117" s="24" customFormat="1">
      <c r="A115" s="179" t="s">
        <v>107</v>
      </c>
      <c r="B115" s="136"/>
      <c r="C115" s="1043"/>
      <c r="D115" s="1043"/>
      <c r="E115" s="1043"/>
      <c r="F115" s="1044"/>
      <c r="G115" s="1044"/>
      <c r="H115" s="1042"/>
      <c r="I115" s="1043"/>
      <c r="J115" s="1043"/>
      <c r="K115" s="1043"/>
      <c r="L115" s="1044"/>
      <c r="M115" s="1044"/>
      <c r="N115" s="1042"/>
      <c r="O115" s="1043"/>
      <c r="P115" s="1043"/>
      <c r="Q115" s="1043"/>
      <c r="R115" s="1044"/>
      <c r="S115" s="1044"/>
      <c r="T115" s="1042"/>
      <c r="U115" s="1043"/>
      <c r="V115" s="1043"/>
      <c r="W115" s="1043"/>
      <c r="X115" s="1044"/>
      <c r="Y115" s="1045"/>
      <c r="Z115" s="1042"/>
      <c r="AA115" s="1046"/>
      <c r="AB115" s="1043"/>
      <c r="AC115" s="1043"/>
      <c r="AD115" s="1044"/>
      <c r="AE115" s="1044"/>
      <c r="AF115" s="1047"/>
      <c r="AG115" s="1046"/>
      <c r="AH115" s="1043"/>
      <c r="AI115" s="1043"/>
      <c r="AJ115" s="1044"/>
      <c r="AK115" s="1045"/>
      <c r="AL115" s="1047"/>
      <c r="AM115" s="1043"/>
      <c r="AN115" s="1043"/>
      <c r="AO115" s="1043"/>
      <c r="AP115" s="1044"/>
      <c r="AQ115" s="1045"/>
      <c r="AR115" s="1047"/>
      <c r="AS115" s="1043"/>
      <c r="AT115" s="1043"/>
      <c r="AU115" s="1043"/>
      <c r="AV115" s="1044"/>
      <c r="AW115" s="1045"/>
      <c r="AX115" s="1047"/>
      <c r="AY115" s="1043"/>
      <c r="AZ115" s="1043"/>
      <c r="BA115" s="1043"/>
      <c r="BB115" s="1044"/>
      <c r="BC115" s="1045"/>
      <c r="BD115" s="1047"/>
      <c r="BE115" s="1046"/>
      <c r="BF115" s="1043"/>
      <c r="BG115" s="1043"/>
      <c r="BH115" s="1841"/>
      <c r="BI115" s="1045"/>
      <c r="BJ115" s="1047"/>
      <c r="BK115" s="1046"/>
      <c r="BL115" s="1043"/>
      <c r="BM115" s="1043"/>
      <c r="BN115" s="1044"/>
      <c r="BO115" s="1045"/>
      <c r="BP115" s="1047"/>
      <c r="BQ115" s="1043"/>
      <c r="BR115" s="1043"/>
      <c r="BS115" s="1043"/>
      <c r="BT115" s="1044"/>
      <c r="BU115" s="1045"/>
      <c r="BV115" s="1047"/>
      <c r="BW115" s="1043"/>
      <c r="BX115" s="1043"/>
      <c r="BY115" s="1043"/>
      <c r="BZ115" s="1044"/>
      <c r="CA115" s="1045"/>
      <c r="CB115" s="1047"/>
      <c r="CC115" s="1043"/>
      <c r="CD115" s="1043"/>
      <c r="CE115" s="1043"/>
      <c r="CF115" s="1044"/>
      <c r="CG115" s="1045"/>
      <c r="CH115" s="1047"/>
      <c r="CI115" s="1043"/>
      <c r="CJ115" s="1043"/>
      <c r="CK115" s="1043"/>
      <c r="CL115" s="1044"/>
      <c r="CM115" s="1045"/>
    </row>
    <row r="116" spans="1:117" s="24" customFormat="1">
      <c r="A116" s="1574" t="s">
        <v>82</v>
      </c>
      <c r="B116" s="1061"/>
      <c r="C116" s="93"/>
      <c r="D116" s="93"/>
      <c r="E116" s="93"/>
      <c r="F116" s="91"/>
      <c r="G116" s="1940">
        <v>0.13</v>
      </c>
      <c r="H116" s="1941"/>
      <c r="I116" s="1942">
        <v>0.1</v>
      </c>
      <c r="J116" s="1942">
        <v>0.04</v>
      </c>
      <c r="K116" s="1942">
        <v>0.03</v>
      </c>
      <c r="L116" s="1940">
        <f>M116*4-SUM(I116:K116)</f>
        <v>-5.0000000000000017E-2</v>
      </c>
      <c r="M116" s="1940">
        <v>0.03</v>
      </c>
      <c r="N116" s="1941"/>
      <c r="O116" s="1942">
        <v>-0.11</v>
      </c>
      <c r="P116" s="1942">
        <v>-0.09</v>
      </c>
      <c r="Q116" s="1942">
        <v>-0.03</v>
      </c>
      <c r="R116" s="1940">
        <v>-0.04</v>
      </c>
      <c r="S116" s="1940">
        <v>-0.04</v>
      </c>
      <c r="T116" s="1941"/>
      <c r="U116" s="1942">
        <v>0.1</v>
      </c>
      <c r="V116" s="1942">
        <v>0.11</v>
      </c>
      <c r="W116" s="1942">
        <v>0.09</v>
      </c>
      <c r="X116" s="1940">
        <v>0.15</v>
      </c>
      <c r="Y116" s="1050">
        <f>AVERAGE(U116:X116)</f>
        <v>0.11250000000000002</v>
      </c>
      <c r="Z116" s="1049"/>
      <c r="AA116" s="1931">
        <v>0.15</v>
      </c>
      <c r="AB116" s="1942">
        <v>8.4000000000000005E-2</v>
      </c>
      <c r="AC116" s="1942">
        <v>9.2999999999999999E-2</v>
      </c>
      <c r="AD116" s="1940">
        <v>0.08</v>
      </c>
      <c r="AE116" s="91">
        <f>AVERAGE(AA116:AD116)</f>
        <v>0.10174999999999999</v>
      </c>
      <c r="AF116" s="1051"/>
      <c r="AG116" s="1931">
        <v>-0.05</v>
      </c>
      <c r="AH116" s="1942">
        <v>0.05</v>
      </c>
      <c r="AI116" s="1942">
        <v>0.06</v>
      </c>
      <c r="AJ116" s="1940">
        <v>0.05</v>
      </c>
      <c r="AK116" s="1050"/>
      <c r="AL116" s="1051"/>
      <c r="AM116" s="1942">
        <v>0.05</v>
      </c>
      <c r="AN116" s="1942">
        <v>0.05</v>
      </c>
      <c r="AO116" s="1942">
        <v>0</v>
      </c>
      <c r="AP116" s="1940">
        <v>0.03</v>
      </c>
      <c r="AQ116" s="1075">
        <f>+AVERAGE(AM116:AP116)</f>
        <v>3.2500000000000001E-2</v>
      </c>
      <c r="AR116" s="1751" t="s">
        <v>6</v>
      </c>
      <c r="AS116" s="1752">
        <v>0.02</v>
      </c>
      <c r="AT116" s="1752">
        <v>0.08</v>
      </c>
      <c r="AU116" s="1752">
        <v>0.12</v>
      </c>
      <c r="AV116" s="1753">
        <v>0.1</v>
      </c>
      <c r="AW116" s="1075">
        <f>+AVERAGE(AS116:AV116)</f>
        <v>0.08</v>
      </c>
      <c r="AX116" s="1751"/>
      <c r="AY116" s="1752">
        <f>17%-0.035</f>
        <v>0.13500000000000001</v>
      </c>
      <c r="AZ116" s="1752">
        <v>0.11</v>
      </c>
      <c r="BA116" s="1752">
        <v>0.1</v>
      </c>
      <c r="BB116" s="1753">
        <f>6%+0.035</f>
        <v>9.5000000000000001E-2</v>
      </c>
      <c r="BC116" s="1075">
        <f>+AVERAGE(AY116:BB116)</f>
        <v>0.10999999999999999</v>
      </c>
      <c r="BD116" s="1751"/>
      <c r="BE116" s="1836">
        <f>9%+0.5%</f>
        <v>9.5000000000000001E-2</v>
      </c>
      <c r="BF116" s="1752">
        <v>0.12</v>
      </c>
      <c r="BG116" s="1752">
        <v>0.13</v>
      </c>
      <c r="BH116" s="1752">
        <f>6%-1%</f>
        <v>4.9999999999999996E-2</v>
      </c>
      <c r="BI116" s="1075">
        <f>+AVERAGE(BE116:BH116)</f>
        <v>9.8749999999999991E-2</v>
      </c>
      <c r="BJ116" s="1051"/>
      <c r="BK116" s="1931">
        <f>9%+1%</f>
        <v>9.9999999999999992E-2</v>
      </c>
      <c r="BL116" s="1752">
        <v>0.04</v>
      </c>
      <c r="BM116" s="1669">
        <f>5%+1.72%</f>
        <v>6.720000000000001E-2</v>
      </c>
      <c r="BN116" s="2109">
        <v>0.08</v>
      </c>
      <c r="BO116" s="1075">
        <f>+AVERAGE(BK116:BN116)</f>
        <v>7.1800000000000003E-2</v>
      </c>
      <c r="BP116" s="1051"/>
      <c r="BQ116" s="93"/>
      <c r="BR116" s="93"/>
      <c r="BS116" s="93"/>
      <c r="BT116" s="91"/>
      <c r="BU116" s="1050"/>
      <c r="BV116" s="1051"/>
      <c r="BW116" s="93"/>
      <c r="BX116" s="93"/>
      <c r="BY116" s="93"/>
      <c r="BZ116" s="91"/>
      <c r="CA116" s="1050"/>
      <c r="CB116" s="1051"/>
      <c r="CC116" s="93"/>
      <c r="CD116" s="93"/>
      <c r="CE116" s="93"/>
      <c r="CF116" s="91"/>
      <c r="CG116" s="1050"/>
      <c r="CH116" s="1051"/>
      <c r="CI116" s="93"/>
      <c r="CJ116" s="93"/>
      <c r="CK116" s="93"/>
      <c r="CL116" s="91"/>
      <c r="CM116" s="1050"/>
    </row>
    <row r="117" spans="1:117" s="24" customFormat="1">
      <c r="A117" s="1574" t="s">
        <v>109</v>
      </c>
      <c r="B117" s="1061"/>
      <c r="C117" s="93"/>
      <c r="D117" s="93"/>
      <c r="E117" s="93"/>
      <c r="F117" s="91"/>
      <c r="G117" s="1940">
        <v>0.16</v>
      </c>
      <c r="H117" s="1941"/>
      <c r="I117" s="1942">
        <v>0.18</v>
      </c>
      <c r="J117" s="1942">
        <v>0.28000000000000003</v>
      </c>
      <c r="K117" s="1942">
        <v>0.15</v>
      </c>
      <c r="L117" s="1940">
        <f>M117*4-SUM(I117:K117)</f>
        <v>-8.9999999999999969E-2</v>
      </c>
      <c r="M117" s="1940">
        <v>0.13</v>
      </c>
      <c r="N117" s="1941"/>
      <c r="O117" s="1942">
        <v>-0.17</v>
      </c>
      <c r="P117" s="1942">
        <v>-0.15</v>
      </c>
      <c r="Q117" s="1942">
        <v>-0.05</v>
      </c>
      <c r="R117" s="1940">
        <v>-0.01</v>
      </c>
      <c r="S117" s="1940">
        <v>-0.11</v>
      </c>
      <c r="T117" s="1941"/>
      <c r="U117" s="1942">
        <v>0.09</v>
      </c>
      <c r="V117" s="1942">
        <v>0.12</v>
      </c>
      <c r="W117" s="1942">
        <v>0.18</v>
      </c>
      <c r="X117" s="1940">
        <v>0.17</v>
      </c>
      <c r="Y117" s="1050">
        <f>AVERAGE(U117:X117)</f>
        <v>0.14000000000000001</v>
      </c>
      <c r="Z117" s="1049"/>
      <c r="AA117" s="1931">
        <v>0.21</v>
      </c>
      <c r="AB117" s="1942">
        <v>0.23</v>
      </c>
      <c r="AC117" s="1942">
        <v>0.11</v>
      </c>
      <c r="AD117" s="1940">
        <f>AC124-X117</f>
        <v>0.11999999999999997</v>
      </c>
      <c r="AE117" s="91">
        <f>AVERAGE(AA117:AD117)</f>
        <v>0.16750000000000001</v>
      </c>
      <c r="AF117" s="1051"/>
      <c r="AG117" s="1931">
        <v>0.08</v>
      </c>
      <c r="AH117" s="1942">
        <v>0.01</v>
      </c>
      <c r="AI117" s="1942">
        <v>0.01</v>
      </c>
      <c r="AJ117" s="1940">
        <v>-0.01</v>
      </c>
      <c r="AK117" s="91">
        <f>AVERAGE(AG117:AJ117)</f>
        <v>2.2499999999999999E-2</v>
      </c>
      <c r="AL117" s="1051"/>
      <c r="AM117" s="1942">
        <v>0.04</v>
      </c>
      <c r="AN117" s="1942">
        <v>0.05</v>
      </c>
      <c r="AO117" s="1942">
        <v>0.1</v>
      </c>
      <c r="AP117" s="1940">
        <v>0.2</v>
      </c>
      <c r="AQ117" s="1075">
        <f>+AVERAGE(AM117:AP117)</f>
        <v>9.7500000000000003E-2</v>
      </c>
      <c r="AR117" s="1751"/>
      <c r="AS117" s="1752">
        <v>-0.02</v>
      </c>
      <c r="AT117" s="1752">
        <v>0.05</v>
      </c>
      <c r="AU117" s="1752">
        <v>-0.05</v>
      </c>
      <c r="AV117" s="1753">
        <v>-0.03</v>
      </c>
      <c r="AW117" s="1075">
        <f>+AVERAGE(AS117:AV117)</f>
        <v>-1.2500000000000001E-2</v>
      </c>
      <c r="AX117" s="1751"/>
      <c r="AY117" s="1752">
        <f>10%-0.035</f>
        <v>6.5000000000000002E-2</v>
      </c>
      <c r="AZ117" s="1752">
        <v>0.09</v>
      </c>
      <c r="BA117" s="1752">
        <v>0.15</v>
      </c>
      <c r="BB117" s="1753">
        <f>3%+0.035</f>
        <v>6.5000000000000002E-2</v>
      </c>
      <c r="BC117" s="1075">
        <f>+AVERAGE(AY117:BB117)</f>
        <v>9.2499999999999999E-2</v>
      </c>
      <c r="BD117" s="1751"/>
      <c r="BE117" s="1836">
        <f>0+0.5%</f>
        <v>5.0000000000000001E-3</v>
      </c>
      <c r="BF117" s="1752">
        <v>7.0000000000000007E-2</v>
      </c>
      <c r="BG117" s="1752">
        <v>0.01</v>
      </c>
      <c r="BH117" s="1752">
        <f>14%-1%</f>
        <v>0.13</v>
      </c>
      <c r="BI117" s="1075">
        <f>+AVERAGE(BE117:BH117)</f>
        <v>5.3750000000000006E-2</v>
      </c>
      <c r="BJ117" s="1051"/>
      <c r="BK117" s="1931">
        <f>9%+1%</f>
        <v>9.9999999999999992E-2</v>
      </c>
      <c r="BL117" s="1752">
        <v>7.0000000000000007E-2</v>
      </c>
      <c r="BM117" s="1669">
        <v>0.05</v>
      </c>
      <c r="BN117" s="2109">
        <f>0+1.67%</f>
        <v>1.67E-2</v>
      </c>
      <c r="BO117" s="1075">
        <f>+AVERAGE(BK117:BN117)</f>
        <v>5.9174999999999991E-2</v>
      </c>
      <c r="BP117" s="1051"/>
      <c r="BQ117" s="93"/>
      <c r="BR117" s="93"/>
      <c r="BS117" s="93"/>
      <c r="BT117" s="91"/>
      <c r="BU117" s="1050"/>
      <c r="BV117" s="1051"/>
      <c r="BW117" s="93"/>
      <c r="BX117" s="93"/>
      <c r="BY117" s="93"/>
      <c r="BZ117" s="91"/>
      <c r="CA117" s="1050"/>
      <c r="CB117" s="1051"/>
      <c r="CC117" s="93"/>
      <c r="CD117" s="93"/>
      <c r="CE117" s="93"/>
      <c r="CF117" s="91"/>
      <c r="CG117" s="1050"/>
      <c r="CH117" s="1051"/>
      <c r="CI117" s="93"/>
      <c r="CJ117" s="93"/>
      <c r="CK117" s="93"/>
      <c r="CL117" s="91"/>
      <c r="CM117" s="1050"/>
    </row>
    <row r="118" spans="1:117" s="24" customFormat="1">
      <c r="A118" s="1575" t="s">
        <v>106</v>
      </c>
      <c r="B118" s="873"/>
      <c r="C118" s="92"/>
      <c r="D118" s="92"/>
      <c r="E118" s="92"/>
      <c r="F118" s="1058"/>
      <c r="G118" s="1943">
        <v>0.24</v>
      </c>
      <c r="H118" s="1944"/>
      <c r="I118" s="1945">
        <v>0.06</v>
      </c>
      <c r="J118" s="1945">
        <v>0.21</v>
      </c>
      <c r="K118" s="1945">
        <v>0.28000000000000003</v>
      </c>
      <c r="L118" s="1943">
        <f>M118*4-SUM(I118:K118)</f>
        <v>-0.15000000000000002</v>
      </c>
      <c r="M118" s="1943">
        <v>0.1</v>
      </c>
      <c r="N118" s="1944"/>
      <c r="O118" s="1945">
        <v>0.13</v>
      </c>
      <c r="P118" s="1945">
        <v>0.04</v>
      </c>
      <c r="Q118" s="1945">
        <v>0.01</v>
      </c>
      <c r="R118" s="1943">
        <v>0</v>
      </c>
      <c r="S118" s="1943">
        <v>0.05</v>
      </c>
      <c r="T118" s="1944"/>
      <c r="U118" s="1945">
        <v>0.11</v>
      </c>
      <c r="V118" s="1945">
        <v>0.04</v>
      </c>
      <c r="W118" s="1945">
        <v>-0.03</v>
      </c>
      <c r="X118" s="1943">
        <v>0.05</v>
      </c>
      <c r="Y118" s="1059">
        <f>AVERAGE(U118:X118)</f>
        <v>4.2499999999999996E-2</v>
      </c>
      <c r="Z118" s="873"/>
      <c r="AA118" s="1932">
        <v>3.5000000000000003E-2</v>
      </c>
      <c r="AB118" s="1945">
        <v>0.02</v>
      </c>
      <c r="AC118" s="1945">
        <v>0.06</v>
      </c>
      <c r="AD118" s="1943">
        <v>0.03</v>
      </c>
      <c r="AE118" s="1058">
        <f>AVERAGE(AA118:AD118)</f>
        <v>3.6250000000000004E-2</v>
      </c>
      <c r="AF118" s="833"/>
      <c r="AG118" s="1932">
        <v>-0.05</v>
      </c>
      <c r="AH118" s="1945">
        <v>0.02</v>
      </c>
      <c r="AI118" s="1945">
        <v>0.02</v>
      </c>
      <c r="AJ118" s="1943">
        <v>0.05</v>
      </c>
      <c r="AK118" s="1571">
        <f>+AVERAGE(AG118:AJ118)</f>
        <v>0.01</v>
      </c>
      <c r="AL118" s="833"/>
      <c r="AM118" s="1945">
        <v>0.08</v>
      </c>
      <c r="AN118" s="1945">
        <v>0</v>
      </c>
      <c r="AO118" s="1945">
        <v>0.03</v>
      </c>
      <c r="AP118" s="1943">
        <v>0.12</v>
      </c>
      <c r="AQ118" s="1571">
        <f>+AVERAGE(AM118:AP118)</f>
        <v>5.7499999999999996E-2</v>
      </c>
      <c r="AR118" s="1754" t="s">
        <v>6</v>
      </c>
      <c r="AS118" s="1755">
        <v>-0.02</v>
      </c>
      <c r="AT118" s="1755">
        <v>-0.01</v>
      </c>
      <c r="AU118" s="1755">
        <v>0.03</v>
      </c>
      <c r="AV118" s="1756">
        <v>0.05</v>
      </c>
      <c r="AW118" s="1571">
        <f>+AVERAGE(AS118:AV118)</f>
        <v>1.2500000000000001E-2</v>
      </c>
      <c r="AX118" s="1754"/>
      <c r="AY118" s="1755">
        <f>5%-0.035</f>
        <v>1.4999999999999999E-2</v>
      </c>
      <c r="AZ118" s="1757">
        <v>-0.01</v>
      </c>
      <c r="BA118" s="1755">
        <v>0</v>
      </c>
      <c r="BB118" s="1756">
        <f>-4%+0.035</f>
        <v>-4.9999999999999975E-3</v>
      </c>
      <c r="BC118" s="1571">
        <f>+AVERAGE(AY118:BB118)</f>
        <v>0</v>
      </c>
      <c r="BD118" s="1754"/>
      <c r="BE118" s="1837">
        <f>-0.001+0.5%</f>
        <v>4.0000000000000001E-3</v>
      </c>
      <c r="BF118" s="1755">
        <v>-0.04</v>
      </c>
      <c r="BG118" s="1755">
        <v>-0.15</v>
      </c>
      <c r="BH118" s="1755">
        <f>6%-1%</f>
        <v>4.9999999999999996E-2</v>
      </c>
      <c r="BI118" s="1571">
        <f>+AVERAGE(BE118:BH118)</f>
        <v>-3.4000000000000002E-2</v>
      </c>
      <c r="BJ118" s="833"/>
      <c r="BK118" s="1932">
        <f>-11%+1%</f>
        <v>-0.1</v>
      </c>
      <c r="BL118" s="1755">
        <v>0.05</v>
      </c>
      <c r="BM118" s="2039">
        <v>0.13</v>
      </c>
      <c r="BN118" s="2104">
        <v>0.13</v>
      </c>
      <c r="BO118" s="1571">
        <f>+AVERAGE(BK118:BN118)</f>
        <v>5.2500000000000005E-2</v>
      </c>
      <c r="BP118" s="833"/>
      <c r="BQ118" s="92"/>
      <c r="BR118" s="92"/>
      <c r="BS118" s="92"/>
      <c r="BT118" s="1058"/>
      <c r="BU118" s="1059"/>
      <c r="BV118" s="833"/>
      <c r="BW118" s="92"/>
      <c r="BX118" s="92"/>
      <c r="BY118" s="92"/>
      <c r="BZ118" s="1058"/>
      <c r="CA118" s="1059"/>
      <c r="CB118" s="833"/>
      <c r="CC118" s="92"/>
      <c r="CD118" s="92"/>
      <c r="CE118" s="92"/>
      <c r="CF118" s="1058"/>
      <c r="CG118" s="1059"/>
      <c r="CH118" s="833"/>
      <c r="CI118" s="92"/>
      <c r="CJ118" s="92"/>
      <c r="CK118" s="92"/>
      <c r="CL118" s="1058"/>
      <c r="CM118" s="1059"/>
    </row>
    <row r="119" spans="1:117" s="24" customFormat="1">
      <c r="A119" s="1586" t="s">
        <v>261</v>
      </c>
      <c r="B119" s="1061"/>
      <c r="C119" s="93"/>
      <c r="D119" s="93"/>
      <c r="E119" s="93"/>
      <c r="F119" s="91"/>
      <c r="G119" s="1940">
        <v>0.03</v>
      </c>
      <c r="H119" s="1946"/>
      <c r="I119" s="1942">
        <v>0.06</v>
      </c>
      <c r="J119" s="1942">
        <v>0.06</v>
      </c>
      <c r="K119" s="1942">
        <v>0.03</v>
      </c>
      <c r="L119" s="1940">
        <v>0.04</v>
      </c>
      <c r="M119" s="1940">
        <v>0.02</v>
      </c>
      <c r="N119" s="1946"/>
      <c r="O119" s="1942">
        <v>-0.05</v>
      </c>
      <c r="P119" s="1942">
        <v>-0.05</v>
      </c>
      <c r="Q119" s="1942"/>
      <c r="R119" s="1942"/>
      <c r="S119" s="1947">
        <v>-0.02</v>
      </c>
      <c r="T119" s="1946"/>
      <c r="U119" s="1942"/>
      <c r="V119" s="1942"/>
      <c r="W119" s="1942"/>
      <c r="X119" s="1940"/>
      <c r="Y119" s="91"/>
      <c r="Z119" s="1061"/>
      <c r="AA119" s="342"/>
      <c r="AB119" s="342"/>
      <c r="AC119" s="342"/>
      <c r="AD119" s="544"/>
      <c r="AE119" s="1050"/>
      <c r="AF119" s="828"/>
      <c r="AG119" s="93"/>
      <c r="AH119" s="93"/>
      <c r="AI119" s="93"/>
      <c r="AJ119" s="93"/>
      <c r="AK119" s="1050"/>
      <c r="AL119" s="828"/>
      <c r="AM119" s="93"/>
      <c r="AN119" s="93"/>
      <c r="AO119" s="93"/>
      <c r="AP119" s="93"/>
      <c r="AQ119" s="1050"/>
      <c r="AR119" s="828" t="s">
        <v>6</v>
      </c>
      <c r="AS119" s="93"/>
      <c r="AT119" s="93"/>
      <c r="AU119" s="93"/>
      <c r="AV119" s="93"/>
      <c r="AW119" s="495"/>
      <c r="AX119" s="828"/>
      <c r="AY119" s="93"/>
      <c r="AZ119" s="93"/>
      <c r="BA119" s="93"/>
      <c r="BB119" s="93"/>
      <c r="BC119" s="93"/>
      <c r="BD119" s="828"/>
      <c r="BE119" s="93"/>
      <c r="BF119" s="93"/>
      <c r="BG119" s="93"/>
      <c r="BH119" s="93"/>
      <c r="BI119" s="93"/>
      <c r="BJ119" s="828"/>
      <c r="BK119" s="93"/>
      <c r="BL119" s="93"/>
      <c r="BM119" s="495"/>
      <c r="BN119" s="1496"/>
      <c r="BO119" s="93"/>
      <c r="BP119" s="828"/>
      <c r="BQ119" s="93"/>
      <c r="BR119" s="93"/>
      <c r="BS119" s="93"/>
      <c r="BT119" s="93"/>
      <c r="BU119" s="93"/>
      <c r="BV119" s="828"/>
      <c r="BW119" s="93"/>
      <c r="BX119" s="93"/>
      <c r="BY119" s="93"/>
      <c r="BZ119" s="93"/>
      <c r="CA119" s="93"/>
      <c r="CB119" s="828"/>
      <c r="CC119" s="93"/>
      <c r="CD119" s="93"/>
      <c r="CE119" s="93"/>
      <c r="CF119" s="93"/>
      <c r="CG119" s="93"/>
      <c r="CH119" s="828"/>
      <c r="CI119" s="93"/>
      <c r="CJ119" s="93"/>
      <c r="CK119" s="93"/>
      <c r="CL119" s="93"/>
      <c r="CM119" s="93"/>
    </row>
    <row r="120" spans="1:117" s="24" customFormat="1">
      <c r="A120" s="183" t="s">
        <v>131</v>
      </c>
      <c r="B120" s="1061"/>
      <c r="C120" s="93"/>
      <c r="D120" s="93"/>
      <c r="E120" s="93"/>
      <c r="F120" s="91"/>
      <c r="G120" s="91"/>
      <c r="H120" s="1049"/>
      <c r="I120" s="93"/>
      <c r="J120" s="93"/>
      <c r="K120" s="93"/>
      <c r="L120" s="91"/>
      <c r="M120" s="91"/>
      <c r="N120" s="93"/>
      <c r="O120" s="93"/>
      <c r="P120" s="93"/>
      <c r="Q120" s="93"/>
      <c r="R120" s="93"/>
      <c r="S120" s="1050"/>
      <c r="T120" s="1049"/>
      <c r="U120" s="93"/>
      <c r="V120" s="93"/>
      <c r="W120" s="93"/>
      <c r="X120" s="91"/>
      <c r="Y120" s="91"/>
      <c r="Z120" s="1049"/>
      <c r="AA120" s="93"/>
      <c r="AB120" s="93"/>
      <c r="AC120" s="93"/>
      <c r="AD120" s="93"/>
      <c r="AE120" s="1050"/>
      <c r="AF120" s="828"/>
      <c r="AG120" s="495"/>
      <c r="AH120" s="495"/>
      <c r="AI120" s="495"/>
      <c r="AJ120" s="495"/>
      <c r="AK120" s="1050"/>
      <c r="AL120" s="828"/>
      <c r="AM120" s="93"/>
      <c r="AN120" s="93"/>
      <c r="AO120" s="93"/>
      <c r="AP120" s="93"/>
      <c r="AQ120" s="1050"/>
      <c r="AR120" s="828"/>
      <c r="AS120" s="93"/>
      <c r="AT120" s="93"/>
      <c r="AU120" s="93"/>
      <c r="AV120" s="93"/>
      <c r="AW120" s="93"/>
      <c r="AX120" s="828"/>
      <c r="AY120" s="93"/>
      <c r="AZ120" s="93"/>
      <c r="BA120" s="93"/>
      <c r="BB120" s="93"/>
      <c r="BC120" s="93"/>
      <c r="BD120" s="828"/>
      <c r="BE120" s="93"/>
      <c r="BF120" s="93"/>
      <c r="BG120" s="93"/>
      <c r="BH120" s="93"/>
      <c r="BI120" s="93"/>
      <c r="BJ120" s="828"/>
      <c r="BK120" s="93"/>
      <c r="BL120" s="93"/>
      <c r="BN120" s="1496"/>
      <c r="BO120" s="93"/>
      <c r="BP120" s="828"/>
      <c r="BQ120" s="93"/>
      <c r="BR120" s="93"/>
      <c r="BS120" s="93"/>
      <c r="BT120" s="93"/>
      <c r="BU120" s="93"/>
      <c r="BV120" s="828"/>
      <c r="BW120" s="93"/>
      <c r="BX120" s="93"/>
      <c r="BY120" s="93"/>
      <c r="BZ120" s="93"/>
      <c r="CA120" s="93"/>
      <c r="CB120" s="828"/>
      <c r="CC120" s="93"/>
      <c r="CD120" s="93"/>
      <c r="CE120" s="93"/>
      <c r="CF120" s="93"/>
      <c r="CG120" s="93"/>
      <c r="CH120" s="828"/>
      <c r="CI120" s="93"/>
      <c r="CJ120" s="93"/>
      <c r="CK120" s="93"/>
      <c r="CL120" s="93"/>
      <c r="CM120" s="93"/>
    </row>
    <row r="121" spans="1:117" s="24" customFormat="1">
      <c r="A121" s="1587" t="s">
        <v>116</v>
      </c>
      <c r="B121" s="1061"/>
      <c r="C121" s="93"/>
      <c r="D121" s="93"/>
      <c r="E121" s="93"/>
      <c r="F121" s="91"/>
      <c r="G121" s="91"/>
      <c r="H121" s="1049"/>
      <c r="I121" s="93"/>
      <c r="J121" s="93"/>
      <c r="K121" s="93"/>
      <c r="L121" s="91"/>
      <c r="M121" s="91"/>
      <c r="N121" s="1049"/>
      <c r="O121" s="93"/>
      <c r="P121" s="342"/>
      <c r="Q121" s="93"/>
      <c r="R121" s="93"/>
      <c r="S121" s="1062"/>
      <c r="T121" s="342"/>
      <c r="U121" s="342"/>
      <c r="V121" s="342"/>
      <c r="W121" s="342"/>
      <c r="X121" s="1063"/>
      <c r="Y121" s="1062"/>
      <c r="Z121" s="1049"/>
      <c r="AA121" s="342"/>
      <c r="AB121" s="342"/>
      <c r="AC121" s="342"/>
      <c r="AD121" s="342"/>
      <c r="AE121" s="1062"/>
      <c r="AF121" s="828"/>
      <c r="AG121" s="104"/>
      <c r="AH121" s="104"/>
      <c r="AI121" s="104"/>
      <c r="AJ121" s="104"/>
      <c r="AK121" s="1062"/>
      <c r="AL121" s="828"/>
      <c r="AM121" s="93"/>
      <c r="AN121" s="93"/>
      <c r="AO121" s="93"/>
      <c r="AP121" s="93"/>
      <c r="AQ121" s="1062"/>
      <c r="AR121" s="828"/>
      <c r="AS121" s="93"/>
      <c r="AT121" s="93"/>
      <c r="AU121" s="93"/>
      <c r="AV121" s="93"/>
      <c r="AW121" s="93"/>
      <c r="AX121" s="828"/>
      <c r="AY121" s="93"/>
      <c r="AZ121" s="93"/>
      <c r="BA121" s="93"/>
      <c r="BB121" s="93"/>
      <c r="BC121" s="93"/>
      <c r="BD121" s="828"/>
      <c r="BE121" s="93"/>
      <c r="BF121" s="93"/>
      <c r="BG121" s="93"/>
      <c r="BH121" s="93"/>
      <c r="BI121" s="93"/>
      <c r="BJ121" s="828"/>
      <c r="BK121" s="93"/>
      <c r="BL121" s="93"/>
      <c r="BM121" s="93"/>
      <c r="BN121" s="1496"/>
      <c r="BO121" s="93"/>
      <c r="BP121" s="828"/>
      <c r="BQ121" s="93"/>
      <c r="BR121" s="93"/>
      <c r="BS121" s="93"/>
      <c r="BT121" s="93"/>
      <c r="BU121" s="93"/>
      <c r="BV121" s="828"/>
      <c r="BW121" s="93"/>
      <c r="BX121" s="93"/>
      <c r="BY121" s="93"/>
      <c r="BZ121" s="93"/>
      <c r="CA121" s="93"/>
      <c r="CB121" s="828"/>
      <c r="CC121" s="93"/>
      <c r="CD121" s="93"/>
      <c r="CE121" s="93"/>
      <c r="CF121" s="93"/>
      <c r="CG121" s="93"/>
      <c r="CH121" s="828"/>
      <c r="CI121" s="93"/>
      <c r="CJ121" s="93"/>
      <c r="CK121" s="93"/>
      <c r="CL121" s="93"/>
      <c r="CM121" s="93"/>
    </row>
    <row r="122" spans="1:117" s="24" customFormat="1">
      <c r="A122" s="9" t="s">
        <v>494</v>
      </c>
      <c r="B122" s="10"/>
      <c r="C122" s="10"/>
      <c r="D122" s="11"/>
      <c r="E122" s="10"/>
      <c r="F122" s="10"/>
      <c r="G122" s="10"/>
      <c r="H122" s="10"/>
      <c r="I122" s="10"/>
      <c r="J122" s="11"/>
      <c r="K122" s="10"/>
      <c r="L122" s="10"/>
      <c r="M122" s="10"/>
      <c r="N122" s="10"/>
      <c r="O122" s="10"/>
      <c r="P122" s="11"/>
      <c r="Q122" s="10"/>
      <c r="R122" s="10"/>
      <c r="S122" s="10"/>
      <c r="T122" s="10"/>
      <c r="U122" s="10"/>
      <c r="V122" s="11"/>
      <c r="W122" s="10"/>
      <c r="X122" s="10"/>
      <c r="Y122" s="10"/>
      <c r="Z122" s="10"/>
      <c r="AA122" s="80"/>
      <c r="AB122" s="80"/>
      <c r="AC122" s="80"/>
      <c r="AD122" s="10"/>
      <c r="AE122" s="80"/>
      <c r="AF122" s="80"/>
      <c r="AG122" s="80"/>
      <c r="AH122" s="80"/>
      <c r="AI122" s="80"/>
      <c r="AJ122" s="1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80"/>
      <c r="BZ122" s="80"/>
      <c r="CA122" s="80"/>
      <c r="CB122" s="80"/>
      <c r="CC122" s="80"/>
      <c r="CD122" s="80"/>
      <c r="CE122" s="80"/>
      <c r="CF122" s="80"/>
      <c r="CG122" s="80"/>
      <c r="CH122" s="80"/>
      <c r="CI122" s="80"/>
      <c r="CJ122" s="80"/>
      <c r="CK122" s="80"/>
      <c r="CL122" s="80"/>
      <c r="CM122" s="80"/>
    </row>
    <row r="123" spans="1:117" s="24" customFormat="1">
      <c r="A123" s="183" t="str">
        <f>A116</f>
        <v>Pharma</v>
      </c>
      <c r="B123" s="1061"/>
      <c r="C123" s="93"/>
      <c r="D123" s="93"/>
      <c r="E123" s="93"/>
      <c r="F123" s="91"/>
      <c r="G123" s="91"/>
      <c r="H123" s="1049"/>
      <c r="I123" s="93"/>
      <c r="J123" s="93"/>
      <c r="K123" s="93"/>
      <c r="L123" s="91"/>
      <c r="M123" s="91"/>
      <c r="N123" s="1049"/>
      <c r="O123" s="93"/>
      <c r="P123" s="93"/>
      <c r="Q123" s="93"/>
      <c r="R123" s="91"/>
      <c r="S123" s="91"/>
      <c r="T123" s="1049"/>
      <c r="U123" s="93"/>
      <c r="V123" s="93"/>
      <c r="W123" s="93"/>
      <c r="X123" s="91"/>
      <c r="Y123" s="91"/>
      <c r="Z123" s="1049"/>
      <c r="AA123" s="93">
        <f t="shared" ref="AA123:AE125" si="214">AA116+U116</f>
        <v>0.25</v>
      </c>
      <c r="AB123" s="93">
        <f t="shared" si="214"/>
        <v>0.19400000000000001</v>
      </c>
      <c r="AC123" s="93">
        <f t="shared" si="214"/>
        <v>0.183</v>
      </c>
      <c r="AD123" s="93">
        <f t="shared" si="214"/>
        <v>0.22999999999999998</v>
      </c>
      <c r="AE123" s="1050">
        <f t="shared" si="214"/>
        <v>0.21425</v>
      </c>
      <c r="AF123" s="828"/>
      <c r="AG123" s="93" t="s">
        <v>549</v>
      </c>
      <c r="AH123" s="93" t="s">
        <v>549</v>
      </c>
      <c r="AI123" s="93" t="s">
        <v>549</v>
      </c>
      <c r="AJ123" s="93" t="s">
        <v>549</v>
      </c>
      <c r="AK123" s="1050"/>
      <c r="AL123" s="828"/>
      <c r="AM123" s="93"/>
      <c r="AN123" s="93"/>
      <c r="AO123" s="93"/>
      <c r="AP123" s="93"/>
      <c r="AQ123" s="1050"/>
      <c r="AR123" s="828"/>
      <c r="AS123" s="93">
        <f t="shared" ref="AS123:AV125" si="215">+AS116+AM116</f>
        <v>7.0000000000000007E-2</v>
      </c>
      <c r="AT123" s="93">
        <f t="shared" si="215"/>
        <v>0.13</v>
      </c>
      <c r="AU123" s="93">
        <f t="shared" si="215"/>
        <v>0.12</v>
      </c>
      <c r="AV123" s="93">
        <f t="shared" si="215"/>
        <v>0.13</v>
      </c>
      <c r="AW123" s="1075">
        <f>+AW116+AQ116</f>
        <v>0.1125</v>
      </c>
      <c r="AX123" s="828"/>
      <c r="AY123" s="93">
        <f t="shared" ref="AY123:BB125" si="216">+AY116+AS116</f>
        <v>0.155</v>
      </c>
      <c r="AZ123" s="93">
        <f t="shared" si="216"/>
        <v>0.19</v>
      </c>
      <c r="BA123" s="93">
        <f t="shared" si="216"/>
        <v>0.22</v>
      </c>
      <c r="BB123" s="93">
        <f t="shared" si="216"/>
        <v>0.19500000000000001</v>
      </c>
      <c r="BC123" s="1075">
        <f>+BC116+AW116</f>
        <v>0.19</v>
      </c>
      <c r="BD123" s="828"/>
      <c r="BE123" s="486">
        <f t="shared" ref="BE123:BH124" si="217">+BE116+AY116</f>
        <v>0.23</v>
      </c>
      <c r="BF123" s="93">
        <f t="shared" si="217"/>
        <v>0.22999999999999998</v>
      </c>
      <c r="BG123" s="93">
        <f t="shared" si="217"/>
        <v>0.23</v>
      </c>
      <c r="BH123" s="93">
        <f t="shared" si="217"/>
        <v>0.14499999999999999</v>
      </c>
      <c r="BI123" s="1075">
        <f>+BI116+BC116</f>
        <v>0.20874999999999999</v>
      </c>
      <c r="BJ123" s="828"/>
      <c r="BK123" s="486">
        <f t="shared" ref="BK123:BM124" si="218">+BK116+BE116</f>
        <v>0.19500000000000001</v>
      </c>
      <c r="BL123" s="93">
        <f t="shared" si="218"/>
        <v>0.16</v>
      </c>
      <c r="BM123" s="93">
        <f t="shared" si="218"/>
        <v>0.19720000000000001</v>
      </c>
      <c r="BN123" s="93">
        <f t="shared" ref="BN123:BN124" si="219">+BN116+BH116</f>
        <v>0.13</v>
      </c>
      <c r="BO123" s="1075">
        <f>+BO116+BI116</f>
        <v>0.17054999999999998</v>
      </c>
      <c r="BP123" s="828"/>
      <c r="BQ123" s="93"/>
      <c r="BR123" s="93"/>
      <c r="BS123" s="93"/>
      <c r="BT123" s="93"/>
      <c r="BU123" s="1050"/>
      <c r="BV123" s="828"/>
      <c r="BW123" s="93"/>
      <c r="BX123" s="93"/>
      <c r="BY123" s="93"/>
      <c r="BZ123" s="93"/>
      <c r="CA123" s="1050"/>
      <c r="CB123" s="828"/>
      <c r="CC123" s="93"/>
      <c r="CD123" s="93"/>
      <c r="CE123" s="93"/>
      <c r="CF123" s="93"/>
      <c r="CG123" s="1050"/>
      <c r="CH123" s="828"/>
      <c r="CI123" s="93"/>
      <c r="CJ123" s="93"/>
      <c r="CK123" s="93"/>
      <c r="CL123" s="93"/>
      <c r="CM123" s="1050"/>
    </row>
    <row r="124" spans="1:117" s="24" customFormat="1">
      <c r="A124" s="183" t="s">
        <v>109</v>
      </c>
      <c r="B124" s="1061"/>
      <c r="C124" s="93"/>
      <c r="D124" s="93"/>
      <c r="E124" s="93"/>
      <c r="F124" s="91"/>
      <c r="G124" s="91"/>
      <c r="H124" s="1049"/>
      <c r="I124" s="93"/>
      <c r="J124" s="93"/>
      <c r="K124" s="93"/>
      <c r="L124" s="91"/>
      <c r="M124" s="91"/>
      <c r="N124" s="1049"/>
      <c r="O124" s="93"/>
      <c r="P124" s="93"/>
      <c r="Q124" s="93"/>
      <c r="R124" s="91"/>
      <c r="S124" s="91"/>
      <c r="T124" s="1049"/>
      <c r="U124" s="93"/>
      <c r="V124" s="93"/>
      <c r="W124" s="93"/>
      <c r="X124" s="91"/>
      <c r="Y124" s="91"/>
      <c r="Z124" s="1049"/>
      <c r="AA124" s="93">
        <f t="shared" si="214"/>
        <v>0.3</v>
      </c>
      <c r="AB124" s="93">
        <f t="shared" si="214"/>
        <v>0.35</v>
      </c>
      <c r="AC124" s="93">
        <f t="shared" si="214"/>
        <v>0.28999999999999998</v>
      </c>
      <c r="AD124" s="93">
        <f t="shared" si="214"/>
        <v>0.28999999999999998</v>
      </c>
      <c r="AE124" s="1050">
        <f t="shared" si="214"/>
        <v>0.3075</v>
      </c>
      <c r="AF124" s="828"/>
      <c r="AG124" s="93">
        <f t="shared" ref="AG124:AJ125" si="220">AG117+AA117</f>
        <v>0.28999999999999998</v>
      </c>
      <c r="AH124" s="93">
        <f t="shared" si="220"/>
        <v>0.24000000000000002</v>
      </c>
      <c r="AI124" s="93">
        <f t="shared" si="220"/>
        <v>0.12</v>
      </c>
      <c r="AJ124" s="93">
        <f t="shared" si="220"/>
        <v>0.10999999999999997</v>
      </c>
      <c r="AK124" s="1050"/>
      <c r="AL124" s="828"/>
      <c r="AM124" s="93"/>
      <c r="AN124" s="93"/>
      <c r="AO124" s="93"/>
      <c r="AP124" s="93"/>
      <c r="AQ124" s="1050"/>
      <c r="AR124" s="828"/>
      <c r="AS124" s="93">
        <f t="shared" si="215"/>
        <v>0.02</v>
      </c>
      <c r="AT124" s="93">
        <f t="shared" si="215"/>
        <v>0.1</v>
      </c>
      <c r="AU124" s="93">
        <f t="shared" si="215"/>
        <v>0.05</v>
      </c>
      <c r="AV124" s="93">
        <f t="shared" si="215"/>
        <v>0.17</v>
      </c>
      <c r="AW124" s="1075">
        <f>+AW117+AQ117</f>
        <v>8.5000000000000006E-2</v>
      </c>
      <c r="AX124" s="828"/>
      <c r="AY124" s="93">
        <f t="shared" si="216"/>
        <v>4.4999999999999998E-2</v>
      </c>
      <c r="AZ124" s="93">
        <f t="shared" si="216"/>
        <v>0.14000000000000001</v>
      </c>
      <c r="BA124" s="93">
        <f t="shared" si="216"/>
        <v>9.9999999999999992E-2</v>
      </c>
      <c r="BB124" s="93">
        <f t="shared" si="216"/>
        <v>3.5000000000000003E-2</v>
      </c>
      <c r="BC124" s="1075">
        <f>+BC117+AW117</f>
        <v>0.08</v>
      </c>
      <c r="BD124" s="828"/>
      <c r="BE124" s="486">
        <f t="shared" si="217"/>
        <v>7.0000000000000007E-2</v>
      </c>
      <c r="BF124" s="93">
        <f t="shared" si="217"/>
        <v>0.16</v>
      </c>
      <c r="BG124" s="93">
        <f t="shared" si="217"/>
        <v>0.16</v>
      </c>
      <c r="BH124" s="93">
        <f t="shared" si="217"/>
        <v>0.19500000000000001</v>
      </c>
      <c r="BI124" s="1075">
        <f>+BI117+BC117</f>
        <v>0.14624999999999999</v>
      </c>
      <c r="BJ124" s="828"/>
      <c r="BK124" s="486">
        <f t="shared" si="218"/>
        <v>0.105</v>
      </c>
      <c r="BL124" s="93">
        <f t="shared" si="218"/>
        <v>0.14000000000000001</v>
      </c>
      <c r="BM124" s="93">
        <f t="shared" si="218"/>
        <v>6.0000000000000005E-2</v>
      </c>
      <c r="BN124" s="93">
        <f t="shared" si="219"/>
        <v>0.1467</v>
      </c>
      <c r="BO124" s="1075">
        <f>+BO117+BI117</f>
        <v>0.112925</v>
      </c>
      <c r="BP124" s="828"/>
      <c r="BQ124" s="93"/>
      <c r="BR124" s="93"/>
      <c r="BS124" s="93"/>
      <c r="BT124" s="93"/>
      <c r="BU124" s="1050"/>
      <c r="BV124" s="828"/>
      <c r="BW124" s="93"/>
      <c r="BX124" s="93"/>
      <c r="BY124" s="93"/>
      <c r="BZ124" s="93"/>
      <c r="CA124" s="1050"/>
      <c r="CB124" s="828"/>
      <c r="CC124" s="93"/>
      <c r="CD124" s="93"/>
      <c r="CE124" s="93"/>
      <c r="CF124" s="93"/>
      <c r="CG124" s="1050"/>
      <c r="CH124" s="828"/>
      <c r="CI124" s="93"/>
      <c r="CJ124" s="93"/>
      <c r="CK124" s="93"/>
      <c r="CL124" s="93"/>
      <c r="CM124" s="1050"/>
    </row>
    <row r="125" spans="1:117" s="24" customFormat="1">
      <c r="A125" s="1419" t="str">
        <f>A118</f>
        <v>Gov/Academic (WW)</v>
      </c>
      <c r="B125" s="873"/>
      <c r="C125" s="92"/>
      <c r="D125" s="92"/>
      <c r="E125" s="92"/>
      <c r="F125" s="1058"/>
      <c r="G125" s="1058"/>
      <c r="H125" s="873"/>
      <c r="I125" s="92"/>
      <c r="J125" s="92"/>
      <c r="K125" s="92"/>
      <c r="L125" s="1058"/>
      <c r="M125" s="1058"/>
      <c r="N125" s="873"/>
      <c r="O125" s="92"/>
      <c r="P125" s="92"/>
      <c r="Q125" s="92"/>
      <c r="R125" s="1058"/>
      <c r="S125" s="1058"/>
      <c r="T125" s="873"/>
      <c r="U125" s="92"/>
      <c r="V125" s="92"/>
      <c r="W125" s="92"/>
      <c r="X125" s="1058"/>
      <c r="Y125" s="1058"/>
      <c r="Z125" s="873"/>
      <c r="AA125" s="92">
        <f t="shared" si="214"/>
        <v>0.14500000000000002</v>
      </c>
      <c r="AB125" s="92">
        <f t="shared" si="214"/>
        <v>0.06</v>
      </c>
      <c r="AC125" s="92">
        <f t="shared" si="214"/>
        <v>0.03</v>
      </c>
      <c r="AD125" s="92">
        <f t="shared" si="214"/>
        <v>0.08</v>
      </c>
      <c r="AE125" s="1059">
        <f t="shared" si="214"/>
        <v>7.8750000000000001E-2</v>
      </c>
      <c r="AF125" s="996"/>
      <c r="AG125" s="92">
        <f t="shared" si="220"/>
        <v>-1.4999999999999999E-2</v>
      </c>
      <c r="AH125" s="92">
        <f t="shared" si="220"/>
        <v>0.04</v>
      </c>
      <c r="AI125" s="92">
        <f t="shared" si="220"/>
        <v>0.08</v>
      </c>
      <c r="AJ125" s="1058">
        <f t="shared" si="220"/>
        <v>0.08</v>
      </c>
      <c r="AK125" s="1059"/>
      <c r="AL125" s="833"/>
      <c r="AM125" s="92"/>
      <c r="AN125" s="92"/>
      <c r="AO125" s="92"/>
      <c r="AP125" s="92"/>
      <c r="AQ125" s="1059"/>
      <c r="AR125" s="833"/>
      <c r="AS125" s="92">
        <f t="shared" si="215"/>
        <v>0.06</v>
      </c>
      <c r="AT125" s="92">
        <f t="shared" si="215"/>
        <v>-0.01</v>
      </c>
      <c r="AU125" s="92">
        <f t="shared" si="215"/>
        <v>0.06</v>
      </c>
      <c r="AV125" s="92">
        <f t="shared" si="215"/>
        <v>0.16999999999999998</v>
      </c>
      <c r="AW125" s="1571">
        <f>+AW118+AQ118</f>
        <v>6.9999999999999993E-2</v>
      </c>
      <c r="AX125" s="833"/>
      <c r="AY125" s="92">
        <f t="shared" si="216"/>
        <v>-5.000000000000001E-3</v>
      </c>
      <c r="AZ125" s="1589">
        <f>IFERROR(+AZ118+AT118,"NM")</f>
        <v>-0.02</v>
      </c>
      <c r="BA125" s="1589">
        <f>IFERROR(+BA118+AU118,"NM")</f>
        <v>0.03</v>
      </c>
      <c r="BB125" s="92">
        <f t="shared" si="216"/>
        <v>4.5000000000000005E-2</v>
      </c>
      <c r="BC125" s="1571">
        <f>+BC118+AW118</f>
        <v>1.2500000000000001E-2</v>
      </c>
      <c r="BD125" s="833"/>
      <c r="BE125" s="1568">
        <f>+BE118+AY118</f>
        <v>1.9E-2</v>
      </c>
      <c r="BF125" s="1589">
        <f>IFERROR(+BF118+AZ118,"NM")</f>
        <v>-0.05</v>
      </c>
      <c r="BG125" s="1589">
        <f>IFERROR(+BG118+BA118,"NM")</f>
        <v>-0.15</v>
      </c>
      <c r="BH125" s="1589">
        <f>IFERROR(+BH118+BB118,"NM")</f>
        <v>4.4999999999999998E-2</v>
      </c>
      <c r="BI125" s="1571">
        <f>+BI118+BC118</f>
        <v>-3.4000000000000002E-2</v>
      </c>
      <c r="BJ125" s="833"/>
      <c r="BK125" s="1568">
        <f>+BK118+BE118</f>
        <v>-9.6000000000000002E-2</v>
      </c>
      <c r="BL125" s="92">
        <f>+BL118+BF118</f>
        <v>1.0000000000000002E-2</v>
      </c>
      <c r="BM125" s="92">
        <f>+BM118+BG118</f>
        <v>-1.999999999999999E-2</v>
      </c>
      <c r="BN125" s="1589">
        <f>IFERROR(+BN118+BH118,"NM")</f>
        <v>0.18</v>
      </c>
      <c r="BO125" s="1571">
        <f>+BO118+BI118</f>
        <v>1.8500000000000003E-2</v>
      </c>
      <c r="BP125" s="833"/>
      <c r="BQ125" s="92"/>
      <c r="BR125" s="92"/>
      <c r="BS125" s="92"/>
      <c r="BT125" s="92"/>
      <c r="BU125" s="1059"/>
      <c r="BV125" s="833"/>
      <c r="BW125" s="92"/>
      <c r="BX125" s="92"/>
      <c r="BY125" s="92"/>
      <c r="BZ125" s="92"/>
      <c r="CA125" s="1059"/>
      <c r="CB125" s="833"/>
      <c r="CC125" s="92"/>
      <c r="CD125" s="92"/>
      <c r="CE125" s="92"/>
      <c r="CF125" s="92"/>
      <c r="CG125" s="1059"/>
      <c r="CH125" s="833"/>
      <c r="CI125" s="92"/>
      <c r="CJ125" s="92"/>
      <c r="CK125" s="92"/>
      <c r="CL125" s="92"/>
      <c r="CM125" s="1059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</row>
  </sheetData>
  <phoneticPr fontId="7" type="noConversion"/>
  <pageMargins left="0" right="0" top="0" bottom="0" header="0" footer="0"/>
  <pageSetup scale="85" orientation="landscape" r:id="rId1"/>
  <headerFooter alignWithMargins="0"/>
  <ignoredErrors>
    <ignoredError sqref="AQ21:AQ2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CY194"/>
  <sheetViews>
    <sheetView zoomScaleNormal="100" workbookViewId="0">
      <pane xSplit="1" ySplit="8" topLeftCell="AK9" activePane="bottomRight" state="frozen"/>
      <selection activeCell="Y9" sqref="Y9"/>
      <selection pane="topRight" activeCell="Y9" sqref="Y9"/>
      <selection pane="bottomLeft" activeCell="Y9" sqref="Y9"/>
      <selection pane="bottomRight"/>
    </sheetView>
  </sheetViews>
  <sheetFormatPr defaultRowHeight="12.75" outlineLevelRow="1" outlineLevelCol="1"/>
  <cols>
    <col min="1" max="1" width="30.140625" customWidth="1"/>
    <col min="2" max="2" width="0.85546875" hidden="1" customWidth="1" outlineLevel="1"/>
    <col min="3" max="6" width="1.7109375" hidden="1" customWidth="1" outlineLevel="1"/>
    <col min="7" max="7" width="7.28515625" hidden="1" customWidth="1" outlineLevel="1"/>
    <col min="8" max="8" width="0.85546875" hidden="1" customWidth="1" outlineLevel="1"/>
    <col min="9" max="12" width="7.28515625" hidden="1" customWidth="1" outlineLevel="1"/>
    <col min="13" max="13" width="7.28515625" hidden="1" customWidth="1" outlineLevel="1" collapsed="1"/>
    <col min="14" max="14" width="0.85546875" hidden="1" customWidth="1" outlineLevel="1"/>
    <col min="15" max="19" width="7.28515625" hidden="1" customWidth="1" outlineLevel="1"/>
    <col min="20" max="20" width="0.85546875" hidden="1" customWidth="1" outlineLevel="1"/>
    <col min="21" max="24" width="7.28515625" hidden="1" customWidth="1" outlineLevel="1"/>
    <col min="25" max="25" width="7.28515625" hidden="1" customWidth="1" outlineLevel="1" collapsed="1"/>
    <col min="26" max="26" width="0.85546875" hidden="1" customWidth="1" outlineLevel="1"/>
    <col min="27" max="30" width="7.28515625" hidden="1" customWidth="1" outlineLevel="1"/>
    <col min="31" max="31" width="7.28515625" hidden="1" customWidth="1" outlineLevel="1" collapsed="1"/>
    <col min="32" max="32" width="0.85546875" hidden="1" customWidth="1" outlineLevel="1"/>
    <col min="33" max="36" width="7.28515625" hidden="1" customWidth="1" outlineLevel="1"/>
    <col min="37" max="37" width="7.28515625" customWidth="1" collapsed="1"/>
    <col min="38" max="38" width="0.85546875" customWidth="1"/>
    <col min="39" max="42" width="7.28515625" hidden="1" customWidth="1" outlineLevel="1"/>
    <col min="43" max="43" width="7.28515625" customWidth="1" collapsed="1"/>
    <col min="44" max="44" width="0.85546875" customWidth="1"/>
    <col min="45" max="48" width="7.28515625" hidden="1" customWidth="1" outlineLevel="1"/>
    <col min="49" max="49" width="7.28515625" customWidth="1" collapsed="1"/>
    <col min="50" max="50" width="0.85546875" customWidth="1"/>
    <col min="51" max="54" width="7.28515625" hidden="1" customWidth="1" outlineLevel="1"/>
    <col min="55" max="55" width="7.28515625" customWidth="1" collapsed="1"/>
    <col min="56" max="56" width="0.85546875" customWidth="1"/>
    <col min="57" max="60" width="7.28515625" hidden="1" customWidth="1" outlineLevel="1"/>
    <col min="61" max="61" width="7.28515625" customWidth="1" collapsed="1"/>
    <col min="62" max="62" width="0.85546875" customWidth="1"/>
    <col min="63" max="66" width="7.28515625" hidden="1" customWidth="1" outlineLevel="1"/>
    <col min="67" max="67" width="7.28515625" customWidth="1" collapsed="1"/>
    <col min="68" max="68" width="0.85546875" customWidth="1"/>
    <col min="69" max="72" width="7.28515625" customWidth="1" outlineLevel="1"/>
    <col min="73" max="73" width="7.28515625" customWidth="1"/>
    <col min="74" max="74" width="0.85546875" style="24" customWidth="1"/>
    <col min="75" max="78" width="7.28515625" customWidth="1" outlineLevel="1"/>
    <col min="79" max="79" width="7.28515625" customWidth="1"/>
    <col min="80" max="80" width="0.85546875" style="24" customWidth="1"/>
    <col min="81" max="84" width="7.28515625" hidden="1" customWidth="1" outlineLevel="1"/>
    <col min="85" max="85" width="7.28515625" customWidth="1" collapsed="1"/>
    <col min="86" max="86" width="0.85546875" style="24" customWidth="1"/>
    <col min="87" max="90" width="7.28515625" hidden="1" customWidth="1" outlineLevel="1"/>
    <col min="91" max="91" width="7.28515625" customWidth="1" collapsed="1"/>
    <col min="92" max="93" width="9.140625" style="24" customWidth="1"/>
    <col min="94" max="94" width="28.28515625" hidden="1" customWidth="1" outlineLevel="1"/>
    <col min="95" max="99" width="9.140625" hidden="1" customWidth="1" outlineLevel="1"/>
    <col min="100" max="100" width="9.140625" customWidth="1" collapsed="1"/>
    <col min="101" max="101" width="11.85546875" bestFit="1" customWidth="1"/>
    <col min="102" max="102" width="11.140625" customWidth="1"/>
    <col min="103" max="103" width="14.7109375" bestFit="1" customWidth="1"/>
  </cols>
  <sheetData>
    <row r="1" spans="1:100" s="24" customFormat="1" ht="12.75" customHeight="1">
      <c r="A1" s="549"/>
      <c r="B1" s="549"/>
      <c r="C1" s="549"/>
      <c r="D1" s="549"/>
      <c r="E1" s="549"/>
      <c r="F1" s="552"/>
      <c r="G1" s="552"/>
      <c r="H1" s="552"/>
      <c r="I1" s="552"/>
      <c r="J1" s="552"/>
      <c r="K1" s="552"/>
      <c r="L1" s="552"/>
      <c r="M1" s="550"/>
      <c r="N1" s="552"/>
      <c r="O1" s="552"/>
      <c r="P1" s="552"/>
      <c r="Q1" s="552"/>
      <c r="R1" s="552"/>
      <c r="S1" s="550"/>
      <c r="T1" s="552"/>
      <c r="U1" s="552"/>
      <c r="V1" s="552"/>
      <c r="W1" s="552"/>
      <c r="X1" s="552"/>
      <c r="Y1" s="552"/>
      <c r="Z1" s="552"/>
      <c r="AA1" s="552"/>
      <c r="AB1" s="552"/>
      <c r="AC1" s="552"/>
      <c r="AD1" s="552"/>
      <c r="AE1" s="552"/>
      <c r="AF1" s="552"/>
      <c r="AG1" s="552"/>
      <c r="AH1" s="552"/>
      <c r="AI1" s="552"/>
      <c r="AJ1" s="552"/>
      <c r="AK1" s="552"/>
      <c r="AL1" s="552"/>
      <c r="AM1" s="552"/>
      <c r="AN1" s="552"/>
      <c r="AO1" s="552"/>
      <c r="AP1" s="552"/>
      <c r="AQ1" s="552"/>
      <c r="AR1" s="552"/>
      <c r="AS1" s="552"/>
      <c r="AT1" s="552"/>
      <c r="AU1" s="552"/>
      <c r="AV1" s="552"/>
      <c r="AW1" s="552"/>
      <c r="AX1" s="552"/>
      <c r="AY1" s="552"/>
      <c r="AZ1" s="552"/>
      <c r="BA1" s="552"/>
      <c r="BB1" s="552"/>
      <c r="BC1" s="552"/>
      <c r="BD1" s="552"/>
      <c r="BE1" s="552"/>
      <c r="BF1" s="552"/>
      <c r="BG1" s="552"/>
      <c r="BH1" s="552"/>
      <c r="BI1" s="552"/>
      <c r="BJ1" s="552"/>
      <c r="BK1" s="552"/>
      <c r="BL1" s="552"/>
      <c r="BM1" s="552"/>
      <c r="BN1" s="552"/>
      <c r="BO1" s="552"/>
      <c r="BP1" s="552"/>
      <c r="BQ1" s="552"/>
      <c r="BR1" s="552"/>
      <c r="BS1" s="552"/>
      <c r="BT1" s="552"/>
      <c r="BU1" s="552"/>
      <c r="BV1" s="97"/>
      <c r="BW1" s="552"/>
      <c r="BX1" s="552"/>
      <c r="BY1" s="552"/>
      <c r="BZ1" s="552"/>
      <c r="CA1" s="552"/>
      <c r="CB1" s="97"/>
      <c r="CC1" s="552"/>
      <c r="CD1" s="552"/>
      <c r="CE1" s="552"/>
      <c r="CF1" s="552"/>
      <c r="CG1" s="552"/>
      <c r="CH1" s="97"/>
      <c r="CI1" s="552"/>
      <c r="CJ1" s="552"/>
      <c r="CK1" s="552"/>
      <c r="CL1" s="552"/>
      <c r="CM1" s="552"/>
      <c r="CN1" s="97"/>
      <c r="CO1" s="97"/>
      <c r="CP1"/>
      <c r="CQ1"/>
      <c r="CR1"/>
      <c r="CS1"/>
      <c r="CT1"/>
      <c r="CU1"/>
      <c r="CV1" s="97"/>
    </row>
    <row r="2" spans="1:100" s="24" customFormat="1" ht="12.75" customHeight="1">
      <c r="A2" s="345" t="s">
        <v>166</v>
      </c>
      <c r="B2" s="345"/>
      <c r="C2" s="345"/>
      <c r="D2" s="345"/>
      <c r="E2" s="345"/>
      <c r="F2" s="645"/>
      <c r="G2" s="645"/>
      <c r="H2" s="645"/>
      <c r="I2" s="645"/>
      <c r="J2" s="645"/>
      <c r="K2" s="645"/>
      <c r="L2" s="645"/>
      <c r="M2" s="553"/>
      <c r="N2" s="645"/>
      <c r="O2" s="645"/>
      <c r="P2" s="645"/>
      <c r="Q2" s="645"/>
      <c r="R2" s="645"/>
      <c r="S2" s="553"/>
      <c r="T2" s="645"/>
      <c r="U2" s="645"/>
      <c r="V2" s="645"/>
      <c r="W2" s="645"/>
      <c r="X2" s="645"/>
      <c r="Y2" s="553"/>
      <c r="Z2" s="645"/>
      <c r="AA2" s="645"/>
      <c r="AB2" s="645"/>
      <c r="AC2" s="645"/>
      <c r="AD2" s="645"/>
      <c r="AE2" s="553"/>
      <c r="AF2" s="645"/>
      <c r="AG2" s="645"/>
      <c r="AH2" s="645"/>
      <c r="AI2" s="645"/>
      <c r="AJ2" s="645"/>
      <c r="AK2" s="553"/>
      <c r="AL2" s="645"/>
      <c r="AM2" s="645"/>
      <c r="AN2" s="645"/>
      <c r="AO2" s="645"/>
      <c r="AP2" s="645"/>
      <c r="AQ2" s="553"/>
      <c r="AR2" s="645"/>
      <c r="AS2" s="645"/>
      <c r="AT2" s="645"/>
      <c r="AU2" s="645"/>
      <c r="AV2" s="645"/>
      <c r="AW2" s="553"/>
      <c r="AX2" s="645"/>
      <c r="AY2" s="645"/>
      <c r="AZ2" s="645"/>
      <c r="BA2" s="645"/>
      <c r="BB2" s="645"/>
      <c r="BC2" s="553"/>
      <c r="BD2" s="645"/>
      <c r="BE2" s="645"/>
      <c r="BF2" s="645"/>
      <c r="BG2" s="645"/>
      <c r="BH2" s="645"/>
      <c r="BI2" s="553"/>
      <c r="BJ2" s="645"/>
      <c r="BK2" s="645"/>
      <c r="BL2" s="645"/>
      <c r="BM2" s="645"/>
      <c r="BN2" s="645"/>
      <c r="BO2" s="553"/>
      <c r="BP2" s="645"/>
      <c r="BQ2" s="645"/>
      <c r="BR2" s="645"/>
      <c r="BS2" s="645"/>
      <c r="BT2" s="645"/>
      <c r="BU2" s="2060"/>
      <c r="BV2" s="97"/>
      <c r="BW2" s="645"/>
      <c r="BX2" s="645"/>
      <c r="BY2" s="645"/>
      <c r="BZ2" s="645"/>
      <c r="CA2" s="553"/>
      <c r="CB2" s="97"/>
      <c r="CC2" s="645"/>
      <c r="CD2" s="645"/>
      <c r="CE2" s="645"/>
      <c r="CF2" s="645"/>
      <c r="CG2" s="553"/>
      <c r="CH2" s="97"/>
      <c r="CI2" s="645"/>
      <c r="CJ2" s="645"/>
      <c r="CK2" s="645"/>
      <c r="CL2" s="645"/>
      <c r="CM2" s="553"/>
      <c r="CN2" s="97"/>
      <c r="CO2" s="97"/>
      <c r="CP2"/>
      <c r="CQ2"/>
      <c r="CR2"/>
      <c r="CS2"/>
      <c r="CT2"/>
      <c r="CU2"/>
      <c r="CV2" s="97"/>
    </row>
    <row r="3" spans="1:100" s="24" customFormat="1" ht="12.75" customHeight="1">
      <c r="A3" s="322" t="s">
        <v>145</v>
      </c>
      <c r="B3" s="322"/>
      <c r="C3" s="322"/>
      <c r="D3" s="322"/>
      <c r="E3" s="322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3"/>
      <c r="T3" s="553"/>
      <c r="U3" s="553"/>
      <c r="V3" s="553"/>
      <c r="W3" s="553"/>
      <c r="X3" s="553"/>
      <c r="Y3" s="553"/>
      <c r="Z3" s="553"/>
      <c r="AA3" s="553"/>
      <c r="AB3" s="553"/>
      <c r="AC3" s="553"/>
      <c r="AD3" s="553"/>
      <c r="AE3" s="553"/>
      <c r="AF3" s="553"/>
      <c r="AG3" s="553"/>
      <c r="AH3" s="553"/>
      <c r="AI3" s="553"/>
      <c r="AJ3" s="553"/>
      <c r="AK3" s="553"/>
      <c r="AL3" s="553"/>
      <c r="AM3" s="553"/>
      <c r="AN3" s="553"/>
      <c r="AO3" s="553"/>
      <c r="AP3" s="553"/>
      <c r="AQ3" s="553"/>
      <c r="AR3" s="553"/>
      <c r="AS3" s="553"/>
      <c r="AT3" s="553"/>
      <c r="AU3" s="553"/>
      <c r="AV3" s="553"/>
      <c r="AW3" s="553"/>
      <c r="AX3" s="553"/>
      <c r="AY3" s="553"/>
      <c r="AZ3" s="553"/>
      <c r="BA3" s="553"/>
      <c r="BB3" s="553"/>
      <c r="BC3" s="553"/>
      <c r="BD3" s="553"/>
      <c r="BE3" s="553"/>
      <c r="BF3" s="553"/>
      <c r="BG3" s="553"/>
      <c r="BH3" s="553"/>
      <c r="BI3" s="553"/>
      <c r="BJ3" s="553"/>
      <c r="BK3" s="553"/>
      <c r="BL3" s="553"/>
      <c r="BM3" s="553"/>
      <c r="BN3" s="553"/>
      <c r="BO3" s="553"/>
      <c r="BP3" s="553"/>
      <c r="BQ3" s="553"/>
      <c r="BR3" s="553"/>
      <c r="BS3" s="553"/>
      <c r="BT3" s="553"/>
      <c r="BU3" s="553"/>
      <c r="BV3" s="97"/>
      <c r="BW3" s="553"/>
      <c r="BX3" s="553"/>
      <c r="BY3" s="553"/>
      <c r="BZ3" s="553"/>
      <c r="CA3" s="553"/>
      <c r="CB3" s="97"/>
      <c r="CC3" s="553"/>
      <c r="CD3" s="553"/>
      <c r="CE3" s="553"/>
      <c r="CF3" s="553"/>
      <c r="CG3" s="553"/>
      <c r="CH3" s="97"/>
      <c r="CI3" s="553"/>
      <c r="CJ3" s="553"/>
      <c r="CK3" s="553"/>
      <c r="CL3" s="553"/>
      <c r="CM3" s="553"/>
      <c r="CN3" s="97"/>
      <c r="CO3" s="97"/>
      <c r="CP3"/>
      <c r="CQ3"/>
      <c r="CR3"/>
      <c r="CS3"/>
      <c r="CT3"/>
      <c r="CU3"/>
      <c r="CV3" s="97"/>
    </row>
    <row r="4" spans="1:100" s="24" customFormat="1" ht="12.75" customHeight="1">
      <c r="A4" s="359" t="s">
        <v>167</v>
      </c>
      <c r="B4" s="646"/>
      <c r="C4" s="646"/>
      <c r="D4" s="646"/>
      <c r="E4" s="646"/>
      <c r="F4" s="553"/>
      <c r="G4" s="555"/>
      <c r="H4" s="555"/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A4" s="555"/>
      <c r="AB4" s="555"/>
      <c r="AC4" s="555"/>
      <c r="AD4" s="555"/>
      <c r="AE4" s="555"/>
      <c r="AF4" s="555"/>
      <c r="AG4" s="555"/>
      <c r="AH4" s="555"/>
      <c r="AI4" s="555"/>
      <c r="AJ4" s="555"/>
      <c r="AK4" s="555"/>
      <c r="AL4" s="555"/>
      <c r="AM4" s="555"/>
      <c r="AN4" s="555"/>
      <c r="AO4" s="555"/>
      <c r="AP4" s="555"/>
      <c r="AQ4" s="555"/>
      <c r="AR4" s="555"/>
      <c r="AS4" s="555"/>
      <c r="AT4" s="555"/>
      <c r="AU4" s="555"/>
      <c r="AV4" s="555"/>
      <c r="AW4" s="555"/>
      <c r="AX4" s="555"/>
      <c r="AY4" s="555"/>
      <c r="AZ4" s="555"/>
      <c r="BA4" s="555"/>
      <c r="BB4" s="555"/>
      <c r="BC4" s="555"/>
      <c r="BD4" s="555"/>
      <c r="BE4" s="555"/>
      <c r="BF4" s="555"/>
      <c r="BG4" s="555"/>
      <c r="BH4" s="555"/>
      <c r="BI4" s="555"/>
      <c r="BJ4" s="555"/>
      <c r="BK4" s="555"/>
      <c r="BL4" s="555"/>
      <c r="BM4" s="555"/>
      <c r="BN4" s="555"/>
      <c r="BO4" s="555"/>
      <c r="BP4" s="555"/>
      <c r="BQ4" s="555"/>
      <c r="BR4" s="555"/>
      <c r="BS4" s="555"/>
      <c r="BT4" s="555"/>
      <c r="BU4" s="555"/>
      <c r="BV4" s="97"/>
      <c r="BW4" s="555"/>
      <c r="BX4" s="555"/>
      <c r="BY4" s="555"/>
      <c r="BZ4" s="555"/>
      <c r="CA4" s="555"/>
      <c r="CB4" s="97"/>
      <c r="CC4" s="555"/>
      <c r="CD4" s="555"/>
      <c r="CE4" s="555"/>
      <c r="CF4" s="555"/>
      <c r="CG4" s="555"/>
      <c r="CH4" s="97"/>
      <c r="CI4" s="555"/>
      <c r="CJ4" s="555"/>
      <c r="CK4" s="555"/>
      <c r="CL4" s="555"/>
      <c r="CM4" s="555"/>
      <c r="CN4" s="97"/>
      <c r="CO4" s="97"/>
      <c r="CP4"/>
      <c r="CQ4"/>
      <c r="CR4"/>
      <c r="CS4"/>
      <c r="CT4"/>
      <c r="CU4"/>
      <c r="CV4" s="97"/>
    </row>
    <row r="5" spans="1:100" s="24" customFormat="1" ht="12.75" customHeight="1">
      <c r="A5" s="371" t="s">
        <v>305</v>
      </c>
      <c r="B5" s="371"/>
      <c r="C5" s="371"/>
      <c r="D5" s="371"/>
      <c r="E5" s="371"/>
      <c r="F5" s="371"/>
      <c r="G5" s="1502"/>
      <c r="H5" s="1502"/>
      <c r="I5" s="1502"/>
      <c r="J5" s="1502"/>
      <c r="K5" s="1502"/>
      <c r="L5" s="1502"/>
      <c r="M5" s="1503"/>
      <c r="N5" s="1502"/>
      <c r="O5" s="1502"/>
      <c r="P5" s="1502"/>
      <c r="Q5" s="1502"/>
      <c r="R5" s="1502"/>
      <c r="S5" s="1502"/>
      <c r="T5" s="1502"/>
      <c r="U5" s="1502"/>
      <c r="V5" s="1502"/>
      <c r="W5" s="1502"/>
      <c r="X5" s="1502"/>
      <c r="Y5" s="1502"/>
      <c r="Z5" s="1502"/>
      <c r="AA5" s="1502"/>
      <c r="AB5" s="1502"/>
      <c r="AC5" s="1502"/>
      <c r="AD5" s="1502"/>
      <c r="AE5" s="1502"/>
      <c r="AF5" s="647"/>
      <c r="AG5" s="647"/>
      <c r="AH5" s="647"/>
      <c r="AI5" s="647"/>
      <c r="AJ5" s="647"/>
      <c r="AK5" s="647"/>
      <c r="AL5" s="647"/>
      <c r="AM5" s="647"/>
      <c r="AN5" s="647"/>
      <c r="AO5" s="647"/>
      <c r="AP5" s="647"/>
      <c r="AQ5" s="647"/>
      <c r="AR5" s="647"/>
      <c r="AS5" s="647"/>
      <c r="AT5" s="647"/>
      <c r="AU5" s="647"/>
      <c r="AV5" s="647"/>
      <c r="AW5" s="647"/>
      <c r="AX5" s="647"/>
      <c r="AY5" s="647"/>
      <c r="AZ5" s="647"/>
      <c r="BA5" s="647"/>
      <c r="BB5" s="647"/>
      <c r="BC5" s="647"/>
      <c r="BD5" s="647"/>
      <c r="BE5" s="647"/>
      <c r="BF5" s="647"/>
      <c r="BG5" s="647"/>
      <c r="BH5" s="647"/>
      <c r="BI5" s="647"/>
      <c r="BJ5" s="647"/>
      <c r="BK5" s="647"/>
      <c r="BL5" s="647"/>
      <c r="BM5" s="647"/>
      <c r="BN5" s="647"/>
      <c r="BO5" s="647"/>
      <c r="BP5" s="647"/>
      <c r="BQ5" s="647"/>
      <c r="BR5" s="647"/>
      <c r="BS5" s="647"/>
      <c r="BT5" s="647"/>
      <c r="BU5" s="647"/>
      <c r="BV5" s="97"/>
      <c r="BW5" s="647"/>
      <c r="BX5" s="647"/>
      <c r="BY5" s="647"/>
      <c r="BZ5" s="647"/>
      <c r="CA5" s="647"/>
      <c r="CB5" s="97"/>
      <c r="CC5" s="647"/>
      <c r="CD5" s="647"/>
      <c r="CE5" s="647"/>
      <c r="CF5" s="647"/>
      <c r="CG5" s="647"/>
      <c r="CH5" s="97"/>
      <c r="CI5" s="647"/>
      <c r="CJ5" s="647"/>
      <c r="CK5" s="647"/>
      <c r="CL5" s="647"/>
      <c r="CM5" s="647"/>
      <c r="CN5" s="97"/>
      <c r="CO5" s="97"/>
      <c r="CP5"/>
      <c r="CQ5"/>
      <c r="CR5"/>
      <c r="CS5"/>
      <c r="CT5"/>
      <c r="CU5"/>
      <c r="CV5" s="97"/>
    </row>
    <row r="6" spans="1:100" ht="12.75" hidden="1" customHeight="1" outlineLevel="1">
      <c r="BV6"/>
      <c r="CB6"/>
      <c r="CH6"/>
      <c r="CN6"/>
      <c r="CO6"/>
    </row>
    <row r="7" spans="1:100" ht="12.75" customHeight="1" collapsed="1">
      <c r="A7" s="1507"/>
      <c r="B7" s="124"/>
      <c r="C7" s="124"/>
      <c r="D7" s="124"/>
      <c r="E7" s="124"/>
      <c r="F7" s="649"/>
      <c r="G7" s="135">
        <v>2007</v>
      </c>
      <c r="H7" s="136"/>
      <c r="I7" s="133">
        <f>G7+1</f>
        <v>2008</v>
      </c>
      <c r="J7" s="134"/>
      <c r="K7" s="134"/>
      <c r="L7" s="134"/>
      <c r="M7" s="135">
        <f>G7+1</f>
        <v>2008</v>
      </c>
      <c r="N7" s="137"/>
      <c r="O7" s="133">
        <f>I7+1</f>
        <v>2009</v>
      </c>
      <c r="P7" s="134"/>
      <c r="Q7" s="134"/>
      <c r="R7" s="134"/>
      <c r="S7" s="135">
        <f>M7+1</f>
        <v>2009</v>
      </c>
      <c r="T7" s="137"/>
      <c r="U7" s="133">
        <f>O7+1</f>
        <v>2010</v>
      </c>
      <c r="V7" s="134"/>
      <c r="W7" s="134"/>
      <c r="X7" s="134"/>
      <c r="Y7" s="135">
        <f>S7+1</f>
        <v>2010</v>
      </c>
      <c r="Z7" s="137"/>
      <c r="AA7" s="133">
        <f>U7+1</f>
        <v>2011</v>
      </c>
      <c r="AB7" s="134"/>
      <c r="AC7" s="134"/>
      <c r="AD7" s="134"/>
      <c r="AE7" s="135">
        <f>Y7+1</f>
        <v>2011</v>
      </c>
      <c r="AF7" s="137"/>
      <c r="AG7" s="133">
        <f>AA7+1</f>
        <v>2012</v>
      </c>
      <c r="AH7" s="134"/>
      <c r="AI7" s="134"/>
      <c r="AJ7" s="134"/>
      <c r="AK7" s="135">
        <f>AE7+1</f>
        <v>2012</v>
      </c>
      <c r="AL7" s="137"/>
      <c r="AM7" s="133">
        <f>AG7+1</f>
        <v>2013</v>
      </c>
      <c r="AN7" s="134"/>
      <c r="AO7" s="134"/>
      <c r="AP7" s="134"/>
      <c r="AQ7" s="135">
        <f>AK7+1</f>
        <v>2013</v>
      </c>
      <c r="AR7" s="137"/>
      <c r="AS7" s="133">
        <f>AM7+1</f>
        <v>2014</v>
      </c>
      <c r="AT7" s="134"/>
      <c r="AU7" s="134"/>
      <c r="AV7" s="134"/>
      <c r="AW7" s="135">
        <f>AQ7+1</f>
        <v>2014</v>
      </c>
      <c r="AX7" s="137"/>
      <c r="AY7" s="133">
        <f>AS7+1</f>
        <v>2015</v>
      </c>
      <c r="AZ7" s="134"/>
      <c r="BA7" s="134"/>
      <c r="BB7" s="134"/>
      <c r="BC7" s="135">
        <f>AW7+1</f>
        <v>2015</v>
      </c>
      <c r="BD7" s="137"/>
      <c r="BE7" s="133">
        <f>AY7+1</f>
        <v>2016</v>
      </c>
      <c r="BF7" s="134"/>
      <c r="BG7" s="134"/>
      <c r="BH7" s="134"/>
      <c r="BI7" s="135">
        <f>BC7+1</f>
        <v>2016</v>
      </c>
      <c r="BJ7" s="137"/>
      <c r="BK7" s="133">
        <f>BE7+1</f>
        <v>2017</v>
      </c>
      <c r="BL7" s="134"/>
      <c r="BM7" s="134"/>
      <c r="BN7" s="134"/>
      <c r="BO7" s="135">
        <f>BI7+1</f>
        <v>2017</v>
      </c>
      <c r="BP7" s="137"/>
      <c r="BQ7" s="138">
        <f>BK7+1</f>
        <v>2018</v>
      </c>
      <c r="BR7" s="134"/>
      <c r="BS7" s="134"/>
      <c r="BT7" s="134"/>
      <c r="BU7" s="139">
        <f>BO7+1</f>
        <v>2018</v>
      </c>
      <c r="BV7" s="97"/>
      <c r="BW7" s="138">
        <f>BQ7+1</f>
        <v>2019</v>
      </c>
      <c r="BX7" s="134"/>
      <c r="BY7" s="134"/>
      <c r="BZ7" s="134"/>
      <c r="CA7" s="139">
        <f>BU7+1</f>
        <v>2019</v>
      </c>
      <c r="CB7" s="97"/>
      <c r="CC7" s="138">
        <f>BW7+1</f>
        <v>2020</v>
      </c>
      <c r="CD7" s="134"/>
      <c r="CE7" s="134"/>
      <c r="CF7" s="134"/>
      <c r="CG7" s="139">
        <f>CA7+1</f>
        <v>2020</v>
      </c>
      <c r="CH7" s="97"/>
      <c r="CI7" s="138">
        <f>CC7+1</f>
        <v>2021</v>
      </c>
      <c r="CJ7" s="134"/>
      <c r="CK7" s="134"/>
      <c r="CL7" s="134"/>
      <c r="CM7" s="139">
        <f>CG7+1</f>
        <v>2021</v>
      </c>
      <c r="CN7" s="97"/>
      <c r="CO7" s="97"/>
      <c r="CV7" s="97"/>
    </row>
    <row r="8" spans="1:100" ht="12.75" customHeight="1" thickBot="1">
      <c r="A8" s="1508"/>
      <c r="B8" s="125"/>
      <c r="C8" s="125"/>
      <c r="D8" s="125"/>
      <c r="E8" s="125"/>
      <c r="F8" s="19"/>
      <c r="G8" s="142"/>
      <c r="H8" s="143"/>
      <c r="I8" s="140">
        <v>39538</v>
      </c>
      <c r="J8" s="141">
        <f>I8+FLOOR(365/4,1)</f>
        <v>39629</v>
      </c>
      <c r="K8" s="141">
        <f>J8+FLOOR(365/4,1)+1</f>
        <v>39721</v>
      </c>
      <c r="L8" s="141">
        <f>K8+FLOOR(365/4,1)+1</f>
        <v>39813</v>
      </c>
      <c r="M8" s="142"/>
      <c r="N8" s="144"/>
      <c r="O8" s="140">
        <f>I8+365</f>
        <v>39903</v>
      </c>
      <c r="P8" s="141">
        <f>O8+FLOOR(365/4,1)</f>
        <v>39994</v>
      </c>
      <c r="Q8" s="141">
        <f>P8+FLOOR(365/4,1)+1</f>
        <v>40086</v>
      </c>
      <c r="R8" s="141">
        <f>Q8+FLOOR(365/4,1)+1</f>
        <v>40178</v>
      </c>
      <c r="S8" s="142"/>
      <c r="T8" s="144"/>
      <c r="U8" s="140">
        <f>O8+365</f>
        <v>40268</v>
      </c>
      <c r="V8" s="141">
        <f>U8+FLOOR(365/4,1)</f>
        <v>40359</v>
      </c>
      <c r="W8" s="141">
        <f>V8+FLOOR(365/4,1)+1</f>
        <v>40451</v>
      </c>
      <c r="X8" s="141">
        <f>W8+FLOOR(365/4,1)+1</f>
        <v>40543</v>
      </c>
      <c r="Y8" s="142"/>
      <c r="Z8" s="144"/>
      <c r="AA8" s="140">
        <f>U8+365</f>
        <v>40633</v>
      </c>
      <c r="AB8" s="141">
        <f>AA8+FLOOR(365/4,1)</f>
        <v>40724</v>
      </c>
      <c r="AC8" s="141">
        <f>AB8+FLOOR(365/4,1)+1</f>
        <v>40816</v>
      </c>
      <c r="AD8" s="141">
        <f>AC8+FLOOR(365/4,1)+1</f>
        <v>40908</v>
      </c>
      <c r="AE8" s="142"/>
      <c r="AF8" s="144"/>
      <c r="AG8" s="140">
        <f>AA8+366</f>
        <v>40999</v>
      </c>
      <c r="AH8" s="141">
        <f>AG8+FLOOR(365/4,1)</f>
        <v>41090</v>
      </c>
      <c r="AI8" s="141">
        <f>AH8+FLOOR(365/4,1)+1</f>
        <v>41182</v>
      </c>
      <c r="AJ8" s="141">
        <f>AI8+FLOOR(365/4,1)+1</f>
        <v>41274</v>
      </c>
      <c r="AK8" s="142"/>
      <c r="AL8" s="144"/>
      <c r="AM8" s="140">
        <f>AG8+365</f>
        <v>41364</v>
      </c>
      <c r="AN8" s="141">
        <f>AM8+FLOOR(365/4,1)</f>
        <v>41455</v>
      </c>
      <c r="AO8" s="141">
        <f>AN8+FLOOR(365/4,1)+1</f>
        <v>41547</v>
      </c>
      <c r="AP8" s="141">
        <f>AO8+FLOOR(365/4,1)+1</f>
        <v>41639</v>
      </c>
      <c r="AQ8" s="142"/>
      <c r="AR8" s="144"/>
      <c r="AS8" s="140">
        <f>AM8+365</f>
        <v>41729</v>
      </c>
      <c r="AT8" s="141">
        <f>AS8+FLOOR(365/4,1)</f>
        <v>41820</v>
      </c>
      <c r="AU8" s="141">
        <f>AT8+FLOOR(365/4,1)+1</f>
        <v>41912</v>
      </c>
      <c r="AV8" s="141">
        <f>AU8+FLOOR(365/4,1)+1</f>
        <v>42004</v>
      </c>
      <c r="AW8" s="142"/>
      <c r="AX8" s="144"/>
      <c r="AY8" s="140">
        <f>AS8+365</f>
        <v>42094</v>
      </c>
      <c r="AZ8" s="141">
        <f>AY8+FLOOR(365/4,1)</f>
        <v>42185</v>
      </c>
      <c r="BA8" s="141">
        <f>AZ8+FLOOR(365/4,1)+1</f>
        <v>42277</v>
      </c>
      <c r="BB8" s="141">
        <f>BA8+FLOOR(365/4,1)+1</f>
        <v>42369</v>
      </c>
      <c r="BC8" s="142"/>
      <c r="BD8" s="144"/>
      <c r="BE8" s="140">
        <f>AY8+365</f>
        <v>42459</v>
      </c>
      <c r="BF8" s="141">
        <f>BE8+FLOOR(365/4,1)</f>
        <v>42550</v>
      </c>
      <c r="BG8" s="141">
        <f>BF8+FLOOR(365/4,1)+1</f>
        <v>42642</v>
      </c>
      <c r="BH8" s="141">
        <f>BG8+FLOOR(365/4,1)+1</f>
        <v>42734</v>
      </c>
      <c r="BI8" s="142"/>
      <c r="BJ8" s="144"/>
      <c r="BK8" s="140">
        <f>BE8+365</f>
        <v>42824</v>
      </c>
      <c r="BL8" s="141">
        <f>BK8+FLOOR(365/4,1)</f>
        <v>42915</v>
      </c>
      <c r="BM8" s="141">
        <f>BL8+FLOOR(365/4,1)+1</f>
        <v>43007</v>
      </c>
      <c r="BN8" s="141">
        <f>BM8+FLOOR(365/4,1)+1</f>
        <v>43099</v>
      </c>
      <c r="BO8" s="142"/>
      <c r="BP8" s="144"/>
      <c r="BQ8" s="146">
        <f>BK8+365</f>
        <v>43189</v>
      </c>
      <c r="BR8" s="145">
        <f>BQ8+FLOOR(365/4,1)</f>
        <v>43280</v>
      </c>
      <c r="BS8" s="145">
        <f>BR8+FLOOR(365/4,1)+1</f>
        <v>43372</v>
      </c>
      <c r="BT8" s="147">
        <f>BS8+FLOOR(365/4,1)+1</f>
        <v>43464</v>
      </c>
      <c r="BU8" s="142"/>
      <c r="BV8" s="97"/>
      <c r="BW8" s="146">
        <f>BQ8+365</f>
        <v>43554</v>
      </c>
      <c r="BX8" s="145">
        <f>BW8+FLOOR(365/4,1)</f>
        <v>43645</v>
      </c>
      <c r="BY8" s="145">
        <f>BX8+FLOOR(365/4,1)+1</f>
        <v>43737</v>
      </c>
      <c r="BZ8" s="147">
        <f>BY8+FLOOR(365/4,1)+1</f>
        <v>43829</v>
      </c>
      <c r="CA8" s="142"/>
      <c r="CB8" s="97"/>
      <c r="CC8" s="146">
        <f>BW8+365</f>
        <v>43919</v>
      </c>
      <c r="CD8" s="145">
        <f>CC8+FLOOR(365/4,1)</f>
        <v>44010</v>
      </c>
      <c r="CE8" s="145">
        <f>CD8+FLOOR(365/4,1)+1</f>
        <v>44102</v>
      </c>
      <c r="CF8" s="147">
        <f>CE8+FLOOR(365/4,1)+1</f>
        <v>44194</v>
      </c>
      <c r="CG8" s="142"/>
      <c r="CH8" s="97"/>
      <c r="CI8" s="146">
        <f>CC8+365</f>
        <v>44284</v>
      </c>
      <c r="CJ8" s="145">
        <f>CI8+FLOOR(365/4,1)</f>
        <v>44375</v>
      </c>
      <c r="CK8" s="145">
        <f>CJ8+FLOOR(365/4,1)+1</f>
        <v>44467</v>
      </c>
      <c r="CL8" s="147">
        <f>CK8+FLOOR(365/4,1)+1</f>
        <v>44559</v>
      </c>
      <c r="CM8" s="142"/>
      <c r="CN8" s="97"/>
      <c r="CO8" s="97"/>
      <c r="CV8" s="97"/>
    </row>
    <row r="9" spans="1:100" s="24" customFormat="1">
      <c r="A9" s="1509" t="s">
        <v>306</v>
      </c>
      <c r="B9" s="648"/>
      <c r="C9" s="648"/>
      <c r="D9" s="648"/>
      <c r="E9" s="648"/>
      <c r="F9" s="649"/>
      <c r="G9" s="650"/>
      <c r="H9" s="651"/>
      <c r="I9" s="651"/>
      <c r="J9" s="651"/>
      <c r="K9" s="651"/>
      <c r="L9" s="651"/>
      <c r="M9" s="652"/>
      <c r="N9" s="651"/>
      <c r="O9" s="651"/>
      <c r="P9" s="651"/>
      <c r="Q9" s="651"/>
      <c r="R9" s="651"/>
      <c r="S9" s="652"/>
      <c r="T9" s="651"/>
      <c r="U9" s="651"/>
      <c r="V9" s="651"/>
      <c r="W9" s="651"/>
      <c r="X9" s="651"/>
      <c r="Y9" s="652"/>
      <c r="Z9" s="651"/>
      <c r="AA9" s="651"/>
      <c r="AB9" s="651"/>
      <c r="AC9" s="651"/>
      <c r="AD9" s="651"/>
      <c r="AE9" s="653"/>
      <c r="AF9" s="651"/>
      <c r="AG9" s="651"/>
      <c r="AH9" s="651"/>
      <c r="AI9" s="651"/>
      <c r="AJ9" s="651"/>
      <c r="AK9" s="652"/>
      <c r="AL9" s="651"/>
      <c r="AM9" s="651"/>
      <c r="AN9" s="651"/>
      <c r="AO9" s="651"/>
      <c r="AP9" s="651"/>
      <c r="AQ9" s="652"/>
      <c r="AR9" s="651"/>
      <c r="AS9" s="1521"/>
      <c r="AT9" s="651"/>
      <c r="AU9" s="651"/>
      <c r="AV9" s="651"/>
      <c r="AW9" s="652"/>
      <c r="AX9" s="651"/>
      <c r="AY9" s="1521"/>
      <c r="AZ9" s="651"/>
      <c r="BA9" s="651"/>
      <c r="BB9" s="651"/>
      <c r="BC9" s="652"/>
      <c r="BD9" s="651"/>
      <c r="BE9" s="1625"/>
      <c r="BF9" s="651"/>
      <c r="BG9" s="651"/>
      <c r="BH9" s="651"/>
      <c r="BI9" s="652"/>
      <c r="BJ9" s="651"/>
      <c r="BK9" s="1625"/>
      <c r="BL9" s="649"/>
      <c r="BM9" s="651"/>
      <c r="BN9" s="651"/>
      <c r="BO9" s="652"/>
      <c r="BP9" s="651"/>
      <c r="BQ9" s="1625"/>
      <c r="BR9" s="649"/>
      <c r="BS9" s="651"/>
      <c r="BT9" s="651"/>
      <c r="BU9" s="652"/>
      <c r="BV9" s="97"/>
      <c r="BW9" s="1625"/>
      <c r="BX9" s="649"/>
      <c r="BY9" s="651"/>
      <c r="BZ9" s="651"/>
      <c r="CA9" s="652"/>
      <c r="CB9" s="97"/>
      <c r="CC9" s="1625"/>
      <c r="CD9" s="649"/>
      <c r="CE9" s="651"/>
      <c r="CF9" s="651"/>
      <c r="CG9" s="652"/>
      <c r="CH9" s="97"/>
      <c r="CI9" s="1625"/>
      <c r="CJ9" s="649"/>
      <c r="CK9" s="651"/>
      <c r="CL9" s="651"/>
      <c r="CM9" s="652"/>
      <c r="CN9" s="97"/>
      <c r="CO9" s="97"/>
      <c r="CP9"/>
      <c r="CQ9"/>
      <c r="CR9"/>
      <c r="CS9"/>
      <c r="CT9"/>
      <c r="CU9"/>
      <c r="CV9" s="97"/>
    </row>
    <row r="10" spans="1:100" s="24" customFormat="1">
      <c r="A10" s="1510" t="s">
        <v>307</v>
      </c>
      <c r="B10" s="654"/>
      <c r="C10" s="654"/>
      <c r="D10" s="654"/>
      <c r="E10" s="654"/>
      <c r="F10" s="655"/>
      <c r="G10" s="656">
        <f>+G11+G12</f>
        <v>693.01400000000001</v>
      </c>
      <c r="H10" s="657"/>
      <c r="I10" s="657">
        <f>+I11+I12</f>
        <v>758.52799999999991</v>
      </c>
      <c r="J10" s="657">
        <f>+J11+J12</f>
        <v>830.68100000000004</v>
      </c>
      <c r="K10" s="657">
        <f t="shared" ref="K10:AE10" si="0">+K11+K12</f>
        <v>892.6</v>
      </c>
      <c r="L10" s="657">
        <f t="shared" si="0"/>
        <v>428.52199999999999</v>
      </c>
      <c r="M10" s="656">
        <f t="shared" si="0"/>
        <v>428.52199999999999</v>
      </c>
      <c r="N10" s="657"/>
      <c r="O10" s="657">
        <f t="shared" si="0"/>
        <v>431.27200000000005</v>
      </c>
      <c r="P10" s="657">
        <f t="shared" si="0"/>
        <v>505.68099999999998</v>
      </c>
      <c r="Q10" s="657">
        <f t="shared" si="0"/>
        <v>578.14799999999991</v>
      </c>
      <c r="R10" s="657">
        <f t="shared" si="0"/>
        <v>630.25700000000006</v>
      </c>
      <c r="S10" s="656">
        <f>+S11+S12</f>
        <v>630.25700000000006</v>
      </c>
      <c r="T10" s="657"/>
      <c r="U10" s="657">
        <f t="shared" si="0"/>
        <v>692.18000000000006</v>
      </c>
      <c r="V10" s="657">
        <f t="shared" si="0"/>
        <v>754.47299999999996</v>
      </c>
      <c r="W10" s="657">
        <f t="shared" si="0"/>
        <v>837.09799999999996</v>
      </c>
      <c r="X10" s="657">
        <v>946.4190000000001</v>
      </c>
      <c r="Y10" s="656">
        <f>+Y11+Y12</f>
        <v>946.4190000000001</v>
      </c>
      <c r="Z10" s="657"/>
      <c r="AA10" s="657">
        <f t="shared" si="0"/>
        <v>1039.049</v>
      </c>
      <c r="AB10" s="657">
        <f t="shared" si="0"/>
        <v>1121.6770000000001</v>
      </c>
      <c r="AC10" s="657">
        <f>+AC11+AC12</f>
        <v>1194.2170000000001</v>
      </c>
      <c r="AD10" s="657">
        <f>+AD11+AD12</f>
        <v>1281.3510000000001</v>
      </c>
      <c r="AE10" s="656">
        <f t="shared" si="0"/>
        <v>1281.3510000000001</v>
      </c>
      <c r="AF10" s="657"/>
      <c r="AG10" s="657">
        <f>+AG11+AG12</f>
        <v>1353.5529999999999</v>
      </c>
      <c r="AH10" s="657">
        <f>+AH11+AH12</f>
        <v>1392.1369999999999</v>
      </c>
      <c r="AI10" s="657">
        <f>+AI11+AI12</f>
        <v>1448.4409999999998</v>
      </c>
      <c r="AJ10" s="657">
        <f>+AJ11+AJ12</f>
        <v>1539.0250000000001</v>
      </c>
      <c r="AK10" s="656">
        <f t="shared" ref="AK10:AK15" si="1">AJ10</f>
        <v>1539.0250000000001</v>
      </c>
      <c r="AL10" s="657"/>
      <c r="AM10" s="657">
        <f>+AM11+AM12</f>
        <v>1589.854</v>
      </c>
      <c r="AN10" s="657">
        <f>+AN11+AN12</f>
        <v>1649.722</v>
      </c>
      <c r="AO10" s="657">
        <f>+AO11+AO12</f>
        <v>1699.107</v>
      </c>
      <c r="AP10" s="657">
        <f>+AP11+AP12</f>
        <v>1803.67</v>
      </c>
      <c r="AQ10" s="656">
        <f>+AQ11+AQ12</f>
        <v>1803.67</v>
      </c>
      <c r="AR10" s="657"/>
      <c r="AS10" s="1517">
        <f>+AS11+AS12</f>
        <v>1853.1950000000002</v>
      </c>
      <c r="AT10" s="657">
        <f>+AT11+AT12</f>
        <v>1917.56</v>
      </c>
      <c r="AU10" s="657">
        <f>+AU11+AU12</f>
        <v>1946.357</v>
      </c>
      <c r="AV10" s="657">
        <f>+AV11+AV12</f>
        <v>2055.3879999999999</v>
      </c>
      <c r="AW10" s="656">
        <f>+AW11+AW12</f>
        <v>2055.3879999999999</v>
      </c>
      <c r="AX10" s="657"/>
      <c r="AY10" s="1517">
        <f>+AY11+AY12</f>
        <v>2109.0450000000001</v>
      </c>
      <c r="AZ10" s="657">
        <f>+AZ11+AZ12</f>
        <v>2208.893</v>
      </c>
      <c r="BA10" s="657">
        <f>+BA11+BA12</f>
        <v>2310.7339999999999</v>
      </c>
      <c r="BB10" s="657">
        <f>+BB11+BB12</f>
        <v>2399.2629999999999</v>
      </c>
      <c r="BC10" s="656">
        <f>+BC11+BC12</f>
        <v>2399.2629999999999</v>
      </c>
      <c r="BD10" s="657"/>
      <c r="BE10" s="1517">
        <f>+BE11+BE12</f>
        <v>2505.1680000000001</v>
      </c>
      <c r="BF10" s="657">
        <f>+BF11+BF12</f>
        <v>2599.7860000000001</v>
      </c>
      <c r="BG10" s="657">
        <f>+BG11+BG12</f>
        <v>2713.0149999999999</v>
      </c>
      <c r="BH10" s="657">
        <f>+BH11+BH12</f>
        <v>2813.0319999999997</v>
      </c>
      <c r="BI10" s="656">
        <f>+BI11+BI12</f>
        <v>2813.0319999999997</v>
      </c>
      <c r="BJ10" s="657"/>
      <c r="BK10" s="1517">
        <f>+BK11+BK12</f>
        <v>2966.4629999999997</v>
      </c>
      <c r="BL10" s="657">
        <f>+BL11+BL12</f>
        <v>3125.9459999999999</v>
      </c>
      <c r="BM10" s="657">
        <f>+BM11+BM12</f>
        <v>3254.9570000000003</v>
      </c>
      <c r="BN10" s="657">
        <f>+BN11+BN12</f>
        <v>3393.701</v>
      </c>
      <c r="BO10" s="656">
        <f>+BO11+BO12</f>
        <v>3393.701</v>
      </c>
      <c r="BP10" s="657"/>
      <c r="BQ10" s="1517">
        <f>+BQ11+BQ12</f>
        <v>3195.9808295283719</v>
      </c>
      <c r="BR10" s="655">
        <f>+BR11+BR12</f>
        <v>3212.197653067914</v>
      </c>
      <c r="BS10" s="657">
        <f>+BS11+BS12</f>
        <v>3234.7284707096856</v>
      </c>
      <c r="BT10" s="657">
        <f>+BT11+BT12</f>
        <v>3307.2191339707474</v>
      </c>
      <c r="BU10" s="656">
        <f>+BU11+BU12</f>
        <v>3307.2191339707474</v>
      </c>
      <c r="BV10" s="263"/>
      <c r="BW10" s="1517">
        <f>+BW11+BW12</f>
        <v>3085.3509652192438</v>
      </c>
      <c r="BX10" s="655">
        <f>+BX11+BX12</f>
        <v>3098.0151444883968</v>
      </c>
      <c r="BY10" s="657">
        <f>+BY11+BY12</f>
        <v>3115.857974900006</v>
      </c>
      <c r="BZ10" s="657">
        <f>+BZ11+BZ12</f>
        <v>3182.0935602388281</v>
      </c>
      <c r="CA10" s="656">
        <f>+CA11+CA12</f>
        <v>3182.0935602388281</v>
      </c>
      <c r="CB10" s="263"/>
      <c r="CC10" s="1517">
        <f>+CC11+CC12</f>
        <v>3076.462407155273</v>
      </c>
      <c r="CD10" s="655">
        <f>+CD11+CD12</f>
        <v>3165.5846732092446</v>
      </c>
      <c r="CE10" s="657">
        <f>+CE11+CE12</f>
        <v>3257.602136068836</v>
      </c>
      <c r="CF10" s="657">
        <f>+CF11+CF12</f>
        <v>3404.2484170482658</v>
      </c>
      <c r="CG10" s="656">
        <f>+CG11+CG12</f>
        <v>3404.2484170482658</v>
      </c>
      <c r="CH10" s="263"/>
      <c r="CI10" s="1517">
        <f>+CI11+CI12</f>
        <v>3380.4804670835438</v>
      </c>
      <c r="CJ10" s="655">
        <f>+CJ11+CJ12</f>
        <v>3434.2104740883124</v>
      </c>
      <c r="CK10" s="657">
        <f>+CK11+CK12</f>
        <v>3483.4240647027382</v>
      </c>
      <c r="CL10" s="657">
        <f>+CL11+CL12</f>
        <v>3591.820270372476</v>
      </c>
      <c r="CM10" s="656">
        <f>+CM11+CM12</f>
        <v>3591.820270372476</v>
      </c>
      <c r="CN10" s="263"/>
      <c r="CO10" s="263"/>
      <c r="CP10"/>
      <c r="CQ10"/>
      <c r="CR10"/>
      <c r="CS10"/>
      <c r="CT10"/>
      <c r="CU10"/>
      <c r="CV10" s="97"/>
    </row>
    <row r="11" spans="1:100" s="24" customFormat="1" hidden="1" outlineLevel="1">
      <c r="A11" s="1511" t="s">
        <v>308</v>
      </c>
      <c r="B11" s="658"/>
      <c r="C11" s="658"/>
      <c r="D11" s="658"/>
      <c r="E11" s="658"/>
      <c r="F11" s="659"/>
      <c r="G11" s="48">
        <v>597.33299999999997</v>
      </c>
      <c r="H11" s="49"/>
      <c r="I11" s="50">
        <v>700.56</v>
      </c>
      <c r="J11" s="50">
        <v>830.68100000000004</v>
      </c>
      <c r="K11" s="50">
        <v>892.6</v>
      </c>
      <c r="L11" s="50">
        <v>428.52199999999999</v>
      </c>
      <c r="M11" s="51">
        <f>L11</f>
        <v>428.52199999999999</v>
      </c>
      <c r="N11" s="49"/>
      <c r="O11" s="50">
        <v>388.15300000000002</v>
      </c>
      <c r="P11" s="50">
        <v>358.44499999999999</v>
      </c>
      <c r="Q11" s="50">
        <v>390.41699999999997</v>
      </c>
      <c r="R11" s="50">
        <v>341.11099999999999</v>
      </c>
      <c r="S11" s="51">
        <f>R11</f>
        <v>341.11099999999999</v>
      </c>
      <c r="T11" s="49"/>
      <c r="U11" s="50">
        <v>297.012</v>
      </c>
      <c r="V11" s="50">
        <v>310.88400000000001</v>
      </c>
      <c r="W11" s="50">
        <v>262.79199999999997</v>
      </c>
      <c r="X11" s="50">
        <v>308.49799999999999</v>
      </c>
      <c r="Y11" s="51">
        <f>X11</f>
        <v>308.49799999999999</v>
      </c>
      <c r="Z11" s="49"/>
      <c r="AA11" s="50">
        <v>296.86</v>
      </c>
      <c r="AB11" s="50">
        <v>344.91399999999999</v>
      </c>
      <c r="AC11" s="50">
        <v>423.92599999999999</v>
      </c>
      <c r="AD11" s="1180">
        <v>383.99</v>
      </c>
      <c r="AE11" s="51">
        <f>AD11</f>
        <v>383.99</v>
      </c>
      <c r="AF11" s="49"/>
      <c r="AG11" s="50">
        <v>427.18599999999998</v>
      </c>
      <c r="AH11" s="50">
        <v>369.42899999999997</v>
      </c>
      <c r="AI11" s="50">
        <v>356.29300000000001</v>
      </c>
      <c r="AJ11" s="1180">
        <v>481.03500000000003</v>
      </c>
      <c r="AK11" s="51">
        <f t="shared" si="1"/>
        <v>481.03500000000003</v>
      </c>
      <c r="AL11" s="49"/>
      <c r="AM11" s="50">
        <v>472.048</v>
      </c>
      <c r="AN11" s="50">
        <v>455.04500000000002</v>
      </c>
      <c r="AO11" s="52">
        <v>431.00099999999998</v>
      </c>
      <c r="AP11" s="1180">
        <v>440.79599999999999</v>
      </c>
      <c r="AQ11" s="51">
        <f>AP11</f>
        <v>440.79599999999999</v>
      </c>
      <c r="AR11" s="49"/>
      <c r="AS11" s="1523">
        <v>395.38200000000001</v>
      </c>
      <c r="AT11" s="50">
        <v>428.69099999999997</v>
      </c>
      <c r="AU11" s="50">
        <v>356.96800000000002</v>
      </c>
      <c r="AV11" s="1504">
        <v>422.17700000000002</v>
      </c>
      <c r="AW11" s="51">
        <f>AV11</f>
        <v>422.17700000000002</v>
      </c>
      <c r="AX11" s="49"/>
      <c r="AY11" s="1523">
        <v>440.798</v>
      </c>
      <c r="AZ11" s="50">
        <v>365.875</v>
      </c>
      <c r="BA11" s="50">
        <v>459.51799999999997</v>
      </c>
      <c r="BB11" s="1504">
        <v>487.66500000000002</v>
      </c>
      <c r="BC11" s="51">
        <f>BB11</f>
        <v>487.66500000000002</v>
      </c>
      <c r="BD11" s="49"/>
      <c r="BE11" s="1523">
        <v>416.387</v>
      </c>
      <c r="BF11" s="50">
        <v>463.38200000000001</v>
      </c>
      <c r="BG11" s="50">
        <v>430.209</v>
      </c>
      <c r="BH11" s="1504">
        <v>505.63099999999997</v>
      </c>
      <c r="BI11" s="51">
        <f>BH11</f>
        <v>505.63099999999997</v>
      </c>
      <c r="BJ11" s="49"/>
      <c r="BK11" s="1523">
        <v>584.44399999999996</v>
      </c>
      <c r="BL11" s="50">
        <v>567.255</v>
      </c>
      <c r="BM11" s="50">
        <v>603.80700000000002</v>
      </c>
      <c r="BN11" s="1504">
        <v>642.31899999999996</v>
      </c>
      <c r="BO11" s="51">
        <f>BN11</f>
        <v>642.31899999999996</v>
      </c>
      <c r="BP11" s="49"/>
      <c r="BQ11" s="1518">
        <f>CFS!BQ49</f>
        <v>444.59882952837177</v>
      </c>
      <c r="BR11" s="671">
        <f>CFS!BR49</f>
        <v>460.8156530679139</v>
      </c>
      <c r="BS11" s="49">
        <f>CFS!BS49</f>
        <v>483.34647070968538</v>
      </c>
      <c r="BT11" s="49">
        <f>CFS!BT49</f>
        <v>555.83713397074746</v>
      </c>
      <c r="BU11" s="51">
        <f>BT11</f>
        <v>555.83713397074746</v>
      </c>
      <c r="BV11" s="265"/>
      <c r="BW11" s="1518">
        <f>CFS!BW49</f>
        <v>333.96896521924367</v>
      </c>
      <c r="BX11" s="671">
        <f>CFS!BX49</f>
        <v>346.63314448839674</v>
      </c>
      <c r="BY11" s="49">
        <f>CFS!BY49</f>
        <v>364.47597490000595</v>
      </c>
      <c r="BZ11" s="49">
        <f>CFS!BZ49</f>
        <v>430.71156023882781</v>
      </c>
      <c r="CA11" s="51">
        <f>BZ11</f>
        <v>430.71156023882781</v>
      </c>
      <c r="CB11" s="265"/>
      <c r="CC11" s="1518">
        <f>CFS!CC49</f>
        <v>325.08040715527278</v>
      </c>
      <c r="CD11" s="671">
        <f>CFS!CD49</f>
        <v>414.20267320924444</v>
      </c>
      <c r="CE11" s="49">
        <f>CFS!CE49</f>
        <v>506.2201360688361</v>
      </c>
      <c r="CF11" s="49">
        <f>CFS!CF49</f>
        <v>652.86641704826593</v>
      </c>
      <c r="CG11" s="51">
        <f>CF11</f>
        <v>652.86641704826593</v>
      </c>
      <c r="CH11" s="265"/>
      <c r="CI11" s="1518">
        <f>CFS!CI49</f>
        <v>629.09846708354371</v>
      </c>
      <c r="CJ11" s="671">
        <f>CFS!CJ49</f>
        <v>682.8284740883123</v>
      </c>
      <c r="CK11" s="49">
        <f>CFS!CK49</f>
        <v>732.04206470273789</v>
      </c>
      <c r="CL11" s="49">
        <f>CFS!CL49</f>
        <v>840.43827037247593</v>
      </c>
      <c r="CM11" s="51">
        <f>CL11</f>
        <v>840.43827037247593</v>
      </c>
      <c r="CN11" s="265"/>
      <c r="CO11" s="265"/>
      <c r="CP11"/>
      <c r="CQ11"/>
      <c r="CR11"/>
      <c r="CS11"/>
      <c r="CT11"/>
      <c r="CU11"/>
      <c r="CV11" s="97"/>
    </row>
    <row r="12" spans="1:100" s="24" customFormat="1" hidden="1" outlineLevel="1">
      <c r="A12" s="1511" t="s">
        <v>309</v>
      </c>
      <c r="B12" s="658"/>
      <c r="C12" s="658"/>
      <c r="D12" s="658"/>
      <c r="E12" s="658"/>
      <c r="F12" s="659"/>
      <c r="G12" s="48">
        <v>95.680999999999997</v>
      </c>
      <c r="H12" s="49"/>
      <c r="I12" s="50">
        <v>57.968000000000004</v>
      </c>
      <c r="J12" s="50">
        <v>0</v>
      </c>
      <c r="K12" s="50">
        <v>0</v>
      </c>
      <c r="L12" s="50">
        <v>0</v>
      </c>
      <c r="M12" s="51">
        <f>L12</f>
        <v>0</v>
      </c>
      <c r="N12" s="49"/>
      <c r="O12" s="50">
        <v>43.119</v>
      </c>
      <c r="P12" s="50">
        <v>147.23599999999999</v>
      </c>
      <c r="Q12" s="50">
        <v>187.73099999999999</v>
      </c>
      <c r="R12" s="50">
        <v>289.14600000000002</v>
      </c>
      <c r="S12" s="51">
        <f>R12</f>
        <v>289.14600000000002</v>
      </c>
      <c r="T12" s="49"/>
      <c r="U12" s="50">
        <v>395.16800000000001</v>
      </c>
      <c r="V12" s="50">
        <v>443.589</v>
      </c>
      <c r="W12" s="50">
        <v>574.30600000000004</v>
      </c>
      <c r="X12" s="50">
        <v>637.92100000000005</v>
      </c>
      <c r="Y12" s="51">
        <f>X12</f>
        <v>637.92100000000005</v>
      </c>
      <c r="Z12" s="49"/>
      <c r="AA12" s="50">
        <v>742.18899999999996</v>
      </c>
      <c r="AB12" s="50">
        <v>776.76300000000003</v>
      </c>
      <c r="AC12" s="50">
        <v>770.29100000000005</v>
      </c>
      <c r="AD12" s="1180">
        <v>897.36099999999999</v>
      </c>
      <c r="AE12" s="51">
        <f>AD12</f>
        <v>897.36099999999999</v>
      </c>
      <c r="AF12" s="49"/>
      <c r="AG12" s="50">
        <v>926.36699999999996</v>
      </c>
      <c r="AH12" s="50">
        <v>1022.708</v>
      </c>
      <c r="AI12" s="50">
        <v>1092.1479999999999</v>
      </c>
      <c r="AJ12" s="1180">
        <v>1057.99</v>
      </c>
      <c r="AK12" s="51">
        <f t="shared" si="1"/>
        <v>1057.99</v>
      </c>
      <c r="AL12" s="49"/>
      <c r="AM12" s="50">
        <v>1117.806</v>
      </c>
      <c r="AN12" s="50">
        <v>1194.6769999999999</v>
      </c>
      <c r="AO12" s="52">
        <v>1268.106</v>
      </c>
      <c r="AP12" s="1180">
        <v>1362.874</v>
      </c>
      <c r="AQ12" s="51">
        <f>AP12</f>
        <v>1362.874</v>
      </c>
      <c r="AR12" s="49"/>
      <c r="AS12" s="1523">
        <v>1457.8130000000001</v>
      </c>
      <c r="AT12" s="50">
        <v>1488.8689999999999</v>
      </c>
      <c r="AU12" s="50">
        <v>1589.3889999999999</v>
      </c>
      <c r="AV12" s="1504">
        <v>1633.211</v>
      </c>
      <c r="AW12" s="51">
        <f>AV12</f>
        <v>1633.211</v>
      </c>
      <c r="AX12" s="49"/>
      <c r="AY12" s="1523">
        <v>1668.2470000000001</v>
      </c>
      <c r="AZ12" s="50">
        <v>1843.018</v>
      </c>
      <c r="BA12" s="50">
        <v>1851.2159999999999</v>
      </c>
      <c r="BB12" s="1504">
        <v>1911.598</v>
      </c>
      <c r="BC12" s="51">
        <f>BB12</f>
        <v>1911.598</v>
      </c>
      <c r="BD12" s="49"/>
      <c r="BE12" s="1523">
        <v>2088.7809999999999</v>
      </c>
      <c r="BF12" s="50">
        <v>2136.404</v>
      </c>
      <c r="BG12" s="50">
        <v>2282.806</v>
      </c>
      <c r="BH12" s="1504">
        <v>2307.4009999999998</v>
      </c>
      <c r="BI12" s="51">
        <f>BH12</f>
        <v>2307.4009999999998</v>
      </c>
      <c r="BJ12" s="49"/>
      <c r="BK12" s="1523">
        <v>2382.0189999999998</v>
      </c>
      <c r="BL12" s="50">
        <v>2558.6909999999998</v>
      </c>
      <c r="BM12" s="50">
        <v>2651.15</v>
      </c>
      <c r="BN12" s="1504">
        <v>2751.3820000000001</v>
      </c>
      <c r="BO12" s="51">
        <f>BN12</f>
        <v>2751.3820000000001</v>
      </c>
      <c r="BP12" s="49"/>
      <c r="BQ12" s="1518">
        <f>BN12-CFS!BQ29-CFS!BQ30</f>
        <v>2751.3820000000001</v>
      </c>
      <c r="BR12" s="671">
        <f>BQ12-CFS!BR29-CFS!BR30</f>
        <v>2751.3820000000001</v>
      </c>
      <c r="BS12" s="49">
        <f>BR12-CFS!BS29-CFS!BS30</f>
        <v>2751.3820000000001</v>
      </c>
      <c r="BT12" s="49">
        <f>BS12-CFS!BT29-CFS!BT30</f>
        <v>2751.3820000000001</v>
      </c>
      <c r="BU12" s="51">
        <f>BT12</f>
        <v>2751.3820000000001</v>
      </c>
      <c r="BV12" s="265"/>
      <c r="BW12" s="1518">
        <f>BT12-CFS!BW29-CFS!BW30</f>
        <v>2751.3820000000001</v>
      </c>
      <c r="BX12" s="671">
        <f>BW12-CFS!BX29-CFS!BX30</f>
        <v>2751.3820000000001</v>
      </c>
      <c r="BY12" s="49">
        <f>BX12-CFS!BY29-CFS!BY30</f>
        <v>2751.3820000000001</v>
      </c>
      <c r="BZ12" s="49">
        <f>BY12-CFS!BZ29-CFS!BZ30</f>
        <v>2751.3820000000001</v>
      </c>
      <c r="CA12" s="51">
        <f>BZ12</f>
        <v>2751.3820000000001</v>
      </c>
      <c r="CB12" s="265"/>
      <c r="CC12" s="1518">
        <f>BZ12-CFS!CC29-CFS!CC30</f>
        <v>2751.3820000000001</v>
      </c>
      <c r="CD12" s="671">
        <f>CC12-CFS!CD29-CFS!CD30</f>
        <v>2751.3820000000001</v>
      </c>
      <c r="CE12" s="49">
        <f>CD12-CFS!CE29-CFS!CE30</f>
        <v>2751.3820000000001</v>
      </c>
      <c r="CF12" s="49">
        <f>CE12-CFS!CF29-CFS!CF30</f>
        <v>2751.3820000000001</v>
      </c>
      <c r="CG12" s="51">
        <f>CF12</f>
        <v>2751.3820000000001</v>
      </c>
      <c r="CH12" s="265"/>
      <c r="CI12" s="1518">
        <f>CF12-CFS!CI29-CFS!CI30</f>
        <v>2751.3820000000001</v>
      </c>
      <c r="CJ12" s="671">
        <f>CI12-CFS!CJ29-CFS!CJ30</f>
        <v>2751.3820000000001</v>
      </c>
      <c r="CK12" s="49">
        <f>CJ12-CFS!CK29-CFS!CK30</f>
        <v>2751.3820000000001</v>
      </c>
      <c r="CL12" s="49">
        <f>CK12-CFS!CL29-CFS!CL30</f>
        <v>2751.3820000000001</v>
      </c>
      <c r="CM12" s="51">
        <f>CL12</f>
        <v>2751.3820000000001</v>
      </c>
      <c r="CN12" s="265"/>
      <c r="CO12" s="265"/>
      <c r="CP12"/>
      <c r="CQ12"/>
      <c r="CR12"/>
      <c r="CS12"/>
      <c r="CT12"/>
      <c r="CU12"/>
      <c r="CV12" s="97"/>
    </row>
    <row r="13" spans="1:100" s="24" customFormat="1" collapsed="1">
      <c r="A13" s="1512" t="s">
        <v>310</v>
      </c>
      <c r="B13" s="660"/>
      <c r="C13" s="660"/>
      <c r="D13" s="660"/>
      <c r="E13" s="660"/>
      <c r="F13" s="661"/>
      <c r="G13" s="662">
        <v>317.79199999999997</v>
      </c>
      <c r="H13" s="663"/>
      <c r="I13" s="664">
        <v>317.00900000000001</v>
      </c>
      <c r="J13" s="664">
        <v>304.79000000000002</v>
      </c>
      <c r="K13" s="664">
        <v>289.27100000000002</v>
      </c>
      <c r="L13" s="664">
        <v>291.76299999999998</v>
      </c>
      <c r="M13" s="665">
        <f>L13</f>
        <v>291.76299999999998</v>
      </c>
      <c r="N13" s="663"/>
      <c r="O13" s="664">
        <v>279.34500000000003</v>
      </c>
      <c r="P13" s="664">
        <v>294.93599999999998</v>
      </c>
      <c r="Q13" s="664">
        <v>289.64999999999998</v>
      </c>
      <c r="R13" s="664">
        <v>314.24700000000001</v>
      </c>
      <c r="S13" s="665">
        <f>R13</f>
        <v>314.24700000000001</v>
      </c>
      <c r="T13" s="663"/>
      <c r="U13" s="664">
        <v>313.95100000000002</v>
      </c>
      <c r="V13" s="664">
        <v>314.17399999999998</v>
      </c>
      <c r="W13" s="664">
        <v>337.56200000000001</v>
      </c>
      <c r="X13" s="664">
        <v>358.23700000000002</v>
      </c>
      <c r="Y13" s="665">
        <f>X13</f>
        <v>358.23700000000002</v>
      </c>
      <c r="Z13" s="663"/>
      <c r="AA13" s="664">
        <v>349.39699999999999</v>
      </c>
      <c r="AB13" s="664">
        <v>365.33100000000002</v>
      </c>
      <c r="AC13" s="664">
        <v>354.44499999999999</v>
      </c>
      <c r="AD13" s="1181">
        <v>367.08499999999998</v>
      </c>
      <c r="AE13" s="665">
        <f>AD13</f>
        <v>367.08499999999998</v>
      </c>
      <c r="AF13" s="663"/>
      <c r="AG13" s="664">
        <v>353.74599999999998</v>
      </c>
      <c r="AH13" s="664">
        <v>355.14400000000001</v>
      </c>
      <c r="AI13" s="664">
        <v>362.37099999999998</v>
      </c>
      <c r="AJ13" s="1181">
        <v>404.55599999999998</v>
      </c>
      <c r="AK13" s="665">
        <f t="shared" si="1"/>
        <v>404.55599999999998</v>
      </c>
      <c r="AL13" s="663"/>
      <c r="AM13" s="664">
        <v>377.41199999999998</v>
      </c>
      <c r="AN13" s="664">
        <v>365.22199999999998</v>
      </c>
      <c r="AO13" s="1254">
        <v>373.84399999999999</v>
      </c>
      <c r="AP13" s="1181">
        <v>430.98500000000001</v>
      </c>
      <c r="AQ13" s="665">
        <f>AP13</f>
        <v>430.98500000000001</v>
      </c>
      <c r="AR13" s="663"/>
      <c r="AS13" s="1524">
        <v>401.40600000000001</v>
      </c>
      <c r="AT13" s="664">
        <v>401.91899999999998</v>
      </c>
      <c r="AU13" s="664">
        <v>393.16899999999998</v>
      </c>
      <c r="AV13" s="1504">
        <v>433.61599999999999</v>
      </c>
      <c r="AW13" s="665">
        <f>AV13</f>
        <v>433.61599999999999</v>
      </c>
      <c r="AX13" s="663"/>
      <c r="AY13" s="1524">
        <v>394.37</v>
      </c>
      <c r="AZ13" s="664">
        <v>406.58300000000003</v>
      </c>
      <c r="BA13" s="664">
        <v>416.31099999999998</v>
      </c>
      <c r="BB13" s="1504">
        <v>468.315</v>
      </c>
      <c r="BC13" s="665">
        <f>BB13</f>
        <v>468.315</v>
      </c>
      <c r="BD13" s="663"/>
      <c r="BE13" s="1524">
        <v>439.57799999999997</v>
      </c>
      <c r="BF13" s="664">
        <v>445.95299999999997</v>
      </c>
      <c r="BG13" s="664">
        <v>441.76799999999997</v>
      </c>
      <c r="BH13" s="1504">
        <v>489.34</v>
      </c>
      <c r="BI13" s="665">
        <f>BH13</f>
        <v>489.34</v>
      </c>
      <c r="BJ13" s="663"/>
      <c r="BK13" s="1524">
        <v>461.755</v>
      </c>
      <c r="BL13" s="664">
        <v>462.81099999999998</v>
      </c>
      <c r="BM13" s="664">
        <v>456.334</v>
      </c>
      <c r="BN13" s="1504">
        <v>533.82500000000005</v>
      </c>
      <c r="BO13" s="665">
        <f>BN13</f>
        <v>533.82500000000005</v>
      </c>
      <c r="BP13" s="663"/>
      <c r="BQ13" s="1519">
        <f>BQ69*IS!BQ9/BS!BQ68</f>
        <v>501.75832046442758</v>
      </c>
      <c r="BR13" s="672">
        <f>BR69*IS!BR9/BS!BR68</f>
        <v>503.5328993063726</v>
      </c>
      <c r="BS13" s="663">
        <f>BS69*IS!BS9/BS!BS68</f>
        <v>485.36247206597602</v>
      </c>
      <c r="BT13" s="663">
        <f>BT69*IS!BT9/BS!BT68</f>
        <v>568.60719860154666</v>
      </c>
      <c r="BU13" s="665">
        <f>BT13</f>
        <v>568.60719860154666</v>
      </c>
      <c r="BV13" s="265"/>
      <c r="BW13" s="1519">
        <f>BW69*IS!BW9/BS!BW68</f>
        <v>547.26702653667996</v>
      </c>
      <c r="BX13" s="672">
        <f>BX69*IS!BX9/BS!BX68</f>
        <v>547.11658856420559</v>
      </c>
      <c r="BY13" s="663">
        <f>BY69*IS!BY9/BS!BY68</f>
        <v>526.40620858782427</v>
      </c>
      <c r="BZ13" s="663">
        <f>BZ69*IS!BZ9/BS!BZ68</f>
        <v>613.41423446038721</v>
      </c>
      <c r="CA13" s="665">
        <f>BZ13</f>
        <v>613.41423446038721</v>
      </c>
      <c r="CB13" s="265"/>
      <c r="CC13" s="1519">
        <f>CC69*IS!CC9/BS!CC68</f>
        <v>585.46917251287471</v>
      </c>
      <c r="CD13" s="672">
        <f>CD69*IS!CD9/BS!CD68</f>
        <v>582.20343728647811</v>
      </c>
      <c r="CE13" s="663">
        <f>CE69*IS!CE9/BS!CE68</f>
        <v>559.60894340409118</v>
      </c>
      <c r="CF13" s="663">
        <f>CF69*IS!CF9/BS!CF68</f>
        <v>648.20481588413395</v>
      </c>
      <c r="CG13" s="665">
        <f>CF13</f>
        <v>648.20481588413395</v>
      </c>
      <c r="CH13" s="265"/>
      <c r="CI13" s="1519">
        <f>CI69*IS!CI9/BS!CI68</f>
        <v>626.27199044412237</v>
      </c>
      <c r="CJ13" s="672">
        <f>CJ69*IS!CJ9/BS!CJ68</f>
        <v>619.49003538306795</v>
      </c>
      <c r="CK13" s="663">
        <f>CK69*IS!CK9/BS!CK68</f>
        <v>594.83392977928884</v>
      </c>
      <c r="CL13" s="663">
        <f>CL69*IS!CL9/BS!CL68</f>
        <v>685.00181889949931</v>
      </c>
      <c r="CM13" s="665">
        <f>CL13</f>
        <v>685.00181889949931</v>
      </c>
      <c r="CN13" s="265"/>
      <c r="CO13" s="265"/>
      <c r="CP13"/>
      <c r="CQ13"/>
      <c r="CR13"/>
      <c r="CS13"/>
      <c r="CT13"/>
      <c r="CU13"/>
      <c r="CV13" s="97"/>
    </row>
    <row r="14" spans="1:100" s="24" customFormat="1">
      <c r="A14" s="1512" t="s">
        <v>311</v>
      </c>
      <c r="B14" s="660"/>
      <c r="C14" s="660"/>
      <c r="D14" s="660"/>
      <c r="E14" s="660"/>
      <c r="F14" s="661"/>
      <c r="G14" s="662">
        <v>175.88800000000001</v>
      </c>
      <c r="H14" s="663"/>
      <c r="I14" s="664">
        <v>196.83099999999999</v>
      </c>
      <c r="J14" s="664">
        <v>206.87299999999999</v>
      </c>
      <c r="K14" s="664">
        <v>206.23099999999999</v>
      </c>
      <c r="L14" s="664">
        <v>173.05099999999999</v>
      </c>
      <c r="M14" s="665">
        <f>L14</f>
        <v>173.05099999999999</v>
      </c>
      <c r="N14" s="663"/>
      <c r="O14" s="664">
        <v>190.92699999999999</v>
      </c>
      <c r="P14" s="664">
        <v>196.316</v>
      </c>
      <c r="Q14" s="664">
        <v>197.08799999999999</v>
      </c>
      <c r="R14" s="664">
        <v>178.666</v>
      </c>
      <c r="S14" s="665">
        <f>R14</f>
        <v>178.666</v>
      </c>
      <c r="T14" s="663"/>
      <c r="U14" s="664">
        <v>189.221</v>
      </c>
      <c r="V14" s="664">
        <v>191.78200000000001</v>
      </c>
      <c r="W14" s="664">
        <v>208.339</v>
      </c>
      <c r="X14" s="664">
        <v>204.3</v>
      </c>
      <c r="Y14" s="665">
        <f>X14</f>
        <v>204.3</v>
      </c>
      <c r="Z14" s="663"/>
      <c r="AA14" s="664">
        <v>223.88200000000001</v>
      </c>
      <c r="AB14" s="664">
        <v>243.18</v>
      </c>
      <c r="AC14" s="664">
        <v>246.25800000000001</v>
      </c>
      <c r="AD14" s="1181">
        <v>212.864</v>
      </c>
      <c r="AE14" s="665">
        <f>AD14</f>
        <v>212.864</v>
      </c>
      <c r="AF14" s="663"/>
      <c r="AG14" s="664">
        <v>233.36199999999999</v>
      </c>
      <c r="AH14" s="664">
        <v>236.76300000000001</v>
      </c>
      <c r="AI14" s="664">
        <v>246.994</v>
      </c>
      <c r="AJ14" s="1181">
        <v>229.565</v>
      </c>
      <c r="AK14" s="665">
        <f t="shared" si="1"/>
        <v>229.565</v>
      </c>
      <c r="AL14" s="663"/>
      <c r="AM14" s="664">
        <v>235.88300000000001</v>
      </c>
      <c r="AN14" s="664">
        <v>242.64099999999999</v>
      </c>
      <c r="AO14" s="1254">
        <v>256.98</v>
      </c>
      <c r="AP14" s="1181">
        <v>242.8</v>
      </c>
      <c r="AQ14" s="665">
        <f>AP14</f>
        <v>242.8</v>
      </c>
      <c r="AR14" s="663"/>
      <c r="AS14" s="1524">
        <v>266.62900000000002</v>
      </c>
      <c r="AT14" s="664">
        <v>272.76400000000001</v>
      </c>
      <c r="AU14" s="664">
        <v>269.09500000000003</v>
      </c>
      <c r="AV14" s="1504">
        <v>246.43</v>
      </c>
      <c r="AW14" s="665">
        <f>AV14</f>
        <v>246.43</v>
      </c>
      <c r="AX14" s="663"/>
      <c r="AY14" s="1524">
        <v>257.52999999999997</v>
      </c>
      <c r="AZ14" s="664">
        <v>272.93200000000002</v>
      </c>
      <c r="BA14" s="664">
        <v>281.786</v>
      </c>
      <c r="BB14" s="1504">
        <v>263.41500000000002</v>
      </c>
      <c r="BC14" s="665">
        <f>BB14</f>
        <v>263.41500000000002</v>
      </c>
      <c r="BD14" s="663"/>
      <c r="BE14" s="1524">
        <v>287.048</v>
      </c>
      <c r="BF14" s="664">
        <v>286.447</v>
      </c>
      <c r="BG14" s="664">
        <v>303.18299999999999</v>
      </c>
      <c r="BH14" s="1504">
        <v>262.68200000000002</v>
      </c>
      <c r="BI14" s="665">
        <f>BH14</f>
        <v>262.68200000000002</v>
      </c>
      <c r="BJ14" s="663"/>
      <c r="BK14" s="1524">
        <v>279.976</v>
      </c>
      <c r="BL14" s="664">
        <v>287.13900000000001</v>
      </c>
      <c r="BM14" s="664">
        <v>297.85399999999998</v>
      </c>
      <c r="BN14" s="1504">
        <v>270.29399999999998</v>
      </c>
      <c r="BO14" s="665">
        <f>BN14</f>
        <v>270.29399999999998</v>
      </c>
      <c r="BP14" s="663"/>
      <c r="BQ14" s="1519">
        <f>BQ70*IS!BQ12/BS!BQ68</f>
        <v>304.36739129306346</v>
      </c>
      <c r="BR14" s="672">
        <f>BR70*IS!BR12/BS!BR68</f>
        <v>312.36430600273235</v>
      </c>
      <c r="BS14" s="663">
        <f>BS70*IS!BS12/BS!BS68</f>
        <v>316.82310951498948</v>
      </c>
      <c r="BT14" s="663">
        <f>BT70*IS!BT12/BS!BT68</f>
        <v>287.91224941096982</v>
      </c>
      <c r="BU14" s="665">
        <f>BT14</f>
        <v>287.91224941096982</v>
      </c>
      <c r="BV14" s="265"/>
      <c r="BW14" s="1519">
        <f>BW70*IS!BW12/BS!BW68</f>
        <v>327.81790061201093</v>
      </c>
      <c r="BX14" s="672">
        <f>BX70*IS!BX12/BS!BX68</f>
        <v>334.54782216721844</v>
      </c>
      <c r="BY14" s="663">
        <f>BY70*IS!BY12/BS!BY68</f>
        <v>338.42488224754743</v>
      </c>
      <c r="BZ14" s="663">
        <f>BZ70*IS!BZ12/BS!BZ68</f>
        <v>306.82562918288153</v>
      </c>
      <c r="CA14" s="665">
        <f>BZ14</f>
        <v>306.82562918288153</v>
      </c>
      <c r="CB14" s="265"/>
      <c r="CC14" s="1519">
        <f>CC70*IS!CC12/BS!CC68</f>
        <v>347.63024246398362</v>
      </c>
      <c r="CD14" s="672">
        <f>CD70*IS!CD12/BS!CD68</f>
        <v>352.58547588115476</v>
      </c>
      <c r="CE14" s="663">
        <f>CE70*IS!CE12/BS!CE68</f>
        <v>356.10034091844528</v>
      </c>
      <c r="CF14" s="663">
        <f>CF70*IS!CF12/BS!CF68</f>
        <v>321.32864603997837</v>
      </c>
      <c r="CG14" s="665">
        <f>CF14</f>
        <v>321.32864603997837</v>
      </c>
      <c r="CH14" s="265"/>
      <c r="CI14" s="1519">
        <f>CI70*IS!CI12/BS!CI68</f>
        <v>368.61584236193937</v>
      </c>
      <c r="CJ14" s="672">
        <f>CJ70*IS!CJ12/BS!CJ68</f>
        <v>371.59706479303759</v>
      </c>
      <c r="CK14" s="663">
        <f>CK70*IS!CK12/BS!CK68</f>
        <v>374.67949086603147</v>
      </c>
      <c r="CL14" s="663">
        <f>CL70*IS!CL12/BS!CL68</f>
        <v>336.55157539391496</v>
      </c>
      <c r="CM14" s="665">
        <f>CL14</f>
        <v>336.55157539391496</v>
      </c>
      <c r="CN14" s="265"/>
      <c r="CO14" s="265"/>
      <c r="CP14"/>
      <c r="CQ14"/>
      <c r="CR14"/>
      <c r="CS14"/>
      <c r="CT14"/>
      <c r="CU14"/>
      <c r="CV14" s="97"/>
    </row>
    <row r="15" spans="1:100" s="24" customFormat="1">
      <c r="A15" s="1512" t="s">
        <v>312</v>
      </c>
      <c r="B15" s="660"/>
      <c r="C15" s="660"/>
      <c r="D15" s="660"/>
      <c r="E15" s="660"/>
      <c r="F15" s="661"/>
      <c r="G15" s="662">
        <v>50.368000000000002</v>
      </c>
      <c r="H15" s="663"/>
      <c r="I15" s="664">
        <v>49.33</v>
      </c>
      <c r="J15" s="664">
        <v>47.957000000000001</v>
      </c>
      <c r="K15" s="664">
        <v>45.94</v>
      </c>
      <c r="L15" s="664">
        <v>62.966000000000001</v>
      </c>
      <c r="M15" s="665">
        <f>L15</f>
        <v>62.966000000000001</v>
      </c>
      <c r="N15" s="663"/>
      <c r="O15" s="664">
        <v>61.442999999999998</v>
      </c>
      <c r="P15" s="664">
        <v>61.323999999999998</v>
      </c>
      <c r="Q15" s="664">
        <v>56.960999999999999</v>
      </c>
      <c r="R15" s="664">
        <v>49.206000000000003</v>
      </c>
      <c r="S15" s="665">
        <f>R15</f>
        <v>49.206000000000003</v>
      </c>
      <c r="T15" s="663"/>
      <c r="U15" s="664">
        <v>53.865000000000002</v>
      </c>
      <c r="V15" s="664">
        <v>51.429000000000002</v>
      </c>
      <c r="W15" s="664">
        <v>55.328000000000003</v>
      </c>
      <c r="X15" s="664">
        <v>77.685000000000002</v>
      </c>
      <c r="Y15" s="665">
        <f>X15</f>
        <v>77.685000000000002</v>
      </c>
      <c r="Z15" s="663"/>
      <c r="AA15" s="664">
        <v>71.006</v>
      </c>
      <c r="AB15" s="664">
        <v>69.819999999999993</v>
      </c>
      <c r="AC15" s="664">
        <v>68.438999999999993</v>
      </c>
      <c r="AD15" s="1181">
        <v>80.804000000000002</v>
      </c>
      <c r="AE15" s="665">
        <f>AD15</f>
        <v>80.804000000000002</v>
      </c>
      <c r="AF15" s="663"/>
      <c r="AG15" s="664">
        <v>82.817999999999998</v>
      </c>
      <c r="AH15" s="664">
        <v>81.248000000000005</v>
      </c>
      <c r="AI15" s="664">
        <v>79.691999999999993</v>
      </c>
      <c r="AJ15" s="1181">
        <v>84.58</v>
      </c>
      <c r="AK15" s="665">
        <f t="shared" si="1"/>
        <v>84.58</v>
      </c>
      <c r="AL15" s="663"/>
      <c r="AM15" s="664">
        <v>84.531999999999996</v>
      </c>
      <c r="AN15" s="664">
        <v>86.692999999999998</v>
      </c>
      <c r="AO15" s="1254">
        <v>99.150999999999996</v>
      </c>
      <c r="AP15" s="1181">
        <v>78.8</v>
      </c>
      <c r="AQ15" s="665">
        <f>AP15</f>
        <v>78.8</v>
      </c>
      <c r="AR15" s="663"/>
      <c r="AS15" s="1524">
        <v>86.478999999999999</v>
      </c>
      <c r="AT15" s="664">
        <v>88.363</v>
      </c>
      <c r="AU15" s="664">
        <v>90.789000000000001</v>
      </c>
      <c r="AV15" s="1504">
        <v>118.30200000000001</v>
      </c>
      <c r="AW15" s="665">
        <f>AV15</f>
        <v>118.30200000000001</v>
      </c>
      <c r="AX15" s="663"/>
      <c r="AY15" s="1524">
        <v>115.02800000000001</v>
      </c>
      <c r="AZ15" s="664">
        <v>118.54900000000001</v>
      </c>
      <c r="BA15" s="664">
        <v>85.016000000000005</v>
      </c>
      <c r="BB15" s="1504">
        <v>82.54</v>
      </c>
      <c r="BC15" s="665">
        <f>BB15</f>
        <v>82.54</v>
      </c>
      <c r="BD15" s="663"/>
      <c r="BE15" s="1524">
        <v>78.825000000000003</v>
      </c>
      <c r="BF15" s="664">
        <v>73.75</v>
      </c>
      <c r="BG15" s="664">
        <v>76.403999999999996</v>
      </c>
      <c r="BH15" s="1504">
        <v>70.391000000000005</v>
      </c>
      <c r="BI15" s="665">
        <f>BH15</f>
        <v>70.391000000000005</v>
      </c>
      <c r="BJ15" s="663"/>
      <c r="BK15" s="1524">
        <v>70.23</v>
      </c>
      <c r="BL15" s="664">
        <v>71.338999999999999</v>
      </c>
      <c r="BM15" s="664">
        <v>69.38</v>
      </c>
      <c r="BN15" s="1504">
        <v>72.313999999999993</v>
      </c>
      <c r="BO15" s="665">
        <f>BN15</f>
        <v>72.313999999999993</v>
      </c>
      <c r="BP15" s="663"/>
      <c r="BQ15" s="1519">
        <f>IS!BQ9*BS!BQ83*4</f>
        <v>78.478689353770207</v>
      </c>
      <c r="BR15" s="672">
        <f>IS!BR9*BS!BR83*4</f>
        <v>80.04546665435447</v>
      </c>
      <c r="BS15" s="663">
        <f>IS!BS9*BS!BS83*4</f>
        <v>76.199672401226437</v>
      </c>
      <c r="BT15" s="663">
        <f>IS!BT9*BS!BT83*4</f>
        <v>79.953953092020328</v>
      </c>
      <c r="BU15" s="665">
        <f>BT15</f>
        <v>79.953953092020328</v>
      </c>
      <c r="BV15" s="265"/>
      <c r="BW15" s="1519">
        <f>IS!BW9*BS!BW83*4</f>
        <v>85.926316209233889</v>
      </c>
      <c r="BX15" s="672">
        <f>IS!BX9*BS!BX83*4</f>
        <v>87.305480264359375</v>
      </c>
      <c r="BY15" s="663">
        <f>IS!BY9*BS!BY83*4</f>
        <v>82.998417358779548</v>
      </c>
      <c r="BZ15" s="663">
        <f>IS!BZ9*BS!BZ83*4</f>
        <v>86.959565984999387</v>
      </c>
      <c r="CA15" s="665">
        <f>BZ15</f>
        <v>86.959565984999387</v>
      </c>
      <c r="CB15" s="265"/>
      <c r="CC15" s="1519">
        <f>IS!CC9*BS!CC83*4</f>
        <v>93.314296882703474</v>
      </c>
      <c r="CD15" s="672">
        <f>IS!CD9*BS!CD83*4</f>
        <v>94.4250852944906</v>
      </c>
      <c r="CE15" s="663">
        <f>IS!CE9*BS!CE83*4</f>
        <v>89.747688458215819</v>
      </c>
      <c r="CF15" s="663">
        <f>IS!CF9*BS!CF83*4</f>
        <v>93.850311802898403</v>
      </c>
      <c r="CG15" s="665">
        <f>CF15</f>
        <v>93.850311802898403</v>
      </c>
      <c r="CH15" s="265"/>
      <c r="CI15" s="1519">
        <f>IS!CI9*BS!CI83*4</f>
        <v>101.27078015739106</v>
      </c>
      <c r="CJ15" s="672">
        <f>IS!CJ9*BS!CJ83*4</f>
        <v>102.04986202075571</v>
      </c>
      <c r="CK15" s="663">
        <f>IS!CK9*BS!CK83*4</f>
        <v>96.964962957664824</v>
      </c>
      <c r="CL15" s="663">
        <f>IS!CL9*BS!CL83*4</f>
        <v>101.19258918745953</v>
      </c>
      <c r="CM15" s="665">
        <f>CL15</f>
        <v>101.19258918745953</v>
      </c>
      <c r="CN15" s="265"/>
      <c r="CO15" s="265"/>
      <c r="CP15"/>
      <c r="CQ15"/>
      <c r="CR15"/>
      <c r="CS15"/>
      <c r="CT15"/>
      <c r="CU15"/>
      <c r="CV15" s="97"/>
    </row>
    <row r="16" spans="1:100" s="24" customFormat="1">
      <c r="A16" s="1513" t="s">
        <v>314</v>
      </c>
      <c r="B16" s="666"/>
      <c r="C16" s="666"/>
      <c r="D16" s="666"/>
      <c r="E16" s="666"/>
      <c r="F16" s="667"/>
      <c r="G16" s="668">
        <f>SUM(G11:G15)</f>
        <v>1237.0619999999999</v>
      </c>
      <c r="H16" s="669"/>
      <c r="I16" s="669">
        <f>SUM(I11:I15)</f>
        <v>1321.6979999999996</v>
      </c>
      <c r="J16" s="669">
        <f t="shared" ref="J16:AJ16" si="2">SUM(J11:J15)</f>
        <v>1390.3010000000002</v>
      </c>
      <c r="K16" s="669">
        <f t="shared" si="2"/>
        <v>1434.0420000000001</v>
      </c>
      <c r="L16" s="669">
        <f t="shared" si="2"/>
        <v>956.30200000000002</v>
      </c>
      <c r="M16" s="668">
        <f t="shared" si="2"/>
        <v>956.30200000000002</v>
      </c>
      <c r="N16" s="669"/>
      <c r="O16" s="669">
        <f t="shared" si="2"/>
        <v>962.98700000000008</v>
      </c>
      <c r="P16" s="669">
        <f t="shared" si="2"/>
        <v>1058.2570000000001</v>
      </c>
      <c r="Q16" s="669">
        <f t="shared" si="2"/>
        <v>1121.847</v>
      </c>
      <c r="R16" s="669">
        <f t="shared" si="2"/>
        <v>1172.376</v>
      </c>
      <c r="S16" s="668">
        <f t="shared" si="2"/>
        <v>1172.376</v>
      </c>
      <c r="T16" s="669"/>
      <c r="U16" s="669">
        <f t="shared" si="2"/>
        <v>1249.2170000000001</v>
      </c>
      <c r="V16" s="669">
        <f t="shared" si="2"/>
        <v>1311.8579999999999</v>
      </c>
      <c r="W16" s="669">
        <f t="shared" si="2"/>
        <v>1438.3269999999998</v>
      </c>
      <c r="X16" s="669">
        <f t="shared" si="2"/>
        <v>1586.6410000000001</v>
      </c>
      <c r="Y16" s="668">
        <f t="shared" si="2"/>
        <v>1586.6410000000001</v>
      </c>
      <c r="Z16" s="669"/>
      <c r="AA16" s="669">
        <f t="shared" si="2"/>
        <v>1683.3340000000001</v>
      </c>
      <c r="AB16" s="669">
        <f t="shared" si="2"/>
        <v>1800.0080000000003</v>
      </c>
      <c r="AC16" s="669">
        <f t="shared" si="2"/>
        <v>1863.3590000000002</v>
      </c>
      <c r="AD16" s="1182">
        <f t="shared" si="2"/>
        <v>1942.1040000000003</v>
      </c>
      <c r="AE16" s="668">
        <f t="shared" si="2"/>
        <v>1942.1040000000003</v>
      </c>
      <c r="AF16" s="669"/>
      <c r="AG16" s="669">
        <f t="shared" si="2"/>
        <v>2023.479</v>
      </c>
      <c r="AH16" s="669">
        <f t="shared" si="2"/>
        <v>2065.2919999999999</v>
      </c>
      <c r="AI16" s="669">
        <f t="shared" si="2"/>
        <v>2137.498</v>
      </c>
      <c r="AJ16" s="1182">
        <f t="shared" si="2"/>
        <v>2257.7260000000001</v>
      </c>
      <c r="AK16" s="668">
        <f>AK10+SUM(AK13:AK15)</f>
        <v>2257.7260000000001</v>
      </c>
      <c r="AL16" s="669"/>
      <c r="AM16" s="669">
        <f>SUM(AM11:AM15)</f>
        <v>2287.681</v>
      </c>
      <c r="AN16" s="669">
        <f>SUM(AN11:AN15)</f>
        <v>2344.2780000000002</v>
      </c>
      <c r="AO16" s="1255">
        <f>SUM(AO11:AO15)</f>
        <v>2429.0819999999999</v>
      </c>
      <c r="AP16" s="1182">
        <f>SUM(AP11:AP15)</f>
        <v>2556.2550000000006</v>
      </c>
      <c r="AQ16" s="668">
        <f>SUM(AQ11:AQ15)</f>
        <v>2556.2550000000006</v>
      </c>
      <c r="AR16" s="669"/>
      <c r="AS16" s="1520">
        <f>SUM(AS11:AS15)</f>
        <v>2607.7089999999998</v>
      </c>
      <c r="AT16" s="669">
        <f>SUM(AT11:AT15)</f>
        <v>2680.6059999999998</v>
      </c>
      <c r="AU16" s="669">
        <f>SUM(AU11:AU15)</f>
        <v>2699.4100000000003</v>
      </c>
      <c r="AV16" s="669">
        <f>SUM(AV11:AV15)</f>
        <v>2853.7359999999999</v>
      </c>
      <c r="AW16" s="668">
        <f>SUM(AW11:AW15)</f>
        <v>2853.7359999999999</v>
      </c>
      <c r="AX16" s="669"/>
      <c r="AY16" s="1520">
        <f>SUM(AY11:AY15)</f>
        <v>2875.9729999999995</v>
      </c>
      <c r="AZ16" s="669">
        <f>SUM(AZ11:AZ15)</f>
        <v>3006.9570000000003</v>
      </c>
      <c r="BA16" s="669">
        <f>SUM(BA11:BA15)</f>
        <v>3093.8470000000002</v>
      </c>
      <c r="BB16" s="669">
        <f>SUM(BB11:BB15)</f>
        <v>3213.5329999999999</v>
      </c>
      <c r="BC16" s="668">
        <f>SUM(BC11:BC15)</f>
        <v>3213.5329999999999</v>
      </c>
      <c r="BD16" s="669"/>
      <c r="BE16" s="1520">
        <f>SUM(BE11:BE15)</f>
        <v>3310.6189999999997</v>
      </c>
      <c r="BF16" s="669">
        <f>SUM(BF11:BF15)</f>
        <v>3405.9360000000001</v>
      </c>
      <c r="BG16" s="669">
        <f>SUM(BG11:BG15)</f>
        <v>3534.37</v>
      </c>
      <c r="BH16" s="669">
        <f>SUM(BH11:BH15)</f>
        <v>3635.4450000000002</v>
      </c>
      <c r="BI16" s="668">
        <f>SUM(BI11:BI15)</f>
        <v>3635.4450000000002</v>
      </c>
      <c r="BJ16" s="669"/>
      <c r="BK16" s="1520">
        <f>SUM(BK11:BK15)</f>
        <v>3778.424</v>
      </c>
      <c r="BL16" s="669">
        <f>SUM(BL11:BL15)</f>
        <v>3947.2350000000001</v>
      </c>
      <c r="BM16" s="669">
        <f>SUM(BM11:BM15)</f>
        <v>4078.5250000000001</v>
      </c>
      <c r="BN16" s="669">
        <f>SUM(BN11:BN15)</f>
        <v>4270.134</v>
      </c>
      <c r="BO16" s="668">
        <f>SUM(BO11:BO15)</f>
        <v>4270.134</v>
      </c>
      <c r="BP16" s="669"/>
      <c r="BQ16" s="1520">
        <f>SUM(BQ11:BQ15)</f>
        <v>4080.5852306396332</v>
      </c>
      <c r="BR16" s="669">
        <f>SUM(BR11:BR15)</f>
        <v>4108.1403250313733</v>
      </c>
      <c r="BS16" s="669">
        <f>SUM(BS11:BS15)</f>
        <v>4113.113724691877</v>
      </c>
      <c r="BT16" s="669">
        <f>SUM(BT11:BT15)</f>
        <v>4243.6925350752845</v>
      </c>
      <c r="BU16" s="668">
        <f>SUM(BU11:BU15)</f>
        <v>4243.6925350752845</v>
      </c>
      <c r="BV16" s="265"/>
      <c r="BW16" s="1520">
        <f>SUM(BW11:BW15)</f>
        <v>4046.3622085771685</v>
      </c>
      <c r="BX16" s="669">
        <f>SUM(BX11:BX15)</f>
        <v>4066.9850354841801</v>
      </c>
      <c r="BY16" s="669">
        <f>SUM(BY11:BY15)</f>
        <v>4063.6874830941574</v>
      </c>
      <c r="BZ16" s="669">
        <f>SUM(BZ11:BZ15)</f>
        <v>4189.2929898670955</v>
      </c>
      <c r="CA16" s="668">
        <f>SUM(CA11:CA15)</f>
        <v>4189.2929898670955</v>
      </c>
      <c r="CB16" s="265"/>
      <c r="CC16" s="1520">
        <f>SUM(CC11:CC15)</f>
        <v>4102.8761190148343</v>
      </c>
      <c r="CD16" s="669">
        <f>SUM(CD11:CD15)</f>
        <v>4194.7986716713685</v>
      </c>
      <c r="CE16" s="669">
        <f>SUM(CE11:CE15)</f>
        <v>4263.0591088495876</v>
      </c>
      <c r="CF16" s="669">
        <f>SUM(CF11:CF15)</f>
        <v>4467.6321907752763</v>
      </c>
      <c r="CG16" s="668">
        <f>SUM(CG11:CG15)</f>
        <v>4467.6321907752763</v>
      </c>
      <c r="CH16" s="265"/>
      <c r="CI16" s="1520">
        <f>SUM(CI11:CI15)</f>
        <v>4476.6390800469962</v>
      </c>
      <c r="CJ16" s="669">
        <f>SUM(CJ11:CJ15)</f>
        <v>4527.347436285173</v>
      </c>
      <c r="CK16" s="669">
        <f>SUM(CK11:CK15)</f>
        <v>4549.9024483057237</v>
      </c>
      <c r="CL16" s="669">
        <f>SUM(CL11:CL15)</f>
        <v>4714.5662538533506</v>
      </c>
      <c r="CM16" s="668">
        <f>SUM(CM11:CM15)</f>
        <v>4714.5662538533506</v>
      </c>
      <c r="CN16" s="265"/>
      <c r="CO16" s="265"/>
      <c r="CP16"/>
      <c r="CQ16"/>
      <c r="CR16"/>
      <c r="CS16"/>
      <c r="CT16"/>
      <c r="CU16"/>
      <c r="CV16" s="97"/>
    </row>
    <row r="17" spans="1:101" s="24" customFormat="1">
      <c r="A17" s="1512" t="s">
        <v>315</v>
      </c>
      <c r="B17" s="660"/>
      <c r="C17" s="660"/>
      <c r="D17" s="660"/>
      <c r="E17" s="660"/>
      <c r="F17" s="661"/>
      <c r="G17" s="662">
        <v>160.85599999999999</v>
      </c>
      <c r="H17" s="663"/>
      <c r="I17" s="664">
        <v>163.87200000000001</v>
      </c>
      <c r="J17" s="664">
        <v>165.929</v>
      </c>
      <c r="K17" s="664">
        <v>166.56899999999999</v>
      </c>
      <c r="L17" s="664">
        <v>171.58799999999999</v>
      </c>
      <c r="M17" s="665">
        <f>L17</f>
        <v>171.58799999999999</v>
      </c>
      <c r="N17" s="663"/>
      <c r="O17" s="664">
        <v>183.82300000000001</v>
      </c>
      <c r="P17" s="664">
        <v>203.29300000000001</v>
      </c>
      <c r="Q17" s="664">
        <v>209.172</v>
      </c>
      <c r="R17" s="664">
        <v>210.92599999999999</v>
      </c>
      <c r="S17" s="665">
        <f>R17</f>
        <v>210.92599999999999</v>
      </c>
      <c r="T17" s="663"/>
      <c r="U17" s="664">
        <v>208.95699999999999</v>
      </c>
      <c r="V17" s="664">
        <v>210.649</v>
      </c>
      <c r="W17" s="664">
        <v>214.773</v>
      </c>
      <c r="X17" s="664">
        <v>215.06</v>
      </c>
      <c r="Y17" s="665">
        <f>X17</f>
        <v>215.06</v>
      </c>
      <c r="Z17" s="663"/>
      <c r="AA17" s="664">
        <v>216.989</v>
      </c>
      <c r="AB17" s="664">
        <v>218.637</v>
      </c>
      <c r="AC17" s="664">
        <v>221.059</v>
      </c>
      <c r="AD17" s="1181">
        <v>237.095</v>
      </c>
      <c r="AE17" s="665">
        <f>AD17</f>
        <v>237.095</v>
      </c>
      <c r="AF17" s="663"/>
      <c r="AG17" s="664">
        <v>238.95500000000001</v>
      </c>
      <c r="AH17" s="664">
        <v>251.357</v>
      </c>
      <c r="AI17" s="664">
        <v>261.11500000000001</v>
      </c>
      <c r="AJ17" s="1181">
        <v>273.279</v>
      </c>
      <c r="AK17" s="665">
        <f>AJ17</f>
        <v>273.279</v>
      </c>
      <c r="AL17" s="663"/>
      <c r="AM17" s="664">
        <v>282.71600000000001</v>
      </c>
      <c r="AN17" s="664">
        <v>295.74099999999999</v>
      </c>
      <c r="AO17" s="1254">
        <v>313.66699999999997</v>
      </c>
      <c r="AP17" s="1181">
        <v>324.93200000000002</v>
      </c>
      <c r="AQ17" s="665">
        <f>AP17</f>
        <v>324.93200000000002</v>
      </c>
      <c r="AR17" s="663"/>
      <c r="AS17" s="1524">
        <v>329.88</v>
      </c>
      <c r="AT17" s="664">
        <v>328.59800000000001</v>
      </c>
      <c r="AU17" s="664">
        <v>322.92399999999998</v>
      </c>
      <c r="AV17" s="1504">
        <v>321.58300000000003</v>
      </c>
      <c r="AW17" s="665">
        <f>AV17</f>
        <v>321.58300000000003</v>
      </c>
      <c r="AX17" s="663"/>
      <c r="AY17" s="1524">
        <v>316.81400000000002</v>
      </c>
      <c r="AZ17" s="664">
        <v>324.89600000000002</v>
      </c>
      <c r="BA17" s="664">
        <v>325.55399999999997</v>
      </c>
      <c r="BB17" s="1504">
        <v>333.35500000000002</v>
      </c>
      <c r="BC17" s="665">
        <f>BB17</f>
        <v>333.35500000000002</v>
      </c>
      <c r="BD17" s="663"/>
      <c r="BE17" s="1524">
        <v>336.798</v>
      </c>
      <c r="BF17" s="664">
        <v>330.23500000000001</v>
      </c>
      <c r="BG17" s="664">
        <v>329.721</v>
      </c>
      <c r="BH17" s="1504">
        <v>337.11799999999999</v>
      </c>
      <c r="BI17" s="665">
        <f>BH17</f>
        <v>337.11799999999999</v>
      </c>
      <c r="BJ17" s="663"/>
      <c r="BK17" s="1524">
        <v>334.38200000000001</v>
      </c>
      <c r="BL17" s="664">
        <v>338.86</v>
      </c>
      <c r="BM17" s="664">
        <v>342.83199999999999</v>
      </c>
      <c r="BN17" s="1504">
        <v>349.27800000000002</v>
      </c>
      <c r="BO17" s="665">
        <f>BN17</f>
        <v>349.27800000000002</v>
      </c>
      <c r="BP17" s="663"/>
      <c r="BQ17" s="1519">
        <f>BQ109</f>
        <v>361.06039559802804</v>
      </c>
      <c r="BR17" s="672">
        <f>BR109</f>
        <v>375.45450994623309</v>
      </c>
      <c r="BS17" s="663">
        <f>BS109</f>
        <v>389.17086059519647</v>
      </c>
      <c r="BT17" s="663">
        <f>BT109</f>
        <v>408.348933417843</v>
      </c>
      <c r="BU17" s="665">
        <f>BT17</f>
        <v>408.348933417843</v>
      </c>
      <c r="BV17" s="265"/>
      <c r="BW17" s="1519">
        <f>BW109</f>
        <v>432.79150719304175</v>
      </c>
      <c r="BX17" s="672">
        <f>BX109</f>
        <v>461.03191458682181</v>
      </c>
      <c r="BY17" s="663">
        <f>BY109</f>
        <v>488.18337692272723</v>
      </c>
      <c r="BZ17" s="663">
        <f>BZ109</f>
        <v>523.40866025971525</v>
      </c>
      <c r="CA17" s="665">
        <f>BZ17</f>
        <v>523.40866025971525</v>
      </c>
      <c r="CB17" s="265"/>
      <c r="CC17" s="1519">
        <f>CC109</f>
        <v>548.18581238219178</v>
      </c>
      <c r="CD17" s="672">
        <f>CD109</f>
        <v>576.65664120182578</v>
      </c>
      <c r="CE17" s="663">
        <f>CE109</f>
        <v>604.00658495596986</v>
      </c>
      <c r="CF17" s="663">
        <f>CF109</f>
        <v>639.36795700179823</v>
      </c>
      <c r="CG17" s="665">
        <f>CF17</f>
        <v>639.36795700179823</v>
      </c>
      <c r="CH17" s="265"/>
      <c r="CI17" s="1519">
        <f>CI109</f>
        <v>653.02728085538138</v>
      </c>
      <c r="CJ17" s="672">
        <f>CJ109</f>
        <v>669.20970136019605</v>
      </c>
      <c r="CK17" s="663">
        <f>CK109</f>
        <v>684.57837276645228</v>
      </c>
      <c r="CL17" s="663">
        <f>CL109</f>
        <v>705.54821473084564</v>
      </c>
      <c r="CM17" s="665">
        <f>CL17</f>
        <v>705.54821473084564</v>
      </c>
      <c r="CN17" s="265"/>
      <c r="CO17" s="265"/>
      <c r="CP17"/>
      <c r="CQ17"/>
      <c r="CR17"/>
      <c r="CS17"/>
      <c r="CT17"/>
      <c r="CU17"/>
      <c r="CV17" s="97"/>
    </row>
    <row r="18" spans="1:101" s="24" customFormat="1">
      <c r="A18" s="1512" t="s">
        <v>316</v>
      </c>
      <c r="B18" s="660"/>
      <c r="C18" s="660"/>
      <c r="D18" s="660"/>
      <c r="E18" s="660"/>
      <c r="F18" s="661"/>
      <c r="G18" s="662">
        <v>272.62599999999998</v>
      </c>
      <c r="H18" s="663"/>
      <c r="I18" s="664">
        <v>274.30900000000003</v>
      </c>
      <c r="J18" s="664">
        <v>273.81400000000002</v>
      </c>
      <c r="K18" s="664">
        <v>272.077</v>
      </c>
      <c r="L18" s="664">
        <v>268.36399999999998</v>
      </c>
      <c r="M18" s="665">
        <f>L18</f>
        <v>268.36399999999998</v>
      </c>
      <c r="N18" s="663"/>
      <c r="O18" s="664">
        <v>289.66899999999998</v>
      </c>
      <c r="P18" s="664">
        <v>292.31200000000001</v>
      </c>
      <c r="Q18" s="664">
        <v>292.95999999999998</v>
      </c>
      <c r="R18" s="664">
        <v>293.077</v>
      </c>
      <c r="S18" s="665">
        <f>R18</f>
        <v>293.077</v>
      </c>
      <c r="T18" s="663"/>
      <c r="U18" s="664">
        <v>291.73399999999998</v>
      </c>
      <c r="V18" s="664">
        <v>289.92899999999997</v>
      </c>
      <c r="W18" s="664">
        <v>292.42399999999998</v>
      </c>
      <c r="X18" s="664">
        <v>291.65699999999998</v>
      </c>
      <c r="Y18" s="665">
        <f>X18</f>
        <v>291.65699999999998</v>
      </c>
      <c r="Z18" s="663"/>
      <c r="AA18" s="664">
        <v>293.517</v>
      </c>
      <c r="AB18" s="664">
        <v>294.02</v>
      </c>
      <c r="AC18" s="664">
        <v>298.29700000000003</v>
      </c>
      <c r="AD18" s="1181">
        <v>297.07100000000003</v>
      </c>
      <c r="AE18" s="665">
        <f>AD18</f>
        <v>297.07100000000003</v>
      </c>
      <c r="AF18" s="663"/>
      <c r="AG18" s="664">
        <v>309.08800000000002</v>
      </c>
      <c r="AH18" s="664">
        <v>199.01300000000001</v>
      </c>
      <c r="AI18" s="664">
        <v>212.87</v>
      </c>
      <c r="AJ18" s="1181">
        <v>316.834</v>
      </c>
      <c r="AK18" s="665">
        <f>AJ18</f>
        <v>316.834</v>
      </c>
      <c r="AL18" s="663"/>
      <c r="AM18" s="664">
        <v>315.14499999999998</v>
      </c>
      <c r="AN18" s="664">
        <v>315.21499999999997</v>
      </c>
      <c r="AO18" s="1254">
        <v>340.39299999999997</v>
      </c>
      <c r="AP18" s="1181">
        <v>350.35</v>
      </c>
      <c r="AQ18" s="665">
        <f>AP18</f>
        <v>350.35</v>
      </c>
      <c r="AR18" s="663"/>
      <c r="AS18" s="1524">
        <v>353.46899999999999</v>
      </c>
      <c r="AT18" s="664">
        <v>354.07900000000001</v>
      </c>
      <c r="AU18" s="664">
        <v>358.464</v>
      </c>
      <c r="AV18" s="1504">
        <v>354.83800000000002</v>
      </c>
      <c r="AW18" s="665">
        <f>AV18</f>
        <v>354.83800000000002</v>
      </c>
      <c r="AX18" s="663"/>
      <c r="AY18" s="1524">
        <v>350.02100000000002</v>
      </c>
      <c r="AZ18" s="664">
        <v>353.34</v>
      </c>
      <c r="BA18" s="664">
        <v>352.15100000000001</v>
      </c>
      <c r="BB18" s="1504">
        <v>356.86399999999998</v>
      </c>
      <c r="BC18" s="665">
        <f>BB18</f>
        <v>356.86399999999998</v>
      </c>
      <c r="BD18" s="663"/>
      <c r="BE18" s="1524">
        <v>356.88</v>
      </c>
      <c r="BF18" s="664">
        <v>352.98700000000002</v>
      </c>
      <c r="BG18" s="664">
        <v>356.44600000000003</v>
      </c>
      <c r="BH18" s="1504">
        <v>352.08</v>
      </c>
      <c r="BI18" s="665">
        <f>BH18</f>
        <v>352.08</v>
      </c>
      <c r="BJ18" s="663"/>
      <c r="BK18" s="1524">
        <v>353.79599999999999</v>
      </c>
      <c r="BL18" s="664">
        <v>357.12200000000001</v>
      </c>
      <c r="BM18" s="664">
        <v>359.37599999999998</v>
      </c>
      <c r="BN18" s="1504">
        <v>359.81900000000002</v>
      </c>
      <c r="BO18" s="665">
        <f>BN18</f>
        <v>359.81900000000002</v>
      </c>
      <c r="BP18" s="663"/>
      <c r="BQ18" s="1519">
        <f>BQ126</f>
        <v>359.81900000000002</v>
      </c>
      <c r="BR18" s="672">
        <f>BR126</f>
        <v>359.81900000000002</v>
      </c>
      <c r="BS18" s="663">
        <f>BS126</f>
        <v>359.81900000000002</v>
      </c>
      <c r="BT18" s="663">
        <f>BT126</f>
        <v>359.81900000000002</v>
      </c>
      <c r="BU18" s="665">
        <f>BT18</f>
        <v>359.81900000000002</v>
      </c>
      <c r="BV18" s="265"/>
      <c r="BW18" s="1519">
        <f>BW126</f>
        <v>359.81900000000002</v>
      </c>
      <c r="BX18" s="672">
        <f>BX126</f>
        <v>359.81900000000002</v>
      </c>
      <c r="BY18" s="663">
        <f>BY126</f>
        <v>359.81900000000002</v>
      </c>
      <c r="BZ18" s="663">
        <f>BZ126</f>
        <v>359.81900000000002</v>
      </c>
      <c r="CA18" s="665">
        <f>BZ18</f>
        <v>359.81900000000002</v>
      </c>
      <c r="CB18" s="265"/>
      <c r="CC18" s="1519">
        <f>CC126</f>
        <v>359.81900000000002</v>
      </c>
      <c r="CD18" s="672">
        <f>CD126</f>
        <v>359.81900000000002</v>
      </c>
      <c r="CE18" s="663">
        <f>CE126</f>
        <v>359.81900000000002</v>
      </c>
      <c r="CF18" s="663">
        <f>CF126</f>
        <v>359.81900000000002</v>
      </c>
      <c r="CG18" s="665">
        <f>CF18</f>
        <v>359.81900000000002</v>
      </c>
      <c r="CH18" s="265"/>
      <c r="CI18" s="1519">
        <f>CI126</f>
        <v>359.81900000000002</v>
      </c>
      <c r="CJ18" s="672">
        <f>CJ126</f>
        <v>359.81900000000002</v>
      </c>
      <c r="CK18" s="663">
        <f>CK126</f>
        <v>359.81900000000002</v>
      </c>
      <c r="CL18" s="663">
        <f>CL126</f>
        <v>359.81900000000002</v>
      </c>
      <c r="CM18" s="665">
        <f>CL18</f>
        <v>359.81900000000002</v>
      </c>
      <c r="CN18" s="265"/>
      <c r="CO18" s="265"/>
      <c r="CP18"/>
      <c r="CQ18"/>
      <c r="CR18"/>
      <c r="CS18"/>
      <c r="CT18"/>
      <c r="CU18"/>
      <c r="CV18" s="97"/>
    </row>
    <row r="19" spans="1:101" s="24" customFormat="1" hidden="1" outlineLevel="1">
      <c r="A19" s="1512" t="s">
        <v>317</v>
      </c>
      <c r="B19" s="660"/>
      <c r="C19" s="660"/>
      <c r="D19" s="660"/>
      <c r="E19" s="660"/>
      <c r="F19" s="661"/>
      <c r="G19" s="662">
        <v>141.75899999999999</v>
      </c>
      <c r="H19" s="663"/>
      <c r="I19" s="664">
        <v>144.04</v>
      </c>
      <c r="J19" s="664">
        <v>153.89099999999999</v>
      </c>
      <c r="K19" s="664">
        <v>148.71600000000001</v>
      </c>
      <c r="L19" s="664">
        <v>149.65199999999999</v>
      </c>
      <c r="M19" s="665">
        <f>L19</f>
        <v>149.65199999999999</v>
      </c>
      <c r="N19" s="663"/>
      <c r="O19" s="664">
        <v>171.70699999999999</v>
      </c>
      <c r="P19" s="664">
        <v>177.40700000000001</v>
      </c>
      <c r="Q19" s="664">
        <v>181.92599999999999</v>
      </c>
      <c r="R19" s="664">
        <v>182.16499999999999</v>
      </c>
      <c r="S19" s="665">
        <f>R19</f>
        <v>182.16499999999999</v>
      </c>
      <c r="T19" s="663"/>
      <c r="U19" s="664">
        <v>179.55699999999999</v>
      </c>
      <c r="V19" s="664">
        <v>172.203</v>
      </c>
      <c r="W19" s="664">
        <v>183.18199999999999</v>
      </c>
      <c r="X19" s="664">
        <v>181.316</v>
      </c>
      <c r="Y19" s="665">
        <f>X19</f>
        <v>181.316</v>
      </c>
      <c r="Z19" s="663"/>
      <c r="AA19" s="664">
        <v>191.43199999999999</v>
      </c>
      <c r="AB19" s="664">
        <v>195.07400000000001</v>
      </c>
      <c r="AC19" s="664">
        <v>196.30500000000001</v>
      </c>
      <c r="AD19" s="1181">
        <v>191.99199999999999</v>
      </c>
      <c r="AE19" s="665">
        <f>AD19</f>
        <v>191.99199999999999</v>
      </c>
      <c r="AF19" s="663"/>
      <c r="AG19" s="664">
        <v>205.35499999999999</v>
      </c>
      <c r="AH19" s="664">
        <v>306.77</v>
      </c>
      <c r="AI19" s="664">
        <v>316.26900000000001</v>
      </c>
      <c r="AJ19" s="1181">
        <v>220.14500000000001</v>
      </c>
      <c r="AK19" s="665">
        <f>AJ19</f>
        <v>220.14500000000001</v>
      </c>
      <c r="AL19" s="663"/>
      <c r="AM19" s="664">
        <v>214.99299999999999</v>
      </c>
      <c r="AN19" s="664">
        <v>219.453</v>
      </c>
      <c r="AO19" s="1254">
        <v>230.774</v>
      </c>
      <c r="AP19" s="1181">
        <v>239.11199999999999</v>
      </c>
      <c r="AQ19" s="665">
        <f>AP19</f>
        <v>239.11199999999999</v>
      </c>
      <c r="AR19" s="663"/>
      <c r="AS19" s="1524">
        <v>238.25800000000001</v>
      </c>
      <c r="AT19" s="664">
        <v>237.06399999999999</v>
      </c>
      <c r="AU19" s="664">
        <v>241.654</v>
      </c>
      <c r="AV19" s="1504">
        <v>232.37100000000001</v>
      </c>
      <c r="AW19" s="665">
        <f>AV19</f>
        <v>232.37100000000001</v>
      </c>
      <c r="AX19" s="663"/>
      <c r="AY19" s="1524">
        <v>213.108</v>
      </c>
      <c r="AZ19" s="664">
        <v>223.16</v>
      </c>
      <c r="BA19" s="664">
        <v>222.80600000000001</v>
      </c>
      <c r="BB19" s="1504">
        <v>218.02199999999999</v>
      </c>
      <c r="BC19" s="665">
        <f>BB19</f>
        <v>218.02199999999999</v>
      </c>
      <c r="BD19" s="663"/>
      <c r="BE19" s="1524">
        <v>223.364</v>
      </c>
      <c r="BF19" s="664">
        <v>217.393</v>
      </c>
      <c r="BG19" s="664">
        <v>221.619</v>
      </c>
      <c r="BH19" s="1504">
        <v>207.05500000000001</v>
      </c>
      <c r="BI19" s="665">
        <f>BH19</f>
        <v>207.05500000000001</v>
      </c>
      <c r="BJ19" s="663"/>
      <c r="BK19" s="1524">
        <v>211.04900000000001</v>
      </c>
      <c r="BL19" s="664">
        <v>219.09200000000001</v>
      </c>
      <c r="BM19" s="664">
        <v>224.05600000000001</v>
      </c>
      <c r="BN19" s="1504">
        <v>228.39500000000001</v>
      </c>
      <c r="BO19" s="665">
        <f>BN19</f>
        <v>228.39500000000001</v>
      </c>
      <c r="BP19" s="663"/>
      <c r="BQ19" s="1519">
        <f>BQ120</f>
        <v>218.39500000000001</v>
      </c>
      <c r="BR19" s="672">
        <f>BR120</f>
        <v>208.39500000000001</v>
      </c>
      <c r="BS19" s="663">
        <f>BS120</f>
        <v>198.39500000000001</v>
      </c>
      <c r="BT19" s="663">
        <f>BT120</f>
        <v>188.39500000000001</v>
      </c>
      <c r="BU19" s="665">
        <f>BT19</f>
        <v>188.39500000000001</v>
      </c>
      <c r="BV19" s="265"/>
      <c r="BW19" s="1519">
        <f>BW120</f>
        <v>178.39500000000001</v>
      </c>
      <c r="BX19" s="672">
        <f>BX120</f>
        <v>168.39500000000001</v>
      </c>
      <c r="BY19" s="663">
        <f>BY120</f>
        <v>158.39500000000001</v>
      </c>
      <c r="BZ19" s="663">
        <f>BZ120</f>
        <v>148.39500000000001</v>
      </c>
      <c r="CA19" s="665">
        <f>BZ19</f>
        <v>148.39500000000001</v>
      </c>
      <c r="CB19" s="265"/>
      <c r="CC19" s="1519">
        <f>CC120</f>
        <v>138.39500000000001</v>
      </c>
      <c r="CD19" s="672">
        <f>CD120</f>
        <v>128.39500000000001</v>
      </c>
      <c r="CE19" s="663">
        <f>CE120</f>
        <v>118.39500000000001</v>
      </c>
      <c r="CF19" s="663">
        <f>CF120</f>
        <v>108.39500000000001</v>
      </c>
      <c r="CG19" s="665">
        <f>CF19</f>
        <v>108.39500000000001</v>
      </c>
      <c r="CH19" s="265"/>
      <c r="CI19" s="1519">
        <f>CI120</f>
        <v>98.39500000000001</v>
      </c>
      <c r="CJ19" s="672">
        <f>CJ120</f>
        <v>88.39500000000001</v>
      </c>
      <c r="CK19" s="663">
        <f>CK120</f>
        <v>78.39500000000001</v>
      </c>
      <c r="CL19" s="663">
        <f>CL120</f>
        <v>68.39500000000001</v>
      </c>
      <c r="CM19" s="665">
        <f>CL19</f>
        <v>68.39500000000001</v>
      </c>
      <c r="CN19" s="265"/>
      <c r="CO19" s="265"/>
      <c r="CP19"/>
      <c r="CQ19"/>
      <c r="CR19"/>
      <c r="CS19"/>
      <c r="CT19"/>
      <c r="CU19"/>
      <c r="CV19" s="97"/>
    </row>
    <row r="20" spans="1:101" s="24" customFormat="1" hidden="1" outlineLevel="1">
      <c r="A20" s="1512" t="s">
        <v>300</v>
      </c>
      <c r="B20" s="660"/>
      <c r="C20" s="660"/>
      <c r="D20" s="660"/>
      <c r="E20" s="660"/>
      <c r="F20" s="661"/>
      <c r="G20" s="662">
        <v>68.751999999999995</v>
      </c>
      <c r="H20" s="663"/>
      <c r="I20" s="664">
        <v>70.429000000000002</v>
      </c>
      <c r="J20" s="664">
        <v>80.423000000000002</v>
      </c>
      <c r="K20" s="664">
        <v>82.378</v>
      </c>
      <c r="L20" s="664">
        <v>76.992000000000004</v>
      </c>
      <c r="M20" s="665">
        <f>L20</f>
        <v>76.992000000000004</v>
      </c>
      <c r="N20" s="663"/>
      <c r="O20" s="664">
        <v>66.349000000000004</v>
      </c>
      <c r="P20" s="664">
        <v>71.347999999999999</v>
      </c>
      <c r="Q20" s="664">
        <v>79.656000000000006</v>
      </c>
      <c r="R20" s="664">
        <v>49.387</v>
      </c>
      <c r="S20" s="665">
        <f>R20</f>
        <v>49.387</v>
      </c>
      <c r="T20" s="663"/>
      <c r="U20" s="664">
        <v>51.777000000000001</v>
      </c>
      <c r="V20" s="664">
        <v>51.76</v>
      </c>
      <c r="W20" s="664">
        <v>76.94</v>
      </c>
      <c r="X20" s="664">
        <v>52.996000000000002</v>
      </c>
      <c r="Y20" s="665">
        <f>X20</f>
        <v>52.996000000000002</v>
      </c>
      <c r="Z20" s="663"/>
      <c r="AA20" s="664">
        <v>61.89</v>
      </c>
      <c r="AB20" s="664">
        <v>64.117000000000004</v>
      </c>
      <c r="AC20" s="664">
        <v>60.594999999999999</v>
      </c>
      <c r="AD20" s="1181">
        <v>54.972000000000001</v>
      </c>
      <c r="AE20" s="665">
        <f>AD20</f>
        <v>54.972000000000001</v>
      </c>
      <c r="AF20" s="663"/>
      <c r="AG20" s="664">
        <v>62.539000000000001</v>
      </c>
      <c r="AH20" s="664">
        <v>61.124000000000002</v>
      </c>
      <c r="AI20" s="664">
        <v>69.388000000000005</v>
      </c>
      <c r="AJ20" s="1181">
        <v>100.166</v>
      </c>
      <c r="AK20" s="665">
        <f>AJ20</f>
        <v>100.166</v>
      </c>
      <c r="AL20" s="663"/>
      <c r="AM20" s="664">
        <v>106.782</v>
      </c>
      <c r="AN20" s="664">
        <v>110.842</v>
      </c>
      <c r="AO20" s="1254">
        <v>111.40300000000001</v>
      </c>
      <c r="AP20" s="1181">
        <v>111.98</v>
      </c>
      <c r="AQ20" s="665">
        <f>AP20</f>
        <v>111.98</v>
      </c>
      <c r="AR20" s="663"/>
      <c r="AS20" s="1524">
        <v>120.419</v>
      </c>
      <c r="AT20" s="664">
        <v>127.18300000000001</v>
      </c>
      <c r="AU20" s="664">
        <v>129.22399999999999</v>
      </c>
      <c r="AV20" s="1504">
        <v>115.40600000000001</v>
      </c>
      <c r="AW20" s="665">
        <f>AV20</f>
        <v>115.40600000000001</v>
      </c>
      <c r="AX20" s="663"/>
      <c r="AY20" s="1524">
        <v>116.81</v>
      </c>
      <c r="AZ20" s="664">
        <v>120.491</v>
      </c>
      <c r="BA20" s="664">
        <v>126.886</v>
      </c>
      <c r="BB20" s="1504">
        <v>146.90299999999999</v>
      </c>
      <c r="BC20" s="665">
        <f>BB20</f>
        <v>146.90299999999999</v>
      </c>
      <c r="BD20" s="663"/>
      <c r="BE20" s="1524">
        <v>140.73400000000001</v>
      </c>
      <c r="BF20" s="664">
        <v>141.52199999999999</v>
      </c>
      <c r="BG20" s="664">
        <v>134.626</v>
      </c>
      <c r="BH20" s="1504">
        <v>130.36099999999999</v>
      </c>
      <c r="BI20" s="665">
        <f>BH20</f>
        <v>130.36099999999999</v>
      </c>
      <c r="BJ20" s="663"/>
      <c r="BK20" s="1524">
        <v>133.05199999999999</v>
      </c>
      <c r="BL20" s="664">
        <v>134.43600000000001</v>
      </c>
      <c r="BM20" s="664">
        <v>158.196</v>
      </c>
      <c r="BN20" s="1504">
        <v>116.72799999999999</v>
      </c>
      <c r="BO20" s="665">
        <f>BN20</f>
        <v>116.72799999999999</v>
      </c>
      <c r="BP20" s="663"/>
      <c r="BQ20" s="1519">
        <f>BN20-CFS!BQ11-CFS!BQ12-CFS!BQ16-CFS!BQ32-CFS!BQ21</f>
        <v>116.72799999999999</v>
      </c>
      <c r="BR20" s="672">
        <f>BQ20-CFS!BR11-CFS!BR12-CFS!BR16-CFS!BR32-CFS!BR21</f>
        <v>116.72799999999999</v>
      </c>
      <c r="BS20" s="663">
        <f>BR20-CFS!BS11-CFS!BS12-CFS!BS16-CFS!BS32-CFS!BS21</f>
        <v>116.72799999999999</v>
      </c>
      <c r="BT20" s="663">
        <f>BS20-CFS!BT11-CFS!BT12-CFS!BT16-CFS!BT32-CFS!BT21</f>
        <v>116.72799999999999</v>
      </c>
      <c r="BU20" s="665">
        <f>BT20</f>
        <v>116.72799999999999</v>
      </c>
      <c r="BV20" s="265"/>
      <c r="BW20" s="1519">
        <f>BT20-CFS!BW11-CFS!BW12-CFS!BW16-CFS!BW32-CFS!BW21</f>
        <v>116.72799999999999</v>
      </c>
      <c r="BX20" s="672">
        <f>BW20-CFS!BX11-CFS!BX12-CFS!BX16-CFS!BX32-CFS!BX21</f>
        <v>116.72799999999999</v>
      </c>
      <c r="BY20" s="663">
        <f>BX20-CFS!BY11-CFS!BY12-CFS!BY16-CFS!BY32-CFS!BY21</f>
        <v>116.72799999999999</v>
      </c>
      <c r="BZ20" s="663">
        <f>BY20-CFS!BZ11-CFS!BZ12-CFS!BZ16-CFS!BZ32-CFS!BZ21</f>
        <v>116.72799999999999</v>
      </c>
      <c r="CA20" s="665">
        <f>BZ20</f>
        <v>116.72799999999999</v>
      </c>
      <c r="CB20" s="265"/>
      <c r="CC20" s="1519">
        <f>BZ20-CFS!CC11-CFS!CC12-CFS!CC16-CFS!CC32-CFS!CC21</f>
        <v>116.72799999999999</v>
      </c>
      <c r="CD20" s="672">
        <f>CC20-CFS!CD11-CFS!CD12-CFS!CD16-CFS!CD32-CFS!CD21</f>
        <v>116.72799999999999</v>
      </c>
      <c r="CE20" s="663">
        <f>CD20-CFS!CE11-CFS!CE12-CFS!CE16-CFS!CE32-CFS!CE21</f>
        <v>116.72799999999999</v>
      </c>
      <c r="CF20" s="663">
        <f>CE20-CFS!CF11-CFS!CF12-CFS!CF16-CFS!CF32-CFS!CF21</f>
        <v>116.72799999999999</v>
      </c>
      <c r="CG20" s="665">
        <f>CF20</f>
        <v>116.72799999999999</v>
      </c>
      <c r="CH20" s="265"/>
      <c r="CI20" s="1519">
        <f>CF20-CFS!CI11-CFS!CI12-CFS!CI16-CFS!CI32-CFS!CI21</f>
        <v>116.72799999999999</v>
      </c>
      <c r="CJ20" s="672">
        <f>CI20-CFS!CJ11-CFS!CJ12-CFS!CJ16-CFS!CJ32-CFS!CJ21</f>
        <v>116.72799999999999</v>
      </c>
      <c r="CK20" s="663">
        <f>CJ20-CFS!CK11-CFS!CK12-CFS!CK16-CFS!CK32-CFS!CK21</f>
        <v>116.72799999999999</v>
      </c>
      <c r="CL20" s="663">
        <f>CK20-CFS!CL11-CFS!CL12-CFS!CL16-CFS!CL32-CFS!CL21</f>
        <v>116.72799999999999</v>
      </c>
      <c r="CM20" s="665">
        <f>CL20</f>
        <v>116.72799999999999</v>
      </c>
      <c r="CN20" s="265"/>
      <c r="CO20" s="265"/>
      <c r="CP20"/>
      <c r="CQ20"/>
      <c r="CR20"/>
      <c r="CS20"/>
      <c r="CT20"/>
      <c r="CU20"/>
      <c r="CV20" s="97"/>
    </row>
    <row r="21" spans="1:101" s="24" customFormat="1" collapsed="1">
      <c r="A21" s="1513" t="s">
        <v>318</v>
      </c>
      <c r="B21" s="666"/>
      <c r="C21" s="666"/>
      <c r="D21" s="666"/>
      <c r="E21" s="666"/>
      <c r="F21" s="667"/>
      <c r="G21" s="668">
        <f>SUM(G16:G20)</f>
        <v>1881.0549999999998</v>
      </c>
      <c r="H21" s="669"/>
      <c r="I21" s="669">
        <f>SUM(I16:I20)</f>
        <v>1974.3479999999997</v>
      </c>
      <c r="J21" s="669">
        <f t="shared" ref="J21:AJ21" si="3">SUM(J16:J20)</f>
        <v>2064.3580000000002</v>
      </c>
      <c r="K21" s="669">
        <f t="shared" si="3"/>
        <v>2103.7820000000002</v>
      </c>
      <c r="L21" s="669">
        <f t="shared" si="3"/>
        <v>1622.8980000000001</v>
      </c>
      <c r="M21" s="668">
        <f t="shared" si="3"/>
        <v>1622.8980000000001</v>
      </c>
      <c r="N21" s="669"/>
      <c r="O21" s="669">
        <f t="shared" si="3"/>
        <v>1674.5350000000001</v>
      </c>
      <c r="P21" s="669">
        <f t="shared" si="3"/>
        <v>1802.617</v>
      </c>
      <c r="Q21" s="669">
        <f t="shared" si="3"/>
        <v>1885.5609999999999</v>
      </c>
      <c r="R21" s="669">
        <f t="shared" si="3"/>
        <v>1907.9309999999998</v>
      </c>
      <c r="S21" s="668">
        <f t="shared" si="3"/>
        <v>1907.9309999999998</v>
      </c>
      <c r="T21" s="669"/>
      <c r="U21" s="669">
        <f t="shared" si="3"/>
        <v>1981.242</v>
      </c>
      <c r="V21" s="669">
        <f t="shared" si="3"/>
        <v>2036.3990000000001</v>
      </c>
      <c r="W21" s="669">
        <f t="shared" si="3"/>
        <v>2205.6459999999997</v>
      </c>
      <c r="X21" s="669">
        <f>SUM(X16:X20)</f>
        <v>2327.67</v>
      </c>
      <c r="Y21" s="668">
        <f t="shared" si="3"/>
        <v>2327.67</v>
      </c>
      <c r="Z21" s="669"/>
      <c r="AA21" s="669">
        <f t="shared" si="3"/>
        <v>2447.1619999999998</v>
      </c>
      <c r="AB21" s="669">
        <f t="shared" si="3"/>
        <v>2571.8560000000002</v>
      </c>
      <c r="AC21" s="669">
        <f>SUM(AC16:AC20)</f>
        <v>2639.6149999999998</v>
      </c>
      <c r="AD21" s="1182">
        <f t="shared" si="3"/>
        <v>2723.2340000000004</v>
      </c>
      <c r="AE21" s="668">
        <f t="shared" si="3"/>
        <v>2723.2340000000004</v>
      </c>
      <c r="AF21" s="669"/>
      <c r="AG21" s="669">
        <f t="shared" si="3"/>
        <v>2839.4160000000006</v>
      </c>
      <c r="AH21" s="669">
        <f t="shared" si="3"/>
        <v>2883.5559999999996</v>
      </c>
      <c r="AI21" s="669">
        <f>SUM(AI16:AI20)</f>
        <v>2997.1400000000003</v>
      </c>
      <c r="AJ21" s="1182">
        <f t="shared" si="3"/>
        <v>3168.15</v>
      </c>
      <c r="AK21" s="668">
        <f>SUM(AK16:AK20)</f>
        <v>3168.15</v>
      </c>
      <c r="AL21" s="669"/>
      <c r="AM21" s="669">
        <f>SUM(AM16:AM20)</f>
        <v>3207.317</v>
      </c>
      <c r="AN21" s="669">
        <f>SUM(AN16:AN20)</f>
        <v>3285.5290000000005</v>
      </c>
      <c r="AO21" s="1255">
        <f>SUM(AO16:AO20)</f>
        <v>3425.3189999999995</v>
      </c>
      <c r="AP21" s="1182">
        <f>SUM(AP16:AP20)</f>
        <v>3582.6290000000008</v>
      </c>
      <c r="AQ21" s="668">
        <f>SUM(AQ16:AQ20)</f>
        <v>3582.6290000000008</v>
      </c>
      <c r="AR21" s="669"/>
      <c r="AS21" s="1520">
        <f>SUM(AS16:AS20)</f>
        <v>3649.7349999999997</v>
      </c>
      <c r="AT21" s="669">
        <f>SUM(AT16:AT20)</f>
        <v>3727.5299999999997</v>
      </c>
      <c r="AU21" s="669">
        <f>SUM(AU16:AU20)</f>
        <v>3751.6760000000004</v>
      </c>
      <c r="AV21" s="669">
        <f>SUM(AV16:AV20)</f>
        <v>3877.9340000000002</v>
      </c>
      <c r="AW21" s="668">
        <f>SUM(AW16:AW20)</f>
        <v>3877.9340000000002</v>
      </c>
      <c r="AX21" s="669"/>
      <c r="AY21" s="1520">
        <f>SUM(AY16:AY20)</f>
        <v>3872.7259999999997</v>
      </c>
      <c r="AZ21" s="669">
        <f>SUM(AZ16:AZ20)</f>
        <v>4028.8440000000005</v>
      </c>
      <c r="BA21" s="669">
        <f>SUM(BA16:BA20)</f>
        <v>4121.2440000000006</v>
      </c>
      <c r="BB21" s="669">
        <f>SUM(BB16:BB20)</f>
        <v>4268.6770000000006</v>
      </c>
      <c r="BC21" s="668">
        <f>SUM(BC16:BC20)</f>
        <v>4268.6770000000006</v>
      </c>
      <c r="BD21" s="669"/>
      <c r="BE21" s="1520">
        <f>SUM(BE16:BE20)</f>
        <v>4368.3949999999995</v>
      </c>
      <c r="BF21" s="669">
        <f>SUM(BF16:BF20)</f>
        <v>4448.0730000000003</v>
      </c>
      <c r="BG21" s="669">
        <f>SUM(BG16:BG20)</f>
        <v>4576.7820000000002</v>
      </c>
      <c r="BH21" s="669">
        <f>SUM(BH16:BH20)</f>
        <v>4662.0590000000002</v>
      </c>
      <c r="BI21" s="668">
        <f>SUM(BI16:BI20)</f>
        <v>4662.0590000000002</v>
      </c>
      <c r="BJ21" s="669"/>
      <c r="BK21" s="1520">
        <f>SUM(BK16:BK20)</f>
        <v>4810.7029999999995</v>
      </c>
      <c r="BL21" s="669">
        <f>SUM(BL16:BL20)</f>
        <v>4996.7449999999999</v>
      </c>
      <c r="BM21" s="669">
        <f>SUM(BM16:BM20)</f>
        <v>5162.9849999999997</v>
      </c>
      <c r="BN21" s="669">
        <f>SUM(BN16:BN20)</f>
        <v>5324.3540000000012</v>
      </c>
      <c r="BO21" s="668">
        <f>SUM(BO16:BO20)</f>
        <v>5324.3540000000012</v>
      </c>
      <c r="BP21" s="669"/>
      <c r="BQ21" s="1520">
        <f>SUM(BQ16:BQ20)</f>
        <v>5136.5876262376623</v>
      </c>
      <c r="BR21" s="669">
        <f>SUM(BR16:BR20)</f>
        <v>5168.5368349776072</v>
      </c>
      <c r="BS21" s="669">
        <f>SUM(BS16:BS20)</f>
        <v>5177.2265852870742</v>
      </c>
      <c r="BT21" s="669">
        <f>SUM(BT16:BT20)</f>
        <v>5316.9834684931284</v>
      </c>
      <c r="BU21" s="668">
        <f>SUM(BU16:BU20)</f>
        <v>5316.9834684931284</v>
      </c>
      <c r="BV21" s="265"/>
      <c r="BW21" s="1520">
        <f>SUM(BW16:BW20)</f>
        <v>5134.0957157702114</v>
      </c>
      <c r="BX21" s="669">
        <f>SUM(BX16:BX20)</f>
        <v>5172.9589500710026</v>
      </c>
      <c r="BY21" s="669">
        <f>SUM(BY16:BY20)</f>
        <v>5186.8128600168857</v>
      </c>
      <c r="BZ21" s="669">
        <f>SUM(BZ16:BZ20)</f>
        <v>5337.6436501268117</v>
      </c>
      <c r="CA21" s="668">
        <f>SUM(CA16:CA20)</f>
        <v>5337.6436501268117</v>
      </c>
      <c r="CB21" s="265"/>
      <c r="CC21" s="1520">
        <f>SUM(CC16:CC20)</f>
        <v>5266.0039313970274</v>
      </c>
      <c r="CD21" s="669">
        <f>SUM(CD16:CD20)</f>
        <v>5376.397312873195</v>
      </c>
      <c r="CE21" s="669">
        <f>SUM(CE16:CE20)</f>
        <v>5462.0076938055581</v>
      </c>
      <c r="CF21" s="669">
        <f>SUM(CF16:CF20)</f>
        <v>5691.9421477770757</v>
      </c>
      <c r="CG21" s="668">
        <f>SUM(CG16:CG20)</f>
        <v>5691.9421477770757</v>
      </c>
      <c r="CH21" s="265"/>
      <c r="CI21" s="1520">
        <f>SUM(CI16:CI20)</f>
        <v>5704.608360902379</v>
      </c>
      <c r="CJ21" s="669">
        <f>SUM(CJ16:CJ20)</f>
        <v>5761.49913764537</v>
      </c>
      <c r="CK21" s="669">
        <f>SUM(CK16:CK20)</f>
        <v>5789.4228210721767</v>
      </c>
      <c r="CL21" s="669">
        <f>SUM(CL16:CL20)</f>
        <v>5965.0564685841973</v>
      </c>
      <c r="CM21" s="668">
        <f>SUM(CM16:CM20)</f>
        <v>5965.0564685841973</v>
      </c>
      <c r="CN21" s="265"/>
      <c r="CO21" s="265"/>
      <c r="CP21"/>
      <c r="CQ21"/>
      <c r="CR21"/>
      <c r="CS21"/>
      <c r="CT21"/>
      <c r="CU21"/>
      <c r="CV21" s="97"/>
      <c r="CW21" s="24" t="s">
        <v>6</v>
      </c>
    </row>
    <row r="22" spans="1:101" s="24" customFormat="1">
      <c r="A22" s="1514" t="s">
        <v>319</v>
      </c>
      <c r="B22" s="670"/>
      <c r="C22" s="670"/>
      <c r="D22" s="670"/>
      <c r="E22" s="670"/>
      <c r="F22" s="671"/>
      <c r="G22" s="48"/>
      <c r="H22" s="49"/>
      <c r="I22" s="50"/>
      <c r="J22" s="50"/>
      <c r="K22" s="50"/>
      <c r="L22" s="50"/>
      <c r="M22" s="51"/>
      <c r="N22" s="49"/>
      <c r="O22" s="50"/>
      <c r="P22" s="50"/>
      <c r="Q22" s="50"/>
      <c r="R22" s="50"/>
      <c r="S22" s="51"/>
      <c r="T22" s="49"/>
      <c r="U22" s="50"/>
      <c r="V22" s="50"/>
      <c r="W22" s="50"/>
      <c r="X22" s="50"/>
      <c r="Y22" s="51"/>
      <c r="Z22" s="49"/>
      <c r="AA22" s="50"/>
      <c r="AB22" s="50"/>
      <c r="AC22" s="50"/>
      <c r="AD22" s="1180"/>
      <c r="AE22" s="51"/>
      <c r="AF22" s="49"/>
      <c r="AG22" s="50"/>
      <c r="AH22" s="50"/>
      <c r="AI22" s="50"/>
      <c r="AJ22" s="1180"/>
      <c r="AK22" s="51"/>
      <c r="AL22" s="49"/>
      <c r="AM22" s="49"/>
      <c r="AN22" s="50"/>
      <c r="AO22" s="47"/>
      <c r="AP22" s="1180"/>
      <c r="AQ22" s="51"/>
      <c r="AR22" s="49"/>
      <c r="AS22" s="1518"/>
      <c r="AT22" s="49"/>
      <c r="AU22" s="49"/>
      <c r="AV22" s="49"/>
      <c r="AW22" s="51"/>
      <c r="AX22" s="49"/>
      <c r="AY22" s="1518"/>
      <c r="AZ22" s="49"/>
      <c r="BA22" s="49"/>
      <c r="BB22" s="49"/>
      <c r="BC22" s="51"/>
      <c r="BD22" s="49"/>
      <c r="BE22" s="1518"/>
      <c r="BF22" s="49"/>
      <c r="BG22" s="49"/>
      <c r="BH22" s="49"/>
      <c r="BI22" s="51"/>
      <c r="BJ22" s="49"/>
      <c r="BK22" s="1518"/>
      <c r="BL22" s="49"/>
      <c r="BM22" s="49"/>
      <c r="BN22" s="49"/>
      <c r="BO22" s="51"/>
      <c r="BP22" s="49"/>
      <c r="BQ22" s="1518"/>
      <c r="BR22" s="671"/>
      <c r="BS22" s="49"/>
      <c r="BT22" s="49"/>
      <c r="BU22" s="51"/>
      <c r="BV22" s="265"/>
      <c r="BW22" s="1518"/>
      <c r="BX22" s="671"/>
      <c r="BY22" s="49"/>
      <c r="BZ22" s="49"/>
      <c r="CA22" s="51"/>
      <c r="CB22" s="265"/>
      <c r="CC22" s="1518"/>
      <c r="CD22" s="671"/>
      <c r="CE22" s="49"/>
      <c r="CF22" s="49"/>
      <c r="CG22" s="51"/>
      <c r="CH22" s="265"/>
      <c r="CI22" s="1518"/>
      <c r="CJ22" s="671"/>
      <c r="CK22" s="49"/>
      <c r="CL22" s="49"/>
      <c r="CM22" s="51"/>
      <c r="CN22" s="265"/>
      <c r="CO22" s="265"/>
      <c r="CP22"/>
      <c r="CQ22"/>
      <c r="CR22"/>
      <c r="CS22"/>
      <c r="CT22"/>
      <c r="CU22"/>
      <c r="CV22" s="97"/>
    </row>
    <row r="23" spans="1:101" s="24" customFormat="1">
      <c r="A23" s="1512" t="s">
        <v>320</v>
      </c>
      <c r="B23" s="660"/>
      <c r="C23" s="660"/>
      <c r="D23" s="660"/>
      <c r="E23" s="660"/>
      <c r="F23" s="659"/>
      <c r="G23" s="48">
        <v>384.17599999999999</v>
      </c>
      <c r="H23" s="49"/>
      <c r="I23" s="50">
        <v>279.30099999999999</v>
      </c>
      <c r="J23" s="50">
        <v>334.02</v>
      </c>
      <c r="K23" s="50">
        <v>377.488</v>
      </c>
      <c r="L23" s="50">
        <v>36.119999999999997</v>
      </c>
      <c r="M23" s="51">
        <f>L23</f>
        <v>36.119999999999997</v>
      </c>
      <c r="N23" s="49"/>
      <c r="O23" s="50">
        <v>88.058999999999997</v>
      </c>
      <c r="P23" s="50">
        <v>130.75700000000001</v>
      </c>
      <c r="Q23" s="50">
        <v>144.65</v>
      </c>
      <c r="R23" s="50">
        <v>131.77199999999999</v>
      </c>
      <c r="S23" s="51">
        <f>R23</f>
        <v>131.77199999999999</v>
      </c>
      <c r="T23" s="49"/>
      <c r="U23" s="50">
        <v>12.382</v>
      </c>
      <c r="V23" s="50">
        <v>56.857999999999997</v>
      </c>
      <c r="W23" s="50">
        <v>92.242999999999995</v>
      </c>
      <c r="X23" s="50">
        <v>66.055000000000007</v>
      </c>
      <c r="Y23" s="51">
        <f>X23</f>
        <v>66.055000000000007</v>
      </c>
      <c r="Z23" s="49"/>
      <c r="AA23" s="50">
        <v>390.346</v>
      </c>
      <c r="AB23" s="50">
        <v>136.17599999999999</v>
      </c>
      <c r="AC23" s="50">
        <v>271.57799999999997</v>
      </c>
      <c r="AD23" s="1180">
        <v>290.83199999999999</v>
      </c>
      <c r="AE23" s="51">
        <f>AD23</f>
        <v>290.83199999999999</v>
      </c>
      <c r="AF23" s="49"/>
      <c r="AG23" s="50">
        <v>323.61599999999999</v>
      </c>
      <c r="AH23" s="50">
        <v>401.35399999999998</v>
      </c>
      <c r="AI23" s="50">
        <v>447.70299999999997</v>
      </c>
      <c r="AJ23" s="1180">
        <v>132.78100000000001</v>
      </c>
      <c r="AK23" s="51">
        <f>AJ23</f>
        <v>132.78100000000001</v>
      </c>
      <c r="AL23" s="49"/>
      <c r="AM23" s="50">
        <v>133.232</v>
      </c>
      <c r="AN23" s="50">
        <v>132.90899999999999</v>
      </c>
      <c r="AO23" s="52">
        <v>133.761</v>
      </c>
      <c r="AP23" s="1180">
        <v>133.346</v>
      </c>
      <c r="AQ23" s="51">
        <f>AP23</f>
        <v>133.346</v>
      </c>
      <c r="AR23" s="49"/>
      <c r="AS23" s="1523">
        <v>232.10400000000001</v>
      </c>
      <c r="AT23" s="50">
        <v>233.40299999999999</v>
      </c>
      <c r="AU23" s="50">
        <v>225.006</v>
      </c>
      <c r="AV23" s="1504">
        <v>225.24299999999999</v>
      </c>
      <c r="AW23" s="51">
        <f>AV23</f>
        <v>225.24299999999999</v>
      </c>
      <c r="AX23" s="49"/>
      <c r="AY23" s="1523">
        <v>175.316</v>
      </c>
      <c r="AZ23" s="50">
        <v>175.297</v>
      </c>
      <c r="BA23" s="50">
        <v>175.17599999999999</v>
      </c>
      <c r="BB23" s="1504">
        <v>175.309</v>
      </c>
      <c r="BC23" s="51">
        <f>BB23</f>
        <v>175.309</v>
      </c>
      <c r="BD23" s="49"/>
      <c r="BE23" s="1523">
        <v>125.499</v>
      </c>
      <c r="BF23" s="50">
        <v>125.26</v>
      </c>
      <c r="BG23" s="50">
        <v>125.176</v>
      </c>
      <c r="BH23" s="1504">
        <v>125.297</v>
      </c>
      <c r="BI23" s="51">
        <f>BH23</f>
        <v>125.297</v>
      </c>
      <c r="BJ23" s="49"/>
      <c r="BK23" s="1523">
        <v>225.285</v>
      </c>
      <c r="BL23" s="50">
        <v>225.233</v>
      </c>
      <c r="BM23" s="50">
        <v>225.423</v>
      </c>
      <c r="BN23" s="1504">
        <v>100.273</v>
      </c>
      <c r="BO23" s="51">
        <f>BN23</f>
        <v>100.273</v>
      </c>
      <c r="BP23" s="49"/>
      <c r="BQ23" s="1518">
        <f>Debt!BQ24</f>
        <v>100.273</v>
      </c>
      <c r="BR23" s="671">
        <f>Debt!BR24</f>
        <v>100.273</v>
      </c>
      <c r="BS23" s="49">
        <f>Debt!BS24</f>
        <v>100.273</v>
      </c>
      <c r="BT23" s="49">
        <f>Debt!BT24</f>
        <v>100.273</v>
      </c>
      <c r="BU23" s="51">
        <f>BT23</f>
        <v>100.273</v>
      </c>
      <c r="BV23" s="265"/>
      <c r="BW23" s="1518">
        <f>Debt!BW24</f>
        <v>100.273</v>
      </c>
      <c r="BX23" s="671">
        <f>Debt!BX24</f>
        <v>100.273</v>
      </c>
      <c r="BY23" s="49">
        <f>Debt!BY24</f>
        <v>100.273</v>
      </c>
      <c r="BZ23" s="49">
        <f>Debt!BZ24</f>
        <v>100.273</v>
      </c>
      <c r="CA23" s="51">
        <f>BZ23</f>
        <v>100.273</v>
      </c>
      <c r="CB23" s="265"/>
      <c r="CC23" s="1518">
        <f>Debt!CC24</f>
        <v>100.273</v>
      </c>
      <c r="CD23" s="671">
        <f>Debt!CD24</f>
        <v>100.273</v>
      </c>
      <c r="CE23" s="49">
        <f>Debt!CE24</f>
        <v>100.273</v>
      </c>
      <c r="CF23" s="49">
        <f>Debt!CF24</f>
        <v>100.273</v>
      </c>
      <c r="CG23" s="51">
        <f>CF23</f>
        <v>100.273</v>
      </c>
      <c r="CH23" s="265"/>
      <c r="CI23" s="1518">
        <f>Debt!CI24</f>
        <v>100.273</v>
      </c>
      <c r="CJ23" s="671">
        <f>Debt!CJ24</f>
        <v>100.273</v>
      </c>
      <c r="CK23" s="49">
        <f>Debt!CK24</f>
        <v>100.273</v>
      </c>
      <c r="CL23" s="49">
        <f>Debt!CL24</f>
        <v>100.273</v>
      </c>
      <c r="CM23" s="51">
        <f>CL23</f>
        <v>100.273</v>
      </c>
      <c r="CN23" s="265"/>
      <c r="CO23" s="265"/>
      <c r="CP23"/>
      <c r="CQ23"/>
      <c r="CR23"/>
      <c r="CS23"/>
      <c r="CT23"/>
      <c r="CU23"/>
      <c r="CV23" s="97"/>
    </row>
    <row r="24" spans="1:101" s="24" customFormat="1">
      <c r="A24" s="1512" t="s">
        <v>321</v>
      </c>
      <c r="B24" s="660"/>
      <c r="C24" s="660"/>
      <c r="D24" s="660"/>
      <c r="E24" s="660"/>
      <c r="F24" s="659"/>
      <c r="G24" s="48">
        <v>47.451000000000001</v>
      </c>
      <c r="H24" s="49"/>
      <c r="I24" s="50">
        <v>57.959000000000003</v>
      </c>
      <c r="J24" s="50">
        <v>58.33</v>
      </c>
      <c r="K24" s="50">
        <v>55.011000000000003</v>
      </c>
      <c r="L24" s="50">
        <v>47.24</v>
      </c>
      <c r="M24" s="51">
        <f>L24</f>
        <v>47.24</v>
      </c>
      <c r="N24" s="49"/>
      <c r="O24" s="50">
        <v>47.591999999999999</v>
      </c>
      <c r="P24" s="50">
        <v>51.296999999999997</v>
      </c>
      <c r="Q24" s="50">
        <v>50.354999999999997</v>
      </c>
      <c r="R24" s="50">
        <v>49.573</v>
      </c>
      <c r="S24" s="51">
        <f>R24</f>
        <v>49.573</v>
      </c>
      <c r="T24" s="49"/>
      <c r="U24" s="50">
        <v>57.823</v>
      </c>
      <c r="V24" s="50">
        <v>59.32</v>
      </c>
      <c r="W24" s="50">
        <v>63.332000000000001</v>
      </c>
      <c r="X24" s="50">
        <v>64.406000000000006</v>
      </c>
      <c r="Y24" s="51">
        <f>X24</f>
        <v>64.406000000000006</v>
      </c>
      <c r="Z24" s="49"/>
      <c r="AA24" s="50">
        <v>67.403999999999996</v>
      </c>
      <c r="AB24" s="50">
        <v>67.966999999999999</v>
      </c>
      <c r="AC24" s="50">
        <v>64.393000000000001</v>
      </c>
      <c r="AD24" s="1180">
        <v>55.317</v>
      </c>
      <c r="AE24" s="51">
        <f>AD24</f>
        <v>55.317</v>
      </c>
      <c r="AF24" s="49"/>
      <c r="AG24" s="50">
        <v>61.468000000000004</v>
      </c>
      <c r="AH24" s="50">
        <v>62.792000000000002</v>
      </c>
      <c r="AI24" s="50">
        <v>60.258000000000003</v>
      </c>
      <c r="AJ24" s="1180">
        <v>54.723999999999997</v>
      </c>
      <c r="AK24" s="51">
        <f>AJ24</f>
        <v>54.723999999999997</v>
      </c>
      <c r="AL24" s="49"/>
      <c r="AM24" s="50">
        <v>59.789000000000001</v>
      </c>
      <c r="AN24" s="50">
        <v>56.368000000000002</v>
      </c>
      <c r="AO24" s="52">
        <v>62.753999999999998</v>
      </c>
      <c r="AP24" s="1180">
        <v>64.960999999999999</v>
      </c>
      <c r="AQ24" s="51">
        <f>AP24</f>
        <v>64.960999999999999</v>
      </c>
      <c r="AR24" s="49"/>
      <c r="AS24" s="1523">
        <v>73.180000000000007</v>
      </c>
      <c r="AT24" s="50">
        <v>65.085999999999999</v>
      </c>
      <c r="AU24" s="50">
        <v>60.268999999999998</v>
      </c>
      <c r="AV24" s="1504">
        <v>65.703999999999994</v>
      </c>
      <c r="AW24" s="51">
        <f>AV24</f>
        <v>65.703999999999994</v>
      </c>
      <c r="AX24" s="49"/>
      <c r="AY24" s="1523">
        <v>63.954000000000001</v>
      </c>
      <c r="AZ24" s="50">
        <v>65.007000000000005</v>
      </c>
      <c r="BA24" s="50">
        <v>61.71</v>
      </c>
      <c r="BB24" s="1504">
        <v>70.572999999999993</v>
      </c>
      <c r="BC24" s="51">
        <f>BB24</f>
        <v>70.572999999999993</v>
      </c>
      <c r="BD24" s="49"/>
      <c r="BE24" s="1523">
        <v>73.290000000000006</v>
      </c>
      <c r="BF24" s="50">
        <v>66.114999999999995</v>
      </c>
      <c r="BG24" s="50">
        <v>67.765000000000001</v>
      </c>
      <c r="BH24" s="1504">
        <v>67.739999999999995</v>
      </c>
      <c r="BI24" s="51">
        <f>BH24</f>
        <v>67.739999999999995</v>
      </c>
      <c r="BJ24" s="49"/>
      <c r="BK24" s="1523">
        <v>66.929000000000002</v>
      </c>
      <c r="BL24" s="50">
        <v>71.055000000000007</v>
      </c>
      <c r="BM24" s="50">
        <v>66.754000000000005</v>
      </c>
      <c r="BN24" s="1504">
        <v>64.537000000000006</v>
      </c>
      <c r="BO24" s="51">
        <f>BN24</f>
        <v>64.537000000000006</v>
      </c>
      <c r="BP24" s="49"/>
      <c r="BQ24" s="1518">
        <f>BQ71*IS!BQ12/BS!BQ68</f>
        <v>67.730006969349162</v>
      </c>
      <c r="BR24" s="671">
        <f>BR71*IS!BR12/BS!BR68</f>
        <v>71.822152438012083</v>
      </c>
      <c r="BS24" s="49">
        <f>BS71*IS!BS12/BS!BS68</f>
        <v>65.505783798903025</v>
      </c>
      <c r="BT24" s="49">
        <f>BT71*IS!BT12/BS!BT68</f>
        <v>62.42952026531529</v>
      </c>
      <c r="BU24" s="51">
        <f>BT24</f>
        <v>62.42952026531529</v>
      </c>
      <c r="BV24" s="265"/>
      <c r="BW24" s="1518">
        <f>BW71*IS!BW12/BS!BW68</f>
        <v>66.433190632434417</v>
      </c>
      <c r="BX24" s="671">
        <f>BX71*IS!BX12/BS!BX68</f>
        <v>69.8348775231877</v>
      </c>
      <c r="BY24" s="49">
        <f>BY71*IS!BY12/BS!BY68</f>
        <v>63.004009535224931</v>
      </c>
      <c r="BZ24" s="49">
        <f>BZ71*IS!BZ12/BS!BZ68</f>
        <v>58.518357555879597</v>
      </c>
      <c r="CA24" s="51">
        <f>BZ24</f>
        <v>58.518357555879597</v>
      </c>
      <c r="CB24" s="265"/>
      <c r="CC24" s="1518">
        <f>CC71*IS!CC12/BS!CC68</f>
        <v>67.077299680022662</v>
      </c>
      <c r="CD24" s="671">
        <f>CD71*IS!CD12/BS!CD68</f>
        <v>69.96076402829388</v>
      </c>
      <c r="CE24" s="49">
        <f>CE71*IS!CE12/BS!CE68</f>
        <v>62.721625757732355</v>
      </c>
      <c r="CF24" s="49">
        <f>CF71*IS!CF12/BS!CF68</f>
        <v>57.222533204472768</v>
      </c>
      <c r="CG24" s="51">
        <f>CF24</f>
        <v>57.222533204472768</v>
      </c>
      <c r="CH24" s="265"/>
      <c r="CI24" s="1518">
        <f>CI71*IS!CI12/BS!CI68</f>
        <v>67.60936356138852</v>
      </c>
      <c r="CJ24" s="671">
        <f>CJ71*IS!CJ12/BS!CJ68</f>
        <v>69.962433496503991</v>
      </c>
      <c r="CK24" s="49">
        <f>CK71*IS!CK12/BS!CK68</f>
        <v>62.297713879136218</v>
      </c>
      <c r="CL24" s="49">
        <f>CL71*IS!CL12/BS!CL68</f>
        <v>55.76852983586808</v>
      </c>
      <c r="CM24" s="51">
        <f>CL24</f>
        <v>55.76852983586808</v>
      </c>
      <c r="CN24" s="265"/>
      <c r="CO24" s="265"/>
      <c r="CP24"/>
      <c r="CQ24"/>
      <c r="CR24"/>
      <c r="CS24"/>
      <c r="CT24"/>
      <c r="CU24"/>
      <c r="CV24" s="97"/>
    </row>
    <row r="25" spans="1:101" s="24" customFormat="1" hidden="1" outlineLevel="1">
      <c r="A25" s="1512" t="s">
        <v>322</v>
      </c>
      <c r="B25" s="660"/>
      <c r="C25" s="660"/>
      <c r="D25" s="660"/>
      <c r="E25" s="660"/>
      <c r="F25" s="659"/>
      <c r="G25" s="48">
        <f>58.771+0.994+66.575</f>
        <v>126.34</v>
      </c>
      <c r="H25" s="49"/>
      <c r="I25" s="50">
        <f>37.828+8.884+58.804</f>
        <v>105.51600000000001</v>
      </c>
      <c r="J25" s="50">
        <f>34.356+10.419+60.319</f>
        <v>105.09400000000001</v>
      </c>
      <c r="K25" s="50">
        <f>45.507+14.663+60.62</f>
        <v>120.78999999999999</v>
      </c>
      <c r="L25" s="50">
        <v>108.378</v>
      </c>
      <c r="M25" s="51">
        <f>L25</f>
        <v>108.378</v>
      </c>
      <c r="N25" s="49"/>
      <c r="O25" s="50">
        <f>29.975+5.529+48.487</f>
        <v>83.991000000000014</v>
      </c>
      <c r="P25" s="50">
        <f>29.639+11.196+54.241</f>
        <v>95.075999999999993</v>
      </c>
      <c r="Q25" s="50">
        <f>34.794+28.537+56.037</f>
        <v>119.36799999999999</v>
      </c>
      <c r="R25" s="50">
        <v>108.434</v>
      </c>
      <c r="S25" s="51">
        <f>R25</f>
        <v>108.434</v>
      </c>
      <c r="T25" s="49"/>
      <c r="U25" s="50">
        <f>32.783+18.55+55.774</f>
        <v>107.107</v>
      </c>
      <c r="V25" s="50">
        <f>31.362+26.087+59.878</f>
        <v>117.327</v>
      </c>
      <c r="W25" s="50">
        <f>38.475+29.896+61.847</f>
        <v>130.21800000000002</v>
      </c>
      <c r="X25" s="50">
        <v>137.67200000000003</v>
      </c>
      <c r="Y25" s="51">
        <f>X25</f>
        <v>137.67200000000003</v>
      </c>
      <c r="Z25" s="49"/>
      <c r="AA25" s="50">
        <f>28.669+23.132+60.963</f>
        <v>112.76400000000001</v>
      </c>
      <c r="AB25" s="50">
        <f>32.332+8.44+67.125</f>
        <v>107.89699999999999</v>
      </c>
      <c r="AC25" s="50">
        <f>39.209+62.291+25.959</f>
        <v>127.459</v>
      </c>
      <c r="AD25" s="1180">
        <f>49.949+9.449+73.136</f>
        <v>132.53399999999999</v>
      </c>
      <c r="AE25" s="51">
        <f>AD25</f>
        <v>132.53399999999999</v>
      </c>
      <c r="AF25" s="49"/>
      <c r="AG25" s="50">
        <f>67.05+27.205+20.05</f>
        <v>114.30499999999999</v>
      </c>
      <c r="AH25" s="50">
        <f>26.462+13.658+71.75</f>
        <v>111.87</v>
      </c>
      <c r="AI25" s="50">
        <f>26.964+20.711+70.969</f>
        <v>118.64399999999999</v>
      </c>
      <c r="AJ25" s="1180">
        <f>31.91+60.888+90.116</f>
        <v>182.91399999999999</v>
      </c>
      <c r="AK25" s="51">
        <f>AJ25</f>
        <v>182.91399999999999</v>
      </c>
      <c r="AL25" s="49"/>
      <c r="AM25" s="50">
        <f>24.375+27.82+73.656</f>
        <v>125.851</v>
      </c>
      <c r="AN25" s="50">
        <f>26.534+21.203+83.116</f>
        <v>130.85300000000001</v>
      </c>
      <c r="AO25" s="52">
        <f>30.225+39.716+79.947</f>
        <v>149.88800000000001</v>
      </c>
      <c r="AP25" s="1180">
        <f>43.305+19.77+85.132</f>
        <v>148.20699999999999</v>
      </c>
      <c r="AQ25" s="51">
        <f>AP25</f>
        <v>148.20699999999999</v>
      </c>
      <c r="AR25" s="49"/>
      <c r="AS25" s="1523">
        <f>26.703+3.553+74.231</f>
        <v>104.48699999999999</v>
      </c>
      <c r="AT25" s="50">
        <f>30.613+3.959+84.875</f>
        <v>119.447</v>
      </c>
      <c r="AU25" s="50">
        <f>34.475+14.688+80.229</f>
        <v>129.392</v>
      </c>
      <c r="AV25" s="1504">
        <f>47.198+15.143+85.335</f>
        <v>147.67599999999999</v>
      </c>
      <c r="AW25" s="51">
        <f>AV25</f>
        <v>147.67599999999999</v>
      </c>
      <c r="AX25" s="49"/>
      <c r="AY25" s="1523">
        <f>70.632+19.405+28.95</f>
        <v>118.98700000000001</v>
      </c>
      <c r="AZ25" s="50">
        <f>75.852+24.425+22.41</f>
        <v>122.687</v>
      </c>
      <c r="BA25" s="50">
        <f>39.809+82.772+5.388</f>
        <v>127.96900000000001</v>
      </c>
      <c r="BB25" s="1504">
        <f>54.653+14.894+93.793</f>
        <v>163.34</v>
      </c>
      <c r="BC25" s="51">
        <f>BB25</f>
        <v>163.34</v>
      </c>
      <c r="BD25" s="49"/>
      <c r="BE25" s="1523">
        <f>30.952+10.773+80.083</f>
        <v>121.80799999999999</v>
      </c>
      <c r="BF25" s="50">
        <f>35.585+7.296+84.517</f>
        <v>127.398</v>
      </c>
      <c r="BG25" s="50">
        <f>41.456+13.61+83.243</f>
        <v>138.309</v>
      </c>
      <c r="BH25" s="1504">
        <f>57.465+15.244+92.347</f>
        <v>165.05599999999998</v>
      </c>
      <c r="BI25" s="51">
        <f>BH25</f>
        <v>165.05599999999998</v>
      </c>
      <c r="BJ25" s="49"/>
      <c r="BK25" s="1523">
        <f>29.872+2.892+92.256</f>
        <v>125.02000000000001</v>
      </c>
      <c r="BL25" s="50">
        <f>34.14+1.405+99.986</f>
        <v>135.53100000000001</v>
      </c>
      <c r="BM25" s="50">
        <f>42.021+24.355+105.217</f>
        <v>171.59300000000002</v>
      </c>
      <c r="BN25" s="1504">
        <f>69.024+119.449+73.008</f>
        <v>261.48099999999999</v>
      </c>
      <c r="BO25" s="51">
        <f>BN25</f>
        <v>261.48099999999999</v>
      </c>
      <c r="BP25" s="49"/>
      <c r="BQ25" s="1518">
        <f>BQ82*4*IS!BQ21</f>
        <v>133.86119705136866</v>
      </c>
      <c r="BR25" s="671">
        <f>BR82*4*IS!BR21</f>
        <v>145.23127486896496</v>
      </c>
      <c r="BS25" s="49">
        <f>BS82*4*IS!BS21</f>
        <v>179.91931079006943</v>
      </c>
      <c r="BT25" s="49">
        <f>BT82*4*IS!BT21</f>
        <v>274.58426919147416</v>
      </c>
      <c r="BU25" s="51">
        <f>BT25</f>
        <v>274.58426919147416</v>
      </c>
      <c r="BV25" s="265"/>
      <c r="BW25" s="1518">
        <f>BW82*4*IS!BW21</f>
        <v>141.93416691360841</v>
      </c>
      <c r="BX25" s="671">
        <f>BX82*4*IS!BX21</f>
        <v>153.00130841286202</v>
      </c>
      <c r="BY25" s="49">
        <f>BY82*4*IS!BY21</f>
        <v>189.2504292423547</v>
      </c>
      <c r="BZ25" s="49">
        <f>BZ82*4*IS!BZ21</f>
        <v>287.29217143213037</v>
      </c>
      <c r="CA25" s="51">
        <f>BZ25</f>
        <v>287.29217143213037</v>
      </c>
      <c r="CB25" s="265"/>
      <c r="CC25" s="1518">
        <f>CC82*4*IS!CC21</f>
        <v>149.37201710580356</v>
      </c>
      <c r="CD25" s="671">
        <f>CD82*4*IS!CD21</f>
        <v>159.96987791171094</v>
      </c>
      <c r="CE25" s="49">
        <f>CE82*4*IS!CE21</f>
        <v>197.80330343800401</v>
      </c>
      <c r="CF25" s="49">
        <f>CF82*4*IS!CF21</f>
        <v>298.64271239638066</v>
      </c>
      <c r="CG25" s="51">
        <f>CF25</f>
        <v>298.64271239638066</v>
      </c>
      <c r="CH25" s="265"/>
      <c r="CI25" s="1518">
        <f>CI82*4*IS!CI21</f>
        <v>157.19971585887322</v>
      </c>
      <c r="CJ25" s="671">
        <f>CJ82*4*IS!CJ21</f>
        <v>167.26536515008945</v>
      </c>
      <c r="CK25" s="49">
        <f>CK82*4*IS!CK21</f>
        <v>206.7498691832121</v>
      </c>
      <c r="CL25" s="49">
        <f>CL82*4*IS!CL21</f>
        <v>310.51123001978641</v>
      </c>
      <c r="CM25" s="51">
        <f>CL25</f>
        <v>310.51123001978641</v>
      </c>
      <c r="CN25" s="265"/>
      <c r="CO25" s="265"/>
      <c r="CP25"/>
      <c r="CQ25"/>
      <c r="CR25"/>
      <c r="CS25"/>
      <c r="CT25"/>
      <c r="CU25"/>
      <c r="CV25" s="97"/>
    </row>
    <row r="26" spans="1:101" s="24" customFormat="1" hidden="1" outlineLevel="1">
      <c r="A26" s="1512" t="s">
        <v>323</v>
      </c>
      <c r="B26" s="660"/>
      <c r="C26" s="660"/>
      <c r="D26" s="660"/>
      <c r="E26" s="660"/>
      <c r="F26" s="659"/>
      <c r="G26" s="48">
        <v>87.347999999999999</v>
      </c>
      <c r="H26" s="49"/>
      <c r="I26" s="50">
        <v>107.678</v>
      </c>
      <c r="J26" s="50">
        <v>109.86499999999999</v>
      </c>
      <c r="K26" s="50">
        <v>101.203</v>
      </c>
      <c r="L26" s="50">
        <v>87.492000000000004</v>
      </c>
      <c r="M26" s="51">
        <f>L26</f>
        <v>87.492000000000004</v>
      </c>
      <c r="N26" s="49"/>
      <c r="O26" s="50">
        <v>113.575</v>
      </c>
      <c r="P26" s="50">
        <v>112.93600000000001</v>
      </c>
      <c r="Q26" s="50">
        <v>107.494</v>
      </c>
      <c r="R26" s="50">
        <v>94.68</v>
      </c>
      <c r="S26" s="51">
        <f>R26</f>
        <v>94.68</v>
      </c>
      <c r="T26" s="49"/>
      <c r="U26" s="50">
        <v>117.85</v>
      </c>
      <c r="V26" s="50">
        <v>118.792</v>
      </c>
      <c r="W26" s="50">
        <v>120.85</v>
      </c>
      <c r="X26" s="50">
        <v>106.44499999999999</v>
      </c>
      <c r="Y26" s="51">
        <f>X26</f>
        <v>106.44499999999999</v>
      </c>
      <c r="Z26" s="49"/>
      <c r="AA26" s="50">
        <v>133.78100000000001</v>
      </c>
      <c r="AB26" s="50">
        <v>142.958</v>
      </c>
      <c r="AC26" s="50">
        <v>129.65299999999999</v>
      </c>
      <c r="AD26" s="1180">
        <v>109.922</v>
      </c>
      <c r="AE26" s="51">
        <f>AD26</f>
        <v>109.922</v>
      </c>
      <c r="AF26" s="49"/>
      <c r="AG26" s="50">
        <v>136.08000000000001</v>
      </c>
      <c r="AH26" s="50">
        <v>133.38800000000001</v>
      </c>
      <c r="AI26" s="50">
        <v>128.072</v>
      </c>
      <c r="AJ26" s="1180">
        <v>121.47</v>
      </c>
      <c r="AK26" s="51">
        <f>AJ26</f>
        <v>121.47</v>
      </c>
      <c r="AL26" s="49"/>
      <c r="AM26" s="50">
        <v>145.33799999999999</v>
      </c>
      <c r="AN26" s="50">
        <v>142.715</v>
      </c>
      <c r="AO26" s="52">
        <v>134.53700000000001</v>
      </c>
      <c r="AP26" s="1180">
        <v>128.05600000000001</v>
      </c>
      <c r="AQ26" s="51">
        <f>AP26</f>
        <v>128.05600000000001</v>
      </c>
      <c r="AR26" s="49"/>
      <c r="AS26" s="1523">
        <v>161.88200000000001</v>
      </c>
      <c r="AT26" s="50">
        <v>164.179</v>
      </c>
      <c r="AU26" s="50">
        <v>147.33099999999999</v>
      </c>
      <c r="AV26" s="1504">
        <v>129.70599999999999</v>
      </c>
      <c r="AW26" s="51">
        <f>AV26</f>
        <v>129.70599999999999</v>
      </c>
      <c r="AX26" s="49"/>
      <c r="AY26" s="1523">
        <v>167.34299999999999</v>
      </c>
      <c r="AZ26" s="50">
        <v>170.66399999999999</v>
      </c>
      <c r="BA26" s="50">
        <v>157.99199999999999</v>
      </c>
      <c r="BB26" s="1504">
        <v>141.505</v>
      </c>
      <c r="BC26" s="51">
        <f>BB26</f>
        <v>141.505</v>
      </c>
      <c r="BD26" s="49"/>
      <c r="BE26" s="1523">
        <v>190.601</v>
      </c>
      <c r="BF26" s="50">
        <v>190.904</v>
      </c>
      <c r="BG26" s="50">
        <v>174.71600000000001</v>
      </c>
      <c r="BH26" s="1504">
        <v>148.83699999999999</v>
      </c>
      <c r="BI26" s="51">
        <f>BH26</f>
        <v>148.83699999999999</v>
      </c>
      <c r="BJ26" s="49"/>
      <c r="BK26" s="1523">
        <v>201.97900000000001</v>
      </c>
      <c r="BL26" s="50">
        <v>208.60599999999999</v>
      </c>
      <c r="BM26" s="50">
        <v>185.524</v>
      </c>
      <c r="BN26" s="1504">
        <v>166.84</v>
      </c>
      <c r="BO26" s="51">
        <f>BN26</f>
        <v>166.84</v>
      </c>
      <c r="BP26" s="49"/>
      <c r="BQ26" s="1518">
        <f>BQ81*4*IS!BQ11</f>
        <v>221.83975341261078</v>
      </c>
      <c r="BR26" s="671">
        <f>BR81*4*IS!BR11</f>
        <v>225.33171619927012</v>
      </c>
      <c r="BS26" s="49">
        <f>BS81*4*IS!BS11</f>
        <v>198.62127342621224</v>
      </c>
      <c r="BT26" s="49">
        <f>BT81*4*IS!BT11</f>
        <v>177.16401611481047</v>
      </c>
      <c r="BU26" s="51">
        <f>BT26</f>
        <v>177.16401611481047</v>
      </c>
      <c r="BV26" s="265"/>
      <c r="BW26" s="1518">
        <f>BW81*4*IS!BW11</f>
        <v>234.13160498323572</v>
      </c>
      <c r="BX26" s="671">
        <f>BX81*4*IS!BX11</f>
        <v>237.7842397512407</v>
      </c>
      <c r="BY26" s="49">
        <f>BY81*4*IS!BY11</f>
        <v>207.69433307076167</v>
      </c>
      <c r="BZ26" s="49">
        <f>BZ81*4*IS!BZ11</f>
        <v>185.09166635575519</v>
      </c>
      <c r="CA26" s="51">
        <f>BZ26</f>
        <v>185.09166635575519</v>
      </c>
      <c r="CB26" s="265"/>
      <c r="CC26" s="1518">
        <f>CC81*4*IS!CC11</f>
        <v>247.1034375915624</v>
      </c>
      <c r="CD26" s="671">
        <f>CD81*4*IS!CD11</f>
        <v>250.92364933951623</v>
      </c>
      <c r="CE26" s="49">
        <f>CE81*4*IS!CE11</f>
        <v>217.1781454962005</v>
      </c>
      <c r="CF26" s="49">
        <f>CF81*4*IS!CF11</f>
        <v>193.36917158050736</v>
      </c>
      <c r="CG26" s="51">
        <f>CF26</f>
        <v>193.36917158050736</v>
      </c>
      <c r="CH26" s="265"/>
      <c r="CI26" s="1518">
        <f>CI81*4*IS!CI11</f>
        <v>260.79276986859577</v>
      </c>
      <c r="CJ26" s="671">
        <f>CJ81*4*IS!CJ11</f>
        <v>264.78772298319888</v>
      </c>
      <c r="CK26" s="49">
        <f>CK81*4*IS!CK11</f>
        <v>227.09110333150628</v>
      </c>
      <c r="CL26" s="49">
        <f>CL81*4*IS!CL11</f>
        <v>202.01169816184535</v>
      </c>
      <c r="CM26" s="51">
        <f>CL26</f>
        <v>202.01169816184535</v>
      </c>
      <c r="CN26" s="265"/>
      <c r="CO26" s="265"/>
      <c r="CP26"/>
      <c r="CQ26"/>
      <c r="CR26"/>
      <c r="CS26"/>
      <c r="CT26"/>
      <c r="CU26"/>
      <c r="CV26" s="97"/>
    </row>
    <row r="27" spans="1:101" s="24" customFormat="1" hidden="1" outlineLevel="1">
      <c r="A27" s="1512" t="s">
        <v>324</v>
      </c>
      <c r="B27" s="660"/>
      <c r="C27" s="660"/>
      <c r="D27" s="660"/>
      <c r="E27" s="660"/>
      <c r="F27" s="659"/>
      <c r="G27" s="48">
        <v>13.119</v>
      </c>
      <c r="H27" s="49"/>
      <c r="I27" s="50">
        <v>13.226000000000001</v>
      </c>
      <c r="J27" s="50">
        <v>13.56</v>
      </c>
      <c r="K27" s="50">
        <v>11.706</v>
      </c>
      <c r="L27" s="50">
        <v>10.276</v>
      </c>
      <c r="M27" s="51">
        <f>L27</f>
        <v>10.276</v>
      </c>
      <c r="N27" s="49"/>
      <c r="O27" s="50">
        <v>10.318</v>
      </c>
      <c r="P27" s="50">
        <v>10.029999999999999</v>
      </c>
      <c r="Q27" s="50">
        <v>10.347</v>
      </c>
      <c r="R27" s="50">
        <v>10.109</v>
      </c>
      <c r="S27" s="51">
        <f>R27</f>
        <v>10.109</v>
      </c>
      <c r="T27" s="49"/>
      <c r="U27" s="50">
        <v>10.042</v>
      </c>
      <c r="V27" s="50">
        <v>10.273999999999999</v>
      </c>
      <c r="W27" s="50">
        <v>10.766999999999999</v>
      </c>
      <c r="X27" s="50">
        <v>11.272</v>
      </c>
      <c r="Y27" s="51">
        <f>X27</f>
        <v>11.272</v>
      </c>
      <c r="Z27" s="49"/>
      <c r="AA27" s="50">
        <v>11.933999999999999</v>
      </c>
      <c r="AB27" s="50">
        <v>12.298999999999999</v>
      </c>
      <c r="AC27" s="50">
        <v>12.496</v>
      </c>
      <c r="AD27" s="1180">
        <v>13.257999999999999</v>
      </c>
      <c r="AE27" s="51">
        <f>AD27</f>
        <v>13.257999999999999</v>
      </c>
      <c r="AF27" s="49"/>
      <c r="AG27" s="50">
        <v>12.814</v>
      </c>
      <c r="AH27" s="50">
        <v>12.253</v>
      </c>
      <c r="AI27" s="50">
        <v>12.885</v>
      </c>
      <c r="AJ27" s="1180">
        <v>12.353</v>
      </c>
      <c r="AK27" s="51">
        <f>AJ27</f>
        <v>12.353</v>
      </c>
      <c r="AL27" s="49"/>
      <c r="AM27" s="50">
        <v>12.656000000000001</v>
      </c>
      <c r="AN27" s="50">
        <v>12.108000000000001</v>
      </c>
      <c r="AO27" s="52">
        <v>11.964</v>
      </c>
      <c r="AP27" s="1180">
        <v>12.962</v>
      </c>
      <c r="AQ27" s="51">
        <f>AP27</f>
        <v>12.962</v>
      </c>
      <c r="AR27" s="49"/>
      <c r="AS27" s="1523">
        <v>12.795</v>
      </c>
      <c r="AT27" s="50">
        <v>12.475</v>
      </c>
      <c r="AU27" s="50">
        <v>12.481</v>
      </c>
      <c r="AV27" s="1504">
        <v>13.266</v>
      </c>
      <c r="AW27" s="51">
        <f>AV27</f>
        <v>13.266</v>
      </c>
      <c r="AX27" s="49"/>
      <c r="AY27" s="1523">
        <v>12.871</v>
      </c>
      <c r="AZ27" s="50">
        <v>13.039</v>
      </c>
      <c r="BA27" s="50">
        <v>13.106999999999999</v>
      </c>
      <c r="BB27" s="1504">
        <v>13.349</v>
      </c>
      <c r="BC27" s="51">
        <f>BB27</f>
        <v>13.349</v>
      </c>
      <c r="BD27" s="49"/>
      <c r="BE27" s="1523">
        <v>12.832000000000001</v>
      </c>
      <c r="BF27" s="50">
        <v>12.927</v>
      </c>
      <c r="BG27" s="50">
        <v>13.535</v>
      </c>
      <c r="BH27" s="1504">
        <v>13.391</v>
      </c>
      <c r="BI27" s="51">
        <f>BH27</f>
        <v>13.391</v>
      </c>
      <c r="BJ27" s="49"/>
      <c r="BK27" s="1523">
        <f>12.998</f>
        <v>12.997999999999999</v>
      </c>
      <c r="BL27" s="50">
        <v>12.864000000000001</v>
      </c>
      <c r="BM27" s="50">
        <v>12.855</v>
      </c>
      <c r="BN27" s="1504">
        <v>13.026</v>
      </c>
      <c r="BO27" s="51">
        <f>BN27</f>
        <v>13.026</v>
      </c>
      <c r="BP27" s="49"/>
      <c r="BQ27" s="1518">
        <f>BN27</f>
        <v>13.026</v>
      </c>
      <c r="BR27" s="671">
        <f>BQ27</f>
        <v>13.026</v>
      </c>
      <c r="BS27" s="49">
        <f>BR27</f>
        <v>13.026</v>
      </c>
      <c r="BT27" s="49">
        <f>BS27</f>
        <v>13.026</v>
      </c>
      <c r="BU27" s="51">
        <f>BT27</f>
        <v>13.026</v>
      </c>
      <c r="BV27" s="265"/>
      <c r="BW27" s="1518">
        <f>BT27</f>
        <v>13.026</v>
      </c>
      <c r="BX27" s="671">
        <f>BW27</f>
        <v>13.026</v>
      </c>
      <c r="BY27" s="49">
        <f>BX27</f>
        <v>13.026</v>
      </c>
      <c r="BZ27" s="49">
        <f>BY27</f>
        <v>13.026</v>
      </c>
      <c r="CA27" s="51">
        <f>BZ27</f>
        <v>13.026</v>
      </c>
      <c r="CB27" s="265"/>
      <c r="CC27" s="1518">
        <f>BZ27</f>
        <v>13.026</v>
      </c>
      <c r="CD27" s="671">
        <f>CC27</f>
        <v>13.026</v>
      </c>
      <c r="CE27" s="49">
        <f>CD27</f>
        <v>13.026</v>
      </c>
      <c r="CF27" s="49">
        <f>CE27</f>
        <v>13.026</v>
      </c>
      <c r="CG27" s="51">
        <f>CF27</f>
        <v>13.026</v>
      </c>
      <c r="CH27" s="265"/>
      <c r="CI27" s="1518">
        <f>CF27</f>
        <v>13.026</v>
      </c>
      <c r="CJ27" s="671">
        <f>CI27</f>
        <v>13.026</v>
      </c>
      <c r="CK27" s="49">
        <f>CJ27</f>
        <v>13.026</v>
      </c>
      <c r="CL27" s="49">
        <f>CK27</f>
        <v>13.026</v>
      </c>
      <c r="CM27" s="51">
        <f>CL27</f>
        <v>13.026</v>
      </c>
      <c r="CN27" s="265"/>
      <c r="CO27" s="265"/>
      <c r="CP27"/>
      <c r="CQ27"/>
      <c r="CR27"/>
      <c r="CS27"/>
      <c r="CT27"/>
      <c r="CU27"/>
      <c r="CV27" s="97"/>
    </row>
    <row r="28" spans="1:101" s="24" customFormat="1" collapsed="1">
      <c r="A28" s="1513" t="s">
        <v>325</v>
      </c>
      <c r="B28" s="666"/>
      <c r="C28" s="666"/>
      <c r="D28" s="666"/>
      <c r="E28" s="666"/>
      <c r="F28" s="667"/>
      <c r="G28" s="668">
        <f>SUM(G23:G27)</f>
        <v>658.43399999999997</v>
      </c>
      <c r="H28" s="669"/>
      <c r="I28" s="669">
        <f>SUM(I23:I27)</f>
        <v>563.67999999999995</v>
      </c>
      <c r="J28" s="669">
        <f t="shared" ref="J28:AJ28" si="4">SUM(J23:J27)</f>
        <v>620.86899999999991</v>
      </c>
      <c r="K28" s="669">
        <f t="shared" si="4"/>
        <v>666.19799999999998</v>
      </c>
      <c r="L28" s="669">
        <f t="shared" si="4"/>
        <v>289.50600000000003</v>
      </c>
      <c r="M28" s="668">
        <f t="shared" si="4"/>
        <v>289.50600000000003</v>
      </c>
      <c r="N28" s="669"/>
      <c r="O28" s="669">
        <f t="shared" si="4"/>
        <v>343.53500000000003</v>
      </c>
      <c r="P28" s="669">
        <f t="shared" si="4"/>
        <v>400.096</v>
      </c>
      <c r="Q28" s="669">
        <f t="shared" si="4"/>
        <v>432.21399999999994</v>
      </c>
      <c r="R28" s="669">
        <f t="shared" si="4"/>
        <v>394.56799999999998</v>
      </c>
      <c r="S28" s="668">
        <f t="shared" si="4"/>
        <v>394.56799999999998</v>
      </c>
      <c r="T28" s="669"/>
      <c r="U28" s="669">
        <f t="shared" si="4"/>
        <v>305.20400000000001</v>
      </c>
      <c r="V28" s="669">
        <f t="shared" si="4"/>
        <v>362.57100000000003</v>
      </c>
      <c r="W28" s="669">
        <f t="shared" si="4"/>
        <v>417.41</v>
      </c>
      <c r="X28" s="669">
        <f t="shared" si="4"/>
        <v>385.85</v>
      </c>
      <c r="Y28" s="668">
        <f t="shared" si="4"/>
        <v>385.85</v>
      </c>
      <c r="Z28" s="669"/>
      <c r="AA28" s="669">
        <f t="shared" si="4"/>
        <v>716.22900000000004</v>
      </c>
      <c r="AB28" s="669">
        <f t="shared" si="4"/>
        <v>467.29699999999991</v>
      </c>
      <c r="AC28" s="669">
        <f t="shared" si="4"/>
        <v>605.57899999999995</v>
      </c>
      <c r="AD28" s="1182">
        <f t="shared" si="4"/>
        <v>601.86300000000006</v>
      </c>
      <c r="AE28" s="668">
        <f t="shared" si="4"/>
        <v>601.86300000000006</v>
      </c>
      <c r="AF28" s="669"/>
      <c r="AG28" s="669">
        <f t="shared" si="4"/>
        <v>648.28300000000002</v>
      </c>
      <c r="AH28" s="669">
        <f t="shared" si="4"/>
        <v>721.65700000000004</v>
      </c>
      <c r="AI28" s="669">
        <f t="shared" si="4"/>
        <v>767.5619999999999</v>
      </c>
      <c r="AJ28" s="1182">
        <f t="shared" si="4"/>
        <v>504.24200000000002</v>
      </c>
      <c r="AK28" s="668">
        <f>SUM(AK23:AK27)</f>
        <v>504.24200000000002</v>
      </c>
      <c r="AL28" s="669"/>
      <c r="AM28" s="669">
        <f>SUM(AM23:AM27)</f>
        <v>476.86600000000004</v>
      </c>
      <c r="AN28" s="669">
        <f>SUM(AN23:AN27)</f>
        <v>474.95300000000003</v>
      </c>
      <c r="AO28" s="1255">
        <f>SUM(AO23:AO27)</f>
        <v>492.90400000000005</v>
      </c>
      <c r="AP28" s="1182">
        <f>SUM(AP23:AP27)</f>
        <v>487.53200000000004</v>
      </c>
      <c r="AQ28" s="668">
        <f>SUM(AQ23:AQ27)</f>
        <v>487.53200000000004</v>
      </c>
      <c r="AR28" s="669"/>
      <c r="AS28" s="1520">
        <f>SUM(AS23:AS27)</f>
        <v>584.44799999999998</v>
      </c>
      <c r="AT28" s="669">
        <f>SUM(AT23:AT27)</f>
        <v>594.59</v>
      </c>
      <c r="AU28" s="669">
        <f>SUM(AU23:AU27)</f>
        <v>574.47899999999993</v>
      </c>
      <c r="AV28" s="669">
        <f>SUM(AV23:AV27)</f>
        <v>581.59499999999991</v>
      </c>
      <c r="AW28" s="668">
        <f>SUM(AW23:AW27)</f>
        <v>581.59499999999991</v>
      </c>
      <c r="AX28" s="669"/>
      <c r="AY28" s="1520">
        <f>SUM(AY23:AY27)</f>
        <v>538.471</v>
      </c>
      <c r="AZ28" s="669">
        <f>SUM(AZ23:AZ27)</f>
        <v>546.69399999999996</v>
      </c>
      <c r="BA28" s="669">
        <f>SUM(BA23:BA27)</f>
        <v>535.95399999999995</v>
      </c>
      <c r="BB28" s="669">
        <f>SUM(BB23:BB27)</f>
        <v>564.07600000000002</v>
      </c>
      <c r="BC28" s="668">
        <f>SUM(BC23:BC27)</f>
        <v>564.07600000000002</v>
      </c>
      <c r="BD28" s="669"/>
      <c r="BE28" s="1520">
        <f>SUM(BE23:BE27)</f>
        <v>524.03</v>
      </c>
      <c r="BF28" s="669">
        <f>SUM(BF23:BF27)</f>
        <v>522.60400000000004</v>
      </c>
      <c r="BG28" s="669">
        <f>SUM(BG23:BG27)</f>
        <v>519.50099999999998</v>
      </c>
      <c r="BH28" s="669">
        <f>SUM(BH23:BH27)</f>
        <v>520.32099999999991</v>
      </c>
      <c r="BI28" s="668">
        <f>SUM(BI23:BI27)</f>
        <v>520.32099999999991</v>
      </c>
      <c r="BJ28" s="669"/>
      <c r="BK28" s="1520">
        <f>SUM(BK23:BK27)</f>
        <v>632.21100000000013</v>
      </c>
      <c r="BL28" s="669">
        <f>SUM(BL23:BL27)</f>
        <v>653.28899999999999</v>
      </c>
      <c r="BM28" s="669">
        <f>SUM(BM23:BM27)</f>
        <v>662.14900000000011</v>
      </c>
      <c r="BN28" s="669">
        <f>SUM(BN23:BN27)</f>
        <v>606.15699999999993</v>
      </c>
      <c r="BO28" s="668">
        <f>SUM(BO23:BO27)</f>
        <v>606.15699999999993</v>
      </c>
      <c r="BP28" s="669"/>
      <c r="BQ28" s="1520">
        <f>SUM(BQ23:BQ27)</f>
        <v>536.72995743332854</v>
      </c>
      <c r="BR28" s="669">
        <f>SUM(BR23:BR27)</f>
        <v>555.6841435062471</v>
      </c>
      <c r="BS28" s="669">
        <f>SUM(BS23:BS27)</f>
        <v>557.3453680151847</v>
      </c>
      <c r="BT28" s="669">
        <f>SUM(BT23:BT27)</f>
        <v>627.47680557159981</v>
      </c>
      <c r="BU28" s="668">
        <f>SUM(BU23:BU27)</f>
        <v>627.47680557159981</v>
      </c>
      <c r="BV28" s="265"/>
      <c r="BW28" s="1520">
        <f>SUM(BW23:BW27)</f>
        <v>555.79796252927849</v>
      </c>
      <c r="BX28" s="669">
        <f>SUM(BX23:BX27)</f>
        <v>573.9194256872903</v>
      </c>
      <c r="BY28" s="669">
        <f>SUM(BY23:BY27)</f>
        <v>573.24777184834124</v>
      </c>
      <c r="BZ28" s="669">
        <f>SUM(BZ23:BZ27)</f>
        <v>644.20119534376511</v>
      </c>
      <c r="CA28" s="668">
        <f>SUM(CA23:CA27)</f>
        <v>644.20119534376511</v>
      </c>
      <c r="CB28" s="265"/>
      <c r="CC28" s="1520">
        <f>SUM(CC23:CC27)</f>
        <v>576.8517543773886</v>
      </c>
      <c r="CD28" s="669">
        <f>SUM(CD23:CD27)</f>
        <v>594.153291279521</v>
      </c>
      <c r="CE28" s="669">
        <f>SUM(CE23:CE27)</f>
        <v>591.00207469193685</v>
      </c>
      <c r="CF28" s="669">
        <f>SUM(CF23:CF27)</f>
        <v>662.53341718136073</v>
      </c>
      <c r="CG28" s="668">
        <f>SUM(CG23:CG27)</f>
        <v>662.53341718136073</v>
      </c>
      <c r="CH28" s="265"/>
      <c r="CI28" s="1520">
        <f>SUM(CI23:CI27)</f>
        <v>598.90084928885744</v>
      </c>
      <c r="CJ28" s="669">
        <f>SUM(CJ23:CJ27)</f>
        <v>615.31452162979224</v>
      </c>
      <c r="CK28" s="669">
        <f>SUM(CK23:CK27)</f>
        <v>609.43768639385451</v>
      </c>
      <c r="CL28" s="669">
        <f>SUM(CL23:CL27)</f>
        <v>681.59045801749983</v>
      </c>
      <c r="CM28" s="668">
        <f>SUM(CM23:CM27)</f>
        <v>681.59045801749983</v>
      </c>
      <c r="CN28" s="265"/>
      <c r="CO28" s="265"/>
      <c r="CP28"/>
      <c r="CQ28"/>
      <c r="CR28"/>
      <c r="CS28"/>
      <c r="CT28"/>
      <c r="CU28"/>
      <c r="CV28" s="97"/>
    </row>
    <row r="29" spans="1:101" s="24" customFormat="1">
      <c r="A29" s="1512" t="s">
        <v>326</v>
      </c>
      <c r="B29" s="660"/>
      <c r="C29" s="660"/>
      <c r="D29" s="660"/>
      <c r="E29" s="660"/>
      <c r="F29" s="661"/>
      <c r="G29" s="662">
        <v>500</v>
      </c>
      <c r="H29" s="672"/>
      <c r="I29" s="664">
        <v>650</v>
      </c>
      <c r="J29" s="664">
        <v>650</v>
      </c>
      <c r="K29" s="664">
        <v>650</v>
      </c>
      <c r="L29" s="664">
        <v>500</v>
      </c>
      <c r="M29" s="665">
        <f>L29</f>
        <v>500</v>
      </c>
      <c r="N29" s="672"/>
      <c r="O29" s="664">
        <v>500</v>
      </c>
      <c r="P29" s="664">
        <v>500</v>
      </c>
      <c r="Q29" s="664">
        <v>500</v>
      </c>
      <c r="R29" s="664">
        <v>500</v>
      </c>
      <c r="S29" s="665">
        <f>R29</f>
        <v>500</v>
      </c>
      <c r="T29" s="672"/>
      <c r="U29" s="664">
        <v>700</v>
      </c>
      <c r="V29" s="664">
        <v>700</v>
      </c>
      <c r="W29" s="664">
        <v>700</v>
      </c>
      <c r="X29" s="664">
        <v>700</v>
      </c>
      <c r="Y29" s="665">
        <f>X29</f>
        <v>700</v>
      </c>
      <c r="Z29" s="672"/>
      <c r="AA29" s="664">
        <v>400</v>
      </c>
      <c r="AB29" s="664">
        <v>700</v>
      </c>
      <c r="AC29" s="664">
        <v>700</v>
      </c>
      <c r="AD29" s="1181">
        <v>700</v>
      </c>
      <c r="AE29" s="665">
        <f>AD29</f>
        <v>700</v>
      </c>
      <c r="AF29" s="672"/>
      <c r="AG29" s="664">
        <v>700</v>
      </c>
      <c r="AH29" s="664">
        <v>700</v>
      </c>
      <c r="AI29" s="664">
        <v>700</v>
      </c>
      <c r="AJ29" s="1181">
        <v>1045</v>
      </c>
      <c r="AK29" s="665">
        <f>AJ29</f>
        <v>1045</v>
      </c>
      <c r="AL29" s="672"/>
      <c r="AM29" s="661">
        <v>1100</v>
      </c>
      <c r="AN29" s="664">
        <v>1135</v>
      </c>
      <c r="AO29" s="1256">
        <v>1160</v>
      </c>
      <c r="AP29" s="1181">
        <v>1190</v>
      </c>
      <c r="AQ29" s="665">
        <f>AP29</f>
        <v>1190</v>
      </c>
      <c r="AR29" s="672"/>
      <c r="AS29" s="1524">
        <v>1100</v>
      </c>
      <c r="AT29" s="661">
        <v>1160</v>
      </c>
      <c r="AU29" s="661">
        <v>1205</v>
      </c>
      <c r="AV29" s="1504">
        <v>1240</v>
      </c>
      <c r="AW29" s="665">
        <f>AV29</f>
        <v>1240</v>
      </c>
      <c r="AX29" s="672"/>
      <c r="AY29" s="1524">
        <v>1310</v>
      </c>
      <c r="AZ29" s="661">
        <v>1385</v>
      </c>
      <c r="BA29" s="661">
        <v>1455</v>
      </c>
      <c r="BB29" s="1504">
        <v>1493.027</v>
      </c>
      <c r="BC29" s="665">
        <f>BB29</f>
        <v>1493.027</v>
      </c>
      <c r="BD29" s="672"/>
      <c r="BE29" s="1524">
        <v>1593.3009999999999</v>
      </c>
      <c r="BF29" s="661">
        <v>1631.6980000000001</v>
      </c>
      <c r="BG29" s="661">
        <v>1656.8320000000001</v>
      </c>
      <c r="BH29" s="1504">
        <v>1701.9659999999999</v>
      </c>
      <c r="BI29" s="665">
        <f>BH29</f>
        <v>1701.9659999999999</v>
      </c>
      <c r="BJ29" s="672"/>
      <c r="BK29" s="1524">
        <v>1642.0989999999999</v>
      </c>
      <c r="BL29" s="661">
        <v>1687.2329999999999</v>
      </c>
      <c r="BM29" s="661">
        <v>1732.367</v>
      </c>
      <c r="BN29" s="1504">
        <v>1897.501</v>
      </c>
      <c r="BO29" s="665">
        <f t="shared" ref="BO29:BO31" si="5">BN29</f>
        <v>1897.501</v>
      </c>
      <c r="BP29" s="672"/>
      <c r="BQ29" s="1519">
        <f>Debt!BQ23-Debt!BQ24</f>
        <v>1797.501</v>
      </c>
      <c r="BR29" s="672">
        <f>Debt!BR23-Debt!BR24</f>
        <v>1797.501</v>
      </c>
      <c r="BS29" s="672">
        <f>Debt!BS23-Debt!BS24</f>
        <v>1797.501</v>
      </c>
      <c r="BT29" s="672">
        <f>Debt!BT23-Debt!BT24</f>
        <v>1797.501</v>
      </c>
      <c r="BU29" s="665">
        <f>BT29</f>
        <v>1797.501</v>
      </c>
      <c r="BV29" s="265"/>
      <c r="BW29" s="1519">
        <f>Debt!BW23-Debt!BW24</f>
        <v>1697.501</v>
      </c>
      <c r="BX29" s="672">
        <f>Debt!BX23-Debt!BX24</f>
        <v>1697.501</v>
      </c>
      <c r="BY29" s="672">
        <f>Debt!BY23-Debt!BY24</f>
        <v>1697.501</v>
      </c>
      <c r="BZ29" s="672">
        <f>Debt!BZ23-Debt!BZ24</f>
        <v>1697.501</v>
      </c>
      <c r="CA29" s="665">
        <f>BZ29</f>
        <v>1697.501</v>
      </c>
      <c r="CB29" s="265"/>
      <c r="CC29" s="1519">
        <f>Debt!CC23-Debt!CC24</f>
        <v>1697.501</v>
      </c>
      <c r="CD29" s="672">
        <f>Debt!CD23-Debt!CD24</f>
        <v>1697.501</v>
      </c>
      <c r="CE29" s="672">
        <f>Debt!CE23-Debt!CE24</f>
        <v>1697.501</v>
      </c>
      <c r="CF29" s="672">
        <f>Debt!CF23-Debt!CF24</f>
        <v>1697.501</v>
      </c>
      <c r="CG29" s="665">
        <f>CF29</f>
        <v>1697.501</v>
      </c>
      <c r="CH29" s="265"/>
      <c r="CI29" s="1519">
        <f>Debt!CI23-Debt!CI24</f>
        <v>1697.501</v>
      </c>
      <c r="CJ29" s="672">
        <f>Debt!CJ23-Debt!CJ24</f>
        <v>1697.501</v>
      </c>
      <c r="CK29" s="672">
        <f>Debt!CK23-Debt!CK24</f>
        <v>1697.501</v>
      </c>
      <c r="CL29" s="672">
        <f>Debt!CL23-Debt!CL24</f>
        <v>1697.501</v>
      </c>
      <c r="CM29" s="665">
        <f>CL29</f>
        <v>1697.501</v>
      </c>
      <c r="CN29" s="265"/>
      <c r="CO29" s="265"/>
      <c r="CP29"/>
      <c r="CQ29"/>
      <c r="CR29"/>
      <c r="CS29"/>
      <c r="CT29"/>
      <c r="CU29"/>
      <c r="CV29" s="97"/>
    </row>
    <row r="30" spans="1:101" s="24" customFormat="1" hidden="1" outlineLevel="1">
      <c r="A30" s="1512" t="s">
        <v>327</v>
      </c>
      <c r="B30" s="660"/>
      <c r="C30" s="660"/>
      <c r="D30" s="660"/>
      <c r="E30" s="660"/>
      <c r="F30" s="661"/>
      <c r="G30" s="662">
        <v>52.353000000000002</v>
      </c>
      <c r="H30" s="672"/>
      <c r="I30" s="664">
        <v>53.591999999999999</v>
      </c>
      <c r="J30" s="664">
        <v>52.595999999999997</v>
      </c>
      <c r="K30" s="664">
        <v>46.713999999999999</v>
      </c>
      <c r="L30" s="664">
        <v>77.016999999999996</v>
      </c>
      <c r="M30" s="665">
        <f>L30</f>
        <v>77.016999999999996</v>
      </c>
      <c r="N30" s="672"/>
      <c r="O30" s="664">
        <v>73.524000000000001</v>
      </c>
      <c r="P30" s="664">
        <v>74.423000000000002</v>
      </c>
      <c r="Q30" s="664">
        <v>74.998000000000005</v>
      </c>
      <c r="R30" s="664">
        <v>69.043999999999997</v>
      </c>
      <c r="S30" s="665">
        <f>R30</f>
        <v>69.043999999999997</v>
      </c>
      <c r="T30" s="672"/>
      <c r="U30" s="664">
        <v>69.442999999999998</v>
      </c>
      <c r="V30" s="664">
        <v>67.186999999999998</v>
      </c>
      <c r="W30" s="664">
        <v>67.573999999999998</v>
      </c>
      <c r="X30" s="664">
        <v>72.623999999999995</v>
      </c>
      <c r="Y30" s="665">
        <f>X30</f>
        <v>72.623999999999995</v>
      </c>
      <c r="Z30" s="672"/>
      <c r="AA30" s="664">
        <v>75.742000000000004</v>
      </c>
      <c r="AB30" s="664">
        <v>76.430999999999997</v>
      </c>
      <c r="AC30" s="664">
        <v>71.951999999999998</v>
      </c>
      <c r="AD30" s="1181">
        <v>92.97</v>
      </c>
      <c r="AE30" s="665">
        <f>AD30</f>
        <v>92.97</v>
      </c>
      <c r="AF30" s="672"/>
      <c r="AG30" s="664">
        <v>102.126</v>
      </c>
      <c r="AH30" s="664">
        <v>97.058999999999997</v>
      </c>
      <c r="AI30" s="664">
        <v>96.200999999999993</v>
      </c>
      <c r="AJ30" s="1181">
        <v>101.22499999999999</v>
      </c>
      <c r="AK30" s="665">
        <f>AJ30</f>
        <v>101.22499999999999</v>
      </c>
      <c r="AL30" s="672"/>
      <c r="AM30" s="661">
        <v>101.72499999999999</v>
      </c>
      <c r="AN30" s="50">
        <v>101.822</v>
      </c>
      <c r="AO30" s="1256">
        <v>102.151</v>
      </c>
      <c r="AP30" s="1181">
        <v>74.722999999999999</v>
      </c>
      <c r="AQ30" s="665">
        <f>AP30</f>
        <v>74.722999999999999</v>
      </c>
      <c r="AR30" s="672"/>
      <c r="AS30" s="1524">
        <v>76.754000000000005</v>
      </c>
      <c r="AT30" s="661">
        <v>59.875</v>
      </c>
      <c r="AU30" s="661">
        <v>57.936</v>
      </c>
      <c r="AV30" s="1504">
        <v>85.23</v>
      </c>
      <c r="AW30" s="665">
        <f>AV30</f>
        <v>85.23</v>
      </c>
      <c r="AX30" s="672"/>
      <c r="AY30" s="1524">
        <v>84.239000000000004</v>
      </c>
      <c r="AZ30" s="661">
        <v>83.119</v>
      </c>
      <c r="BA30" s="661">
        <v>77.352999999999994</v>
      </c>
      <c r="BB30" s="1504">
        <v>77.063000000000002</v>
      </c>
      <c r="BC30" s="665">
        <f>BB30</f>
        <v>77.063000000000002</v>
      </c>
      <c r="BD30" s="672"/>
      <c r="BE30" s="1524">
        <v>70.972999999999999</v>
      </c>
      <c r="BF30" s="661">
        <v>70.760999999999996</v>
      </c>
      <c r="BG30" s="661">
        <v>66.492999999999995</v>
      </c>
      <c r="BH30" s="1504">
        <v>72.567999999999998</v>
      </c>
      <c r="BI30" s="665">
        <f>BH30</f>
        <v>72.567999999999998</v>
      </c>
      <c r="BJ30" s="672"/>
      <c r="BK30" s="1524">
        <v>72.564999999999998</v>
      </c>
      <c r="BL30" s="661">
        <v>72.381</v>
      </c>
      <c r="BM30" s="661">
        <v>69.665999999999997</v>
      </c>
      <c r="BN30" s="1504">
        <v>67.334000000000003</v>
      </c>
      <c r="BO30" s="665">
        <f t="shared" si="5"/>
        <v>67.334000000000003</v>
      </c>
      <c r="BP30" s="672"/>
      <c r="BQ30" s="1519">
        <f>BN30</f>
        <v>67.334000000000003</v>
      </c>
      <c r="BR30" s="672">
        <f t="shared" ref="BR30:BT31" si="6">BQ30</f>
        <v>67.334000000000003</v>
      </c>
      <c r="BS30" s="672">
        <f t="shared" si="6"/>
        <v>67.334000000000003</v>
      </c>
      <c r="BT30" s="672">
        <f t="shared" si="6"/>
        <v>67.334000000000003</v>
      </c>
      <c r="BU30" s="665">
        <f>BT30</f>
        <v>67.334000000000003</v>
      </c>
      <c r="BV30" s="265"/>
      <c r="BW30" s="1519">
        <f>BT30</f>
        <v>67.334000000000003</v>
      </c>
      <c r="BX30" s="672">
        <f t="shared" ref="BX30:BZ31" si="7">BW30</f>
        <v>67.334000000000003</v>
      </c>
      <c r="BY30" s="672">
        <f t="shared" si="7"/>
        <v>67.334000000000003</v>
      </c>
      <c r="BZ30" s="672">
        <f t="shared" si="7"/>
        <v>67.334000000000003</v>
      </c>
      <c r="CA30" s="665">
        <f>BZ30</f>
        <v>67.334000000000003</v>
      </c>
      <c r="CB30" s="265"/>
      <c r="CC30" s="1519">
        <f>BZ30</f>
        <v>67.334000000000003</v>
      </c>
      <c r="CD30" s="672">
        <f t="shared" ref="CD30:CF31" si="8">CC30</f>
        <v>67.334000000000003</v>
      </c>
      <c r="CE30" s="672">
        <f t="shared" si="8"/>
        <v>67.334000000000003</v>
      </c>
      <c r="CF30" s="672">
        <f t="shared" si="8"/>
        <v>67.334000000000003</v>
      </c>
      <c r="CG30" s="665">
        <f>CF30</f>
        <v>67.334000000000003</v>
      </c>
      <c r="CH30" s="265"/>
      <c r="CI30" s="1519">
        <f>CF30</f>
        <v>67.334000000000003</v>
      </c>
      <c r="CJ30" s="672">
        <f t="shared" ref="CJ30:CL31" si="9">CI30</f>
        <v>67.334000000000003</v>
      </c>
      <c r="CK30" s="672">
        <f t="shared" si="9"/>
        <v>67.334000000000003</v>
      </c>
      <c r="CL30" s="672">
        <f t="shared" si="9"/>
        <v>67.334000000000003</v>
      </c>
      <c r="CM30" s="665">
        <f>CL30</f>
        <v>67.334000000000003</v>
      </c>
      <c r="CN30" s="265"/>
      <c r="CO30" s="265"/>
      <c r="CP30"/>
      <c r="CQ30"/>
      <c r="CR30"/>
      <c r="CS30"/>
      <c r="CT30"/>
      <c r="CU30"/>
      <c r="CV30" s="97"/>
    </row>
    <row r="31" spans="1:101" s="24" customFormat="1" hidden="1" outlineLevel="1">
      <c r="A31" s="1512" t="s">
        <v>328</v>
      </c>
      <c r="B31" s="660"/>
      <c r="C31" s="660"/>
      <c r="D31" s="660"/>
      <c r="E31" s="660"/>
      <c r="F31" s="661"/>
      <c r="G31" s="662">
        <v>70.078999999999994</v>
      </c>
      <c r="H31" s="672"/>
      <c r="I31" s="664">
        <v>71.408000000000001</v>
      </c>
      <c r="J31" s="664">
        <v>72.799000000000007</v>
      </c>
      <c r="K31" s="664">
        <v>78.814999999999998</v>
      </c>
      <c r="L31" s="664">
        <v>80.31</v>
      </c>
      <c r="M31" s="665">
        <f>L31</f>
        <v>80.31</v>
      </c>
      <c r="N31" s="672"/>
      <c r="O31" s="664">
        <v>77.11</v>
      </c>
      <c r="P31" s="664">
        <v>78.741</v>
      </c>
      <c r="Q31" s="664">
        <v>80.215999999999994</v>
      </c>
      <c r="R31" s="664">
        <v>72.603999999999999</v>
      </c>
      <c r="S31" s="665">
        <f>R31</f>
        <v>72.603999999999999</v>
      </c>
      <c r="T31" s="672"/>
      <c r="U31" s="664">
        <v>72.478999999999999</v>
      </c>
      <c r="V31" s="664">
        <v>74.037000000000006</v>
      </c>
      <c r="W31" s="664">
        <v>75.638999999999996</v>
      </c>
      <c r="X31" s="664">
        <v>77.763999999999996</v>
      </c>
      <c r="Y31" s="665">
        <f>X31</f>
        <v>77.763999999999996</v>
      </c>
      <c r="Z31" s="672"/>
      <c r="AA31" s="664">
        <v>78.855000000000004</v>
      </c>
      <c r="AB31" s="664">
        <v>77.593999999999994</v>
      </c>
      <c r="AC31" s="664">
        <v>77.537000000000006</v>
      </c>
      <c r="AD31" s="1181">
        <v>72.613</v>
      </c>
      <c r="AE31" s="665">
        <f>AD31</f>
        <v>72.613</v>
      </c>
      <c r="AF31" s="672"/>
      <c r="AG31" s="664">
        <v>72.03</v>
      </c>
      <c r="AH31" s="664">
        <v>71.013999999999996</v>
      </c>
      <c r="AI31" s="664">
        <v>70.343000000000004</v>
      </c>
      <c r="AJ31" s="1181">
        <v>24.771999999999998</v>
      </c>
      <c r="AK31" s="665">
        <f>AJ31</f>
        <v>24.771999999999998</v>
      </c>
      <c r="AL31" s="672"/>
      <c r="AM31" s="661">
        <v>22.556000000000001</v>
      </c>
      <c r="AN31" s="50">
        <v>21.625</v>
      </c>
      <c r="AO31" s="1256">
        <v>19.048999999999999</v>
      </c>
      <c r="AP31" s="1181">
        <v>25.436</v>
      </c>
      <c r="AQ31" s="665">
        <f>AP31</f>
        <v>25.436</v>
      </c>
      <c r="AR31" s="672"/>
      <c r="AS31" s="1524">
        <v>24.591999999999999</v>
      </c>
      <c r="AT31" s="661">
        <v>23.407</v>
      </c>
      <c r="AU31" s="661">
        <v>22.039000000000001</v>
      </c>
      <c r="AV31" s="1504">
        <v>20.396999999999998</v>
      </c>
      <c r="AW31" s="665">
        <f>AV31</f>
        <v>20.396999999999998</v>
      </c>
      <c r="AX31" s="672"/>
      <c r="AY31" s="1524">
        <v>21.312999999999999</v>
      </c>
      <c r="AZ31" s="661">
        <v>20.419</v>
      </c>
      <c r="BA31" s="661">
        <v>19.481999999999999</v>
      </c>
      <c r="BB31" s="1504">
        <v>14.884</v>
      </c>
      <c r="BC31" s="665">
        <f>BB31</f>
        <v>14.884</v>
      </c>
      <c r="BD31" s="672"/>
      <c r="BE31" s="1524">
        <v>13.259</v>
      </c>
      <c r="BF31" s="661">
        <v>12.298</v>
      </c>
      <c r="BG31" s="661">
        <v>11.337</v>
      </c>
      <c r="BH31" s="1504">
        <v>10.458</v>
      </c>
      <c r="BI31" s="665">
        <f>BH31</f>
        <v>10.458</v>
      </c>
      <c r="BJ31" s="672"/>
      <c r="BK31" s="1524">
        <v>9.782</v>
      </c>
      <c r="BL31" s="661">
        <v>8.6820000000000004</v>
      </c>
      <c r="BM31" s="661">
        <v>7.6559999999999997</v>
      </c>
      <c r="BN31" s="1504">
        <v>456.94900000000001</v>
      </c>
      <c r="BO31" s="665">
        <f t="shared" si="5"/>
        <v>456.94900000000001</v>
      </c>
      <c r="BP31" s="672"/>
      <c r="BQ31" s="1519">
        <f>BN31</f>
        <v>456.94900000000001</v>
      </c>
      <c r="BR31" s="672">
        <f t="shared" si="6"/>
        <v>456.94900000000001</v>
      </c>
      <c r="BS31" s="672">
        <f t="shared" si="6"/>
        <v>456.94900000000001</v>
      </c>
      <c r="BT31" s="672">
        <f t="shared" si="6"/>
        <v>456.94900000000001</v>
      </c>
      <c r="BU31" s="665">
        <f>BT31</f>
        <v>456.94900000000001</v>
      </c>
      <c r="BV31" s="265"/>
      <c r="BW31" s="1519">
        <f>BT31</f>
        <v>456.94900000000001</v>
      </c>
      <c r="BX31" s="672">
        <f t="shared" si="7"/>
        <v>456.94900000000001</v>
      </c>
      <c r="BY31" s="672">
        <f t="shared" si="7"/>
        <v>456.94900000000001</v>
      </c>
      <c r="BZ31" s="672">
        <f t="shared" si="7"/>
        <v>456.94900000000001</v>
      </c>
      <c r="CA31" s="665">
        <f>BZ31</f>
        <v>456.94900000000001</v>
      </c>
      <c r="CB31" s="265"/>
      <c r="CC31" s="1519">
        <f>BZ31</f>
        <v>456.94900000000001</v>
      </c>
      <c r="CD31" s="672">
        <f t="shared" si="8"/>
        <v>456.94900000000001</v>
      </c>
      <c r="CE31" s="672">
        <f t="shared" si="8"/>
        <v>456.94900000000001</v>
      </c>
      <c r="CF31" s="672">
        <f t="shared" si="8"/>
        <v>456.94900000000001</v>
      </c>
      <c r="CG31" s="665">
        <f>CF31</f>
        <v>456.94900000000001</v>
      </c>
      <c r="CH31" s="265"/>
      <c r="CI31" s="1519">
        <f>CF31</f>
        <v>456.94900000000001</v>
      </c>
      <c r="CJ31" s="672">
        <f t="shared" si="9"/>
        <v>456.94900000000001</v>
      </c>
      <c r="CK31" s="672">
        <f t="shared" si="9"/>
        <v>456.94900000000001</v>
      </c>
      <c r="CL31" s="672">
        <f t="shared" si="9"/>
        <v>456.94900000000001</v>
      </c>
      <c r="CM31" s="665">
        <f>CL31</f>
        <v>456.94900000000001</v>
      </c>
      <c r="CN31" s="265"/>
      <c r="CO31" s="265"/>
      <c r="CP31"/>
      <c r="CQ31"/>
      <c r="CR31"/>
      <c r="CS31"/>
      <c r="CT31"/>
      <c r="CU31"/>
      <c r="CV31" s="97"/>
    </row>
    <row r="32" spans="1:101" s="24" customFormat="1" hidden="1" outlineLevel="1">
      <c r="A32" s="1512" t="s">
        <v>329</v>
      </c>
      <c r="B32" s="660"/>
      <c r="C32" s="660"/>
      <c r="D32" s="660"/>
      <c r="E32" s="660"/>
      <c r="F32" s="661"/>
      <c r="G32" s="662">
        <f>14.113</f>
        <v>14.113</v>
      </c>
      <c r="H32" s="672"/>
      <c r="I32" s="664">
        <v>18.702999999999999</v>
      </c>
      <c r="J32" s="664">
        <v>17.477</v>
      </c>
      <c r="K32" s="664">
        <v>16.972000000000001</v>
      </c>
      <c r="L32" s="664">
        <v>15.06</v>
      </c>
      <c r="M32" s="665">
        <f>L32</f>
        <v>15.06</v>
      </c>
      <c r="N32" s="672"/>
      <c r="O32" s="664">
        <v>14.653</v>
      </c>
      <c r="P32" s="664">
        <v>18.608000000000001</v>
      </c>
      <c r="Q32" s="664">
        <v>17.475000000000001</v>
      </c>
      <c r="R32" s="664">
        <v>22.765999999999998</v>
      </c>
      <c r="S32" s="665">
        <f>R32</f>
        <v>22.765999999999998</v>
      </c>
      <c r="T32" s="672"/>
      <c r="U32" s="664">
        <v>21.074000000000002</v>
      </c>
      <c r="V32" s="664">
        <v>19.654</v>
      </c>
      <c r="W32" s="664">
        <v>21.760999999999999</v>
      </c>
      <c r="X32" s="664">
        <v>22.635000000000002</v>
      </c>
      <c r="Y32" s="665">
        <f>X32</f>
        <v>22.635000000000002</v>
      </c>
      <c r="Z32" s="672"/>
      <c r="AA32" s="664">
        <v>25.542000000000002</v>
      </c>
      <c r="AB32" s="664">
        <v>25</v>
      </c>
      <c r="AC32" s="664">
        <v>25.463999999999999</v>
      </c>
      <c r="AD32" s="1181">
        <v>29.21</v>
      </c>
      <c r="AE32" s="665">
        <f>AD32</f>
        <v>29.21</v>
      </c>
      <c r="AF32" s="672"/>
      <c r="AG32" s="664">
        <v>29.446000000000002</v>
      </c>
      <c r="AH32" s="664">
        <v>31.143000000000001</v>
      </c>
      <c r="AI32" s="664">
        <v>33.155000000000001</v>
      </c>
      <c r="AJ32" s="1181">
        <v>25.553999999999998</v>
      </c>
      <c r="AK32" s="665">
        <f>AJ32</f>
        <v>25.553999999999998</v>
      </c>
      <c r="AL32" s="672"/>
      <c r="AM32" s="661">
        <v>29.67</v>
      </c>
      <c r="AN32" s="664">
        <v>32.017000000000003</v>
      </c>
      <c r="AO32" s="1256">
        <v>32.581000000000003</v>
      </c>
      <c r="AP32" s="1181">
        <v>41.765000000000001</v>
      </c>
      <c r="AQ32" s="665">
        <f>AP32</f>
        <v>41.765000000000001</v>
      </c>
      <c r="AR32" s="672"/>
      <c r="AS32" s="1524">
        <v>44.569000000000003</v>
      </c>
      <c r="AT32" s="661">
        <v>46.173000000000002</v>
      </c>
      <c r="AU32" s="661">
        <v>50.402000000000001</v>
      </c>
      <c r="AV32" s="1504">
        <v>56.045999999999999</v>
      </c>
      <c r="AW32" s="665">
        <f>AV32</f>
        <v>56.045999999999999</v>
      </c>
      <c r="AX32" s="672"/>
      <c r="AY32" s="1524">
        <v>56.463000000000001</v>
      </c>
      <c r="AZ32" s="661">
        <v>61.014000000000003</v>
      </c>
      <c r="BA32" s="661">
        <v>64.899000000000001</v>
      </c>
      <c r="BB32" s="1504">
        <v>60.776000000000003</v>
      </c>
      <c r="BC32" s="665">
        <f>BB32</f>
        <v>60.776000000000003</v>
      </c>
      <c r="BD32" s="672"/>
      <c r="BE32" s="1524">
        <v>65.146000000000001</v>
      </c>
      <c r="BF32" s="661">
        <v>61.368000000000002</v>
      </c>
      <c r="BG32" s="661">
        <v>63.478999999999999</v>
      </c>
      <c r="BH32" s="1504">
        <v>54.796999999999997</v>
      </c>
      <c r="BI32" s="665">
        <f>BH32</f>
        <v>54.796999999999997</v>
      </c>
      <c r="BJ32" s="672"/>
      <c r="BK32" s="1524">
        <v>59.231999999999999</v>
      </c>
      <c r="BL32" s="661">
        <v>56.521000000000001</v>
      </c>
      <c r="BM32" s="661">
        <v>62.052</v>
      </c>
      <c r="BN32" s="1504">
        <v>62.625</v>
      </c>
      <c r="BO32" s="665">
        <f>BN32</f>
        <v>62.625</v>
      </c>
      <c r="BP32" s="672"/>
      <c r="BQ32" s="1519">
        <f>BN32+CFS!BQ41</f>
        <v>62.625</v>
      </c>
      <c r="BR32" s="672">
        <f>BQ32+CFS!BR41</f>
        <v>62.625</v>
      </c>
      <c r="BS32" s="672">
        <f>BR32+CFS!BS41</f>
        <v>62.625</v>
      </c>
      <c r="BT32" s="672">
        <f>BS32+CFS!BT41</f>
        <v>62.625</v>
      </c>
      <c r="BU32" s="665">
        <f>BT32</f>
        <v>62.625</v>
      </c>
      <c r="BV32" s="265"/>
      <c r="BW32" s="1519">
        <f>BT32+CFS!BW41</f>
        <v>62.625</v>
      </c>
      <c r="BX32" s="672">
        <f>BW32+CFS!BX41</f>
        <v>62.625</v>
      </c>
      <c r="BY32" s="672">
        <f>BX32+CFS!BY41</f>
        <v>62.625</v>
      </c>
      <c r="BZ32" s="672">
        <f>BY32+CFS!BZ41</f>
        <v>62.625</v>
      </c>
      <c r="CA32" s="665">
        <f>BZ32</f>
        <v>62.625</v>
      </c>
      <c r="CB32" s="265"/>
      <c r="CC32" s="1519">
        <f>BZ32+CFS!CC41</f>
        <v>62.625</v>
      </c>
      <c r="CD32" s="672">
        <f>CC32+CFS!CD41</f>
        <v>62.625</v>
      </c>
      <c r="CE32" s="672">
        <f>CD32+CFS!CE41</f>
        <v>62.625</v>
      </c>
      <c r="CF32" s="672">
        <f>CE32+CFS!CF41</f>
        <v>62.625</v>
      </c>
      <c r="CG32" s="665">
        <f>CF32</f>
        <v>62.625</v>
      </c>
      <c r="CH32" s="265"/>
      <c r="CI32" s="1519">
        <f>CF32+CFS!CI41</f>
        <v>62.625</v>
      </c>
      <c r="CJ32" s="672">
        <f>CI32+CFS!CJ41</f>
        <v>62.625</v>
      </c>
      <c r="CK32" s="672">
        <f>CJ32+CFS!CK41</f>
        <v>62.625</v>
      </c>
      <c r="CL32" s="672">
        <f>CK32+CFS!CL41</f>
        <v>62.625</v>
      </c>
      <c r="CM32" s="665">
        <f>CL32</f>
        <v>62.625</v>
      </c>
      <c r="CN32" s="265"/>
      <c r="CO32" s="265"/>
      <c r="CP32"/>
      <c r="CQ32"/>
      <c r="CR32"/>
      <c r="CS32"/>
      <c r="CT32"/>
      <c r="CU32"/>
      <c r="CV32" s="97"/>
    </row>
    <row r="33" spans="1:100" s="24" customFormat="1" ht="6" customHeight="1" collapsed="1">
      <c r="A33" s="1512"/>
      <c r="B33" s="660"/>
      <c r="C33" s="660"/>
      <c r="D33" s="660"/>
      <c r="E33" s="660"/>
      <c r="F33" s="661"/>
      <c r="G33" s="662"/>
      <c r="H33" s="672"/>
      <c r="I33" s="664"/>
      <c r="J33" s="664"/>
      <c r="K33" s="664"/>
      <c r="L33" s="664"/>
      <c r="M33" s="665"/>
      <c r="N33" s="672"/>
      <c r="O33" s="664"/>
      <c r="P33" s="664"/>
      <c r="Q33" s="664"/>
      <c r="R33" s="664"/>
      <c r="S33" s="665"/>
      <c r="T33" s="672"/>
      <c r="U33" s="664"/>
      <c r="V33" s="664"/>
      <c r="W33" s="664"/>
      <c r="X33" s="664"/>
      <c r="Y33" s="665"/>
      <c r="Z33" s="672"/>
      <c r="AA33" s="664"/>
      <c r="AB33" s="664"/>
      <c r="AC33" s="664"/>
      <c r="AD33" s="1181"/>
      <c r="AE33" s="665"/>
      <c r="AF33" s="672"/>
      <c r="AG33" s="664"/>
      <c r="AH33" s="664"/>
      <c r="AI33" s="664"/>
      <c r="AJ33" s="1181"/>
      <c r="AK33" s="665"/>
      <c r="AL33" s="672"/>
      <c r="AM33" s="672"/>
      <c r="AN33" s="664"/>
      <c r="AO33" s="1257"/>
      <c r="AP33" s="1181"/>
      <c r="AQ33" s="665"/>
      <c r="AR33" s="672"/>
      <c r="AS33" s="1519"/>
      <c r="AT33" s="672"/>
      <c r="AU33" s="672"/>
      <c r="AV33" s="672"/>
      <c r="AW33" s="665"/>
      <c r="AX33" s="672"/>
      <c r="AY33" s="1519"/>
      <c r="AZ33" s="672"/>
      <c r="BA33" s="672"/>
      <c r="BB33" s="672"/>
      <c r="BC33" s="665"/>
      <c r="BD33" s="672"/>
      <c r="BE33" s="1519"/>
      <c r="BF33" s="672"/>
      <c r="BG33" s="672"/>
      <c r="BH33" s="672"/>
      <c r="BI33" s="665"/>
      <c r="BJ33" s="672"/>
      <c r="BK33" s="1519"/>
      <c r="BL33" s="672"/>
      <c r="BM33" s="672"/>
      <c r="BN33" s="672"/>
      <c r="BO33" s="665"/>
      <c r="BP33" s="672"/>
      <c r="BQ33" s="1519"/>
      <c r="BR33" s="672"/>
      <c r="BS33" s="672"/>
      <c r="BT33" s="672"/>
      <c r="BU33" s="665"/>
      <c r="BV33" s="265"/>
      <c r="BW33" s="1519"/>
      <c r="BX33" s="672"/>
      <c r="BY33" s="672"/>
      <c r="BZ33" s="672"/>
      <c r="CA33" s="665"/>
      <c r="CB33" s="265"/>
      <c r="CC33" s="1519"/>
      <c r="CD33" s="672"/>
      <c r="CE33" s="672"/>
      <c r="CF33" s="672"/>
      <c r="CG33" s="665"/>
      <c r="CH33" s="265"/>
      <c r="CI33" s="1519"/>
      <c r="CJ33" s="672"/>
      <c r="CK33" s="672"/>
      <c r="CL33" s="672"/>
      <c r="CM33" s="665"/>
      <c r="CN33" s="265"/>
      <c r="CO33" s="265"/>
      <c r="CP33"/>
      <c r="CQ33"/>
      <c r="CR33"/>
      <c r="CS33"/>
      <c r="CT33"/>
      <c r="CU33"/>
      <c r="CV33" s="97"/>
    </row>
    <row r="34" spans="1:100" s="24" customFormat="1">
      <c r="A34" s="1513" t="s">
        <v>330</v>
      </c>
      <c r="B34" s="666"/>
      <c r="C34" s="666"/>
      <c r="D34" s="666"/>
      <c r="E34" s="666"/>
      <c r="F34" s="667"/>
      <c r="G34" s="668">
        <f>SUM(G28:G32)</f>
        <v>1294.979</v>
      </c>
      <c r="H34" s="669"/>
      <c r="I34" s="669">
        <f>SUM(I28:I32)</f>
        <v>1357.3829999999998</v>
      </c>
      <c r="J34" s="669">
        <f t="shared" ref="J34:AE34" si="10">SUM(J28:J32)</f>
        <v>1413.741</v>
      </c>
      <c r="K34" s="669">
        <f t="shared" si="10"/>
        <v>1458.6989999999998</v>
      </c>
      <c r="L34" s="669">
        <f t="shared" si="10"/>
        <v>961.89300000000003</v>
      </c>
      <c r="M34" s="668">
        <f t="shared" si="10"/>
        <v>961.89300000000003</v>
      </c>
      <c r="N34" s="669"/>
      <c r="O34" s="669">
        <f t="shared" si="10"/>
        <v>1008.8220000000001</v>
      </c>
      <c r="P34" s="669">
        <f t="shared" si="10"/>
        <v>1071.8679999999999</v>
      </c>
      <c r="Q34" s="669">
        <f t="shared" si="10"/>
        <v>1104.9029999999998</v>
      </c>
      <c r="R34" s="669">
        <f t="shared" si="10"/>
        <v>1058.982</v>
      </c>
      <c r="S34" s="668">
        <f t="shared" si="10"/>
        <v>1058.982</v>
      </c>
      <c r="T34" s="669"/>
      <c r="U34" s="669">
        <f t="shared" si="10"/>
        <v>1168.2</v>
      </c>
      <c r="V34" s="669">
        <f t="shared" si="10"/>
        <v>1223.4489999999998</v>
      </c>
      <c r="W34" s="669">
        <f t="shared" si="10"/>
        <v>1282.384</v>
      </c>
      <c r="X34" s="669">
        <f t="shared" si="10"/>
        <v>1258.8729999999998</v>
      </c>
      <c r="Y34" s="668">
        <f t="shared" si="10"/>
        <v>1258.8729999999998</v>
      </c>
      <c r="Z34" s="669"/>
      <c r="AA34" s="669">
        <f t="shared" si="10"/>
        <v>1296.3679999999999</v>
      </c>
      <c r="AB34" s="669">
        <f t="shared" si="10"/>
        <v>1346.3220000000001</v>
      </c>
      <c r="AC34" s="669">
        <f>SUM(AC28:AC32)</f>
        <v>1480.5319999999999</v>
      </c>
      <c r="AD34" s="1182">
        <f>SUM(AD28:AD32)</f>
        <v>1496.6560000000002</v>
      </c>
      <c r="AE34" s="668">
        <f t="shared" si="10"/>
        <v>1496.6560000000002</v>
      </c>
      <c r="AF34" s="669"/>
      <c r="AG34" s="669">
        <f>SUM(AG28:AG32)</f>
        <v>1551.8849999999998</v>
      </c>
      <c r="AH34" s="669">
        <f>SUM(AH28:AH32)</f>
        <v>1620.873</v>
      </c>
      <c r="AI34" s="669">
        <f>SUM(AI28:AI32)</f>
        <v>1667.261</v>
      </c>
      <c r="AJ34" s="1182">
        <f>SUM(AJ28:AJ32)</f>
        <v>1700.7929999999999</v>
      </c>
      <c r="AK34" s="668">
        <f>SUM(AK28:AK32)</f>
        <v>1700.7929999999999</v>
      </c>
      <c r="AL34" s="669"/>
      <c r="AM34" s="669">
        <f>SUM(AM28:AM32)</f>
        <v>1730.817</v>
      </c>
      <c r="AN34" s="669">
        <f>SUM(AN28:AN32)</f>
        <v>1765.4170000000001</v>
      </c>
      <c r="AO34" s="1255">
        <f>SUM(AO28:AO32)</f>
        <v>1806.6849999999999</v>
      </c>
      <c r="AP34" s="1182">
        <f>SUM(AP28:AP32)</f>
        <v>1819.4560000000001</v>
      </c>
      <c r="AQ34" s="668">
        <f>SUM(AQ28:AQ32)</f>
        <v>1819.4560000000001</v>
      </c>
      <c r="AR34" s="669"/>
      <c r="AS34" s="1520">
        <f>SUM(AS28:AS32)</f>
        <v>1830.3629999999998</v>
      </c>
      <c r="AT34" s="669">
        <f>SUM(AT28:AT32)</f>
        <v>1884.0450000000001</v>
      </c>
      <c r="AU34" s="669">
        <f>SUM(AU28:AU32)</f>
        <v>1909.8559999999998</v>
      </c>
      <c r="AV34" s="669">
        <f>SUM(AV28:AV32)</f>
        <v>1983.2679999999998</v>
      </c>
      <c r="AW34" s="668">
        <f>SUM(AW28:AW32)</f>
        <v>1983.2679999999998</v>
      </c>
      <c r="AX34" s="669"/>
      <c r="AY34" s="1520">
        <f>SUM(AY28:AY32)</f>
        <v>2010.4860000000001</v>
      </c>
      <c r="AZ34" s="669">
        <f>SUM(AZ28:AZ32)</f>
        <v>2096.2460000000001</v>
      </c>
      <c r="BA34" s="669">
        <f>SUM(BA28:BA32)</f>
        <v>2152.6879999999996</v>
      </c>
      <c r="BB34" s="669">
        <f>SUM(BB28:BB32)</f>
        <v>2209.826</v>
      </c>
      <c r="BC34" s="668">
        <f>SUM(BC28:BC32)</f>
        <v>2209.826</v>
      </c>
      <c r="BD34" s="669"/>
      <c r="BE34" s="1520">
        <f>SUM(BE28:BE32)</f>
        <v>2266.7090000000003</v>
      </c>
      <c r="BF34" s="669">
        <f>SUM(BF28:BF32)</f>
        <v>2298.7289999999998</v>
      </c>
      <c r="BG34" s="669">
        <f>SUM(BG28:BG32)</f>
        <v>2317.6419999999998</v>
      </c>
      <c r="BH34" s="669">
        <f>SUM(BH28:BH32)</f>
        <v>2360.11</v>
      </c>
      <c r="BI34" s="668">
        <f>SUM(BI28:BI32)</f>
        <v>2360.11</v>
      </c>
      <c r="BJ34" s="669"/>
      <c r="BK34" s="1520">
        <f>SUM(BK28:BK32)</f>
        <v>2415.8890000000001</v>
      </c>
      <c r="BL34" s="669">
        <f>SUM(BL28:BL32)</f>
        <v>2478.1059999999998</v>
      </c>
      <c r="BM34" s="669">
        <f>SUM(BM28:BM32)</f>
        <v>2533.8900000000003</v>
      </c>
      <c r="BN34" s="669">
        <f>SUM(BN28:BN32)</f>
        <v>3090.5659999999998</v>
      </c>
      <c r="BO34" s="668">
        <f>SUM(BO28:BO32)</f>
        <v>3090.5659999999998</v>
      </c>
      <c r="BP34" s="669"/>
      <c r="BQ34" s="1520">
        <f>SUM(BQ28:BQ32)</f>
        <v>2921.1389574333284</v>
      </c>
      <c r="BR34" s="669">
        <f>SUM(BR28:BR32)</f>
        <v>2940.0931435062471</v>
      </c>
      <c r="BS34" s="669">
        <f>SUM(BS28:BS32)</f>
        <v>2941.7543680151844</v>
      </c>
      <c r="BT34" s="669">
        <f>SUM(BT28:BT32)</f>
        <v>3011.8858055715996</v>
      </c>
      <c r="BU34" s="668">
        <f>SUM(BU28:BU32)</f>
        <v>3011.8858055715996</v>
      </c>
      <c r="BV34" s="265"/>
      <c r="BW34" s="1520">
        <f>SUM(BW28:BW32)</f>
        <v>2840.2069625292784</v>
      </c>
      <c r="BX34" s="669">
        <f>SUM(BX28:BX32)</f>
        <v>2858.3284256872903</v>
      </c>
      <c r="BY34" s="669">
        <f>SUM(BY28:BY32)</f>
        <v>2857.6567718483411</v>
      </c>
      <c r="BZ34" s="669">
        <f>SUM(BZ28:BZ32)</f>
        <v>2928.6101953437651</v>
      </c>
      <c r="CA34" s="668">
        <f>SUM(CA28:CA32)</f>
        <v>2928.6101953437651</v>
      </c>
      <c r="CB34" s="265"/>
      <c r="CC34" s="1520">
        <f>SUM(CC28:CC32)</f>
        <v>2861.2607543773884</v>
      </c>
      <c r="CD34" s="669">
        <f>SUM(CD28:CD32)</f>
        <v>2878.5622912795211</v>
      </c>
      <c r="CE34" s="669">
        <f>SUM(CE28:CE32)</f>
        <v>2875.4110746919368</v>
      </c>
      <c r="CF34" s="669">
        <f>SUM(CF28:CF32)</f>
        <v>2946.9424171813607</v>
      </c>
      <c r="CG34" s="668">
        <f>SUM(CG28:CG32)</f>
        <v>2946.9424171813607</v>
      </c>
      <c r="CH34" s="265"/>
      <c r="CI34" s="1520">
        <f>SUM(CI28:CI32)</f>
        <v>2883.3098492888571</v>
      </c>
      <c r="CJ34" s="669">
        <f>SUM(CJ28:CJ32)</f>
        <v>2899.7235216297922</v>
      </c>
      <c r="CK34" s="669">
        <f>SUM(CK28:CK32)</f>
        <v>2893.8466863938543</v>
      </c>
      <c r="CL34" s="669">
        <f>SUM(CL28:CL32)</f>
        <v>2965.9994580174998</v>
      </c>
      <c r="CM34" s="668">
        <f>SUM(CM28:CM32)</f>
        <v>2965.9994580174998</v>
      </c>
      <c r="CN34" s="265"/>
      <c r="CO34" s="265"/>
      <c r="CP34"/>
      <c r="CQ34"/>
      <c r="CR34"/>
      <c r="CS34"/>
      <c r="CT34"/>
      <c r="CU34"/>
      <c r="CV34" s="97"/>
    </row>
    <row r="35" spans="1:100" s="24" customFormat="1" hidden="1" outlineLevel="1">
      <c r="A35" s="1515" t="s">
        <v>331</v>
      </c>
      <c r="B35" s="673"/>
      <c r="C35" s="673"/>
      <c r="D35" s="673"/>
      <c r="E35" s="673"/>
      <c r="F35" s="661"/>
      <c r="G35" s="662">
        <v>0</v>
      </c>
      <c r="H35" s="663"/>
      <c r="I35" s="664">
        <v>0</v>
      </c>
      <c r="J35" s="664">
        <v>0</v>
      </c>
      <c r="K35" s="664">
        <v>0</v>
      </c>
      <c r="L35" s="664">
        <v>0</v>
      </c>
      <c r="M35" s="665">
        <f t="shared" ref="M35:M40" si="11">L35</f>
        <v>0</v>
      </c>
      <c r="N35" s="663"/>
      <c r="O35" s="664">
        <v>0</v>
      </c>
      <c r="P35" s="664">
        <v>0</v>
      </c>
      <c r="Q35" s="664">
        <v>0</v>
      </c>
      <c r="R35" s="664">
        <v>0</v>
      </c>
      <c r="S35" s="665">
        <f t="shared" ref="S35:S40" si="12">R35</f>
        <v>0</v>
      </c>
      <c r="T35" s="663"/>
      <c r="U35" s="664">
        <v>0</v>
      </c>
      <c r="V35" s="664">
        <v>0</v>
      </c>
      <c r="W35" s="664">
        <v>0</v>
      </c>
      <c r="X35" s="664">
        <v>0</v>
      </c>
      <c r="Y35" s="665">
        <f t="shared" ref="Y35:Y40" si="13">X35</f>
        <v>0</v>
      </c>
      <c r="Z35" s="663"/>
      <c r="AA35" s="664">
        <v>0</v>
      </c>
      <c r="AB35" s="664">
        <v>0</v>
      </c>
      <c r="AC35" s="664">
        <v>0</v>
      </c>
      <c r="AD35" s="1181">
        <v>0</v>
      </c>
      <c r="AE35" s="665">
        <f t="shared" ref="AE35:AE40" si="14">AD35</f>
        <v>0</v>
      </c>
      <c r="AF35" s="663"/>
      <c r="AG35" s="664">
        <v>0</v>
      </c>
      <c r="AH35" s="664">
        <f>AG35</f>
        <v>0</v>
      </c>
      <c r="AI35" s="674">
        <v>0</v>
      </c>
      <c r="AJ35" s="1181">
        <v>0</v>
      </c>
      <c r="AK35" s="665">
        <f t="shared" ref="AK35:AK40" si="15">AJ35</f>
        <v>0</v>
      </c>
      <c r="AL35" s="663"/>
      <c r="AM35" s="664">
        <v>0</v>
      </c>
      <c r="AN35" s="664">
        <v>0</v>
      </c>
      <c r="AO35" s="1254">
        <v>0</v>
      </c>
      <c r="AP35" s="1181">
        <v>0</v>
      </c>
      <c r="AQ35" s="665">
        <f t="shared" ref="AQ35:AQ40" si="16">AP35</f>
        <v>0</v>
      </c>
      <c r="AR35" s="663"/>
      <c r="AS35" s="1524">
        <v>0</v>
      </c>
      <c r="AT35" s="664">
        <v>0</v>
      </c>
      <c r="AU35" s="664">
        <v>0</v>
      </c>
      <c r="AV35" s="1504">
        <v>0</v>
      </c>
      <c r="AW35" s="665">
        <f t="shared" ref="AW35:AW40" si="17">AV35</f>
        <v>0</v>
      </c>
      <c r="AX35" s="663"/>
      <c r="AY35" s="1524">
        <v>0</v>
      </c>
      <c r="AZ35" s="664">
        <v>0</v>
      </c>
      <c r="BA35" s="664">
        <v>0</v>
      </c>
      <c r="BB35" s="1504">
        <f>BA35</f>
        <v>0</v>
      </c>
      <c r="BC35" s="665">
        <f>BB35</f>
        <v>0</v>
      </c>
      <c r="BD35" s="663"/>
      <c r="BE35" s="1524">
        <v>0</v>
      </c>
      <c r="BF35" s="664">
        <v>0</v>
      </c>
      <c r="BG35" s="664">
        <v>0</v>
      </c>
      <c r="BH35" s="1504">
        <v>0</v>
      </c>
      <c r="BI35" s="665">
        <f t="shared" ref="BI35:BI40" si="18">BH35</f>
        <v>0</v>
      </c>
      <c r="BJ35" s="663"/>
      <c r="BK35" s="1524">
        <v>0</v>
      </c>
      <c r="BL35" s="664">
        <v>0</v>
      </c>
      <c r="BM35" s="664">
        <v>0</v>
      </c>
      <c r="BN35" s="1504">
        <v>0</v>
      </c>
      <c r="BO35" s="665">
        <f t="shared" ref="BO35:BO36" si="19">BN35</f>
        <v>0</v>
      </c>
      <c r="BP35" s="663"/>
      <c r="BQ35" s="1519">
        <f>BN35</f>
        <v>0</v>
      </c>
      <c r="BR35" s="672">
        <f t="shared" ref="BR35:BU36" si="20">BQ35</f>
        <v>0</v>
      </c>
      <c r="BS35" s="663">
        <f t="shared" si="20"/>
        <v>0</v>
      </c>
      <c r="BT35" s="663">
        <f t="shared" si="20"/>
        <v>0</v>
      </c>
      <c r="BU35" s="665">
        <f t="shared" si="20"/>
        <v>0</v>
      </c>
      <c r="BV35" s="265"/>
      <c r="BW35" s="1519">
        <f>BT35</f>
        <v>0</v>
      </c>
      <c r="BX35" s="672">
        <f t="shared" ref="BX35:CA36" si="21">BW35</f>
        <v>0</v>
      </c>
      <c r="BY35" s="663">
        <f t="shared" si="21"/>
        <v>0</v>
      </c>
      <c r="BZ35" s="663">
        <f t="shared" si="21"/>
        <v>0</v>
      </c>
      <c r="CA35" s="665">
        <f t="shared" si="21"/>
        <v>0</v>
      </c>
      <c r="CB35" s="265"/>
      <c r="CC35" s="1519">
        <f>BZ35</f>
        <v>0</v>
      </c>
      <c r="CD35" s="672">
        <f t="shared" ref="CD35:CG36" si="22">CC35</f>
        <v>0</v>
      </c>
      <c r="CE35" s="663">
        <f t="shared" si="22"/>
        <v>0</v>
      </c>
      <c r="CF35" s="663">
        <f t="shared" si="22"/>
        <v>0</v>
      </c>
      <c r="CG35" s="665">
        <f t="shared" si="22"/>
        <v>0</v>
      </c>
      <c r="CH35" s="265"/>
      <c r="CI35" s="1519">
        <f>CF35</f>
        <v>0</v>
      </c>
      <c r="CJ35" s="672">
        <f t="shared" ref="CJ35:CM36" si="23">CI35</f>
        <v>0</v>
      </c>
      <c r="CK35" s="663">
        <f t="shared" si="23"/>
        <v>0</v>
      </c>
      <c r="CL35" s="663">
        <f t="shared" si="23"/>
        <v>0</v>
      </c>
      <c r="CM35" s="665">
        <f t="shared" si="23"/>
        <v>0</v>
      </c>
      <c r="CN35" s="265"/>
      <c r="CO35" s="265"/>
      <c r="CP35"/>
      <c r="CQ35"/>
      <c r="CR35"/>
      <c r="CS35"/>
      <c r="CT35"/>
      <c r="CU35"/>
      <c r="CV35" s="97"/>
    </row>
    <row r="36" spans="1:100" s="24" customFormat="1" hidden="1" outlineLevel="1">
      <c r="A36" s="1512" t="s">
        <v>332</v>
      </c>
      <c r="B36" s="673"/>
      <c r="C36" s="673"/>
      <c r="D36" s="673"/>
      <c r="E36" s="673"/>
      <c r="F36" s="661"/>
      <c r="G36" s="662">
        <v>1.4710000000000001</v>
      </c>
      <c r="H36" s="663"/>
      <c r="I36" s="664">
        <v>1.4750000000000001</v>
      </c>
      <c r="J36" s="664">
        <v>1.476</v>
      </c>
      <c r="K36" s="664">
        <v>1.478</v>
      </c>
      <c r="L36" s="664">
        <v>1.4810000000000001</v>
      </c>
      <c r="M36" s="665">
        <f t="shared" si="11"/>
        <v>1.4810000000000001</v>
      </c>
      <c r="N36" s="663"/>
      <c r="O36" s="664">
        <v>1.4830000000000001</v>
      </c>
      <c r="P36" s="664">
        <v>1.484</v>
      </c>
      <c r="Q36" s="664">
        <v>1.4850000000000001</v>
      </c>
      <c r="R36" s="664">
        <v>1.488</v>
      </c>
      <c r="S36" s="665">
        <f t="shared" si="12"/>
        <v>1.488</v>
      </c>
      <c r="T36" s="663"/>
      <c r="U36" s="664">
        <v>1.4930000000000001</v>
      </c>
      <c r="V36" s="664">
        <v>1.496</v>
      </c>
      <c r="W36" s="664">
        <v>1.4970000000000001</v>
      </c>
      <c r="X36" s="664">
        <v>1.5109999999999999</v>
      </c>
      <c r="Y36" s="665">
        <f t="shared" si="13"/>
        <v>1.5109999999999999</v>
      </c>
      <c r="Z36" s="663"/>
      <c r="AA36" s="664">
        <v>1.5169999999999999</v>
      </c>
      <c r="AB36" s="664">
        <v>1.5229999999999999</v>
      </c>
      <c r="AC36" s="664">
        <v>1.524</v>
      </c>
      <c r="AD36" s="1181">
        <v>1.528</v>
      </c>
      <c r="AE36" s="665">
        <f t="shared" si="14"/>
        <v>1.528</v>
      </c>
      <c r="AF36" s="663"/>
      <c r="AG36" s="664">
        <v>1.534</v>
      </c>
      <c r="AH36" s="664">
        <v>1.534</v>
      </c>
      <c r="AI36" s="674">
        <v>1.5349999999999999</v>
      </c>
      <c r="AJ36" s="1181">
        <v>1.5369999999999999</v>
      </c>
      <c r="AK36" s="665">
        <f t="shared" si="15"/>
        <v>1.5369999999999999</v>
      </c>
      <c r="AL36" s="663"/>
      <c r="AM36" s="664">
        <v>1.5409999999999999</v>
      </c>
      <c r="AN36" s="50">
        <v>1.5429999999999999</v>
      </c>
      <c r="AO36" s="1254">
        <v>1.546</v>
      </c>
      <c r="AP36" s="1181">
        <v>1.552</v>
      </c>
      <c r="AQ36" s="665">
        <f t="shared" si="16"/>
        <v>1.552</v>
      </c>
      <c r="AR36" s="663"/>
      <c r="AS36" s="1524">
        <v>1.56</v>
      </c>
      <c r="AT36" s="664">
        <v>1.5609999999999999</v>
      </c>
      <c r="AU36" s="664">
        <v>1.5620000000000001</v>
      </c>
      <c r="AV36" s="1504">
        <v>1.5669999999999999</v>
      </c>
      <c r="AW36" s="665">
        <f t="shared" si="17"/>
        <v>1.5669999999999999</v>
      </c>
      <c r="AX36" s="663"/>
      <c r="AY36" s="1524">
        <v>1.57</v>
      </c>
      <c r="AZ36" s="664">
        <v>1.5720000000000001</v>
      </c>
      <c r="BA36" s="664">
        <v>1.573</v>
      </c>
      <c r="BB36" s="1504">
        <v>1.577</v>
      </c>
      <c r="BC36" s="665">
        <f>BB36</f>
        <v>1.577</v>
      </c>
      <c r="BD36" s="663"/>
      <c r="BE36" s="1524">
        <v>1.579</v>
      </c>
      <c r="BF36" s="664">
        <v>1.581</v>
      </c>
      <c r="BG36" s="664">
        <v>1.5860000000000001</v>
      </c>
      <c r="BH36" s="1504">
        <v>1.5860000000000001</v>
      </c>
      <c r="BI36" s="665">
        <f t="shared" si="18"/>
        <v>1.5860000000000001</v>
      </c>
      <c r="BJ36" s="663"/>
      <c r="BK36" s="1524">
        <v>1.5920000000000001</v>
      </c>
      <c r="BL36" s="664">
        <v>1.5940000000000001</v>
      </c>
      <c r="BM36" s="664">
        <v>1.5960000000000001</v>
      </c>
      <c r="BN36" s="1504">
        <v>1.5980000000000001</v>
      </c>
      <c r="BO36" s="665">
        <f t="shared" si="19"/>
        <v>1.5980000000000001</v>
      </c>
      <c r="BP36" s="663"/>
      <c r="BQ36" s="1519">
        <f>BN36</f>
        <v>1.5980000000000001</v>
      </c>
      <c r="BR36" s="672">
        <f t="shared" si="20"/>
        <v>1.5980000000000001</v>
      </c>
      <c r="BS36" s="663">
        <f t="shared" si="20"/>
        <v>1.5980000000000001</v>
      </c>
      <c r="BT36" s="663">
        <f t="shared" si="20"/>
        <v>1.5980000000000001</v>
      </c>
      <c r="BU36" s="665">
        <f t="shared" si="20"/>
        <v>1.5980000000000001</v>
      </c>
      <c r="BV36" s="265"/>
      <c r="BW36" s="1519">
        <f>BT36</f>
        <v>1.5980000000000001</v>
      </c>
      <c r="BX36" s="672">
        <f t="shared" si="21"/>
        <v>1.5980000000000001</v>
      </c>
      <c r="BY36" s="663">
        <f t="shared" si="21"/>
        <v>1.5980000000000001</v>
      </c>
      <c r="BZ36" s="663">
        <f t="shared" si="21"/>
        <v>1.5980000000000001</v>
      </c>
      <c r="CA36" s="665">
        <f t="shared" si="21"/>
        <v>1.5980000000000001</v>
      </c>
      <c r="CB36" s="265"/>
      <c r="CC36" s="1519">
        <f>BZ36</f>
        <v>1.5980000000000001</v>
      </c>
      <c r="CD36" s="672">
        <f t="shared" si="22"/>
        <v>1.5980000000000001</v>
      </c>
      <c r="CE36" s="663">
        <f t="shared" si="22"/>
        <v>1.5980000000000001</v>
      </c>
      <c r="CF36" s="663">
        <f t="shared" si="22"/>
        <v>1.5980000000000001</v>
      </c>
      <c r="CG36" s="665">
        <f t="shared" si="22"/>
        <v>1.5980000000000001</v>
      </c>
      <c r="CH36" s="265"/>
      <c r="CI36" s="1519">
        <f>CF36</f>
        <v>1.5980000000000001</v>
      </c>
      <c r="CJ36" s="672">
        <f t="shared" si="23"/>
        <v>1.5980000000000001</v>
      </c>
      <c r="CK36" s="663">
        <f t="shared" si="23"/>
        <v>1.5980000000000001</v>
      </c>
      <c r="CL36" s="663">
        <f t="shared" si="23"/>
        <v>1.5980000000000001</v>
      </c>
      <c r="CM36" s="665">
        <f t="shared" si="23"/>
        <v>1.5980000000000001</v>
      </c>
      <c r="CN36" s="265"/>
      <c r="CO36" s="265"/>
      <c r="CP36"/>
      <c r="CQ36"/>
      <c r="CR36"/>
      <c r="CS36"/>
      <c r="CT36"/>
      <c r="CU36"/>
      <c r="CV36" s="97"/>
    </row>
    <row r="37" spans="1:100" s="24" customFormat="1" hidden="1" outlineLevel="1">
      <c r="A37" s="1512" t="s">
        <v>333</v>
      </c>
      <c r="B37" s="673"/>
      <c r="C37" s="673"/>
      <c r="D37" s="673"/>
      <c r="E37" s="673"/>
      <c r="F37" s="675"/>
      <c r="G37" s="676">
        <v>691.74599999999998</v>
      </c>
      <c r="H37" s="663"/>
      <c r="I37" s="674">
        <v>717.47699999999998</v>
      </c>
      <c r="J37" s="674">
        <v>729.827</v>
      </c>
      <c r="K37" s="674">
        <v>746.15499999999997</v>
      </c>
      <c r="L37" s="674">
        <v>756.49900000000002</v>
      </c>
      <c r="M37" s="665">
        <f t="shared" si="11"/>
        <v>756.49900000000002</v>
      </c>
      <c r="N37" s="663"/>
      <c r="O37" s="674">
        <v>764.06399999999996</v>
      </c>
      <c r="P37" s="674">
        <v>774.375</v>
      </c>
      <c r="Q37" s="674">
        <v>786.26599999999996</v>
      </c>
      <c r="R37" s="674">
        <v>808.34500000000003</v>
      </c>
      <c r="S37" s="665">
        <f t="shared" si="12"/>
        <v>808.34500000000003</v>
      </c>
      <c r="T37" s="663"/>
      <c r="U37" s="674">
        <v>825.18799999999999</v>
      </c>
      <c r="V37" s="674">
        <v>843.43799999999999</v>
      </c>
      <c r="W37" s="674">
        <v>884.43499999999995</v>
      </c>
      <c r="X37" s="674">
        <v>970.06799999999998</v>
      </c>
      <c r="Y37" s="665">
        <f t="shared" si="13"/>
        <v>970.06799999999998</v>
      </c>
      <c r="Z37" s="663"/>
      <c r="AA37" s="674">
        <v>996.67499999999995</v>
      </c>
      <c r="AB37" s="674">
        <v>1041.759</v>
      </c>
      <c r="AC37" s="674">
        <v>1051.4929999999999</v>
      </c>
      <c r="AD37" s="1183">
        <v>1089.9590000000001</v>
      </c>
      <c r="AE37" s="665">
        <f t="shared" si="14"/>
        <v>1089.9590000000001</v>
      </c>
      <c r="AF37" s="663"/>
      <c r="AG37" s="674">
        <v>1117.2</v>
      </c>
      <c r="AH37" s="674">
        <v>1128.521</v>
      </c>
      <c r="AI37" s="674">
        <f>1136.473</f>
        <v>1136.473</v>
      </c>
      <c r="AJ37" s="1183">
        <v>1155.5039999999999</v>
      </c>
      <c r="AK37" s="665">
        <f t="shared" si="15"/>
        <v>1155.5039999999999</v>
      </c>
      <c r="AL37" s="663"/>
      <c r="AM37" s="674">
        <v>1173.2270000000001</v>
      </c>
      <c r="AN37" s="50">
        <v>1196.1579999999999</v>
      </c>
      <c r="AO37" s="1254">
        <v>1223.328</v>
      </c>
      <c r="AP37" s="1183">
        <v>1270.6079999999999</v>
      </c>
      <c r="AQ37" s="665">
        <f t="shared" si="16"/>
        <v>1270.6079999999999</v>
      </c>
      <c r="AR37" s="663"/>
      <c r="AS37" s="1525">
        <v>1322.491</v>
      </c>
      <c r="AT37" s="674">
        <v>1336.049</v>
      </c>
      <c r="AU37" s="674">
        <v>1346.442</v>
      </c>
      <c r="AV37" s="1504">
        <v>1392.4939999999999</v>
      </c>
      <c r="AW37" s="665">
        <f t="shared" si="17"/>
        <v>1392.4939999999999</v>
      </c>
      <c r="AX37" s="663"/>
      <c r="AY37" s="1525">
        <v>1414.7</v>
      </c>
      <c r="AZ37" s="674">
        <v>1439.229</v>
      </c>
      <c r="BA37" s="674">
        <v>1451.6010000000001</v>
      </c>
      <c r="BB37" s="1504">
        <v>1490.3420000000001</v>
      </c>
      <c r="BC37" s="665">
        <f>BB37</f>
        <v>1490.3420000000001</v>
      </c>
      <c r="BD37" s="663"/>
      <c r="BE37" s="1525">
        <v>1515.8330000000001</v>
      </c>
      <c r="BF37" s="674">
        <v>1541.1569999999999</v>
      </c>
      <c r="BG37" s="674">
        <v>1594.0989999999999</v>
      </c>
      <c r="BH37" s="1504">
        <v>1607.241</v>
      </c>
      <c r="BI37" s="665">
        <f t="shared" si="18"/>
        <v>1607.241</v>
      </c>
      <c r="BJ37" s="663"/>
      <c r="BK37" s="1525">
        <v>1653.973</v>
      </c>
      <c r="BL37" s="674">
        <v>1683.873</v>
      </c>
      <c r="BM37" s="674">
        <v>1710.7829999999999</v>
      </c>
      <c r="BN37" s="1504">
        <v>1745.088</v>
      </c>
      <c r="BO37" s="665">
        <f>BN37</f>
        <v>1745.088</v>
      </c>
      <c r="BP37" s="663"/>
      <c r="BQ37" s="1519">
        <f>BN37+CFS!BQ38+CFS!BQ15+CFS!BQ39</f>
        <v>1772.3239451105424</v>
      </c>
      <c r="BR37" s="672">
        <f>BQ37+CFS!BR38+CFS!BR15+CFS!BR39</f>
        <v>1799.9202508850017</v>
      </c>
      <c r="BS37" s="663">
        <f>BR37+CFS!BS38+CFS!BS15+CFS!BS39</f>
        <v>1825.112107421427</v>
      </c>
      <c r="BT37" s="663">
        <f>BS37+CFS!BT38+CFS!BT15+CFS!BT39</f>
        <v>1849.3885381477166</v>
      </c>
      <c r="BU37" s="665">
        <f>BT37</f>
        <v>1849.3885381477166</v>
      </c>
      <c r="BV37" s="265"/>
      <c r="BW37" s="1519">
        <f>BT37+CFS!BW38+CFS!BW15+CFS!BW39</f>
        <v>1872.8391172106967</v>
      </c>
      <c r="BX37" s="672">
        <f>BW37+CFS!BX38+CFS!BX15+CFS!BX39</f>
        <v>1897.3550857677117</v>
      </c>
      <c r="BY37" s="663">
        <f>BX37+CFS!BY38+CFS!BY15+CFS!BY39</f>
        <v>1919.8663597055299</v>
      </c>
      <c r="BZ37" s="663">
        <f>BY37+CFS!BZ38+CFS!BZ15+CFS!BZ39</f>
        <v>1941.8424503028778</v>
      </c>
      <c r="CA37" s="665">
        <f>BZ37</f>
        <v>1941.8424503028778</v>
      </c>
      <c r="CB37" s="265"/>
      <c r="CC37" s="1519">
        <f>BZ37+CFS!CC38+CFS!CC15+CFS!CC39</f>
        <v>1963.5344337436316</v>
      </c>
      <c r="CD37" s="672">
        <f>CC37+CFS!CD38+CFS!CD15+CFS!CD39</f>
        <v>1986.761213669713</v>
      </c>
      <c r="CE37" s="663">
        <f>CD37+CFS!CE38+CFS!CE15+CFS!CE39</f>
        <v>2008.1727764344503</v>
      </c>
      <c r="CF37" s="663">
        <f>CE37+CFS!CF38+CFS!CF15+CFS!CF39</f>
        <v>2029.225540720171</v>
      </c>
      <c r="CG37" s="665">
        <f>CF37</f>
        <v>2029.225540720171</v>
      </c>
      <c r="CH37" s="265"/>
      <c r="CI37" s="1519">
        <f>CF37+CFS!CI38+CFS!CI15+CFS!CI39</f>
        <v>2050.4569212756701</v>
      </c>
      <c r="CJ37" s="672">
        <f>CI37+CFS!CJ38+CFS!CJ15+CFS!CJ39</f>
        <v>2073.5589035560388</v>
      </c>
      <c r="CK37" s="663">
        <f>CJ37+CFS!CK38+CFS!CK15+CFS!CK39</f>
        <v>2094.8963289357312</v>
      </c>
      <c r="CL37" s="663">
        <f>CK37+CFS!CL38+CFS!CL15+CFS!CL39</f>
        <v>2115.9302398155878</v>
      </c>
      <c r="CM37" s="665">
        <f>CL37</f>
        <v>2115.9302398155878</v>
      </c>
      <c r="CN37" s="265"/>
      <c r="CO37" s="265"/>
      <c r="CP37"/>
      <c r="CQ37"/>
      <c r="CR37"/>
      <c r="CS37"/>
      <c r="CT37"/>
      <c r="CU37"/>
      <c r="CV37" s="97"/>
    </row>
    <row r="38" spans="1:100" s="24" customFormat="1" hidden="1" outlineLevel="1">
      <c r="A38" s="1512" t="s">
        <v>334</v>
      </c>
      <c r="B38" s="673"/>
      <c r="C38" s="673"/>
      <c r="D38" s="673"/>
      <c r="E38" s="673"/>
      <c r="F38" s="675"/>
      <c r="G38" s="676">
        <v>66.231999999999999</v>
      </c>
      <c r="H38" s="663"/>
      <c r="I38" s="674">
        <v>79.668999999999997</v>
      </c>
      <c r="J38" s="674">
        <v>95.4</v>
      </c>
      <c r="K38" s="674">
        <v>58.750999999999998</v>
      </c>
      <c r="L38" s="674">
        <v>-8.5809999999999995</v>
      </c>
      <c r="M38" s="665">
        <f t="shared" si="11"/>
        <v>-8.5809999999999995</v>
      </c>
      <c r="N38" s="663"/>
      <c r="O38" s="674">
        <v>-20.940999999999999</v>
      </c>
      <c r="P38" s="674">
        <v>8.9149999999999991</v>
      </c>
      <c r="Q38" s="674">
        <v>19.323</v>
      </c>
      <c r="R38" s="674">
        <v>15.574</v>
      </c>
      <c r="S38" s="665">
        <f t="shared" si="12"/>
        <v>15.574</v>
      </c>
      <c r="T38" s="663"/>
      <c r="U38" s="674">
        <v>-7.68</v>
      </c>
      <c r="V38" s="674">
        <v>-36.143000000000001</v>
      </c>
      <c r="W38" s="674">
        <v>3.5219999999999998</v>
      </c>
      <c r="X38" s="674">
        <v>-11.795</v>
      </c>
      <c r="Y38" s="665">
        <f t="shared" si="13"/>
        <v>-11.795</v>
      </c>
      <c r="Z38" s="663"/>
      <c r="AA38" s="674">
        <v>22.279</v>
      </c>
      <c r="AB38" s="674">
        <v>32.494999999999997</v>
      </c>
      <c r="AC38" s="674">
        <v>-0.78300000000000003</v>
      </c>
      <c r="AD38" s="1183">
        <v>-36.055</v>
      </c>
      <c r="AE38" s="665">
        <f t="shared" si="14"/>
        <v>-36.055</v>
      </c>
      <c r="AF38" s="663"/>
      <c r="AG38" s="674">
        <v>-22.936</v>
      </c>
      <c r="AH38" s="674">
        <v>-53.588999999999999</v>
      </c>
      <c r="AI38" s="674">
        <f>-29.492</f>
        <v>-29.492000000000001</v>
      </c>
      <c r="AJ38" s="1183">
        <v>-26.395</v>
      </c>
      <c r="AK38" s="665">
        <f t="shared" si="15"/>
        <v>-26.395</v>
      </c>
      <c r="AL38" s="663"/>
      <c r="AM38" s="674">
        <v>-54.670999999999999</v>
      </c>
      <c r="AN38" s="50">
        <v>-53.594000000000001</v>
      </c>
      <c r="AO38" s="1254">
        <v>-25.173999999999999</v>
      </c>
      <c r="AP38" s="1183">
        <v>5.8789999999999996</v>
      </c>
      <c r="AQ38" s="665">
        <f t="shared" si="16"/>
        <v>5.8789999999999996</v>
      </c>
      <c r="AR38" s="663"/>
      <c r="AS38" s="1525">
        <v>32.457000000000001</v>
      </c>
      <c r="AT38" s="674">
        <v>39.082000000000001</v>
      </c>
      <c r="AU38" s="674">
        <v>-10.076000000000001</v>
      </c>
      <c r="AV38" s="1504">
        <v>-78.704999999999998</v>
      </c>
      <c r="AW38" s="665">
        <f t="shared" si="17"/>
        <v>-78.704999999999998</v>
      </c>
      <c r="AX38" s="663"/>
      <c r="AY38" s="1525">
        <v>-138.376</v>
      </c>
      <c r="AZ38" s="674">
        <v>-118.273</v>
      </c>
      <c r="BA38" s="674">
        <v>-126.816</v>
      </c>
      <c r="BB38" s="1504">
        <v>-146.726</v>
      </c>
      <c r="BC38" s="665">
        <f>BB38</f>
        <v>-146.726</v>
      </c>
      <c r="BD38" s="663"/>
      <c r="BE38" s="1525">
        <v>-127.947</v>
      </c>
      <c r="BF38" s="674">
        <v>-156.929</v>
      </c>
      <c r="BG38" s="674">
        <v>-155.404</v>
      </c>
      <c r="BH38" s="1504">
        <v>-216.28</v>
      </c>
      <c r="BI38" s="665">
        <f t="shared" si="18"/>
        <v>-216.28</v>
      </c>
      <c r="BJ38" s="663"/>
      <c r="BK38" s="1525">
        <v>-186.53700000000001</v>
      </c>
      <c r="BL38" s="674">
        <v>-147.77500000000001</v>
      </c>
      <c r="BM38" s="674">
        <v>-120.42700000000001</v>
      </c>
      <c r="BN38" s="1504">
        <v>-110.06699999999999</v>
      </c>
      <c r="BO38" s="665">
        <f>BN38</f>
        <v>-110.06699999999999</v>
      </c>
      <c r="BP38" s="663"/>
      <c r="BQ38" s="1519">
        <f>BN38+CFS!BQ45</f>
        <v>-110.06699999999999</v>
      </c>
      <c r="BR38" s="672">
        <f>BQ38+CFS!BR45</f>
        <v>-110.06699999999999</v>
      </c>
      <c r="BS38" s="663">
        <f>BR38+CFS!BS45</f>
        <v>-110.06699999999999</v>
      </c>
      <c r="BT38" s="663">
        <f>BS38+CFS!BT45</f>
        <v>-110.06699999999999</v>
      </c>
      <c r="BU38" s="665">
        <f>BT38</f>
        <v>-110.06699999999999</v>
      </c>
      <c r="BV38" s="265"/>
      <c r="BW38" s="1519">
        <f>BT38+CFS!BW45</f>
        <v>-110.06699999999999</v>
      </c>
      <c r="BX38" s="672">
        <f>BW38+CFS!BX45</f>
        <v>-110.06699999999999</v>
      </c>
      <c r="BY38" s="663">
        <f>BX38+CFS!BY45</f>
        <v>-110.06699999999999</v>
      </c>
      <c r="BZ38" s="663">
        <f>BY38+CFS!BZ45</f>
        <v>-110.06699999999999</v>
      </c>
      <c r="CA38" s="665">
        <f>BZ38</f>
        <v>-110.06699999999999</v>
      </c>
      <c r="CB38" s="265"/>
      <c r="CC38" s="1519">
        <f>BZ38+CFS!CC45</f>
        <v>-110.06699999999999</v>
      </c>
      <c r="CD38" s="672">
        <f>CC38+CFS!CD45</f>
        <v>-110.06699999999999</v>
      </c>
      <c r="CE38" s="663">
        <f>CD38+CFS!CE45</f>
        <v>-110.06699999999999</v>
      </c>
      <c r="CF38" s="663">
        <f>CE38+CFS!CF45</f>
        <v>-110.06699999999999</v>
      </c>
      <c r="CG38" s="665">
        <f>CF38</f>
        <v>-110.06699999999999</v>
      </c>
      <c r="CH38" s="265"/>
      <c r="CI38" s="1519">
        <f>CF38+CFS!CI45</f>
        <v>-110.06699999999999</v>
      </c>
      <c r="CJ38" s="672">
        <f>CI38+CFS!CJ45</f>
        <v>-110.06699999999999</v>
      </c>
      <c r="CK38" s="663">
        <f>CJ38+CFS!CK45</f>
        <v>-110.06699999999999</v>
      </c>
      <c r="CL38" s="663">
        <f>CK38+CFS!CL45</f>
        <v>-110.06699999999999</v>
      </c>
      <c r="CM38" s="665">
        <f>CL38</f>
        <v>-110.06699999999999</v>
      </c>
      <c r="CN38" s="265"/>
      <c r="CO38" s="265"/>
      <c r="CP38"/>
      <c r="CQ38"/>
      <c r="CR38"/>
      <c r="CS38"/>
      <c r="CT38"/>
      <c r="CU38"/>
      <c r="CV38" s="97"/>
    </row>
    <row r="39" spans="1:100" s="24" customFormat="1" hidden="1" outlineLevel="1">
      <c r="A39" s="1512" t="s">
        <v>335</v>
      </c>
      <c r="B39" s="673"/>
      <c r="C39" s="673"/>
      <c r="D39" s="673"/>
      <c r="E39" s="673"/>
      <c r="F39" s="675"/>
      <c r="G39" s="676">
        <v>1590.924</v>
      </c>
      <c r="H39" s="663"/>
      <c r="I39" s="674">
        <v>1659.3989999999999</v>
      </c>
      <c r="J39" s="674">
        <v>1742.547</v>
      </c>
      <c r="K39" s="674">
        <v>1814.05</v>
      </c>
      <c r="L39" s="674">
        <v>1913.403</v>
      </c>
      <c r="M39" s="665">
        <f t="shared" si="11"/>
        <v>1913.403</v>
      </c>
      <c r="N39" s="663"/>
      <c r="O39" s="674">
        <v>1986.75</v>
      </c>
      <c r="P39" s="674">
        <v>2056.6570000000002</v>
      </c>
      <c r="Q39" s="674">
        <v>2132.5929999999998</v>
      </c>
      <c r="R39" s="674">
        <v>2236.7159999999999</v>
      </c>
      <c r="S39" s="665">
        <f t="shared" si="12"/>
        <v>2236.7159999999999</v>
      </c>
      <c r="T39" s="663"/>
      <c r="U39" s="674">
        <v>2312.2339999999999</v>
      </c>
      <c r="V39" s="674">
        <v>2397.1559999999999</v>
      </c>
      <c r="W39" s="674">
        <v>2491.875</v>
      </c>
      <c r="X39" s="674">
        <v>2618.4789999999998</v>
      </c>
      <c r="Y39" s="665">
        <f t="shared" si="13"/>
        <v>2618.4789999999998</v>
      </c>
      <c r="Z39" s="663"/>
      <c r="AA39" s="674">
        <v>2712.9679999999998</v>
      </c>
      <c r="AB39" s="674">
        <v>2813.0430000000001</v>
      </c>
      <c r="AC39" s="674">
        <v>2914.3</v>
      </c>
      <c r="AD39" s="1183">
        <v>3051.4470000000001</v>
      </c>
      <c r="AE39" s="665">
        <f t="shared" si="14"/>
        <v>3051.4470000000001</v>
      </c>
      <c r="AF39" s="663"/>
      <c r="AG39" s="674">
        <v>3140.1129999999998</v>
      </c>
      <c r="AH39" s="674">
        <v>3237.837</v>
      </c>
      <c r="AI39" s="674">
        <v>3336.9459999999999</v>
      </c>
      <c r="AJ39" s="1183">
        <v>3512.89</v>
      </c>
      <c r="AK39" s="665">
        <f t="shared" si="15"/>
        <v>3512.89</v>
      </c>
      <c r="AL39" s="663"/>
      <c r="AM39" s="674">
        <v>3633.9490000000001</v>
      </c>
      <c r="AN39" s="50">
        <v>3723.2629999999999</v>
      </c>
      <c r="AO39" s="1254">
        <v>3821.3110000000001</v>
      </c>
      <c r="AP39" s="1183">
        <v>3962.893</v>
      </c>
      <c r="AQ39" s="665">
        <f t="shared" si="16"/>
        <v>3962.893</v>
      </c>
      <c r="AR39" s="663"/>
      <c r="AS39" s="1525">
        <v>4033.1950000000002</v>
      </c>
      <c r="AT39" s="674">
        <v>4129.7240000000002</v>
      </c>
      <c r="AU39" s="674">
        <v>4243.2209999999995</v>
      </c>
      <c r="AV39" s="1504">
        <v>4394.5129999999999</v>
      </c>
      <c r="AW39" s="665">
        <f t="shared" si="17"/>
        <v>4394.5129999999999</v>
      </c>
      <c r="AX39" s="663"/>
      <c r="AY39" s="1525">
        <v>4490.5739999999996</v>
      </c>
      <c r="AZ39" s="674">
        <v>4596.2309999999998</v>
      </c>
      <c r="BA39" s="674">
        <v>4712.5119999999997</v>
      </c>
      <c r="BB39" s="1504">
        <v>4863.5659999999998</v>
      </c>
      <c r="BC39" s="665">
        <f>BB39</f>
        <v>4863.5659999999998</v>
      </c>
      <c r="BD39" s="663"/>
      <c r="BE39" s="1525">
        <v>4957.6180000000004</v>
      </c>
      <c r="BF39" s="674">
        <v>5085.835</v>
      </c>
      <c r="BG39" s="674">
        <v>5210.6909999999998</v>
      </c>
      <c r="BH39" s="1504">
        <v>5385.0690000000004</v>
      </c>
      <c r="BI39" s="665">
        <f t="shared" si="18"/>
        <v>5385.0690000000004</v>
      </c>
      <c r="BJ39" s="663"/>
      <c r="BK39" s="1525">
        <v>5490.6260000000002</v>
      </c>
      <c r="BL39" s="674">
        <v>5622.4480000000003</v>
      </c>
      <c r="BM39" s="674">
        <v>5758.5519999999997</v>
      </c>
      <c r="BN39" s="1504">
        <v>5405.38</v>
      </c>
      <c r="BO39" s="665">
        <f>BN39</f>
        <v>5405.38</v>
      </c>
      <c r="BP39" s="663"/>
      <c r="BQ39" s="1519">
        <f>BN39+CFS!BQ10</f>
        <v>5526.05472369379</v>
      </c>
      <c r="BR39" s="672">
        <f>BQ39+CFS!BR10</f>
        <v>5677.7034405863578</v>
      </c>
      <c r="BS39" s="663">
        <f>BR39+CFS!BS10</f>
        <v>5825.7901098504626</v>
      </c>
      <c r="BT39" s="663">
        <f>BS39+CFS!BT10</f>
        <v>6037.3891247738111</v>
      </c>
      <c r="BU39" s="665">
        <f>BT39</f>
        <v>6037.3891247738111</v>
      </c>
      <c r="BV39" s="265"/>
      <c r="BW39" s="1519">
        <f>BT39+CFS!BW10</f>
        <v>6168.9796360302353</v>
      </c>
      <c r="BX39" s="672">
        <f>BW39+CFS!BX10</f>
        <v>6331.4554386159998</v>
      </c>
      <c r="BY39" s="663">
        <f>BX39+CFS!BY10</f>
        <v>6489.7197284630129</v>
      </c>
      <c r="BZ39" s="663">
        <f>BY39+CFS!BZ10</f>
        <v>6713.8710044801674</v>
      </c>
      <c r="CA39" s="665">
        <f>BZ39</f>
        <v>6713.8710044801674</v>
      </c>
      <c r="CB39" s="265"/>
      <c r="CC39" s="1519">
        <f>BZ39+CFS!CC10</f>
        <v>6854.1387432760057</v>
      </c>
      <c r="CD39" s="672">
        <f>CC39+CFS!CD10</f>
        <v>7090.2538079239594</v>
      </c>
      <c r="CE39" s="663">
        <f>CD39+CFS!CE10</f>
        <v>7323.8538426791711</v>
      </c>
      <c r="CF39" s="663">
        <f>CE39+CFS!CF10</f>
        <v>7627.4541898755433</v>
      </c>
      <c r="CG39" s="665">
        <f>CF39</f>
        <v>7627.4541898755433</v>
      </c>
      <c r="CH39" s="265"/>
      <c r="CI39" s="1519">
        <f>CF39+CFS!CI10</f>
        <v>7848.7715903378503</v>
      </c>
      <c r="CJ39" s="672">
        <f>CI39+CFS!CJ10</f>
        <v>8032.3967124595383</v>
      </c>
      <c r="CK39" s="663">
        <f>CJ39+CFS!CK10</f>
        <v>8211.1098057425897</v>
      </c>
      <c r="CL39" s="663">
        <f>CK39+CFS!CL10</f>
        <v>8459.8067707511073</v>
      </c>
      <c r="CM39" s="665">
        <f>CL39</f>
        <v>8459.8067707511073</v>
      </c>
      <c r="CN39" s="265"/>
      <c r="CO39" s="265"/>
      <c r="CP39"/>
      <c r="CQ39"/>
      <c r="CR39"/>
      <c r="CS39"/>
      <c r="CT39"/>
      <c r="CU39"/>
      <c r="CV39" s="97"/>
    </row>
    <row r="40" spans="1:100" s="24" customFormat="1" hidden="1" outlineLevel="1">
      <c r="A40" s="1512" t="s">
        <v>336</v>
      </c>
      <c r="B40" s="673"/>
      <c r="C40" s="673"/>
      <c r="D40" s="673"/>
      <c r="E40" s="673"/>
      <c r="F40" s="675"/>
      <c r="G40" s="676">
        <v>-1764.297</v>
      </c>
      <c r="H40" s="663"/>
      <c r="I40" s="674">
        <v>-1841.0550000000001</v>
      </c>
      <c r="J40" s="674">
        <v>-1918.633</v>
      </c>
      <c r="K40" s="674">
        <v>-1975.3510000000001</v>
      </c>
      <c r="L40" s="674">
        <v>-2001.797</v>
      </c>
      <c r="M40" s="665">
        <f t="shared" si="11"/>
        <v>-2001.797</v>
      </c>
      <c r="N40" s="663"/>
      <c r="O40" s="674">
        <v>-2065.643</v>
      </c>
      <c r="P40" s="674">
        <v>-2110.6819999999998</v>
      </c>
      <c r="Q40" s="674">
        <v>-2159.009</v>
      </c>
      <c r="R40" s="674">
        <v>-2213.174</v>
      </c>
      <c r="S40" s="665">
        <f t="shared" si="12"/>
        <v>-2213.174</v>
      </c>
      <c r="T40" s="663"/>
      <c r="U40" s="674">
        <v>-2318.1930000000002</v>
      </c>
      <c r="V40" s="674">
        <v>-2392.9969999999998</v>
      </c>
      <c r="W40" s="674">
        <v>-2458.067</v>
      </c>
      <c r="X40" s="674">
        <v>-2509.4659999999999</v>
      </c>
      <c r="Y40" s="665">
        <f t="shared" si="13"/>
        <v>-2509.4659999999999</v>
      </c>
      <c r="Z40" s="663"/>
      <c r="AA40" s="674">
        <v>-2582.645</v>
      </c>
      <c r="AB40" s="674">
        <v>-2663.2860000000001</v>
      </c>
      <c r="AC40" s="674">
        <v>-2807.451</v>
      </c>
      <c r="AD40" s="1618">
        <v>-2880.3009999999999</v>
      </c>
      <c r="AE40" s="665">
        <f t="shared" si="14"/>
        <v>-2880.3009999999999</v>
      </c>
      <c r="AF40" s="663"/>
      <c r="AG40" s="674">
        <v>-2948.38</v>
      </c>
      <c r="AH40" s="674">
        <v>-3051.62</v>
      </c>
      <c r="AI40" s="674">
        <v>-3115.5830000000001</v>
      </c>
      <c r="AJ40" s="1618">
        <v>-3176.1790000000001</v>
      </c>
      <c r="AK40" s="665">
        <f t="shared" si="15"/>
        <v>-3176.1790000000001</v>
      </c>
      <c r="AL40" s="663"/>
      <c r="AM40" s="674">
        <v>-3277.5459999999998</v>
      </c>
      <c r="AN40" s="50">
        <v>-3347.2579999999998</v>
      </c>
      <c r="AO40" s="1254">
        <v>-3402.377</v>
      </c>
      <c r="AP40" s="1618">
        <v>-3477.759</v>
      </c>
      <c r="AQ40" s="665">
        <f t="shared" si="16"/>
        <v>-3477.759</v>
      </c>
      <c r="AR40" s="663"/>
      <c r="AS40" s="1525">
        <v>-3570.3310000000001</v>
      </c>
      <c r="AT40" s="674">
        <v>-3662.931</v>
      </c>
      <c r="AU40" s="674">
        <v>-3739.3290000000002</v>
      </c>
      <c r="AV40" s="1504">
        <v>-3815.203</v>
      </c>
      <c r="AW40" s="665">
        <f t="shared" si="17"/>
        <v>-3815.203</v>
      </c>
      <c r="AX40" s="663"/>
      <c r="AY40" s="1525">
        <v>-3906.2280000000001</v>
      </c>
      <c r="AZ40" s="674">
        <v>-3986.1610000000001</v>
      </c>
      <c r="BA40" s="674">
        <v>-4070.3139999999999</v>
      </c>
      <c r="BB40" s="1504">
        <v>-4149.9080000000004</v>
      </c>
      <c r="BC40" s="665">
        <f>BB40</f>
        <v>-4149.9080000000004</v>
      </c>
      <c r="BD40" s="663"/>
      <c r="BE40" s="1525">
        <v>-4245.3969999999999</v>
      </c>
      <c r="BF40" s="674">
        <v>-4322.3</v>
      </c>
      <c r="BG40" s="674">
        <f>-4391.832</f>
        <v>-4391.8320000000003</v>
      </c>
      <c r="BH40" s="1504">
        <v>-4475.6670000000004</v>
      </c>
      <c r="BI40" s="665">
        <f t="shared" si="18"/>
        <v>-4475.6670000000004</v>
      </c>
      <c r="BJ40" s="663"/>
      <c r="BK40" s="1525">
        <v>-4564.84</v>
      </c>
      <c r="BL40" s="674">
        <f>-4641.501</f>
        <v>-4641.5010000000002</v>
      </c>
      <c r="BM40" s="674">
        <v>-4721.4089999999997</v>
      </c>
      <c r="BN40" s="1504">
        <v>-4808.2110000000002</v>
      </c>
      <c r="BO40" s="665">
        <f>BN40</f>
        <v>-4808.2110000000002</v>
      </c>
      <c r="BP40" s="663"/>
      <c r="BQ40" s="1519">
        <f>BN40+CFS!BQ40</f>
        <v>-4974.4610000000002</v>
      </c>
      <c r="BR40" s="672">
        <f>BQ40+CFS!BR40</f>
        <v>-5140.7110000000002</v>
      </c>
      <c r="BS40" s="663">
        <f>BR40+CFS!BS40</f>
        <v>-5306.9610000000002</v>
      </c>
      <c r="BT40" s="663">
        <f>BS40+CFS!BT40</f>
        <v>-5473.2110000000002</v>
      </c>
      <c r="BU40" s="665">
        <f>BT40</f>
        <v>-5473.2110000000002</v>
      </c>
      <c r="BV40" s="265"/>
      <c r="BW40" s="1519">
        <f>BT40+CFS!BW40</f>
        <v>-5639.4610000000002</v>
      </c>
      <c r="BX40" s="672">
        <f>BW40+CFS!BX40</f>
        <v>-5805.7110000000002</v>
      </c>
      <c r="BY40" s="663">
        <f>BX40+CFS!BY40</f>
        <v>-5971.9610000000002</v>
      </c>
      <c r="BZ40" s="663">
        <f>BY40+CFS!BZ40</f>
        <v>-6138.2110000000002</v>
      </c>
      <c r="CA40" s="665">
        <f>BZ40</f>
        <v>-6138.2110000000002</v>
      </c>
      <c r="CB40" s="265"/>
      <c r="CC40" s="1519">
        <f>BZ40+CFS!CC40</f>
        <v>-6304.4610000000002</v>
      </c>
      <c r="CD40" s="672">
        <f>CC40+CFS!CD40</f>
        <v>-6470.7110000000002</v>
      </c>
      <c r="CE40" s="663">
        <f>CD40+CFS!CE40</f>
        <v>-6636.9610000000002</v>
      </c>
      <c r="CF40" s="663">
        <f>CE40+CFS!CF40</f>
        <v>-6803.2110000000002</v>
      </c>
      <c r="CG40" s="665">
        <f>CF40</f>
        <v>-6803.2110000000002</v>
      </c>
      <c r="CH40" s="265"/>
      <c r="CI40" s="1519">
        <f>CF40+CFS!CI40</f>
        <v>-6969.4610000000002</v>
      </c>
      <c r="CJ40" s="672">
        <f>CI40+CFS!CJ40</f>
        <v>-7135.7110000000002</v>
      </c>
      <c r="CK40" s="663">
        <f>CJ40+CFS!CK40</f>
        <v>-7301.9610000000002</v>
      </c>
      <c r="CL40" s="663">
        <f>CK40+CFS!CL40</f>
        <v>-7468.2110000000002</v>
      </c>
      <c r="CM40" s="665">
        <f>CL40</f>
        <v>-7468.2110000000002</v>
      </c>
      <c r="CN40" s="265"/>
      <c r="CO40" s="265"/>
      <c r="CP40"/>
      <c r="CQ40"/>
      <c r="CR40"/>
      <c r="CS40"/>
      <c r="CT40"/>
      <c r="CU40"/>
      <c r="CV40" s="97"/>
    </row>
    <row r="41" spans="1:100" s="24" customFormat="1" collapsed="1">
      <c r="A41" s="1513" t="s">
        <v>337</v>
      </c>
      <c r="B41" s="666"/>
      <c r="C41" s="666"/>
      <c r="D41" s="666"/>
      <c r="E41" s="666"/>
      <c r="F41" s="667"/>
      <c r="G41" s="668">
        <f>SUM(G36:G40)</f>
        <v>586.07600000000002</v>
      </c>
      <c r="H41" s="669"/>
      <c r="I41" s="669">
        <f>SUM(I36:I40)</f>
        <v>616.96499999999992</v>
      </c>
      <c r="J41" s="669">
        <f>SUM(J36:J40)</f>
        <v>650.61699999999996</v>
      </c>
      <c r="K41" s="669">
        <f>SUM(K36:K40)</f>
        <v>645.08299999999963</v>
      </c>
      <c r="L41" s="669">
        <f>SUM(L36:L40)</f>
        <v>661.00500000000011</v>
      </c>
      <c r="M41" s="668">
        <f>SUM(M36:M40)</f>
        <v>661.00500000000011</v>
      </c>
      <c r="N41" s="669"/>
      <c r="O41" s="669">
        <f>SUM(O36:O40)</f>
        <v>665.71299999999974</v>
      </c>
      <c r="P41" s="669">
        <f>SUM(P36:P40)</f>
        <v>730.74900000000025</v>
      </c>
      <c r="Q41" s="669">
        <f>SUM(Q36:Q40)</f>
        <v>780.6579999999999</v>
      </c>
      <c r="R41" s="669">
        <f>SUM(R36:R40)</f>
        <v>848.94900000000007</v>
      </c>
      <c r="S41" s="668">
        <f>SUM(S36:S40)</f>
        <v>848.94900000000007</v>
      </c>
      <c r="T41" s="669"/>
      <c r="U41" s="669">
        <f>SUM(U36:U40)</f>
        <v>813.04199999999992</v>
      </c>
      <c r="V41" s="669">
        <f>SUM(V36:V40)</f>
        <v>812.95000000000027</v>
      </c>
      <c r="W41" s="669">
        <f>SUM(W36:W40)</f>
        <v>923.26199999999972</v>
      </c>
      <c r="X41" s="669">
        <f>SUM(X36:X40)</f>
        <v>1068.797</v>
      </c>
      <c r="Y41" s="668">
        <f>SUM(Y36:Y40)</f>
        <v>1068.797</v>
      </c>
      <c r="Z41" s="669"/>
      <c r="AA41" s="669">
        <f>SUM(AA36:AA40)</f>
        <v>1150.7939999999999</v>
      </c>
      <c r="AB41" s="669">
        <f>SUM(AB36:AB40)</f>
        <v>1225.5339999999997</v>
      </c>
      <c r="AC41" s="669">
        <f>SUM(AC36:AC40)</f>
        <v>1159.0830000000001</v>
      </c>
      <c r="AD41" s="1182">
        <f>SUM(AD36:AD40)</f>
        <v>1226.578</v>
      </c>
      <c r="AE41" s="668">
        <f>SUM(AE36:AE40)</f>
        <v>1226.578</v>
      </c>
      <c r="AF41" s="669"/>
      <c r="AG41" s="669">
        <f>SUM(AG36:AG40)</f>
        <v>1287.5309999999999</v>
      </c>
      <c r="AH41" s="669">
        <f>SUM(AH36:AH40)</f>
        <v>1262.683</v>
      </c>
      <c r="AI41" s="669">
        <f>SUM(AI36:AI40)</f>
        <v>1329.8789999999995</v>
      </c>
      <c r="AJ41" s="1182">
        <f>SUM(AJ36:AJ40)</f>
        <v>1467.357</v>
      </c>
      <c r="AK41" s="668">
        <f>SUM(AK36:AK40)</f>
        <v>1467.357</v>
      </c>
      <c r="AL41" s="669"/>
      <c r="AM41" s="669">
        <f>SUM(AM36:AM40)</f>
        <v>1476.5000000000005</v>
      </c>
      <c r="AN41" s="669">
        <f>SUM(AN36:AN40)</f>
        <v>1520.1120000000001</v>
      </c>
      <c r="AO41" s="669">
        <f>SUM(AO36:AO40)</f>
        <v>1618.6340000000005</v>
      </c>
      <c r="AP41" s="1182">
        <f>SUM(AP36:AP40)</f>
        <v>1763.1729999999998</v>
      </c>
      <c r="AQ41" s="668">
        <f>SUM(AQ36:AQ40)</f>
        <v>1763.1729999999998</v>
      </c>
      <c r="AR41" s="669"/>
      <c r="AS41" s="1520">
        <f>SUM(AS36:AS40)</f>
        <v>1819.3720000000003</v>
      </c>
      <c r="AT41" s="669">
        <f>SUM(AT36:AT40)</f>
        <v>1843.4850000000001</v>
      </c>
      <c r="AU41" s="669">
        <f>SUM(AU36:AU40)</f>
        <v>1841.8199999999993</v>
      </c>
      <c r="AV41" s="669">
        <f>SUM(AV36:AV40)</f>
        <v>1894.6659999999997</v>
      </c>
      <c r="AW41" s="668">
        <f>SUM(AW36:AW40)</f>
        <v>1894.6659999999997</v>
      </c>
      <c r="AX41" s="669"/>
      <c r="AY41" s="1520">
        <f>SUM(AY36:AY40)</f>
        <v>1862.2399999999998</v>
      </c>
      <c r="AZ41" s="669">
        <f>SUM(AZ36:AZ40)</f>
        <v>1932.598</v>
      </c>
      <c r="BA41" s="669">
        <f>SUM(BA36:BA40)</f>
        <v>1968.556</v>
      </c>
      <c r="BB41" s="669">
        <f>SUM(BB36:BB40)</f>
        <v>2058.8509999999997</v>
      </c>
      <c r="BC41" s="668">
        <f>SUM(BC36:BC40)</f>
        <v>2058.8509999999997</v>
      </c>
      <c r="BD41" s="669"/>
      <c r="BE41" s="1520">
        <f>SUM(BE36:BE40)</f>
        <v>2101.6860000000006</v>
      </c>
      <c r="BF41" s="669">
        <f>SUM(BF36:BF40)</f>
        <v>2149.3440000000001</v>
      </c>
      <c r="BG41" s="669">
        <f>SUM(BG36:BG40)</f>
        <v>2259.1399999999994</v>
      </c>
      <c r="BH41" s="669">
        <f>SUM(BH36:BH40)</f>
        <v>2301.9489999999996</v>
      </c>
      <c r="BI41" s="668">
        <f>SUM(BI36:BI40)</f>
        <v>2301.9489999999996</v>
      </c>
      <c r="BJ41" s="669"/>
      <c r="BK41" s="1520">
        <f>SUM(BK36:BK40)</f>
        <v>2394.8140000000003</v>
      </c>
      <c r="BL41" s="669">
        <f>SUM(BL36:BL40)</f>
        <v>2518.6390000000001</v>
      </c>
      <c r="BM41" s="669">
        <f>SUM(BM36:BM40)</f>
        <v>2629.0950000000003</v>
      </c>
      <c r="BN41" s="669">
        <f>SUM(BN36:BN40)</f>
        <v>2233.7879999999996</v>
      </c>
      <c r="BO41" s="668">
        <f>SUM(BO36:BO40)</f>
        <v>2233.7879999999996</v>
      </c>
      <c r="BP41" s="669"/>
      <c r="BQ41" s="1520">
        <f>SUM(BQ36:BQ40)</f>
        <v>2215.4486688043316</v>
      </c>
      <c r="BR41" s="669">
        <f>SUM(BR36:BR40)</f>
        <v>2228.4436914713597</v>
      </c>
      <c r="BS41" s="669">
        <f>SUM(BS36:BS40)</f>
        <v>2235.4722172718893</v>
      </c>
      <c r="BT41" s="669">
        <f>SUM(BT36:BT40)</f>
        <v>2305.0976629215274</v>
      </c>
      <c r="BU41" s="668">
        <f>SUM(BU36:BU40)</f>
        <v>2305.0976629215274</v>
      </c>
      <c r="BV41" s="265"/>
      <c r="BW41" s="1520">
        <f>SUM(BW36:BW40)</f>
        <v>2293.8887532409317</v>
      </c>
      <c r="BX41" s="669">
        <f>SUM(BX36:BX40)</f>
        <v>2314.6305243837114</v>
      </c>
      <c r="BY41" s="669">
        <f>SUM(BY36:BY40)</f>
        <v>2329.1560881685427</v>
      </c>
      <c r="BZ41" s="669">
        <f>SUM(BZ36:BZ40)</f>
        <v>2409.0334547830453</v>
      </c>
      <c r="CA41" s="668">
        <f>SUM(CA36:CA40)</f>
        <v>2409.0334547830453</v>
      </c>
      <c r="CB41" s="265"/>
      <c r="CC41" s="1520">
        <f>SUM(CC36:CC40)</f>
        <v>2404.7431770196372</v>
      </c>
      <c r="CD41" s="669">
        <f>SUM(CD36:CD40)</f>
        <v>2497.8350215936725</v>
      </c>
      <c r="CE41" s="669">
        <f>SUM(CE36:CE40)</f>
        <v>2586.5966191136204</v>
      </c>
      <c r="CF41" s="669">
        <f>SUM(CF36:CF40)</f>
        <v>2744.999730595714</v>
      </c>
      <c r="CG41" s="668">
        <f>SUM(CG36:CG40)</f>
        <v>2744.999730595714</v>
      </c>
      <c r="CH41" s="265"/>
      <c r="CI41" s="1520">
        <f>SUM(CI36:CI40)</f>
        <v>2821.2985116135196</v>
      </c>
      <c r="CJ41" s="669">
        <f>SUM(CJ36:CJ40)</f>
        <v>2861.7756160155759</v>
      </c>
      <c r="CK41" s="669">
        <f>SUM(CK36:CK40)</f>
        <v>2895.5761346783211</v>
      </c>
      <c r="CL41" s="669">
        <f>SUM(CL36:CL40)</f>
        <v>2999.0570105666948</v>
      </c>
      <c r="CM41" s="668">
        <f>SUM(CM36:CM40)</f>
        <v>2999.0570105666948</v>
      </c>
      <c r="CN41" s="265"/>
      <c r="CO41" s="265"/>
      <c r="CP41"/>
      <c r="CQ41"/>
      <c r="CR41"/>
      <c r="CS41"/>
      <c r="CT41"/>
      <c r="CU41"/>
      <c r="CV41" s="97"/>
    </row>
    <row r="42" spans="1:100">
      <c r="A42" s="1516" t="s">
        <v>338</v>
      </c>
      <c r="B42" s="126"/>
      <c r="C42" s="126"/>
      <c r="D42" s="126"/>
      <c r="E42" s="126"/>
      <c r="F42" s="2090"/>
      <c r="G42" s="53">
        <f>+G34+G41</f>
        <v>1881.0550000000001</v>
      </c>
      <c r="H42" s="54"/>
      <c r="I42" s="54">
        <f>+I34+I41</f>
        <v>1974.3479999999997</v>
      </c>
      <c r="J42" s="54">
        <f>+J34+J41</f>
        <v>2064.3580000000002</v>
      </c>
      <c r="K42" s="54">
        <f>+K34+K41</f>
        <v>2103.7819999999992</v>
      </c>
      <c r="L42" s="54">
        <f>+L34+L41</f>
        <v>1622.8980000000001</v>
      </c>
      <c r="M42" s="53">
        <f>+M34+M41</f>
        <v>1622.8980000000001</v>
      </c>
      <c r="N42" s="54"/>
      <c r="O42" s="54">
        <f>+O34+O41</f>
        <v>1674.5349999999999</v>
      </c>
      <c r="P42" s="54">
        <f>+P34+P41</f>
        <v>1802.6170000000002</v>
      </c>
      <c r="Q42" s="54">
        <f>+Q34+Q41</f>
        <v>1885.5609999999997</v>
      </c>
      <c r="R42" s="54">
        <f>+R34+R41</f>
        <v>1907.931</v>
      </c>
      <c r="S42" s="53">
        <f>+S34+S41</f>
        <v>1907.931</v>
      </c>
      <c r="T42" s="54"/>
      <c r="U42" s="54">
        <f>+U34+U41</f>
        <v>1981.242</v>
      </c>
      <c r="V42" s="54">
        <f>+V34+V41</f>
        <v>2036.3990000000001</v>
      </c>
      <c r="W42" s="54">
        <f>+W34+W41</f>
        <v>2205.6459999999997</v>
      </c>
      <c r="X42" s="54">
        <f>+X34+X41</f>
        <v>2327.67</v>
      </c>
      <c r="Y42" s="53">
        <f>+Y34+Y41</f>
        <v>2327.67</v>
      </c>
      <c r="Z42" s="54"/>
      <c r="AA42" s="54">
        <f>+AA34+AA41</f>
        <v>2447.1619999999998</v>
      </c>
      <c r="AB42" s="54">
        <f>+AB34+AB41</f>
        <v>2571.8559999999998</v>
      </c>
      <c r="AC42" s="54">
        <f>+AC34+AC41</f>
        <v>2639.6149999999998</v>
      </c>
      <c r="AD42" s="54">
        <f>+AD34+AD41</f>
        <v>2723.2340000000004</v>
      </c>
      <c r="AE42" s="53">
        <f>+AE34+AE41</f>
        <v>2723.2340000000004</v>
      </c>
      <c r="AF42" s="54"/>
      <c r="AG42" s="54">
        <f>+AG34+AG41</f>
        <v>2839.4159999999997</v>
      </c>
      <c r="AH42" s="54">
        <f>+AH34+AH41</f>
        <v>2883.556</v>
      </c>
      <c r="AI42" s="54">
        <f>+AI34+AI41</f>
        <v>2997.1399999999994</v>
      </c>
      <c r="AJ42" s="54">
        <f>+AJ34+AJ41</f>
        <v>3168.1499999999996</v>
      </c>
      <c r="AK42" s="53">
        <f>+AK34+AK41</f>
        <v>3168.1499999999996</v>
      </c>
      <c r="AL42" s="54"/>
      <c r="AM42" s="54">
        <f>+AM34+AM41</f>
        <v>3207.3170000000005</v>
      </c>
      <c r="AN42" s="54">
        <f>+AN34+AN41</f>
        <v>3285.5290000000005</v>
      </c>
      <c r="AO42" s="54">
        <f>+AO34+AO41</f>
        <v>3425.3190000000004</v>
      </c>
      <c r="AP42" s="54">
        <f>+AP34+AP41</f>
        <v>3582.6289999999999</v>
      </c>
      <c r="AQ42" s="53">
        <f>+AQ34+AQ41</f>
        <v>3582.6289999999999</v>
      </c>
      <c r="AR42" s="54"/>
      <c r="AS42" s="1522">
        <f>+AS34+AS41</f>
        <v>3649.7350000000001</v>
      </c>
      <c r="AT42" s="54">
        <f>+AT34+AT41</f>
        <v>3727.53</v>
      </c>
      <c r="AU42" s="54">
        <f>+AU34+AU41</f>
        <v>3751.675999999999</v>
      </c>
      <c r="AV42" s="54">
        <f>+AV34+AV41</f>
        <v>3877.9339999999993</v>
      </c>
      <c r="AW42" s="53">
        <f>+AW34+AW41</f>
        <v>3877.9339999999993</v>
      </c>
      <c r="AX42" s="54"/>
      <c r="AY42" s="1522">
        <f>+AY34+AY41</f>
        <v>3872.7259999999997</v>
      </c>
      <c r="AZ42" s="54">
        <f>+AZ34+AZ41</f>
        <v>4028.8440000000001</v>
      </c>
      <c r="BA42" s="54">
        <f>+BA34+BA41</f>
        <v>4121.2439999999997</v>
      </c>
      <c r="BB42" s="54">
        <f>+BB34+BB41</f>
        <v>4268.6769999999997</v>
      </c>
      <c r="BC42" s="53">
        <f>+BC34+BC41</f>
        <v>4268.6769999999997</v>
      </c>
      <c r="BD42" s="54"/>
      <c r="BE42" s="1522">
        <f>+BE34+BE41</f>
        <v>4368.3950000000004</v>
      </c>
      <c r="BF42" s="54">
        <f>+BF34+BF41</f>
        <v>4448.0730000000003</v>
      </c>
      <c r="BG42" s="54">
        <f>+BG34+BG41</f>
        <v>4576.7819999999992</v>
      </c>
      <c r="BH42" s="54">
        <f>+BH34+BH41</f>
        <v>4662.0589999999993</v>
      </c>
      <c r="BI42" s="53">
        <f>+BI34+BI41</f>
        <v>4662.0589999999993</v>
      </c>
      <c r="BJ42" s="54"/>
      <c r="BK42" s="1522">
        <f>+BK34+BK41</f>
        <v>4810.7030000000004</v>
      </c>
      <c r="BL42" s="54">
        <f>+BL34+BL41</f>
        <v>4996.7449999999999</v>
      </c>
      <c r="BM42" s="54">
        <f>+BM34+BM41</f>
        <v>5162.9850000000006</v>
      </c>
      <c r="BN42" s="54">
        <f>+BN34+BN41</f>
        <v>5324.3539999999994</v>
      </c>
      <c r="BO42" s="53">
        <f>+BO34+BO41</f>
        <v>5324.3539999999994</v>
      </c>
      <c r="BP42" s="54"/>
      <c r="BQ42" s="1522">
        <f>+BQ34+BQ41</f>
        <v>5136.5876262376605</v>
      </c>
      <c r="BR42" s="54">
        <f>+BR34+BR41</f>
        <v>5168.5368349776072</v>
      </c>
      <c r="BS42" s="54">
        <f>+BS34+BS41</f>
        <v>5177.2265852870732</v>
      </c>
      <c r="BT42" s="54">
        <f>+BT34+BT41</f>
        <v>5316.9834684931266</v>
      </c>
      <c r="BU42" s="53">
        <f>+BU34+BU41</f>
        <v>5316.9834684931266</v>
      </c>
      <c r="BV42" s="263"/>
      <c r="BW42" s="1522">
        <f>+BW34+BW41</f>
        <v>5134.0957157702105</v>
      </c>
      <c r="BX42" s="54">
        <f>+BX34+BX41</f>
        <v>5172.9589500710017</v>
      </c>
      <c r="BY42" s="54">
        <f>+BY34+BY41</f>
        <v>5186.8128600168839</v>
      </c>
      <c r="BZ42" s="54">
        <f>+BZ34+BZ41</f>
        <v>5337.6436501268108</v>
      </c>
      <c r="CA42" s="53">
        <f>+CA34+CA41</f>
        <v>5337.6436501268108</v>
      </c>
      <c r="CB42" s="263"/>
      <c r="CC42" s="1522">
        <f>+CC34+CC41</f>
        <v>5266.0039313970256</v>
      </c>
      <c r="CD42" s="54">
        <f>+CD34+CD41</f>
        <v>5376.3973128731941</v>
      </c>
      <c r="CE42" s="54">
        <f>+CE34+CE41</f>
        <v>5462.0076938055572</v>
      </c>
      <c r="CF42" s="54">
        <f>+CF34+CF41</f>
        <v>5691.9421477770748</v>
      </c>
      <c r="CG42" s="53">
        <f>+CG34+CG41</f>
        <v>5691.9421477770748</v>
      </c>
      <c r="CH42" s="263"/>
      <c r="CI42" s="1522">
        <f>+CI34+CI41</f>
        <v>5704.6083609023772</v>
      </c>
      <c r="CJ42" s="54">
        <f>+CJ34+CJ41</f>
        <v>5761.4991376453681</v>
      </c>
      <c r="CK42" s="54">
        <f>+CK34+CK41</f>
        <v>5789.4228210721758</v>
      </c>
      <c r="CL42" s="54">
        <f>+CL34+CL41</f>
        <v>5965.0564685841946</v>
      </c>
      <c r="CM42" s="53">
        <f>+CM34+CM41</f>
        <v>5965.0564685841946</v>
      </c>
      <c r="CN42" s="263"/>
      <c r="CO42" s="263"/>
      <c r="CV42" s="97"/>
    </row>
    <row r="43" spans="1:100" hidden="1" outlineLevel="1">
      <c r="A43" s="25" t="s">
        <v>339</v>
      </c>
      <c r="B43" s="25"/>
      <c r="C43" s="25"/>
      <c r="D43" s="25"/>
      <c r="E43" s="25"/>
      <c r="F43" s="2091"/>
      <c r="G43" s="26">
        <f>G42-G21</f>
        <v>0</v>
      </c>
      <c r="H43" s="26"/>
      <c r="I43" s="26">
        <f>I42-I21</f>
        <v>0</v>
      </c>
      <c r="J43" s="26">
        <f>J42-J21</f>
        <v>0</v>
      </c>
      <c r="K43" s="26">
        <f>K42-K21</f>
        <v>0</v>
      </c>
      <c r="L43" s="26">
        <v>0</v>
      </c>
      <c r="M43" s="26">
        <f>M42-M21</f>
        <v>0</v>
      </c>
      <c r="N43" s="26"/>
      <c r="O43" s="26">
        <f>O42-O21</f>
        <v>0</v>
      </c>
      <c r="P43" s="26">
        <f>P42-P21</f>
        <v>0</v>
      </c>
      <c r="Q43" s="26">
        <f>Q42-Q21</f>
        <v>0</v>
      </c>
      <c r="R43" s="26">
        <f>R42-R21</f>
        <v>0</v>
      </c>
      <c r="S43" s="26">
        <f>S42-S21</f>
        <v>0</v>
      </c>
      <c r="T43" s="26"/>
      <c r="U43" s="26">
        <f>U42-U21</f>
        <v>0</v>
      </c>
      <c r="V43" s="26">
        <f>V42-V21</f>
        <v>0</v>
      </c>
      <c r="W43" s="26">
        <f>W42-W21</f>
        <v>0</v>
      </c>
      <c r="X43" s="26">
        <f>X42-X21</f>
        <v>0</v>
      </c>
      <c r="Y43" s="26">
        <f>Y42-Y21</f>
        <v>0</v>
      </c>
      <c r="Z43" s="26"/>
      <c r="AA43" s="26">
        <f>AA42-AA21</f>
        <v>0</v>
      </c>
      <c r="AB43" s="26">
        <f>AB42-AB21</f>
        <v>0</v>
      </c>
      <c r="AC43" s="26">
        <f>AC42-AC21</f>
        <v>0</v>
      </c>
      <c r="AD43" s="26">
        <f>AD42-AD21</f>
        <v>0</v>
      </c>
      <c r="AE43" s="26">
        <f>AE42-AE21</f>
        <v>0</v>
      </c>
      <c r="AF43" s="26"/>
      <c r="AG43" s="26">
        <f>AG42-AG21</f>
        <v>0</v>
      </c>
      <c r="AH43" s="26">
        <f>AH42-AH21</f>
        <v>0</v>
      </c>
      <c r="AI43" s="26">
        <f>AI42-AI21</f>
        <v>0</v>
      </c>
      <c r="AJ43" s="26">
        <f>AJ42-AJ21</f>
        <v>0</v>
      </c>
      <c r="AK43" s="115">
        <f>AK42-AK21</f>
        <v>0</v>
      </c>
      <c r="AL43" s="115"/>
      <c r="AM43" s="115">
        <f>AM42-AM21</f>
        <v>0</v>
      </c>
      <c r="AN43" s="26">
        <f>AN42-AN21</f>
        <v>0</v>
      </c>
      <c r="AO43" s="115">
        <f>AO42-AO21</f>
        <v>0</v>
      </c>
      <c r="AP43" s="115">
        <f>AP42-AP21</f>
        <v>0</v>
      </c>
      <c r="AQ43" s="115">
        <f>AQ42-AQ21</f>
        <v>0</v>
      </c>
      <c r="AR43" s="115"/>
      <c r="AS43" s="115">
        <f>AS42-AS21</f>
        <v>0</v>
      </c>
      <c r="AT43" s="115">
        <f>AT42-AT21</f>
        <v>0</v>
      </c>
      <c r="AU43" s="115">
        <f>AU42-AU21</f>
        <v>0</v>
      </c>
      <c r="AV43" s="115">
        <f>AV42-AV21</f>
        <v>0</v>
      </c>
      <c r="AW43" s="115">
        <f>AW42-AW21</f>
        <v>0</v>
      </c>
      <c r="AX43" s="115"/>
      <c r="AY43" s="115">
        <f>AY42-AY21</f>
        <v>0</v>
      </c>
      <c r="AZ43" s="115">
        <f>AZ42-AZ21</f>
        <v>0</v>
      </c>
      <c r="BA43" s="115">
        <f>BA42-BA21</f>
        <v>0</v>
      </c>
      <c r="BB43" s="115">
        <f>BB42-BB21</f>
        <v>0</v>
      </c>
      <c r="BC43" s="115">
        <f>BC42-BC21</f>
        <v>0</v>
      </c>
      <c r="BD43" s="115"/>
      <c r="BE43" s="115">
        <f>BE42-BE21</f>
        <v>0</v>
      </c>
      <c r="BF43" s="115">
        <f>BF42-BF21</f>
        <v>0</v>
      </c>
      <c r="BG43" s="115">
        <f>BG42-BG21</f>
        <v>0</v>
      </c>
      <c r="BH43" s="115">
        <f>BH42-BH21</f>
        <v>0</v>
      </c>
      <c r="BI43" s="115">
        <f>BI42-BI21</f>
        <v>0</v>
      </c>
      <c r="BJ43" s="115"/>
      <c r="BK43" s="115">
        <f>BK42-BK21</f>
        <v>0</v>
      </c>
      <c r="BL43" s="115">
        <f>BL42-BL21</f>
        <v>0</v>
      </c>
      <c r="BM43" s="115">
        <f>BM42-BM21</f>
        <v>0</v>
      </c>
      <c r="BN43" s="115">
        <f>BN42-BN21</f>
        <v>0</v>
      </c>
      <c r="BO43" s="115">
        <f>BO42-BO21</f>
        <v>0</v>
      </c>
      <c r="BP43" s="115"/>
      <c r="BQ43" s="115">
        <f>BQ42-BQ21</f>
        <v>0</v>
      </c>
      <c r="BR43" s="115">
        <f>BR42-BR21</f>
        <v>0</v>
      </c>
      <c r="BS43" s="115">
        <f>BS42-BS21</f>
        <v>0</v>
      </c>
      <c r="BT43" s="115">
        <f>BT42-BT21</f>
        <v>0</v>
      </c>
      <c r="BU43" s="115">
        <f>BU42-BU21</f>
        <v>0</v>
      </c>
      <c r="BV43" s="97"/>
      <c r="BW43" s="115">
        <f>BW42-BW21</f>
        <v>0</v>
      </c>
      <c r="BX43" s="115">
        <f>BX42-BX21</f>
        <v>0</v>
      </c>
      <c r="BY43" s="115">
        <f>BY42-BY21</f>
        <v>0</v>
      </c>
      <c r="BZ43" s="115">
        <f>BZ42-BZ21</f>
        <v>0</v>
      </c>
      <c r="CA43" s="115">
        <f>CA42-CA21</f>
        <v>0</v>
      </c>
      <c r="CB43" s="97"/>
      <c r="CC43" s="115">
        <f>CC42-CC21</f>
        <v>0</v>
      </c>
      <c r="CD43" s="115">
        <f>CD42-CD21</f>
        <v>0</v>
      </c>
      <c r="CE43" s="115">
        <f>CE42-CE21</f>
        <v>0</v>
      </c>
      <c r="CF43" s="115">
        <f>CF42-CF21</f>
        <v>0</v>
      </c>
      <c r="CG43" s="115">
        <f>CG42-CG21</f>
        <v>0</v>
      </c>
      <c r="CH43" s="97"/>
      <c r="CI43" s="115">
        <f>CI42-CI21</f>
        <v>0</v>
      </c>
      <c r="CJ43" s="115">
        <f>CJ42-CJ21</f>
        <v>0</v>
      </c>
      <c r="CK43" s="115">
        <f>CK42-CK21</f>
        <v>0</v>
      </c>
      <c r="CL43" s="115">
        <f>CL42-CL21</f>
        <v>0</v>
      </c>
      <c r="CM43" s="115">
        <f>CM42-CM21</f>
        <v>0</v>
      </c>
      <c r="CN43" s="97"/>
      <c r="CO43" s="97"/>
      <c r="CV43" s="97"/>
    </row>
    <row r="44" spans="1:100" s="24" customFormat="1" collapsed="1">
      <c r="A44" s="677"/>
      <c r="B44" s="677"/>
      <c r="C44" s="677"/>
      <c r="D44" s="677"/>
      <c r="E44" s="677"/>
      <c r="F44" s="678"/>
      <c r="G44" s="679"/>
      <c r="H44" s="679"/>
      <c r="I44" s="679"/>
      <c r="J44" s="679"/>
      <c r="K44" s="679"/>
      <c r="L44" s="679"/>
      <c r="M44" s="679"/>
      <c r="N44" s="679"/>
      <c r="O44" s="679"/>
      <c r="P44" s="679"/>
      <c r="Q44" s="679"/>
      <c r="R44" s="679"/>
      <c r="S44" s="680"/>
      <c r="T44" s="679"/>
      <c r="U44" s="679"/>
      <c r="V44" s="679"/>
      <c r="W44" s="679"/>
      <c r="X44" s="679"/>
      <c r="Y44" s="680"/>
      <c r="Z44" s="679"/>
      <c r="AA44" s="679"/>
      <c r="AB44" s="679"/>
      <c r="AC44" s="679"/>
      <c r="AD44" s="679"/>
      <c r="AE44" s="681"/>
      <c r="AF44" s="679"/>
      <c r="AG44" s="679"/>
      <c r="AH44" s="679"/>
      <c r="AI44" s="679"/>
      <c r="AJ44" s="679"/>
      <c r="AK44" s="681"/>
      <c r="AL44" s="679"/>
      <c r="AM44" s="679"/>
      <c r="AN44" s="679"/>
      <c r="AO44" s="679"/>
      <c r="AP44" s="679"/>
      <c r="AQ44" s="680"/>
      <c r="AR44" s="679"/>
      <c r="AS44" s="679"/>
      <c r="AT44" s="679"/>
      <c r="AU44" s="679"/>
      <c r="AV44" s="679"/>
      <c r="AW44" s="680"/>
      <c r="AX44" s="679"/>
      <c r="AY44" s="679"/>
      <c r="AZ44" s="679"/>
      <c r="BA44" s="679"/>
      <c r="BB44" s="679"/>
      <c r="BC44" s="680"/>
      <c r="BD44" s="679"/>
      <c r="BE44" s="679"/>
      <c r="BF44" s="679"/>
      <c r="BG44" s="679"/>
      <c r="BH44" s="679"/>
      <c r="BI44" s="680"/>
      <c r="BJ44" s="679"/>
      <c r="BK44" s="679"/>
      <c r="BL44" s="679"/>
      <c r="BM44" s="679"/>
      <c r="BN44" s="679"/>
      <c r="BO44" s="680"/>
      <c r="BP44" s="679"/>
      <c r="BQ44" s="679"/>
      <c r="BR44" s="679"/>
      <c r="BS44" s="679"/>
      <c r="BT44" s="679"/>
      <c r="BU44" s="680"/>
      <c r="BV44" s="97"/>
      <c r="BW44" s="679"/>
      <c r="BX44" s="679"/>
      <c r="BY44" s="679"/>
      <c r="BZ44" s="679"/>
      <c r="CA44" s="680"/>
      <c r="CB44" s="97"/>
      <c r="CC44" s="679"/>
      <c r="CD44" s="679"/>
      <c r="CE44" s="679"/>
      <c r="CF44" s="679"/>
      <c r="CG44" s="680"/>
      <c r="CH44" s="97"/>
      <c r="CI44" s="679"/>
      <c r="CJ44" s="679"/>
      <c r="CK44" s="679"/>
      <c r="CL44" s="679"/>
      <c r="CM44" s="680"/>
      <c r="CN44" s="97"/>
      <c r="CO44" s="97"/>
      <c r="CP44"/>
      <c r="CQ44"/>
      <c r="CR44"/>
      <c r="CS44"/>
      <c r="CT44"/>
      <c r="CU44"/>
      <c r="CV44" s="97"/>
    </row>
    <row r="45" spans="1:100" s="24" customFormat="1" hidden="1" outlineLevel="1">
      <c r="A45" s="594" t="s">
        <v>340</v>
      </c>
      <c r="B45" s="594"/>
      <c r="C45" s="594"/>
      <c r="D45" s="594"/>
      <c r="E45" s="594"/>
      <c r="F45" s="678"/>
      <c r="G45" s="679"/>
      <c r="H45" s="679"/>
      <c r="I45" s="679"/>
      <c r="J45" s="679"/>
      <c r="K45" s="679"/>
      <c r="L45" s="679"/>
      <c r="M45" s="679"/>
      <c r="N45" s="679"/>
      <c r="O45" s="679"/>
      <c r="P45" s="679"/>
      <c r="Q45" s="679"/>
      <c r="R45" s="679"/>
      <c r="S45" s="680"/>
      <c r="T45" s="679"/>
      <c r="U45" s="679"/>
      <c r="V45" s="679"/>
      <c r="W45" s="679"/>
      <c r="X45" s="679"/>
      <c r="Y45" s="680"/>
      <c r="Z45" s="679"/>
      <c r="AA45" s="679"/>
      <c r="AB45" s="679"/>
      <c r="AC45" s="679"/>
      <c r="AD45" s="679"/>
      <c r="AE45" s="681"/>
      <c r="AF45" s="679"/>
      <c r="AG45" s="679"/>
      <c r="AH45" s="679"/>
      <c r="AI45" s="679"/>
      <c r="AJ45" s="679"/>
      <c r="AK45" s="681"/>
      <c r="AL45" s="679"/>
      <c r="AM45" s="679"/>
      <c r="AN45" s="679"/>
      <c r="AO45" s="679"/>
      <c r="AP45" s="679"/>
      <c r="AQ45" s="680"/>
      <c r="AR45" s="679"/>
      <c r="AS45" s="679"/>
      <c r="AT45" s="679"/>
      <c r="AU45" s="679"/>
      <c r="AV45" s="679"/>
      <c r="AW45" s="680"/>
      <c r="AX45" s="679"/>
      <c r="AY45" s="679"/>
      <c r="AZ45" s="679"/>
      <c r="BA45" s="679"/>
      <c r="BB45" s="679"/>
      <c r="BC45" s="680"/>
      <c r="BD45" s="679"/>
      <c r="BE45" s="679"/>
      <c r="BF45" s="679"/>
      <c r="BG45" s="679"/>
      <c r="BH45" s="679"/>
      <c r="BI45" s="680"/>
      <c r="BJ45" s="679"/>
      <c r="BK45" s="679"/>
      <c r="BL45" s="679"/>
      <c r="BM45" s="679"/>
      <c r="BN45" s="679"/>
      <c r="BO45" s="680"/>
      <c r="BP45" s="679"/>
      <c r="BQ45" s="679"/>
      <c r="BR45" s="679"/>
      <c r="BS45" s="679"/>
      <c r="BT45" s="679"/>
      <c r="BU45" s="680"/>
      <c r="BV45" s="97"/>
      <c r="BW45" s="679"/>
      <c r="BX45" s="679"/>
      <c r="BY45" s="679"/>
      <c r="BZ45" s="679"/>
      <c r="CA45" s="680"/>
      <c r="CB45" s="97"/>
      <c r="CC45" s="679"/>
      <c r="CD45" s="679"/>
      <c r="CE45" s="679"/>
      <c r="CF45" s="679"/>
      <c r="CG45" s="680"/>
      <c r="CH45" s="97"/>
      <c r="CI45" s="679"/>
      <c r="CJ45" s="679"/>
      <c r="CK45" s="679"/>
      <c r="CL45" s="679"/>
      <c r="CM45" s="680"/>
      <c r="CN45" s="97"/>
      <c r="CO45" s="97"/>
      <c r="CP45"/>
      <c r="CQ45"/>
      <c r="CR45"/>
      <c r="CS45"/>
      <c r="CT45"/>
      <c r="CU45"/>
      <c r="CV45" s="97"/>
    </row>
    <row r="46" spans="1:100" s="24" customFormat="1" hidden="1" outlineLevel="1">
      <c r="A46" s="595" t="s">
        <v>235</v>
      </c>
      <c r="B46" s="606"/>
      <c r="C46" s="606"/>
      <c r="D46" s="606"/>
      <c r="E46" s="606"/>
      <c r="F46" s="682"/>
      <c r="G46" s="683">
        <f>G29+G23</f>
        <v>884.17599999999993</v>
      </c>
      <c r="H46" s="684"/>
      <c r="I46" s="685">
        <f>I29+I23</f>
        <v>929.30099999999993</v>
      </c>
      <c r="J46" s="685">
        <f>J29+J23</f>
        <v>984.02</v>
      </c>
      <c r="K46" s="685">
        <f>K29+K23</f>
        <v>1027.4880000000001</v>
      </c>
      <c r="L46" s="685">
        <f>L29+L23</f>
        <v>536.12</v>
      </c>
      <c r="M46" s="683">
        <f>M29+M23</f>
        <v>536.12</v>
      </c>
      <c r="N46" s="684"/>
      <c r="O46" s="685">
        <f>O29+O23</f>
        <v>588.05899999999997</v>
      </c>
      <c r="P46" s="685">
        <f>P29+P23</f>
        <v>630.75700000000006</v>
      </c>
      <c r="Q46" s="685">
        <f>Q29+Q23</f>
        <v>644.65</v>
      </c>
      <c r="R46" s="685">
        <f>R29+R23</f>
        <v>631.77199999999993</v>
      </c>
      <c r="S46" s="683">
        <f>S29+S23</f>
        <v>631.77199999999993</v>
      </c>
      <c r="T46" s="684"/>
      <c r="U46" s="685">
        <f>U29+U23</f>
        <v>712.38199999999995</v>
      </c>
      <c r="V46" s="685">
        <f>V29+V23</f>
        <v>756.85799999999995</v>
      </c>
      <c r="W46" s="685">
        <f>W29+W23</f>
        <v>792.24299999999994</v>
      </c>
      <c r="X46" s="685">
        <f>X29+X23</f>
        <v>766.05500000000006</v>
      </c>
      <c r="Y46" s="683">
        <f>Y29+Y23</f>
        <v>766.05500000000006</v>
      </c>
      <c r="Z46" s="684"/>
      <c r="AA46" s="685">
        <f>AA29+AA23</f>
        <v>790.346</v>
      </c>
      <c r="AB46" s="685">
        <f>AB29+AB23</f>
        <v>836.17599999999993</v>
      </c>
      <c r="AC46" s="685">
        <f>AC29+AC23</f>
        <v>971.57799999999997</v>
      </c>
      <c r="AD46" s="685">
        <f>AD29+AD23</f>
        <v>990.83199999999999</v>
      </c>
      <c r="AE46" s="683">
        <f>AE29+AE23</f>
        <v>990.83199999999999</v>
      </c>
      <c r="AF46" s="684"/>
      <c r="AG46" s="685">
        <f>AG29+AG23</f>
        <v>1023.616</v>
      </c>
      <c r="AH46" s="685">
        <f>AH29+AH23</f>
        <v>1101.354</v>
      </c>
      <c r="AI46" s="685">
        <f>AI29+AI23</f>
        <v>1147.703</v>
      </c>
      <c r="AJ46" s="685">
        <f>AJ29+AJ23</f>
        <v>1177.7809999999999</v>
      </c>
      <c r="AK46" s="683">
        <f>AK29+AK23</f>
        <v>1177.7809999999999</v>
      </c>
      <c r="AL46" s="684"/>
      <c r="AM46" s="685">
        <f>AM29+AM23</f>
        <v>1233.232</v>
      </c>
      <c r="AN46" s="685">
        <f>AN29+AN23</f>
        <v>1267.9090000000001</v>
      </c>
      <c r="AO46" s="685">
        <f>AO29+AO23</f>
        <v>1293.761</v>
      </c>
      <c r="AP46" s="685">
        <f>AP29+AP23</f>
        <v>1323.346</v>
      </c>
      <c r="AQ46" s="683">
        <f>AQ29+AQ23</f>
        <v>1323.346</v>
      </c>
      <c r="AR46" s="684"/>
      <c r="AS46" s="685">
        <f>AS29+AS23</f>
        <v>1332.104</v>
      </c>
      <c r="AT46" s="685">
        <f>AT29+AT23</f>
        <v>1393.403</v>
      </c>
      <c r="AU46" s="685">
        <f>AU29+AU23</f>
        <v>1430.0060000000001</v>
      </c>
      <c r="AV46" s="685">
        <f>AV29+AV23</f>
        <v>1465.2429999999999</v>
      </c>
      <c r="AW46" s="683">
        <f>AW29+AW23</f>
        <v>1465.2429999999999</v>
      </c>
      <c r="AX46" s="684"/>
      <c r="AY46" s="685">
        <f>AY29+AY23</f>
        <v>1485.316</v>
      </c>
      <c r="AZ46" s="685">
        <f>AZ29+AZ23</f>
        <v>1560.297</v>
      </c>
      <c r="BA46" s="685">
        <f>BA29+BA23</f>
        <v>1630.1759999999999</v>
      </c>
      <c r="BB46" s="685">
        <f>BB29+BB23</f>
        <v>1668.336</v>
      </c>
      <c r="BC46" s="683">
        <f>BC29+BC23</f>
        <v>1668.336</v>
      </c>
      <c r="BD46" s="684"/>
      <c r="BE46" s="685">
        <f>BE29+BE23</f>
        <v>1718.8</v>
      </c>
      <c r="BF46" s="685">
        <f>BF29+BF23</f>
        <v>1756.9580000000001</v>
      </c>
      <c r="BG46" s="685">
        <f>BG29+BG23</f>
        <v>1782.008</v>
      </c>
      <c r="BH46" s="685">
        <f>BH29+BH23</f>
        <v>1827.2629999999999</v>
      </c>
      <c r="BI46" s="683">
        <f>BI29+BI23</f>
        <v>1827.2629999999999</v>
      </c>
      <c r="BJ46" s="684"/>
      <c r="BK46" s="685">
        <f>BK29+BK23</f>
        <v>1867.384</v>
      </c>
      <c r="BL46" s="685">
        <f>BL29+BL23</f>
        <v>1912.4659999999999</v>
      </c>
      <c r="BM46" s="685">
        <f>BM29+BM23</f>
        <v>1957.79</v>
      </c>
      <c r="BN46" s="685">
        <f>BN29+BN23</f>
        <v>1997.7739999999999</v>
      </c>
      <c r="BO46" s="683">
        <f>BO29+BO23</f>
        <v>1997.7739999999999</v>
      </c>
      <c r="BP46" s="684"/>
      <c r="BQ46" s="685">
        <f>BQ29+BQ23</f>
        <v>1897.7739999999999</v>
      </c>
      <c r="BR46" s="685">
        <f>BR29+BR23</f>
        <v>1897.7739999999999</v>
      </c>
      <c r="BS46" s="685">
        <f>BS29+BS23</f>
        <v>1897.7739999999999</v>
      </c>
      <c r="BT46" s="685">
        <f>BT29+BT23</f>
        <v>1897.7739999999999</v>
      </c>
      <c r="BU46" s="683">
        <f>BU29+BU23</f>
        <v>1897.7739999999999</v>
      </c>
      <c r="BV46" s="97"/>
      <c r="BW46" s="685">
        <f>BW29+BW23</f>
        <v>1797.7739999999999</v>
      </c>
      <c r="BX46" s="685">
        <f>BX29+BX23</f>
        <v>1797.7739999999999</v>
      </c>
      <c r="BY46" s="685">
        <f>BY29+BY23</f>
        <v>1797.7739999999999</v>
      </c>
      <c r="BZ46" s="685">
        <f>BZ29+BZ23</f>
        <v>1797.7739999999999</v>
      </c>
      <c r="CA46" s="683">
        <f>CA29+CA23</f>
        <v>1797.7739999999999</v>
      </c>
      <c r="CB46" s="97"/>
      <c r="CC46" s="685">
        <f>CC29+CC23</f>
        <v>1797.7739999999999</v>
      </c>
      <c r="CD46" s="685">
        <f>CD29+CD23</f>
        <v>1797.7739999999999</v>
      </c>
      <c r="CE46" s="685">
        <f>CE29+CE23</f>
        <v>1797.7739999999999</v>
      </c>
      <c r="CF46" s="685">
        <f>CF29+CF23</f>
        <v>1797.7739999999999</v>
      </c>
      <c r="CG46" s="683">
        <f>CG29+CG23</f>
        <v>1797.7739999999999</v>
      </c>
      <c r="CH46" s="97"/>
      <c r="CI46" s="685">
        <f>CI29+CI23</f>
        <v>1797.7739999999999</v>
      </c>
      <c r="CJ46" s="685">
        <f>CJ29+CJ23</f>
        <v>1797.7739999999999</v>
      </c>
      <c r="CK46" s="685">
        <f>CK29+CK23</f>
        <v>1797.7739999999999</v>
      </c>
      <c r="CL46" s="685">
        <f>CL29+CL23</f>
        <v>1797.7739999999999</v>
      </c>
      <c r="CM46" s="683">
        <f>CM29+CM23</f>
        <v>1797.7739999999999</v>
      </c>
      <c r="CN46" s="97"/>
      <c r="CO46" s="97"/>
      <c r="CP46"/>
      <c r="CQ46"/>
      <c r="CR46"/>
      <c r="CS46"/>
      <c r="CT46"/>
      <c r="CU46"/>
      <c r="CV46" s="97"/>
    </row>
    <row r="47" spans="1:100" s="24" customFormat="1" hidden="1" outlineLevel="1">
      <c r="A47" s="686" t="s">
        <v>341</v>
      </c>
      <c r="B47" s="606"/>
      <c r="C47" s="606"/>
      <c r="D47" s="606"/>
      <c r="E47" s="606"/>
      <c r="F47" s="682"/>
      <c r="G47" s="687">
        <f>G46-G10</f>
        <v>191.16199999999992</v>
      </c>
      <c r="H47" s="682"/>
      <c r="I47" s="688">
        <f>I46-I10</f>
        <v>170.77300000000002</v>
      </c>
      <c r="J47" s="688">
        <f>J46-J10</f>
        <v>153.33899999999994</v>
      </c>
      <c r="K47" s="688">
        <f>K46-K10</f>
        <v>134.88800000000003</v>
      </c>
      <c r="L47" s="688">
        <f>L46-L10</f>
        <v>107.59800000000001</v>
      </c>
      <c r="M47" s="687">
        <f>M46-M10</f>
        <v>107.59800000000001</v>
      </c>
      <c r="N47" s="682"/>
      <c r="O47" s="688">
        <f>O46-O10</f>
        <v>156.78699999999992</v>
      </c>
      <c r="P47" s="688">
        <f>P46-P10</f>
        <v>125.07600000000008</v>
      </c>
      <c r="Q47" s="688">
        <f>Q46-Q10</f>
        <v>66.502000000000066</v>
      </c>
      <c r="R47" s="688">
        <f>R46-R10</f>
        <v>1.5149999999998727</v>
      </c>
      <c r="S47" s="687">
        <f>S46-S10</f>
        <v>1.5149999999998727</v>
      </c>
      <c r="T47" s="682"/>
      <c r="U47" s="688">
        <f>U46-U10</f>
        <v>20.201999999999884</v>
      </c>
      <c r="V47" s="688">
        <f>V46-V10</f>
        <v>2.3849999999999909</v>
      </c>
      <c r="W47" s="688">
        <f>W46-W10</f>
        <v>-44.855000000000018</v>
      </c>
      <c r="X47" s="688">
        <f>X46-X10</f>
        <v>-180.36400000000003</v>
      </c>
      <c r="Y47" s="687">
        <f>Y46-Y10</f>
        <v>-180.36400000000003</v>
      </c>
      <c r="Z47" s="682"/>
      <c r="AA47" s="688">
        <f>AA46-AA10</f>
        <v>-248.70299999999997</v>
      </c>
      <c r="AB47" s="688">
        <f>AB46-AB10</f>
        <v>-285.5010000000002</v>
      </c>
      <c r="AC47" s="688">
        <f>AC46-AC10</f>
        <v>-222.63900000000012</v>
      </c>
      <c r="AD47" s="688">
        <f>AD46-AD10</f>
        <v>-290.51900000000012</v>
      </c>
      <c r="AE47" s="687">
        <f>AE46-AE10</f>
        <v>-290.51900000000012</v>
      </c>
      <c r="AF47" s="682"/>
      <c r="AG47" s="688">
        <f>AG46-AG10</f>
        <v>-329.9369999999999</v>
      </c>
      <c r="AH47" s="688">
        <f>AH46-AH10</f>
        <v>-290.7829999999999</v>
      </c>
      <c r="AI47" s="688">
        <f>AI46-AI10</f>
        <v>-300.73799999999983</v>
      </c>
      <c r="AJ47" s="688">
        <f>AJ46-AJ10</f>
        <v>-361.24400000000014</v>
      </c>
      <c r="AK47" s="687">
        <f>AK46-AK10</f>
        <v>-361.24400000000014</v>
      </c>
      <c r="AL47" s="682"/>
      <c r="AM47" s="688">
        <f>AM46-AM10</f>
        <v>-356.62200000000007</v>
      </c>
      <c r="AN47" s="688">
        <f>AN46-AN10</f>
        <v>-381.81299999999987</v>
      </c>
      <c r="AO47" s="688">
        <f>AO46-AO10</f>
        <v>-405.346</v>
      </c>
      <c r="AP47" s="688">
        <f>AP46-AP10</f>
        <v>-480.32400000000007</v>
      </c>
      <c r="AQ47" s="687">
        <f>AQ46-AQ10</f>
        <v>-480.32400000000007</v>
      </c>
      <c r="AR47" s="682"/>
      <c r="AS47" s="688">
        <f>AS46-AS10</f>
        <v>-521.09100000000012</v>
      </c>
      <c r="AT47" s="688">
        <f>AT46-AT10</f>
        <v>-524.15699999999993</v>
      </c>
      <c r="AU47" s="688">
        <f>AU46-AU10</f>
        <v>-516.35099999999989</v>
      </c>
      <c r="AV47" s="688">
        <f>AV46-AV10</f>
        <v>-590.14499999999998</v>
      </c>
      <c r="AW47" s="687">
        <f>AW46-AW10</f>
        <v>-590.14499999999998</v>
      </c>
      <c r="AX47" s="682"/>
      <c r="AY47" s="688">
        <f>AY46-AY10</f>
        <v>-623.72900000000004</v>
      </c>
      <c r="AZ47" s="688">
        <f>AZ46-AZ10</f>
        <v>-648.596</v>
      </c>
      <c r="BA47" s="688">
        <f>BA46-BA10</f>
        <v>-680.55799999999999</v>
      </c>
      <c r="BB47" s="688">
        <f>BB46-BB10</f>
        <v>-730.92699999999991</v>
      </c>
      <c r="BC47" s="687">
        <f>BC46-BC10</f>
        <v>-730.92699999999991</v>
      </c>
      <c r="BD47" s="682"/>
      <c r="BE47" s="688">
        <f>BE46-BE10</f>
        <v>-786.36800000000017</v>
      </c>
      <c r="BF47" s="688">
        <f>BF46-BF10</f>
        <v>-842.82799999999997</v>
      </c>
      <c r="BG47" s="688">
        <f>BG46-BG10</f>
        <v>-931.00699999999983</v>
      </c>
      <c r="BH47" s="1619">
        <f>BH46-BH10</f>
        <v>-985.76899999999978</v>
      </c>
      <c r="BI47" s="1620">
        <f>BI46-BI10</f>
        <v>-985.76899999999978</v>
      </c>
      <c r="BJ47" s="38"/>
      <c r="BK47" s="1619">
        <f>BK46-BK10</f>
        <v>-1099.0789999999997</v>
      </c>
      <c r="BL47" s="1619">
        <f>BL46-BL10</f>
        <v>-1213.48</v>
      </c>
      <c r="BM47" s="1619">
        <f>BM46-BM10</f>
        <v>-1297.1670000000004</v>
      </c>
      <c r="BN47" s="1619">
        <f>BN46-BN10</f>
        <v>-1395.9270000000001</v>
      </c>
      <c r="BO47" s="1620">
        <f>BO46-BO10</f>
        <v>-1395.9270000000001</v>
      </c>
      <c r="BP47" s="682"/>
      <c r="BQ47" s="1771">
        <f>BQ46-BQ10</f>
        <v>-1298.2068295283721</v>
      </c>
      <c r="BR47" s="1771">
        <f>BR46-BR10</f>
        <v>-1314.4236530679141</v>
      </c>
      <c r="BS47" s="1619">
        <f>BS46-BS10</f>
        <v>-1336.9544707096857</v>
      </c>
      <c r="BT47" s="1619">
        <f>BT46-BT10</f>
        <v>-1409.4451339707475</v>
      </c>
      <c r="BU47" s="1620">
        <f>BU46-BU10</f>
        <v>-1409.4451339707475</v>
      </c>
      <c r="BV47" s="97"/>
      <c r="BW47" s="1771">
        <f>BW46-BW10</f>
        <v>-1287.5769652192439</v>
      </c>
      <c r="BX47" s="1771">
        <f>BX46-BX10</f>
        <v>-1300.2411444883969</v>
      </c>
      <c r="BY47" s="1619">
        <f>BY46-BY10</f>
        <v>-1318.0839749000061</v>
      </c>
      <c r="BZ47" s="1619">
        <f>BZ46-BZ10</f>
        <v>-1384.3195602388282</v>
      </c>
      <c r="CA47" s="1620">
        <f>CA46-CA10</f>
        <v>-1384.3195602388282</v>
      </c>
      <c r="CB47" s="97"/>
      <c r="CC47" s="1771">
        <f>CC46-CC10</f>
        <v>-1278.6884071552731</v>
      </c>
      <c r="CD47" s="1771">
        <f>CD46-CD10</f>
        <v>-1367.8106732092447</v>
      </c>
      <c r="CE47" s="1619">
        <f>CE46-CE10</f>
        <v>-1459.8281360688361</v>
      </c>
      <c r="CF47" s="1619">
        <f>CF46-CF10</f>
        <v>-1606.4744170482659</v>
      </c>
      <c r="CG47" s="1620">
        <f>CG46-CG10</f>
        <v>-1606.4744170482659</v>
      </c>
      <c r="CH47" s="97"/>
      <c r="CI47" s="1771">
        <f>CI46-CI10</f>
        <v>-1582.7064670835439</v>
      </c>
      <c r="CJ47" s="1771">
        <f>CJ46-CJ10</f>
        <v>-1636.4364740883125</v>
      </c>
      <c r="CK47" s="1619">
        <f>CK46-CK10</f>
        <v>-1685.6500647027383</v>
      </c>
      <c r="CL47" s="1619">
        <f>CL46-CL10</f>
        <v>-1794.0462703724761</v>
      </c>
      <c r="CM47" s="1620">
        <f>CM46-CM10</f>
        <v>-1794.0462703724761</v>
      </c>
      <c r="CN47" s="97"/>
      <c r="CO47" s="97"/>
      <c r="CP47"/>
      <c r="CQ47"/>
      <c r="CR47"/>
      <c r="CS47"/>
      <c r="CT47"/>
      <c r="CU47"/>
      <c r="CV47" s="97"/>
    </row>
    <row r="48" spans="1:100" s="24" customFormat="1" hidden="1" outlineLevel="1">
      <c r="A48" s="689" t="s">
        <v>342</v>
      </c>
      <c r="B48" s="606"/>
      <c r="C48" s="606"/>
      <c r="D48" s="606"/>
      <c r="E48" s="606"/>
      <c r="F48" s="34"/>
      <c r="G48" s="690">
        <f>G47/IS!G40</f>
        <v>1.8649041510170228</v>
      </c>
      <c r="H48" s="691"/>
      <c r="I48" s="692">
        <f>I47/IS!I40</f>
        <v>1.6745241854034498</v>
      </c>
      <c r="J48" s="692">
        <f>J47/IS!J40</f>
        <v>1.517681991389122</v>
      </c>
      <c r="K48" s="692">
        <f>K47/IS!K40</f>
        <v>1.3412883081757256</v>
      </c>
      <c r="L48" s="692">
        <f>L47/IS!L40</f>
        <v>1.0888171542485909</v>
      </c>
      <c r="M48" s="690">
        <f>M47/IS!M40</f>
        <v>1.0700412709462483</v>
      </c>
      <c r="N48" s="691"/>
      <c r="O48" s="692">
        <f>O47/IS!O40</f>
        <v>1.6010599732453756</v>
      </c>
      <c r="P48" s="692">
        <f>P47/IS!P40</f>
        <v>1.2894964740814063</v>
      </c>
      <c r="Q48" s="692">
        <f>Q47/IS!Q40</f>
        <v>0.68904707137898591</v>
      </c>
      <c r="R48" s="692">
        <f>R47/IS!R40</f>
        <v>1.5763024003494632E-2</v>
      </c>
      <c r="S48" s="690">
        <f>S47/IS!S40</f>
        <v>1.5640808573020099E-2</v>
      </c>
      <c r="T48" s="691"/>
      <c r="U48" s="692">
        <f>U47/IS!U40</f>
        <v>0.21215462650830036</v>
      </c>
      <c r="V48" s="692">
        <f>V47/IS!V40</f>
        <v>2.5297524342900685E-2</v>
      </c>
      <c r="W48" s="692">
        <f>W47/IS!W40</f>
        <v>-0.48083313680509421</v>
      </c>
      <c r="X48" s="692">
        <f>X47/IS!X40</f>
        <v>-1.9322505999314368</v>
      </c>
      <c r="Y48" s="690">
        <f>Y47/IS!Y40</f>
        <v>-1.917603155533347</v>
      </c>
      <c r="Z48" s="691"/>
      <c r="AA48" s="692">
        <f>AA47/IS!AA40</f>
        <v>-2.6652556449797986</v>
      </c>
      <c r="AB48" s="692">
        <f>AB47/IS!AB40</f>
        <v>-3.0609835854660097</v>
      </c>
      <c r="AC48" s="692">
        <f>AC47/IS!AC40</f>
        <v>-2.4184119052791671</v>
      </c>
      <c r="AD48" s="692">
        <f>AD47/IS!AD40</f>
        <v>-3.2078152949230407</v>
      </c>
      <c r="AE48" s="690">
        <f>AE47/IS!AE40</f>
        <v>-3.1466991605740602</v>
      </c>
      <c r="AF48" s="691"/>
      <c r="AG48" s="692">
        <f>AG47/IS!AG40</f>
        <v>-3.6550421517907572</v>
      </c>
      <c r="AH48" s="692">
        <f>AH47/IS!AH40</f>
        <v>-3.2532976807151397</v>
      </c>
      <c r="AI48" s="692">
        <f>AI47/IS!AI40</f>
        <v>-3.4000520061955188</v>
      </c>
      <c r="AJ48" s="692">
        <f>AJ47/IS!AJ40</f>
        <v>-4.1120078314418747</v>
      </c>
      <c r="AK48" s="690">
        <f>AK47/IS!AK40</f>
        <v>-4.0147589993220656</v>
      </c>
      <c r="AL48" s="691"/>
      <c r="AM48" s="692">
        <f>AM47/IS!AM40</f>
        <v>-4.08899845210113</v>
      </c>
      <c r="AN48" s="692">
        <f>AN47/IS!AN40</f>
        <v>-4.4101483090001841</v>
      </c>
      <c r="AO48" s="692">
        <f>AO47/IS!AO40</f>
        <v>-4.6934602380621557</v>
      </c>
      <c r="AP48" s="692">
        <f>AP47/IS!AP40</f>
        <v>-5.5840589650882979</v>
      </c>
      <c r="AQ48" s="690">
        <f>AQ47/IS!AQ40</f>
        <v>-5.5501195937279748</v>
      </c>
      <c r="AR48" s="691"/>
      <c r="AS48" s="692">
        <f>AS47/IS!AS40</f>
        <v>-6.0681587926356375</v>
      </c>
      <c r="AT48" s="692">
        <f>AT47/IS!AT40</f>
        <v>-6.1277677757254079</v>
      </c>
      <c r="AU48" s="692">
        <f>AU47/IS!AU40</f>
        <v>-6.1178303574602184</v>
      </c>
      <c r="AV48" s="692">
        <f>AV47/IS!AV40</f>
        <v>-7.0242813783252984</v>
      </c>
      <c r="AW48" s="690">
        <f>AW47/IS!AW40</f>
        <v>-6.9305703984686033</v>
      </c>
      <c r="AX48" s="691"/>
      <c r="AY48" s="692">
        <f>AY47/IS!AY40</f>
        <v>-7.4473326010125138</v>
      </c>
      <c r="AZ48" s="692">
        <f>AZ47/IS!AZ40</f>
        <v>-7.7832765324245194</v>
      </c>
      <c r="BA48" s="692">
        <f>BA47/IS!BA40</f>
        <v>-8.2208880943177416</v>
      </c>
      <c r="BB48" s="692">
        <f>BB47/IS!BB40</f>
        <v>-8.8724114491029571</v>
      </c>
      <c r="BC48" s="690">
        <f>BC47/IS!BC40</f>
        <v>-8.7997231000752443</v>
      </c>
      <c r="BD48" s="691"/>
      <c r="BE48" s="692">
        <f>BE47/IS!BE40</f>
        <v>-9.5928953082684778</v>
      </c>
      <c r="BF48" s="692">
        <f>BF47/IS!BF40</f>
        <v>-10.347161009146154</v>
      </c>
      <c r="BG48" s="692">
        <f>BG47/IS!BG40</f>
        <v>-11.439118789010662</v>
      </c>
      <c r="BH48" s="692">
        <f>BH47/IS!BH40</f>
        <v>-12.176902932529583</v>
      </c>
      <c r="BI48" s="690">
        <f>BI47/IS!BI40</f>
        <v>-12.103827535293194</v>
      </c>
      <c r="BJ48" s="691"/>
      <c r="BK48" s="692">
        <f>BK47/IS!BK40</f>
        <v>-13.607683641000875</v>
      </c>
      <c r="BL48" s="692">
        <f>BL47/IS!BL40</f>
        <v>-15.026499578978651</v>
      </c>
      <c r="BM48" s="692">
        <f>BM47/IS!BM40</f>
        <v>-16.10967325294023</v>
      </c>
      <c r="BN48" s="692">
        <f>BN47/IS!BN40</f>
        <v>-17.568995896997009</v>
      </c>
      <c r="BO48" s="690">
        <f>BO47/IS!BO40</f>
        <v>-17.367676516329706</v>
      </c>
      <c r="BP48" s="691"/>
      <c r="BQ48" s="692">
        <f>BQ47/IS!BQ40</f>
        <v>-16.503538282130442</v>
      </c>
      <c r="BR48" s="692">
        <f>BR47/IS!BR40</f>
        <v>-16.87596308788374</v>
      </c>
      <c r="BS48" s="692">
        <f>BS47/IS!BS40</f>
        <v>-17.334088149174509</v>
      </c>
      <c r="BT48" s="692">
        <f>BT47/IS!BT40</f>
        <v>-18.451640214904359</v>
      </c>
      <c r="BU48" s="690">
        <f>BU47/IS!BU40</f>
        <v>-18.18262387261758</v>
      </c>
      <c r="BV48" s="97"/>
      <c r="BW48" s="692">
        <f>BW47/IS!BW40</f>
        <v>-17.018205121625151</v>
      </c>
      <c r="BX48" s="692">
        <f>BX47/IS!BX40</f>
        <v>-17.348808296848066</v>
      </c>
      <c r="BY48" s="692">
        <f>BY47/IS!BY40</f>
        <v>-17.751929406343855</v>
      </c>
      <c r="BZ48" s="692">
        <f>BZ47/IS!BZ40</f>
        <v>-18.816864265171631</v>
      </c>
      <c r="CA48" s="690">
        <f>CA47/IS!CA40</f>
        <v>-18.555069668231674</v>
      </c>
      <c r="CB48" s="97"/>
      <c r="CC48" s="692">
        <f>CC47/IS!CC40</f>
        <v>-17.540252878186642</v>
      </c>
      <c r="CD48" s="692">
        <f>CD47/IS!CD40</f>
        <v>-18.932557905786414</v>
      </c>
      <c r="CE48" s="692">
        <f>CE47/IS!CE40</f>
        <v>-20.386812634928233</v>
      </c>
      <c r="CF48" s="692">
        <f>CF47/IS!CF40</f>
        <v>-22.63278464582087</v>
      </c>
      <c r="CG48" s="690">
        <f>CG47/IS!CG40</f>
        <v>-22.332835843753347</v>
      </c>
      <c r="CH48" s="97"/>
      <c r="CI48" s="692">
        <f>CI47/IS!CI40</f>
        <v>-22.49228535914169</v>
      </c>
      <c r="CJ48" s="692">
        <f>CJ47/IS!CJ40</f>
        <v>-23.456004160529659</v>
      </c>
      <c r="CK48" s="692">
        <f>CK47/IS!CK40</f>
        <v>-24.366705145839131</v>
      </c>
      <c r="CL48" s="692">
        <f>CL47/IS!CL40</f>
        <v>-26.151136892565415</v>
      </c>
      <c r="CM48" s="690">
        <f>CM47/IS!CM40</f>
        <v>-25.821579762720045</v>
      </c>
      <c r="CN48" s="97"/>
      <c r="CO48" s="97"/>
      <c r="CP48"/>
      <c r="CQ48"/>
      <c r="CR48"/>
      <c r="CS48"/>
      <c r="CT48"/>
      <c r="CU48"/>
      <c r="CV48" s="97"/>
    </row>
    <row r="49" spans="1:100" s="24" customFormat="1" hidden="1" outlineLevel="1">
      <c r="A49" s="606"/>
      <c r="B49" s="606"/>
      <c r="C49" s="606"/>
      <c r="D49" s="606"/>
      <c r="E49" s="606"/>
      <c r="F49" s="34"/>
      <c r="G49" s="693"/>
      <c r="H49" s="693"/>
      <c r="I49" s="693"/>
      <c r="J49" s="693"/>
      <c r="K49" s="693"/>
      <c r="L49" s="693"/>
      <c r="M49" s="693"/>
      <c r="N49" s="693"/>
      <c r="O49" s="693"/>
      <c r="P49" s="693"/>
      <c r="Q49" s="693"/>
      <c r="R49" s="693"/>
      <c r="S49" s="694"/>
      <c r="T49" s="693"/>
      <c r="U49" s="693"/>
      <c r="V49" s="693"/>
      <c r="W49" s="693"/>
      <c r="X49" s="693"/>
      <c r="Y49" s="694"/>
      <c r="Z49" s="693"/>
      <c r="AA49" s="693"/>
      <c r="AB49" s="693"/>
      <c r="AC49" s="693"/>
      <c r="AD49" s="693"/>
      <c r="AE49" s="695"/>
      <c r="AF49" s="693"/>
      <c r="AG49" s="693"/>
      <c r="AH49" s="693"/>
      <c r="AI49" s="693"/>
      <c r="AJ49" s="693"/>
      <c r="AK49" s="695"/>
      <c r="AL49" s="693"/>
      <c r="AM49" s="693"/>
      <c r="AN49" s="693"/>
      <c r="AO49" s="693"/>
      <c r="AP49" s="693"/>
      <c r="AQ49" s="694"/>
      <c r="AR49" s="693"/>
      <c r="AS49" s="693"/>
      <c r="AT49" s="693"/>
      <c r="AU49" s="693"/>
      <c r="AV49" s="693"/>
      <c r="AW49" s="694"/>
      <c r="AX49" s="693"/>
      <c r="AY49" s="693"/>
      <c r="AZ49" s="693"/>
      <c r="BA49" s="693"/>
      <c r="BB49" s="693"/>
      <c r="BC49" s="694"/>
      <c r="BD49" s="693"/>
      <c r="BE49" s="693"/>
      <c r="BF49" s="693"/>
      <c r="BG49" s="693"/>
      <c r="BH49" s="693"/>
      <c r="BI49" s="694"/>
      <c r="BJ49" s="693"/>
      <c r="BK49" s="693"/>
      <c r="BL49" s="693"/>
      <c r="BM49" s="693"/>
      <c r="BN49" s="693"/>
      <c r="BO49" s="694"/>
      <c r="BP49" s="693"/>
      <c r="BQ49" s="693"/>
      <c r="BR49" s="693"/>
      <c r="BS49" s="693"/>
      <c r="BT49" s="693"/>
      <c r="BU49" s="694"/>
      <c r="BV49" s="97"/>
      <c r="BW49" s="693"/>
      <c r="BX49" s="693"/>
      <c r="BY49" s="693"/>
      <c r="BZ49" s="693"/>
      <c r="CA49" s="694"/>
      <c r="CB49" s="97"/>
      <c r="CC49" s="693"/>
      <c r="CD49" s="693"/>
      <c r="CE49" s="693"/>
      <c r="CF49" s="693"/>
      <c r="CG49" s="694"/>
      <c r="CH49" s="97"/>
      <c r="CI49" s="693"/>
      <c r="CJ49" s="693"/>
      <c r="CK49" s="693"/>
      <c r="CL49" s="693"/>
      <c r="CM49" s="694"/>
      <c r="CN49" s="97"/>
      <c r="CO49" s="97"/>
      <c r="CP49"/>
      <c r="CQ49"/>
      <c r="CR49"/>
      <c r="CS49"/>
      <c r="CT49"/>
      <c r="CU49"/>
      <c r="CV49" s="97"/>
    </row>
    <row r="50" spans="1:100" s="24" customFormat="1" hidden="1" outlineLevel="1">
      <c r="A50" s="594" t="s">
        <v>343</v>
      </c>
      <c r="B50" s="594"/>
      <c r="C50" s="594"/>
      <c r="D50" s="594"/>
      <c r="E50" s="594"/>
      <c r="F50" s="34"/>
      <c r="G50" s="693"/>
      <c r="H50" s="693"/>
      <c r="I50" s="693"/>
      <c r="J50" s="693"/>
      <c r="K50" s="693"/>
      <c r="L50" s="693"/>
      <c r="M50" s="693"/>
      <c r="N50" s="693"/>
      <c r="O50" s="693"/>
      <c r="P50" s="693"/>
      <c r="Q50" s="693"/>
      <c r="R50" s="693"/>
      <c r="S50" s="694"/>
      <c r="T50" s="693"/>
      <c r="U50" s="693"/>
      <c r="V50" s="693"/>
      <c r="W50" s="693"/>
      <c r="X50" s="693"/>
      <c r="Y50" s="694"/>
      <c r="Z50" s="693"/>
      <c r="AA50" s="693"/>
      <c r="AB50" s="693"/>
      <c r="AC50" s="693"/>
      <c r="AD50" s="693"/>
      <c r="AE50" s="695"/>
      <c r="AF50" s="693"/>
      <c r="AG50" s="693"/>
      <c r="AH50" s="693"/>
      <c r="AI50" s="693"/>
      <c r="AJ50" s="693"/>
      <c r="AK50" s="695"/>
      <c r="AL50" s="693"/>
      <c r="AM50" s="693"/>
      <c r="AN50" s="693"/>
      <c r="AO50" s="693"/>
      <c r="AP50" s="693"/>
      <c r="AQ50" s="694"/>
      <c r="AR50" s="693"/>
      <c r="AS50" s="693"/>
      <c r="AT50" s="693"/>
      <c r="AU50" s="693"/>
      <c r="AV50" s="693"/>
      <c r="AW50" s="694"/>
      <c r="AX50" s="693"/>
      <c r="AY50" s="693"/>
      <c r="AZ50" s="693"/>
      <c r="BA50" s="693"/>
      <c r="BB50" s="693"/>
      <c r="BC50" s="694"/>
      <c r="BD50" s="693"/>
      <c r="BE50" s="693"/>
      <c r="BF50" s="693"/>
      <c r="BG50" s="693"/>
      <c r="BH50" s="693"/>
      <c r="BI50" s="694"/>
      <c r="BJ50" s="693"/>
      <c r="BK50" s="693"/>
      <c r="BL50" s="693"/>
      <c r="BM50" s="693"/>
      <c r="BN50" s="693"/>
      <c r="BO50" s="694"/>
      <c r="BP50" s="693"/>
      <c r="BQ50" s="693"/>
      <c r="BR50" s="693"/>
      <c r="BS50" s="693"/>
      <c r="BT50" s="693"/>
      <c r="BU50" s="694"/>
      <c r="BV50" s="97"/>
      <c r="BW50" s="693"/>
      <c r="BX50" s="693"/>
      <c r="BY50" s="693"/>
      <c r="BZ50" s="693"/>
      <c r="CA50" s="694"/>
      <c r="CB50" s="97"/>
      <c r="CC50" s="693"/>
      <c r="CD50" s="693"/>
      <c r="CE50" s="693"/>
      <c r="CF50" s="693"/>
      <c r="CG50" s="694"/>
      <c r="CH50" s="97"/>
      <c r="CI50" s="693"/>
      <c r="CJ50" s="693"/>
      <c r="CK50" s="693"/>
      <c r="CL50" s="693"/>
      <c r="CM50" s="694"/>
      <c r="CN50" s="97"/>
      <c r="CO50" s="97"/>
      <c r="CP50"/>
      <c r="CQ50"/>
      <c r="CR50"/>
      <c r="CS50"/>
      <c r="CT50"/>
      <c r="CU50"/>
      <c r="CV50" s="97"/>
    </row>
    <row r="51" spans="1:100" s="24" customFormat="1" hidden="1" outlineLevel="1">
      <c r="A51" s="696" t="s">
        <v>344</v>
      </c>
      <c r="B51" s="697"/>
      <c r="C51" s="697"/>
      <c r="D51" s="697"/>
      <c r="E51" s="697"/>
      <c r="F51" s="34"/>
      <c r="G51" s="698"/>
      <c r="H51" s="36"/>
      <c r="I51" s="699">
        <f>IS!I31*4/AVERAGE(G41,I41)</f>
        <v>0.46790757754723272</v>
      </c>
      <c r="J51" s="699">
        <f>IS!J31*4/AVERAGE(I41,J41)</f>
        <v>0.48556700868267311</v>
      </c>
      <c r="K51" s="699">
        <f>IS!K31*4/AVERAGE(J41,K41)</f>
        <v>0.48768079030639799</v>
      </c>
      <c r="L51" s="699">
        <f>IS!L31*4/AVERAGE(K41,L41)</f>
        <v>0.64674968302288938</v>
      </c>
      <c r="M51" s="698">
        <f>IS!M31/AVERAGE(G41,M41)</f>
        <v>0.53224449735021206</v>
      </c>
      <c r="N51" s="36"/>
      <c r="O51" s="699">
        <f>IS!O31*4/AVERAGE(M41,O41)</f>
        <v>0.43588464164954438</v>
      </c>
      <c r="P51" s="699">
        <f>IS!P31*4/AVERAGE(O41,P41)</f>
        <v>0.43331218464949273</v>
      </c>
      <c r="Q51" s="699">
        <f>IS!Q31*4/AVERAGE(P41,Q41)</f>
        <v>0.41230985432778872</v>
      </c>
      <c r="R51" s="699">
        <f>IS!R31*4/AVERAGE(Q41,R41)</f>
        <v>0.53047391180818437</v>
      </c>
      <c r="S51" s="698">
        <f>IS!S31/AVERAGE(M41,S41)</f>
        <v>0.44223731318967346</v>
      </c>
      <c r="T51" s="36"/>
      <c r="U51" s="699">
        <f>IS!U31*4/AVERAGE(S41,U41)</f>
        <v>0.37101043266780626</v>
      </c>
      <c r="V51" s="699">
        <f>IS!V31*4/AVERAGE(U41,V41)</f>
        <v>0.43046706256857348</v>
      </c>
      <c r="W51" s="699">
        <f>IS!W31*4/AVERAGE(V41,W41)</f>
        <v>0.42127574282403302</v>
      </c>
      <c r="X51" s="699">
        <f>IS!X31*4/AVERAGE(W41,X41)</f>
        <v>0.51790835512402</v>
      </c>
      <c r="Y51" s="698">
        <f>IS!Y31/AVERAGE(S41,Y41)</f>
        <v>0.40147131059066216</v>
      </c>
      <c r="Z51" s="36"/>
      <c r="AA51" s="699">
        <f>IS!AA31*4/AVERAGE(Y41,AA41)</f>
        <v>0.34718828829275311</v>
      </c>
      <c r="AB51" s="699">
        <f>IS!AB31*4/AVERAGE(AA41,AB41)</f>
        <v>0.34276413020424817</v>
      </c>
      <c r="AC51" s="699">
        <f>IS!AC31*4/AVERAGE(AB41,AC41)</f>
        <v>0.35160698762107295</v>
      </c>
      <c r="AD51" s="699">
        <f>IS!AD31*4/AVERAGE(AC41,AD41)</f>
        <v>0.47452173632381117</v>
      </c>
      <c r="AE51" s="698">
        <f>IS!AE31/AVERAGE(Y41,AE41)</f>
        <v>0.38726046942220782</v>
      </c>
      <c r="AF51" s="36"/>
      <c r="AG51" s="699">
        <f>IS!AG31*4/AVERAGE(AE41,AG41)</f>
        <v>0.28818798230307452</v>
      </c>
      <c r="AH51" s="699">
        <f>IS!AH31*4/AVERAGE(AG41,AH41)</f>
        <v>0.32720077609173193</v>
      </c>
      <c r="AI51" s="699">
        <f>IS!AI31*4/AVERAGE(AH41,AI41)</f>
        <v>0.32255043466655775</v>
      </c>
      <c r="AJ51" s="699">
        <f>IS!AJ31*4/AVERAGE(AI41,AJ41)</f>
        <v>0.39869928743945798</v>
      </c>
      <c r="AK51" s="698">
        <f>IS!AK31/AVERAGE(AE41,AK41)</f>
        <v>0.32577400716795324</v>
      </c>
      <c r="AL51" s="36"/>
      <c r="AM51" s="699">
        <f>IS!AM31*4/AVERAGE(AK41,AM41)</f>
        <v>0.25386287445348066</v>
      </c>
      <c r="AN51" s="699">
        <f>IS!AN31*4/AVERAGE(AM41,AN41)</f>
        <v>0.24973536780871197</v>
      </c>
      <c r="AO51" s="699">
        <f>IS!AO31*4/AVERAGE(AN41,AO41)</f>
        <v>0.26201036974638919</v>
      </c>
      <c r="AP51" s="699">
        <f>IS!AP31*4/AVERAGE(AO41,AP41)</f>
        <v>0.34586006830076327</v>
      </c>
      <c r="AQ51" s="698">
        <f>IS!AQ31/AVERAGE(AK41,AQ41)</f>
        <v>0.26990246182514949</v>
      </c>
      <c r="AR51" s="36"/>
      <c r="AS51" s="699">
        <f>IS!AS31*4/AVERAGE(AQ41,AS41)</f>
        <v>0.17556457769546502</v>
      </c>
      <c r="AT51" s="699">
        <f>IS!AT31*4/AVERAGE(AS41,AT41)</f>
        <v>0.22686116329411704</v>
      </c>
      <c r="AU51" s="699">
        <f>IS!AU31*4/AVERAGE(AT41,AU41)</f>
        <v>0.25353016914475202</v>
      </c>
      <c r="AV51" s="699">
        <f>IS!AV31*4/AVERAGE(AU41,AV41)</f>
        <v>0.35794273014805894</v>
      </c>
      <c r="AW51" s="698">
        <f>IS!AW31/AVERAGE(AQ41,AW41)</f>
        <v>0.25504895103365677</v>
      </c>
      <c r="AX51" s="36"/>
      <c r="AY51" s="699">
        <f>IS!AY31*4/AVERAGE(AW41,AY41)</f>
        <v>0.21538148678726599</v>
      </c>
      <c r="AZ51" s="699">
        <f>IS!AZ31*4/AVERAGE(AY41,AZ41)</f>
        <v>0.23107811189832086</v>
      </c>
      <c r="BA51" s="699">
        <f>IS!BA31*4/AVERAGE(AZ41,BA41)</f>
        <v>0.24042937038630094</v>
      </c>
      <c r="BB51" s="699">
        <f>IS!BB31*4/AVERAGE(BA41,BB41)</f>
        <v>0.32024376975061125</v>
      </c>
      <c r="BC51" s="698">
        <f>IS!BC31/AVERAGE(AW41,BC41)</f>
        <v>0.24748698437366015</v>
      </c>
      <c r="BD51" s="36"/>
      <c r="BE51" s="699">
        <f>IS!BE31*4/AVERAGE(BC41,BE41)</f>
        <v>0.19916082947946376</v>
      </c>
      <c r="BF51" s="699">
        <f>IS!BF31*4/AVERAGE(BE41,BF41)</f>
        <v>0.2427665765708544</v>
      </c>
      <c r="BG51" s="699">
        <f>IS!BG31*4/AVERAGE(BF41,BG41)</f>
        <v>0.23133757545677847</v>
      </c>
      <c r="BH51" s="699">
        <f>IS!BH31*4/AVERAGE(BG41,BH41)</f>
        <v>0.31397589479179205</v>
      </c>
      <c r="BI51" s="698">
        <f>IS!BI31/AVERAGE(BC41,BI41)</f>
        <v>0.24723353513116852</v>
      </c>
      <c r="BJ51" s="36"/>
      <c r="BK51" s="699">
        <f>IS!BK31*4/AVERAGE(BI41,BK41)</f>
        <v>0.200333719201927</v>
      </c>
      <c r="BL51" s="699">
        <f>IS!BL31*4/AVERAGE(BK41,BL41)</f>
        <v>0.23157156484451971</v>
      </c>
      <c r="BM51" s="699">
        <f>IS!BM31*4/AVERAGE(BL41,BM41)</f>
        <v>0.22098266926768154</v>
      </c>
      <c r="BN51" s="699">
        <f>IS!BN31*4/AVERAGE(BM41,BN41)</f>
        <v>0.33171762512073583</v>
      </c>
      <c r="BO51" s="698">
        <f>IS!BO31/AVERAGE(BI41,BO41)</f>
        <v>0.26618606854850724</v>
      </c>
      <c r="BP51" s="36"/>
      <c r="BQ51" s="699">
        <f>IS!BQ31*4/AVERAGE(BO41,BQ41)</f>
        <v>0.22507181885189112</v>
      </c>
      <c r="BR51" s="699">
        <f>IS!BR31*4/AVERAGE(BQ41,BR41)</f>
        <v>0.28110260867413134</v>
      </c>
      <c r="BS51" s="699">
        <f>IS!BS31*4/AVERAGE(BR41,BS41)</f>
        <v>0.27345796360588354</v>
      </c>
      <c r="BT51" s="699">
        <f>IS!BT31*4/AVERAGE(BS41,BT41)</f>
        <v>0.38074342318307142</v>
      </c>
      <c r="BU51" s="698">
        <f>IS!BU31/AVERAGE(BO41,BU41)</f>
        <v>0.28641793296701906</v>
      </c>
      <c r="BV51" s="97"/>
      <c r="BW51" s="699">
        <f>IS!BW31*4/AVERAGE(BU41,BW41)</f>
        <v>0.23673131240945466</v>
      </c>
      <c r="BX51" s="699">
        <f>IS!BX31*4/AVERAGE(BW41,BX41)</f>
        <v>0.28985588216409292</v>
      </c>
      <c r="BY51" s="699">
        <f>IS!BY31*4/AVERAGE(BX41,BY41)</f>
        <v>0.28039925763523776</v>
      </c>
      <c r="BZ51" s="699">
        <f>IS!BZ31*4/AVERAGE(BY41,BZ41)</f>
        <v>0.38605678214336664</v>
      </c>
      <c r="CA51" s="698">
        <f>IS!CA31/AVERAGE(BU41,CA41)</f>
        <v>0.29463833837719727</v>
      </c>
      <c r="CB51" s="97"/>
      <c r="CC51" s="699">
        <f>IS!CC31*4/AVERAGE(CA41,CC41)</f>
        <v>0.24058904244025925</v>
      </c>
      <c r="CD51" s="699">
        <f>IS!CD31*4/AVERAGE(CC41,CD41)</f>
        <v>0.3926343322230107</v>
      </c>
      <c r="CE51" s="699">
        <f>IS!CE31*4/AVERAGE(CD41,CE41)</f>
        <v>0.37463386522720876</v>
      </c>
      <c r="CF51" s="699">
        <f>IS!CF31*4/AVERAGE(CE41,CF41)</f>
        <v>0.46230108505970274</v>
      </c>
      <c r="CG51" s="698">
        <f>IS!CG31/AVERAGE(CA41,CG41)</f>
        <v>0.36149677423037968</v>
      </c>
      <c r="CH51" s="97"/>
      <c r="CI51" s="699">
        <f>IS!CI31*4/AVERAGE(CG41,CI41)</f>
        <v>0.32454948065834349</v>
      </c>
      <c r="CJ51" s="699">
        <f>IS!CJ31*4/AVERAGE(CI41,CJ41)</f>
        <v>0.26482163406187598</v>
      </c>
      <c r="CK51" s="699">
        <f>IS!CK31*4/AVERAGE(CJ41,CK41)</f>
        <v>0.25457967651320923</v>
      </c>
      <c r="CL51" s="699">
        <f>IS!CL31*4/AVERAGE(CK41,CL41)</f>
        <v>0.34363049746396895</v>
      </c>
      <c r="CM51" s="698">
        <f>IS!CM31/AVERAGE(CG41,CM41)</f>
        <v>0.29608084292826176</v>
      </c>
      <c r="CN51" s="97"/>
      <c r="CO51" s="97"/>
      <c r="CP51"/>
      <c r="CQ51"/>
      <c r="CR51"/>
      <c r="CS51"/>
      <c r="CT51"/>
      <c r="CU51"/>
      <c r="CV51" s="97"/>
    </row>
    <row r="52" spans="1:100" s="24" customFormat="1" hidden="1" outlineLevel="1">
      <c r="A52" s="700" t="s">
        <v>345</v>
      </c>
      <c r="B52" s="697"/>
      <c r="C52" s="697"/>
      <c r="D52" s="697"/>
      <c r="E52" s="697"/>
      <c r="F52" s="34"/>
      <c r="G52" s="701"/>
      <c r="H52" s="38"/>
      <c r="I52" s="702">
        <f>IS!I31*4/AVERAGE(G21,I21)</f>
        <v>0.14600600767286856</v>
      </c>
      <c r="J52" s="702">
        <f>IS!J31*4/AVERAGE(I21,J21)</f>
        <v>0.15239930809521665</v>
      </c>
      <c r="K52" s="702">
        <f>IS!K31*4/AVERAGE(J21,K21)</f>
        <v>0.15159951441170394</v>
      </c>
      <c r="L52" s="702">
        <f>IS!L31*4/AVERAGE(K21,L21)</f>
        <v>0.22666609421790956</v>
      </c>
      <c r="M52" s="701">
        <f>IS!M31/AVERAGE(G21,M21)</f>
        <v>0.18942948150274841</v>
      </c>
      <c r="N52" s="38"/>
      <c r="O52" s="702">
        <f>IS!O31*4/AVERAGE(M21,O21)</f>
        <v>0.17537763466308495</v>
      </c>
      <c r="P52" s="702">
        <f>IS!P31*4/AVERAGE(O21,P21)</f>
        <v>0.17402287849366377</v>
      </c>
      <c r="Q52" s="702">
        <f>IS!Q31*4/AVERAGE(P21,Q21)</f>
        <v>0.16896364546396628</v>
      </c>
      <c r="R52" s="702">
        <f>IS!R31*4/AVERAGE(Q21,R21)</f>
        <v>0.2278808021738282</v>
      </c>
      <c r="S52" s="701">
        <f>IS!S31/AVERAGE(M21,S21)</f>
        <v>0.18912215799745621</v>
      </c>
      <c r="T52" s="38"/>
      <c r="U52" s="702">
        <f>IS!U31*4/AVERAGE(S21,U21)</f>
        <v>0.15854681702253925</v>
      </c>
      <c r="V52" s="702">
        <f>IS!V31*4/AVERAGE(U21,V21)</f>
        <v>0.17421566536183797</v>
      </c>
      <c r="W52" s="702">
        <f>IS!W31*4/AVERAGE(V21,W21)</f>
        <v>0.17242249905411186</v>
      </c>
      <c r="X52" s="702">
        <f>IS!X31*4/AVERAGE(W21,X21)</f>
        <v>0.22758263487478039</v>
      </c>
      <c r="Y52" s="701">
        <f>IS!Y31/AVERAGE(S21,Y21)</f>
        <v>0.18177349566212686</v>
      </c>
      <c r="Z52" s="38"/>
      <c r="AA52" s="702">
        <f>IS!AA31*4/AVERAGE(Y21,AA21)</f>
        <v>0.1613912280055089</v>
      </c>
      <c r="AB52" s="702">
        <f>IS!AB31*4/AVERAGE(AA21,AB21)</f>
        <v>0.16228672620819459</v>
      </c>
      <c r="AC52" s="702">
        <f>IS!AC31*4/AVERAGE(AB21,AC21)</f>
        <v>0.16088509367124948</v>
      </c>
      <c r="AD52" s="702">
        <f>IS!AD31*4/AVERAGE(AC21,AD21)</f>
        <v>0.21109078402170184</v>
      </c>
      <c r="AE52" s="701">
        <f>IS!AE31/AVERAGE(Y21,AE21)</f>
        <v>0.17598988220722472</v>
      </c>
      <c r="AF52" s="38"/>
      <c r="AG52" s="702">
        <f>IS!AG31*4/AVERAGE(AE21,AG21)</f>
        <v>0.13025015055773778</v>
      </c>
      <c r="AH52" s="702">
        <f>IS!AH31*4/AVERAGE(AG21,AH21)</f>
        <v>0.1458039633952429</v>
      </c>
      <c r="AI52" s="702">
        <f>IS!AI31*4/AVERAGE(AH21,AI21)</f>
        <v>0.14219949475368224</v>
      </c>
      <c r="AJ52" s="702">
        <f>IS!AJ31*4/AVERAGE(AI21,AJ21)</f>
        <v>0.18089270739900301</v>
      </c>
      <c r="AK52" s="701">
        <f>IS!AK31/AVERAGE(AE21,AK21)</f>
        <v>0.14896567597698607</v>
      </c>
      <c r="AL52" s="38"/>
      <c r="AM52" s="702">
        <f>IS!AM31*4/AVERAGE(AK21,AM21)</f>
        <v>0.11722058948779755</v>
      </c>
      <c r="AN52" s="702">
        <f>IS!AN31*4/AVERAGE(AM21,AN21)</f>
        <v>0.11525916370109503</v>
      </c>
      <c r="AO52" s="702">
        <f>IS!AO31*4/AVERAGE(AN21,AO21)</f>
        <v>0.12254546668319716</v>
      </c>
      <c r="AP52" s="702">
        <f>IS!AP31*4/AVERAGE(AO21,AP21)</f>
        <v>0.16690078179803836</v>
      </c>
      <c r="AQ52" s="701">
        <f>IS!AQ31/AVERAGE(AK21,AQ21)</f>
        <v>0.12915961254249325</v>
      </c>
      <c r="AR52" s="38"/>
      <c r="AS52" s="702">
        <f>IS!AS31*4/AVERAGE(AQ21,AS21)</f>
        <v>8.6965755595265898E-2</v>
      </c>
      <c r="AT52" s="702">
        <f>IS!AT31*4/AVERAGE(AS21,AT21)</f>
        <v>0.11263794915866515</v>
      </c>
      <c r="AU52" s="702">
        <f>IS!AU31*4/AVERAGE(AT21,AU21)</f>
        <v>0.12492449064780409</v>
      </c>
      <c r="AV52" s="702">
        <f>IS!AV31*4/AVERAGE(AU21,AV21)</f>
        <v>0.17529703353120274</v>
      </c>
      <c r="AW52" s="701">
        <f>IS!AW31/AVERAGE(AQ21,AW21)</f>
        <v>0.1250479353903988</v>
      </c>
      <c r="AX52" s="38"/>
      <c r="AY52" s="702">
        <f>IS!AY31*4/AVERAGE(AW21,AY21)</f>
        <v>0.10439988336477155</v>
      </c>
      <c r="AZ52" s="702">
        <f>IS!AZ31*4/AVERAGE(AY21,AZ21)</f>
        <v>0.1109784511179424</v>
      </c>
      <c r="BA52" s="702">
        <f>IS!BA31*4/AVERAGE(AZ21,BA21)</f>
        <v>0.11508489233490476</v>
      </c>
      <c r="BB52" s="702">
        <f>IS!BB31*4/AVERAGE(BA21,BB21)</f>
        <v>0.15372635809085683</v>
      </c>
      <c r="BC52" s="701">
        <f>IS!BC31/AVERAGE(AW21,BC21)</f>
        <v>0.12010442133544851</v>
      </c>
      <c r="BD52" s="38"/>
      <c r="BE52" s="702">
        <f>IS!BE31*4/AVERAGE(BC21,BE21)</f>
        <v>9.5937141660970268E-2</v>
      </c>
      <c r="BF52" s="702">
        <f>IS!BF31*4/AVERAGE(BE21,BF21)</f>
        <v>0.11705458467041442</v>
      </c>
      <c r="BG52" s="702">
        <f>IS!BG31*4/AVERAGE(BF21,BG21)</f>
        <v>0.1130043640590348</v>
      </c>
      <c r="BH52" s="702">
        <f>IS!BH31*4/AVERAGE(BG21,BH21)</f>
        <v>0.15500558998688252</v>
      </c>
      <c r="BI52" s="701">
        <f>IS!BI31/AVERAGE(BC21,BI21)</f>
        <v>0.12072196513254892</v>
      </c>
      <c r="BJ52" s="38"/>
      <c r="BK52" s="702">
        <f>IS!BK31*4/AVERAGE(BI21,BK21)</f>
        <v>9.9329002459895038E-2</v>
      </c>
      <c r="BL52" s="702">
        <f>IS!BL31*4/AVERAGE(BK21,BL21)</f>
        <v>0.11601550168810479</v>
      </c>
      <c r="BM52" s="702">
        <f>IS!BM31*4/AVERAGE(BL21,BM21)</f>
        <v>0.11196754244453343</v>
      </c>
      <c r="BN52" s="702">
        <f>IS!BN31*4/AVERAGE(BM21,BN21)</f>
        <v>0.15381442327743949</v>
      </c>
      <c r="BO52" s="701">
        <f>IS!BO31/AVERAGE(BI21,BO21)</f>
        <v>0.12089926583248663</v>
      </c>
      <c r="BP52" s="38"/>
      <c r="BQ52" s="702">
        <f>IS!BQ31*4/AVERAGE(BO21,BQ21)</f>
        <v>9.5727308814978845E-2</v>
      </c>
      <c r="BR52" s="702">
        <f>IS!BR31*4/AVERAGE(BQ21,BR21)</f>
        <v>0.12122024725097054</v>
      </c>
      <c r="BS52" s="702">
        <f>IS!BS31*4/AVERAGE(BR21,BS21)</f>
        <v>0.11798968375033714</v>
      </c>
      <c r="BT52" s="702">
        <f>IS!BT31*4/AVERAGE(BS21,BT21)</f>
        <v>0.16473770874864926</v>
      </c>
      <c r="BU52" s="701">
        <f>IS!BU31/AVERAGE(BO21,BU21)</f>
        <v>0.12216680970758756</v>
      </c>
      <c r="BV52" s="97"/>
      <c r="BW52" s="702">
        <f>IS!BW31*4/AVERAGE(BU21,BW21)</f>
        <v>0.10417336533922106</v>
      </c>
      <c r="BX52" s="702">
        <f>IS!BX31*4/AVERAGE(BW21,BX21)</f>
        <v>0.12960117744530239</v>
      </c>
      <c r="BY52" s="702">
        <f>IS!BY31*4/AVERAGE(BX21,BY21)</f>
        <v>0.12568947874973135</v>
      </c>
      <c r="BZ52" s="702">
        <f>IS!BZ31*4/AVERAGE(BY21,BZ21)</f>
        <v>0.17380566933543856</v>
      </c>
      <c r="CA52" s="701">
        <f>IS!CA31/AVERAGE(BU21,CA21)</f>
        <v>0.13036249358603766</v>
      </c>
      <c r="CB52" s="97"/>
      <c r="CC52" s="702">
        <f>IS!CC31*4/AVERAGE(CA21,CC21)</f>
        <v>0.10922108656125937</v>
      </c>
      <c r="CD52" s="702">
        <f>IS!CD31*4/AVERAGE(CC21,CD21)</f>
        <v>0.18087276292274626</v>
      </c>
      <c r="CE52" s="702">
        <f>IS!CE31*4/AVERAGE(CD21,CE21)</f>
        <v>0.17574544196013447</v>
      </c>
      <c r="CF52" s="702">
        <f>IS!CF31*4/AVERAGE(CE21,CF21)</f>
        <v>0.22098026372523516</v>
      </c>
      <c r="CG52" s="701">
        <f>IS!CG31/AVERAGE(CA21,CG21)</f>
        <v>0.16892441882494214</v>
      </c>
      <c r="CH52" s="97"/>
      <c r="CI52" s="702">
        <f>IS!CI31*4/AVERAGE(CG21,CI21)</f>
        <v>0.15851631617151363</v>
      </c>
      <c r="CJ52" s="702">
        <f>IS!CJ31*4/AVERAGE(CI21,CJ21)</f>
        <v>0.13125648587928593</v>
      </c>
      <c r="CK52" s="702">
        <f>IS!CK31*4/AVERAGE(CJ21,CK21)</f>
        <v>0.1268907150011723</v>
      </c>
      <c r="CL52" s="702">
        <f>IS!CL31*4/AVERAGE(CK21,CL21)</f>
        <v>0.17232373039702381</v>
      </c>
      <c r="CM52" s="701">
        <f>IS!CM31/AVERAGE(CG21,CM21)</f>
        <v>0.14589563040387532</v>
      </c>
      <c r="CN52" s="97"/>
      <c r="CO52" s="97"/>
      <c r="CP52"/>
      <c r="CQ52"/>
      <c r="CR52"/>
      <c r="CS52"/>
      <c r="CT52"/>
      <c r="CU52"/>
      <c r="CV52" s="97"/>
    </row>
    <row r="53" spans="1:100" s="24" customFormat="1" hidden="1" outlineLevel="1">
      <c r="A53" s="703" t="s">
        <v>591</v>
      </c>
      <c r="B53" s="704" t="s">
        <v>6</v>
      </c>
      <c r="C53" s="704"/>
      <c r="D53" s="704"/>
      <c r="E53" s="704"/>
      <c r="F53" s="702"/>
      <c r="G53" s="705">
        <f>G186</f>
        <v>0.41666869176969773</v>
      </c>
      <c r="H53" s="706"/>
      <c r="I53" s="706">
        <f>I186</f>
        <v>0.44075957818713474</v>
      </c>
      <c r="J53" s="706">
        <f>J186</f>
        <v>0.50368654670044644</v>
      </c>
      <c r="K53" s="706">
        <f>K186</f>
        <v>0.54140877881721439</v>
      </c>
      <c r="L53" s="706">
        <f>L186</f>
        <v>0.64923835286975806</v>
      </c>
      <c r="M53" s="705">
        <f>M186</f>
        <v>0.53224919856033381</v>
      </c>
      <c r="N53" s="706"/>
      <c r="O53" s="706">
        <f>O186</f>
        <v>0.40658814672453308</v>
      </c>
      <c r="P53" s="706">
        <f>P186</f>
        <v>0.35989625605096121</v>
      </c>
      <c r="Q53" s="706">
        <f>Q186</f>
        <v>0.36022994993091118</v>
      </c>
      <c r="R53" s="706">
        <f>R186</f>
        <v>0.43342325734787895</v>
      </c>
      <c r="S53" s="705">
        <f>S186</f>
        <v>0.39067587230019224</v>
      </c>
      <c r="T53" s="706"/>
      <c r="U53" s="706">
        <f>U186</f>
        <v>0.30592362937936518</v>
      </c>
      <c r="V53" s="706">
        <f>V186</f>
        <v>0.33819493053733574</v>
      </c>
      <c r="W53" s="706">
        <f>W186</f>
        <v>0.29107322311298633</v>
      </c>
      <c r="X53" s="706">
        <f>X186</f>
        <v>0.37680315280175497</v>
      </c>
      <c r="Y53" s="705">
        <f>Y186</f>
        <v>0.32941170917044482</v>
      </c>
      <c r="Z53" s="706"/>
      <c r="AA53" s="706">
        <f>AA186</f>
        <v>0.26822506707755672</v>
      </c>
      <c r="AB53" s="706">
        <f>AB186</f>
        <v>0.2664752583505845</v>
      </c>
      <c r="AC53" s="706">
        <f>AC186</f>
        <v>0.2905180656500283</v>
      </c>
      <c r="AD53" s="706">
        <f>AD186</f>
        <v>0.33938530943528489</v>
      </c>
      <c r="AE53" s="705">
        <f>AE186</f>
        <v>0.28593049176670932</v>
      </c>
      <c r="AF53" s="706"/>
      <c r="AG53" s="706">
        <f>AG186</f>
        <v>0.21453907528137528</v>
      </c>
      <c r="AH53" s="706">
        <f>AH186</f>
        <v>0.2264152471861243</v>
      </c>
      <c r="AI53" s="706">
        <f>AI186</f>
        <v>0.21407479477557989</v>
      </c>
      <c r="AJ53" s="706">
        <f>AJ186</f>
        <v>0.28997792056630395</v>
      </c>
      <c r="AK53" s="705">
        <f>AK186</f>
        <v>0.23300597996563668</v>
      </c>
      <c r="AL53" s="706"/>
      <c r="AM53" s="706">
        <f>AM186</f>
        <v>0.19005112110269046</v>
      </c>
      <c r="AN53" s="706">
        <f>AN186</f>
        <v>0.18466069181604741</v>
      </c>
      <c r="AO53" s="706">
        <f>AO186</f>
        <v>0.18892051655828404</v>
      </c>
      <c r="AP53" s="706">
        <f>AP186</f>
        <v>0.24935747795201166</v>
      </c>
      <c r="AQ53" s="705">
        <f>AQ186</f>
        <v>0.20453269646415312</v>
      </c>
      <c r="AR53" s="706"/>
      <c r="AS53" s="706">
        <f>AS186</f>
        <v>0.13134062685936124</v>
      </c>
      <c r="AT53" s="706">
        <f>AT186</f>
        <v>0.16916312755513821</v>
      </c>
      <c r="AU53" s="706">
        <f>AU186</f>
        <v>0.18332632893709563</v>
      </c>
      <c r="AV53" s="706">
        <f>AV186</f>
        <v>0.25358175354354723</v>
      </c>
      <c r="AW53" s="705">
        <f>AW186</f>
        <v>0.18561078697475419</v>
      </c>
      <c r="AX53" s="706"/>
      <c r="AY53" s="706">
        <f>AY186</f>
        <v>0.15724475559110543</v>
      </c>
      <c r="AZ53" s="706">
        <f>AZ186</f>
        <v>0.15683729925910461</v>
      </c>
      <c r="BA53" s="706">
        <f>BA186</f>
        <v>0.16650187010135492</v>
      </c>
      <c r="BB53" s="706">
        <f>BB186</f>
        <v>0.21931101931501346</v>
      </c>
      <c r="BC53" s="705">
        <f>BC186</f>
        <v>0.17566643522522132</v>
      </c>
      <c r="BD53" s="706"/>
      <c r="BE53" s="706">
        <f>BE186</f>
        <v>0.13612588975911272</v>
      </c>
      <c r="BF53" s="706">
        <f>BF186</f>
        <v>0.16609238551774391</v>
      </c>
      <c r="BG53" s="706">
        <f>BG186</f>
        <v>0.15649775870368113</v>
      </c>
      <c r="BH53" s="706">
        <f>BH186</f>
        <v>0.21581354819072093</v>
      </c>
      <c r="BI53" s="705">
        <f>BI186</f>
        <v>0.1691981208904795</v>
      </c>
      <c r="BJ53" s="706"/>
      <c r="BK53" s="706">
        <f>BK186</f>
        <v>0.14139297512324209</v>
      </c>
      <c r="BL53" s="706">
        <f>BL186</f>
        <v>0.16163260216302214</v>
      </c>
      <c r="BM53" s="706">
        <f>BM186</f>
        <v>0.15603501195999603</v>
      </c>
      <c r="BN53" s="706">
        <f>BN186</f>
        <v>0.21539171310976599</v>
      </c>
      <c r="BO53" s="705">
        <f>BO186</f>
        <v>0.1693736044025953</v>
      </c>
      <c r="BP53" s="706"/>
      <c r="BQ53" s="706">
        <f>BQ186</f>
        <v>0.12976143127497877</v>
      </c>
      <c r="BR53" s="706">
        <f>BR186</f>
        <v>0.16236372518421427</v>
      </c>
      <c r="BS53" s="706">
        <f>BS186</f>
        <v>0.15928391802824488</v>
      </c>
      <c r="BT53" s="706">
        <f>BT186</f>
        <v>0.2249026615393476</v>
      </c>
      <c r="BU53" s="705">
        <f>BU186</f>
        <v>0.16901343425871285</v>
      </c>
      <c r="BV53" s="103"/>
      <c r="BW53" s="706">
        <f>BW186</f>
        <v>0.13746514620974434</v>
      </c>
      <c r="BX53" s="706">
        <f>BX186</f>
        <v>0.16884437448859826</v>
      </c>
      <c r="BY53" s="706">
        <f>BY186</f>
        <v>0.16472126650556634</v>
      </c>
      <c r="BZ53" s="706">
        <f>BZ186</f>
        <v>0.22993701035865116</v>
      </c>
      <c r="CA53" s="705">
        <f>CA186</f>
        <v>0.17529860088964672</v>
      </c>
      <c r="CB53" s="103"/>
      <c r="CC53" s="706">
        <f>CC186</f>
        <v>0.14230432731515597</v>
      </c>
      <c r="CD53" s="706">
        <f>CD186</f>
        <v>0.17364662445385096</v>
      </c>
      <c r="CE53" s="706">
        <f>CE186</f>
        <v>0.16925135552938519</v>
      </c>
      <c r="CF53" s="706">
        <f>CF186</f>
        <v>0.23463513816999784</v>
      </c>
      <c r="CG53" s="705">
        <f>CG186</f>
        <v>0.17999885787856887</v>
      </c>
      <c r="CH53" s="103"/>
      <c r="CI53" s="706">
        <f>CI186</f>
        <v>0.14768416854836472</v>
      </c>
      <c r="CJ53" s="706">
        <f>CJ186</f>
        <v>0.17958996608901531</v>
      </c>
      <c r="CK53" s="706">
        <f>CK186</f>
        <v>0.17539427998710469</v>
      </c>
      <c r="CL53" s="706">
        <f>CL186</f>
        <v>0.24236308007031862</v>
      </c>
      <c r="CM53" s="705">
        <f>CM186</f>
        <v>0.18616948426729799</v>
      </c>
      <c r="CN53" s="103"/>
      <c r="CO53" s="103"/>
      <c r="CP53"/>
      <c r="CQ53"/>
      <c r="CR53"/>
      <c r="CS53"/>
      <c r="CT53"/>
      <c r="CU53"/>
      <c r="CV53" s="97"/>
    </row>
    <row r="54" spans="1:100" s="24" customFormat="1" hidden="1" outlineLevel="1">
      <c r="A54" s="606"/>
      <c r="B54" s="606"/>
      <c r="C54" s="606"/>
      <c r="D54" s="606"/>
      <c r="E54" s="606"/>
      <c r="F54" s="34"/>
      <c r="G54" s="693"/>
      <c r="H54" s="693"/>
      <c r="I54" s="693"/>
      <c r="J54" s="693"/>
      <c r="K54" s="693"/>
      <c r="L54" s="693"/>
      <c r="M54" s="693"/>
      <c r="N54" s="693"/>
      <c r="O54" s="693"/>
      <c r="P54" s="693"/>
      <c r="Q54" s="693"/>
      <c r="R54" s="693"/>
      <c r="S54" s="694"/>
      <c r="T54" s="693"/>
      <c r="U54" s="693"/>
      <c r="V54" s="693"/>
      <c r="W54" s="693"/>
      <c r="X54" s="693"/>
      <c r="Y54" s="694"/>
      <c r="Z54" s="693"/>
      <c r="AA54" s="693"/>
      <c r="AB54" s="693"/>
      <c r="AC54" s="693"/>
      <c r="AD54" s="693"/>
      <c r="AE54" s="695"/>
      <c r="AF54" s="693"/>
      <c r="AG54" s="693"/>
      <c r="AH54" s="693"/>
      <c r="AI54" s="693"/>
      <c r="AJ54" s="693"/>
      <c r="AK54" s="695"/>
      <c r="AL54" s="693"/>
      <c r="AM54" s="693"/>
      <c r="AN54" s="693"/>
      <c r="AO54" s="693"/>
      <c r="AP54" s="693"/>
      <c r="AQ54" s="694"/>
      <c r="AR54" s="693"/>
      <c r="AS54" s="693"/>
      <c r="AT54" s="693"/>
      <c r="AU54" s="693"/>
      <c r="AV54" s="693"/>
      <c r="AW54" s="694"/>
      <c r="AX54" s="693"/>
      <c r="AY54" s="693"/>
      <c r="AZ54" s="693"/>
      <c r="BA54" s="693"/>
      <c r="BB54" s="693"/>
      <c r="BC54" s="694"/>
      <c r="BD54" s="693"/>
      <c r="BE54" s="693"/>
      <c r="BF54" s="693"/>
      <c r="BG54" s="693"/>
      <c r="BH54" s="693"/>
      <c r="BI54" s="694"/>
      <c r="BJ54" s="693"/>
      <c r="BK54" s="693"/>
      <c r="BL54" s="693"/>
      <c r="BM54" s="693"/>
      <c r="BN54" s="693"/>
      <c r="BO54" s="694"/>
      <c r="BP54" s="693"/>
      <c r="BQ54" s="693"/>
      <c r="BR54" s="693"/>
      <c r="BS54" s="693"/>
      <c r="BT54" s="693"/>
      <c r="BU54" s="694"/>
      <c r="BV54" s="97"/>
      <c r="BW54" s="693"/>
      <c r="BX54" s="693"/>
      <c r="BY54" s="693"/>
      <c r="BZ54" s="693"/>
      <c r="CA54" s="694"/>
      <c r="CB54" s="97"/>
      <c r="CC54" s="693"/>
      <c r="CD54" s="693"/>
      <c r="CE54" s="693"/>
      <c r="CF54" s="693"/>
      <c r="CG54" s="694"/>
      <c r="CH54" s="97"/>
      <c r="CI54" s="693"/>
      <c r="CJ54" s="693"/>
      <c r="CK54" s="693"/>
      <c r="CL54" s="693"/>
      <c r="CM54" s="694"/>
      <c r="CN54" s="97"/>
      <c r="CO54" s="97"/>
      <c r="CP54"/>
      <c r="CQ54"/>
      <c r="CR54"/>
      <c r="CS54"/>
      <c r="CT54"/>
      <c r="CU54"/>
      <c r="CV54" s="97"/>
    </row>
    <row r="55" spans="1:100" s="24" customFormat="1" collapsed="1">
      <c r="A55" s="594" t="s">
        <v>347</v>
      </c>
      <c r="B55" s="594"/>
      <c r="C55" s="594"/>
      <c r="D55" s="594"/>
      <c r="E55" s="594"/>
      <c r="F55" s="34"/>
      <c r="G55" s="693"/>
      <c r="H55" s="693"/>
      <c r="I55" s="693"/>
      <c r="J55" s="693"/>
      <c r="K55" s="693"/>
      <c r="L55" s="693"/>
      <c r="M55" s="693"/>
      <c r="N55" s="693"/>
      <c r="O55" s="693"/>
      <c r="P55" s="693"/>
      <c r="Q55" s="693"/>
      <c r="R55" s="693"/>
      <c r="S55" s="694"/>
      <c r="T55" s="693"/>
      <c r="U55" s="693"/>
      <c r="V55" s="693"/>
      <c r="W55" s="693"/>
      <c r="X55" s="693"/>
      <c r="Y55" s="694"/>
      <c r="Z55" s="693"/>
      <c r="AA55" s="693"/>
      <c r="AB55" s="693"/>
      <c r="AC55" s="693"/>
      <c r="AD55" s="693"/>
      <c r="AE55" s="695"/>
      <c r="AF55" s="693"/>
      <c r="AG55" s="693"/>
      <c r="AH55" s="693"/>
      <c r="AI55" s="693"/>
      <c r="AJ55" s="693"/>
      <c r="AK55" s="695"/>
      <c r="AL55" s="693"/>
      <c r="AM55" s="693"/>
      <c r="AN55" s="693"/>
      <c r="AO55" s="693"/>
      <c r="AP55" s="693"/>
      <c r="AQ55" s="694"/>
      <c r="AR55" s="693"/>
      <c r="AS55" s="693"/>
      <c r="AT55" s="693"/>
      <c r="AU55" s="693"/>
      <c r="AV55" s="693"/>
      <c r="AW55" s="694"/>
      <c r="AX55" s="693"/>
      <c r="AY55" s="693"/>
      <c r="AZ55" s="693"/>
      <c r="BA55" s="693"/>
      <c r="BB55" s="693"/>
      <c r="BC55" s="694"/>
      <c r="BD55" s="693"/>
      <c r="BE55" s="693"/>
      <c r="BF55" s="693"/>
      <c r="BG55" s="693"/>
      <c r="BH55" s="693"/>
      <c r="BI55" s="694"/>
      <c r="BJ55" s="693"/>
      <c r="BK55" s="693"/>
      <c r="BL55" s="693"/>
      <c r="BM55" s="693"/>
      <c r="BN55" s="693"/>
      <c r="BO55" s="694"/>
      <c r="BP55" s="693"/>
      <c r="BQ55" s="693"/>
      <c r="BR55" s="693"/>
      <c r="BS55" s="693"/>
      <c r="BT55" s="693"/>
      <c r="BU55" s="694"/>
      <c r="BV55" s="97"/>
      <c r="BW55" s="693"/>
      <c r="BX55" s="693"/>
      <c r="BY55" s="693"/>
      <c r="BZ55" s="693"/>
      <c r="CA55" s="694"/>
      <c r="CB55" s="97"/>
      <c r="CC55" s="693"/>
      <c r="CD55" s="693"/>
      <c r="CE55" s="693"/>
      <c r="CF55" s="693"/>
      <c r="CG55" s="694"/>
      <c r="CH55" s="97"/>
      <c r="CI55" s="693"/>
      <c r="CJ55" s="693"/>
      <c r="CK55" s="693"/>
      <c r="CL55" s="693"/>
      <c r="CM55" s="694"/>
      <c r="CN55" s="97"/>
      <c r="CO55" s="97"/>
      <c r="CP55"/>
      <c r="CQ55"/>
      <c r="CR55"/>
      <c r="CS55"/>
      <c r="CT55"/>
      <c r="CU55"/>
      <c r="CV55" s="97"/>
    </row>
    <row r="56" spans="1:100" s="24" customFormat="1">
      <c r="A56" s="98" t="s">
        <v>348</v>
      </c>
      <c r="B56" s="127"/>
      <c r="C56" s="127"/>
      <c r="D56" s="127"/>
      <c r="E56" s="127"/>
      <c r="F56" s="34"/>
      <c r="G56" s="35"/>
      <c r="H56" s="36"/>
      <c r="I56" s="36">
        <f>IF(IS!I27&lt;0,"NM",IS!I27/Debt!I79)</f>
        <v>10.011071428571434</v>
      </c>
      <c r="J56" s="36">
        <f>IF(IS!J27&lt;0,"NM",IS!J27/Debt!J79)</f>
        <v>13.346181299072093</v>
      </c>
      <c r="K56" s="36">
        <f>IF(IS!K27&lt;0,"NM",IS!K27/Debt!K79)</f>
        <v>11.630179754020809</v>
      </c>
      <c r="L56" s="36">
        <f>IF(IS!L27&lt;0,"NM",IS!L27/Debt!L79)</f>
        <v>21.080501152073715</v>
      </c>
      <c r="M56" s="35">
        <f>IF(IS!M27&lt;0,"NM",IS!M27/Debt!M79)</f>
        <v>13.299862412709953</v>
      </c>
      <c r="N56" s="36"/>
      <c r="O56" s="36">
        <f>IF(IS!O27&lt;0,"NM",IS!O27/Debt!O79)</f>
        <v>35.835782747603837</v>
      </c>
      <c r="P56" s="36">
        <f>IF(IS!P27&lt;0,"NM",IS!P27/Debt!P79)</f>
        <v>44.141940354850881</v>
      </c>
      <c r="Q56" s="36">
        <f>IF(IS!Q27&lt;0,"NM",IS!Q27/Debt!Q79)</f>
        <v>41.812500000000007</v>
      </c>
      <c r="R56" s="36">
        <f>IF(IS!R27&lt;0,"NM",IS!R27/Debt!R79)</f>
        <v>65.14682031583439</v>
      </c>
      <c r="S56" s="35">
        <f>IF(IS!S27&lt;0,"NM",IS!S27/Debt!S79)</f>
        <v>45.647915528854917</v>
      </c>
      <c r="T56" s="36"/>
      <c r="U56" s="36">
        <f>IF(IS!U27&lt;0,"NM",IS!U27/Debt!U79)</f>
        <v>30.429308122045551</v>
      </c>
      <c r="V56" s="36">
        <f>IF(IS!V27&lt;0,"NM",IS!V27/Debt!V79)</f>
        <v>29.894498014747583</v>
      </c>
      <c r="W56" s="36">
        <f>IF(IS!W27&lt;0,"NM",IS!W27/Debt!W79)</f>
        <v>29.903999999999996</v>
      </c>
      <c r="X56" s="36">
        <f>IF(IS!X27&lt;0,"NM",IS!X27/Debt!X79)</f>
        <v>39.456966983771686</v>
      </c>
      <c r="Y56" s="35">
        <f>IF(IS!Y27&lt;0,"NM",IS!Y27/Debt!Y79)</f>
        <v>32.502670997139951</v>
      </c>
      <c r="Z56" s="36"/>
      <c r="AA56" s="36">
        <f>IF(IS!AA27&lt;0,"NM",IS!AA27/Debt!AA79)</f>
        <v>24.025625795502762</v>
      </c>
      <c r="AB56" s="36">
        <f>IF(IS!AB27&lt;0,"NM",IS!AB27/Debt!AB79)</f>
        <v>24.964616037335603</v>
      </c>
      <c r="AC56" s="36">
        <f>IF(IS!AC27&lt;0,"NM",IS!AC27/Debt!AC79)</f>
        <v>26.493848112006791</v>
      </c>
      <c r="AD56" s="36">
        <f>IF(IS!AD27&lt;0,"NM",IS!AD27/Debt!AD79)</f>
        <v>32.246638947815015</v>
      </c>
      <c r="AE56" s="35">
        <f>IF(IS!AE27&lt;0,"NM",IS!AE27/Debt!AE79)</f>
        <v>26.932682223165045</v>
      </c>
      <c r="AF56" s="36"/>
      <c r="AG56" s="36">
        <f>IF(IS!AG27&lt;0,"NM",IS!AG27/Debt!AG79)</f>
        <v>22.918795078489612</v>
      </c>
      <c r="AH56" s="36">
        <f>IF(IS!AH27&lt;0,"NM",IS!AH27/Debt!AH79)</f>
        <v>26.02868052609249</v>
      </c>
      <c r="AI56" s="36">
        <f>IF(IS!AI27&lt;0,"NM",IS!AI27/Debt!AI79)</f>
        <v>26.822231650403058</v>
      </c>
      <c r="AJ56" s="36">
        <f>IF(IS!AJ27&lt;0,"NM",IS!AJ27/Debt!AJ79)</f>
        <v>32.773016546457349</v>
      </c>
      <c r="AK56" s="35">
        <f>IF(IS!AK27&lt;0,"NM",IS!AK27/Debt!AK79)</f>
        <v>27.13568095036063</v>
      </c>
      <c r="AL56" s="36"/>
      <c r="AM56" s="36">
        <f>IF(ISERROR(IF(IS!AM27&lt;0,"NM",IS!AM27/Debt!AM79)),"NM",IF(IS!AM27&lt;0,"NM",IS!AM27/Debt!AM79))</f>
        <v>23.515316079762417</v>
      </c>
      <c r="AN56" s="36">
        <f>IF(IS!AN27&lt;0,"NM",IS!AN27/Debt!AN79)</f>
        <v>24.655579126007638</v>
      </c>
      <c r="AO56" s="36">
        <f>IF(ISERROR(IF(IS!AO27&lt;0,"NM",IS!AO27/Debt!AO79)),"NM",IF(IS!AO27&lt;0,"NM",IS!AO27/Debt!AO79))</f>
        <v>26.08128977513789</v>
      </c>
      <c r="AP56" s="36">
        <f>IF(ISERROR(IF(IS!AP27&lt;0,"NM",IS!AP27/Debt!AP79)),"NM",IF(IS!AP27&lt;0,"NM",IS!AP27/Debt!AP79))</f>
        <v>35.753585065761548</v>
      </c>
      <c r="AQ56" s="35">
        <f>IF(IS!AQ27&lt;0,"NM",IS!AQ27/Debt!AQ79)</f>
        <v>27.501442511667378</v>
      </c>
      <c r="AR56" s="36"/>
      <c r="AS56" s="36">
        <f>IF(ISERROR(IF(IS!AS27&lt;0,"NM",IS!AS27/Debt!AS79)),"NM",IF(IS!AS27&lt;0,"NM",IS!AS27/Debt!AS79))</f>
        <v>21.755960967331347</v>
      </c>
      <c r="AT56" s="36">
        <f>IF(ISERROR(IF(IS!AT27&lt;0,"NM",IS!AT27/Debt!AT79)),"NM",IF(IS!AT27&lt;0,"NM",IS!AT27/Debt!AT79))</f>
        <v>27.185065761561304</v>
      </c>
      <c r="AU56" s="36">
        <f>IF(ISERROR(IF(IS!AU27&lt;0,"NM",IS!AU27/Debt!AU79)),"NM",IF(IS!AU27&lt;0,"NM",IS!AU27/Debt!AU79))</f>
        <v>30.405091217649559</v>
      </c>
      <c r="AV56" s="36">
        <f>IF(ISERROR(IF(IS!AV27&lt;0,"NM",IS!AV27/Debt!AV79)),"NM",IF(IS!AV27&lt;0,"NM",IS!AV27/Debt!AV79))</f>
        <v>37.569282986847682</v>
      </c>
      <c r="AW56" s="35">
        <f>IF(IS!AW27&lt;0,"NM",IS!AW27/Debt!AW79)</f>
        <v>29.228850233347476</v>
      </c>
      <c r="AX56" s="36"/>
      <c r="AY56" s="36">
        <f>IF(ISERROR(IF(IS!AY27&lt;0,"NM",IS!AY27/Debt!AY79)),"NM",IF(IS!AY27&lt;0,"NM",IS!AY27/Debt!AY79))</f>
        <v>26.25914297836233</v>
      </c>
      <c r="AZ56" s="36">
        <f>IF(ISERROR(IF(IS!AZ27&lt;0,"NM",IS!AZ27/Debt!AZ79)),"NM",IF(IS!AZ27&lt;0,"NM",IS!AZ27/Debt!AZ79))</f>
        <v>28.099787865931269</v>
      </c>
      <c r="BA56" s="36">
        <f>IF(ISERROR(IF(IS!BA27&lt;0,"NM",IS!BA27/Debt!BA79)),"NM",IF(IS!BA27&lt;0,"NM",IS!BA27/Debt!BA79))</f>
        <v>28.258596521001262</v>
      </c>
      <c r="BB56" s="36">
        <f>IF(ISERROR(IF(IS!BB27&lt;0,"NM",IS!BB27/Debt!BB79)),"NM",IF(IS!BB27&lt;0,"NM",IS!BB27/Debt!BB79))</f>
        <v>37.648274925753078</v>
      </c>
      <c r="BC56" s="35">
        <f>IF(IS!BC27&lt;0,"NM",IS!BC27/Debt!BC79)</f>
        <v>30.06645057276198</v>
      </c>
      <c r="BD56" s="36"/>
      <c r="BE56" s="36">
        <f>IF(ISERROR(IF(IS!BE27&lt;0,"NM",IS!BE27/Debt!BE79)),"NM",IF(IS!BE27&lt;0,"NM",IS!BE27/Debt!BE79))</f>
        <v>26.113344081459474</v>
      </c>
      <c r="BF56" s="36">
        <f>IF(ISERROR(IF(IS!BF27&lt;0,"NM",IS!BF27/Debt!BF79)),"NM",IF(IS!BF27&lt;0,"NM",IS!BF27/Debt!BF79))</f>
        <v>31.472782350445467</v>
      </c>
      <c r="BG56" s="36">
        <f>IF(ISERROR(IF(IS!BG27&lt;0,"NM",IS!BG27/Debt!BG79)),"NM",IF(IS!BG27&lt;0,"NM",IS!BG27/Debt!BG79))</f>
        <v>31.235884599066619</v>
      </c>
      <c r="BH56" s="36">
        <f>IF(ISERROR(IF(IS!BH27&lt;0,"NM",IS!BH27/Debt!BH79)),"NM",IF(IS!BH27&lt;0,"NM",IS!BH27/Debt!BH79))</f>
        <v>41.321444208739919</v>
      </c>
      <c r="BI56" s="35">
        <f>IF(IS!BI27&lt;0,"NM",IS!BI27/Debt!BI79)</f>
        <v>32.535863809927868</v>
      </c>
      <c r="BJ56" s="36"/>
      <c r="BK56" s="36">
        <f>IF(ISERROR(IF(IS!BK27&lt;0,"NM",IS!BK27/Debt!BK79)),"NM",IF(IS!BK27&lt;0,"NM",IS!BK27/Debt!BK79))</f>
        <v>28.085260924904546</v>
      </c>
      <c r="BL56" s="36">
        <f>IF(ISERROR(IF(IS!BL27&lt;0,"NM",IS!BL27/Debt!BL79)),"NM",IF(IS!BL27&lt;0,"NM",IS!BL27/Debt!BL79))</f>
        <v>34.736902842596521</v>
      </c>
      <c r="BM56" s="36">
        <f>IF(ISERROR(IF(IS!BM27&lt;0,"NM",IS!BM27/Debt!BM79)),"NM",IF(IS!BM27&lt;0,"NM",IS!BM27/Debt!BM79))</f>
        <v>34.123809927874404</v>
      </c>
      <c r="BN56" s="36">
        <f>IF(ISERROR(IF(IS!BN27&lt;0,"NM",IS!BN27/Debt!BN79)),"NM",IF(IS!BN27&lt;0,"NM",IS!BN27/Debt!BN79))</f>
        <v>46.252575307594377</v>
      </c>
      <c r="BO56" s="35">
        <f>IF(IS!BO27&lt;0,"NM",IS!BO27/Debt!BO79)</f>
        <v>35.799637250742478</v>
      </c>
      <c r="BP56" s="36"/>
      <c r="BQ56" s="36">
        <f>IF(ISERROR(IF(IS!BQ27&lt;0,"NM",IS!BQ27/Debt!BQ79)),"NM",IF(IS!BQ27&lt;0,"NM",IS!BQ27/Debt!BQ79))</f>
        <v>30.424627194074429</v>
      </c>
      <c r="BR56" s="36">
        <f>IF(ISERROR(IF(IS!BR27&lt;0,"NM",IS!BR27/Debt!BR79)),"NM",IF(IS!BR27&lt;0,"NM",IS!BR27/Debt!BR79))</f>
        <v>36.618726870658925</v>
      </c>
      <c r="BS56" s="36">
        <f>IF(ISERROR(IF(IS!BS27&lt;0,"NM",IS!BS27/Debt!BS79)),"NM",IF(IS!BS27&lt;0,"NM",IS!BS27/Debt!BS79))</f>
        <v>35.952397885915929</v>
      </c>
      <c r="BT56" s="36">
        <f>IF(ISERROR(IF(IS!BT27&lt;0,"NM",IS!BT27/Debt!BT79)),"NM",IF(IS!BT27&lt;0,"NM",IS!BT27/Debt!BT79))</f>
        <v>48.722339593477017</v>
      </c>
      <c r="BU56" s="35">
        <f>IF(IS!BU27&lt;0,"NM",IS!BU27/Debt!BU79)</f>
        <v>37.929522886031585</v>
      </c>
      <c r="BV56" s="97"/>
      <c r="BW56" s="36">
        <f>IF(ISERROR(IF(IS!BW27&lt;0,"NM",IS!BW27/Debt!BW79)),"NM",IF(IS!BW27&lt;0,"NM",IS!BW27/Debt!BW79))</f>
        <v>32.508145617454161</v>
      </c>
      <c r="BX56" s="36">
        <f>IF(ISERROR(IF(IS!BX27&lt;0,"NM",IS!BX27/Debt!BX79)),"NM",IF(IS!BX27&lt;0,"NM",IS!BX27/Debt!BX79))</f>
        <v>38.926705695645374</v>
      </c>
      <c r="BY56" s="36">
        <f>IF(ISERROR(IF(IS!BY27&lt;0,"NM",IS!BY27/Debt!BY79)),"NM",IF(IS!BY27&lt;0,"NM",IS!BY27/Debt!BY79))</f>
        <v>38.157059536842851</v>
      </c>
      <c r="BZ56" s="36">
        <f>IF(ISERROR(IF(IS!BZ27&lt;0,"NM",IS!BZ27/Debt!BZ79)),"NM",IF(IS!BZ27&lt;0,"NM",IS!BZ27/Debt!BZ79))</f>
        <v>51.430166442128296</v>
      </c>
      <c r="CA56" s="35">
        <f>IF(IS!CA27&lt;0,"NM",IS!CA27/Debt!CA79)</f>
        <v>40.255519323017673</v>
      </c>
      <c r="CB56" s="97"/>
      <c r="CC56" s="36">
        <f>IF(ISERROR(IF(IS!CC27&lt;0,"NM",IS!CC27/Debt!CC79)),"NM",IF(IS!CC27&lt;0,"NM",IS!CC27/Debt!CC79))</f>
        <v>34.545146529593346</v>
      </c>
      <c r="CD56" s="36">
        <f>IF(ISERROR(IF(IS!CD27&lt;0,"NM",IS!CD27/Debt!CD79)),"NM",IF(IS!CD27&lt;0,"NM",IS!CD27/Debt!CD79))</f>
        <v>41.095616140652901</v>
      </c>
      <c r="CE56" s="36">
        <f>IF(ISERROR(IF(IS!CE27&lt;0,"NM",IS!CE27/Debt!CE79)),"NM",IF(IS!CE27&lt;0,"NM",IS!CE27/Debt!CE79))</f>
        <v>40.236838352376566</v>
      </c>
      <c r="CF56" s="36">
        <f>IF(ISERROR(IF(IS!CF27&lt;0,"NM",IS!CF27/Debt!CF79)),"NM",IF(IS!CF27&lt;0,"NM",IS!CF27/Debt!CF79))</f>
        <v>53.885378483917648</v>
      </c>
      <c r="CG56" s="35">
        <f>IF(IS!CG27&lt;0,"NM",IS!CG27/Debt!CG79)</f>
        <v>42.440744876635122</v>
      </c>
      <c r="CH56" s="97"/>
      <c r="CI56" s="36">
        <f>IF(ISERROR(IF(IS!CI27&lt;0,"NM",IS!CI27/Debt!CI79)),"NM",IF(IS!CI27&lt;0,"NM",IS!CI27/Debt!CI79))</f>
        <v>36.616039374667501</v>
      </c>
      <c r="CJ56" s="36">
        <f>IF(ISERROR(IF(IS!CJ27&lt;0,"NM",IS!CJ27/Debt!CJ79)),"NM",IF(IS!CJ27&lt;0,"NM",IS!CJ27/Debt!CJ79))</f>
        <v>43.267150816868735</v>
      </c>
      <c r="CK56" s="36">
        <f>IF(ISERROR(IF(IS!CK27&lt;0,"NM",IS!CK27/Debt!CK79)),"NM",IF(IS!CK27&lt;0,"NM",IS!CK27/Debt!CK79))</f>
        <v>42.287083215259237</v>
      </c>
      <c r="CL56" s="36">
        <f>IF(ISERROR(IF(IS!CL27&lt;0,"NM",IS!CL27/Debt!CL79)),"NM",IF(IS!CL27&lt;0,"NM",IS!CL27/Debt!CL79))</f>
        <v>56.293974484840852</v>
      </c>
      <c r="CM56" s="35">
        <f>IF(IS!CM27&lt;0,"NM",IS!CM27/Debt!CM79)</f>
        <v>44.616061972909087</v>
      </c>
      <c r="CN56" s="97"/>
      <c r="CO56" s="97"/>
      <c r="CP56"/>
      <c r="CQ56"/>
      <c r="CR56"/>
      <c r="CS56"/>
      <c r="CT56"/>
      <c r="CU56"/>
      <c r="CV56" s="97"/>
    </row>
    <row r="57" spans="1:100" s="24" customFormat="1">
      <c r="A57" s="99" t="s">
        <v>349</v>
      </c>
      <c r="B57" s="128"/>
      <c r="C57" s="128"/>
      <c r="D57" s="128"/>
      <c r="E57" s="128"/>
      <c r="F57" s="34"/>
      <c r="G57" s="37"/>
      <c r="H57" s="38"/>
      <c r="I57" s="38">
        <f>IF(IS!I22&lt;0,"NM",IS!I22/Debt!I79)</f>
        <v>8.1182142857142914</v>
      </c>
      <c r="J57" s="38">
        <f>IF(IS!J22&lt;0,"NM",IS!J22/Debt!J79)</f>
        <v>9.9714489650249831</v>
      </c>
      <c r="K57" s="38">
        <f>IF(IS!K22&lt;0,"NM",IS!K22/Debt!K79)</f>
        <v>9.6103122043519349</v>
      </c>
      <c r="L57" s="38">
        <f>IF(IS!L22&lt;0,"NM",IS!L22/Debt!L79)</f>
        <v>18.141705069124406</v>
      </c>
      <c r="M57" s="37">
        <f>IF(IS!M22&lt;0,"NM",IS!M22/Debt!M79)</f>
        <v>10.806339399288701</v>
      </c>
      <c r="N57" s="38"/>
      <c r="O57" s="38">
        <f>IF(IS!O22&lt;0,"NM",IS!O22/Debt!O79)</f>
        <v>28.884025559105435</v>
      </c>
      <c r="P57" s="38">
        <f>IF(IS!P22&lt;0,"NM",IS!P22/Debt!P79)</f>
        <v>35.967534918837295</v>
      </c>
      <c r="Q57" s="38">
        <f>IF(IS!Q22&lt;0,"NM",IS!Q22/Debt!Q79)</f>
        <v>34.509427374301687</v>
      </c>
      <c r="R57" s="38">
        <f>IF(IS!R22&lt;0,"NM",IS!R22/Debt!R79)</f>
        <v>56.099445155783172</v>
      </c>
      <c r="S57" s="37">
        <f>IF(IS!S22&lt;0,"NM",IS!S22/Debt!S79)</f>
        <v>37.862825414163488</v>
      </c>
      <c r="T57" s="38"/>
      <c r="U57" s="38">
        <f>IF(IS!U22&lt;0,"NM",IS!U22/Debt!U79)</f>
        <v>25.010485603781696</v>
      </c>
      <c r="V57" s="38">
        <f>IF(IS!V22&lt;0,"NM",IS!V22/Debt!V79)</f>
        <v>24.997390811117409</v>
      </c>
      <c r="W57" s="38">
        <f>IF(IS!W22&lt;0,"NM",IS!W22/Debt!W79)</f>
        <v>25.064338028169015</v>
      </c>
      <c r="X57" s="38">
        <f>IF(IS!X22&lt;0,"NM",IS!X22/Debt!X79)</f>
        <v>34.233911583659761</v>
      </c>
      <c r="Y57" s="37">
        <f>IF(IS!Y22&lt;0,"NM",IS!Y22/Debt!Y79)</f>
        <v>27.41798439090601</v>
      </c>
      <c r="Z57" s="38"/>
      <c r="AA57" s="38">
        <f>IF(IS!AA22&lt;0,"NM",IS!AA22/Debt!AA79)</f>
        <v>20.092660161221893</v>
      </c>
      <c r="AB57" s="38">
        <f>IF(IS!AB22&lt;0,"NM",IS!AB22/Debt!AB79)</f>
        <v>20.886041578277482</v>
      </c>
      <c r="AC57" s="38">
        <f>IF(IS!AC22&lt;0,"NM",IS!AC22/Debt!AC79)</f>
        <v>22.508782350445482</v>
      </c>
      <c r="AD57" s="38">
        <f>IF(IS!AD22&lt;0,"NM",IS!AD22/Debt!AD79)</f>
        <v>28.72006788290199</v>
      </c>
      <c r="AE57" s="37">
        <f>IF(IS!AE22&lt;0,"NM",IS!AE22/Debt!AE79)</f>
        <v>23.051887993211714</v>
      </c>
      <c r="AF57" s="38"/>
      <c r="AG57" s="38">
        <f>IF(IS!AG22&lt;0,"NM",IS!AG22/Debt!AG79)</f>
        <v>19.213067458633859</v>
      </c>
      <c r="AH57" s="38">
        <f>IF(IS!AH22&lt;0,"NM",IS!AH22/Debt!AH79)</f>
        <v>22.100296987696222</v>
      </c>
      <c r="AI57" s="38">
        <f>IF(IS!AI22&lt;0,"NM",IS!AI22/Debt!AI79)</f>
        <v>22.082647433177769</v>
      </c>
      <c r="AJ57" s="38">
        <f>IF(IS!AJ22&lt;0,"NM",IS!AJ22/Debt!AJ79)</f>
        <v>28.513025031820096</v>
      </c>
      <c r="AK57" s="37">
        <f>IF(IS!AK22&lt;0,"NM",IS!AK22/Debt!AK79)</f>
        <v>22.977259227831993</v>
      </c>
      <c r="AL57" s="38"/>
      <c r="AM57" s="38">
        <f>IF(ISERROR(IF(IS!AM22&lt;0,"NM",IS!AM22/Debt!AM79)),"NM",IF(IS!AM22&lt;0,"NM",IS!AM22/Debt!AM79))</f>
        <v>19.155027577428942</v>
      </c>
      <c r="AN57" s="38">
        <f>IF(IS!AN22&lt;0,"NM",IS!AN22/Debt!AN79)</f>
        <v>20.022910479422997</v>
      </c>
      <c r="AO57" s="38">
        <f>IF(ISERROR(IF(IS!AO22&lt;0,"NM",IS!AO22/Debt!AO79)),"NM",IF(IS!AO22&lt;0,"NM",IS!AO22/Debt!AO79))</f>
        <v>21.117522274077221</v>
      </c>
      <c r="AP57" s="38">
        <f>IF(ISERROR(IF(IS!AP22&lt;0,"NM",IS!AP22/Debt!AP79)),"NM",IF(IS!AP22&lt;0,"NM",IS!AP22/Debt!AP79))</f>
        <v>30.804412388629601</v>
      </c>
      <c r="AQ57" s="37">
        <f>IF(IS!AQ22&lt;0,"NM",IS!AQ22/Debt!AQ79)</f>
        <v>22.77496817988969</v>
      </c>
      <c r="AR57" s="38"/>
      <c r="AS57" s="38">
        <f>IF(ISERROR(IF(IS!AS22&lt;0,"NM",IS!AS22/Debt!AS79)),"NM",IF(IS!AS22&lt;0,"NM",IS!AS22/Debt!AS79))</f>
        <v>16.924225710649125</v>
      </c>
      <c r="AT57" s="38">
        <f>IF(ISERROR(IF(IS!AT22&lt;0,"NM",IS!AT22/Debt!AT79)),"NM",IF(IS!AT22&lt;0,"NM",IS!AT22/Debt!AT79))</f>
        <v>21.567925328807799</v>
      </c>
      <c r="AU57" s="38">
        <f>IF(ISERROR(IF(IS!AU22&lt;0,"NM",IS!AU22/Debt!AU79)),"NM",IF(IS!AU22&lt;0,"NM",IS!AU22/Debt!AU79))</f>
        <v>24.035468816291903</v>
      </c>
      <c r="AV57" s="38">
        <f>IF(ISERROR(IF(IS!AV22&lt;0,"NM",IS!AV22/Debt!AV79)),"NM",IF(IS!AV22&lt;0,"NM",IS!AV22/Debt!AV79))</f>
        <v>32.796096733135336</v>
      </c>
      <c r="AW57" s="37">
        <f>IF(IS!AW22&lt;0,"NM",IS!AW22/Debt!AW79)</f>
        <v>23.830929147221042</v>
      </c>
      <c r="AX57" s="38"/>
      <c r="AY57" s="38">
        <f>IF(ISERROR(IF(IS!AY22&lt;0,"NM",IS!AY22/Debt!AY79)),"NM",IF(IS!AY22&lt;0,"NM",IS!AY22/Debt!AY79))</f>
        <v>20.99753924480272</v>
      </c>
      <c r="AZ57" s="38">
        <f>IF(ISERROR(IF(IS!AZ22&lt;0,"NM",IS!AZ22/Debt!AZ79)),"NM",IF(IS!AZ22&lt;0,"NM",IS!AZ22/Debt!AZ79))</f>
        <v>22.8823080186678</v>
      </c>
      <c r="BA57" s="38">
        <f>IF(ISERROR(IF(IS!BA22&lt;0,"NM",IS!BA22/Debt!BA79)),"NM",IF(IS!BA22&lt;0,"NM",IS!BA22/Debt!BA79))</f>
        <v>23.784132371658878</v>
      </c>
      <c r="BB57" s="38">
        <f>IF(ISERROR(IF(IS!BB22&lt;0,"NM",IS!BB22/Debt!BB79)),"NM",IF(IS!BB22&lt;0,"NM",IS!BB22/Debt!BB79))</f>
        <v>32.942384386932538</v>
      </c>
      <c r="BC57" s="37">
        <f>IF(IS!BC22&lt;0,"NM",IS!BC22/Debt!BC79)</f>
        <v>25.151591005515481</v>
      </c>
      <c r="BD57" s="38"/>
      <c r="BE57" s="38">
        <f>IF(ISERROR(IF(IS!BE22&lt;0,"NM",IS!BE22/Debt!BE79)),"NM",IF(IS!BE22&lt;0,"NM",IS!BE22/Debt!BE79))</f>
        <v>21.382944420873987</v>
      </c>
      <c r="BF57" s="38">
        <f>IF(ISERROR(IF(IS!BF22&lt;0,"NM",IS!BF22/Debt!BF79)),"NM",IF(IS!BF22&lt;0,"NM",IS!BF22/Debt!BF79))</f>
        <v>26.474671192193455</v>
      </c>
      <c r="BG57" s="38">
        <f>IF(ISERROR(IF(IS!BG22&lt;0,"NM",IS!BG22/Debt!BG79)),"NM",IF(IS!BG22&lt;0,"NM",IS!BG22/Debt!BG79))</f>
        <v>26.333644463300814</v>
      </c>
      <c r="BH57" s="38">
        <f>IF(ISERROR(IF(IS!BH22&lt;0,"NM",IS!BH22/Debt!BH79)),"NM",IF(IS!BH22&lt;0,"NM",IS!BH22/Debt!BH79))</f>
        <v>36.405770046669488</v>
      </c>
      <c r="BI57" s="37">
        <f>IF(IS!BI22&lt;0,"NM",IS!BI22/Debt!BI79)</f>
        <v>27.649257530759428</v>
      </c>
      <c r="BJ57" s="38"/>
      <c r="BK57" s="38">
        <f>IF(ISERROR(IF(IS!BK22&lt;0,"NM",IS!BK22/Debt!BK79)),"NM",IF(IS!BK22&lt;0,"NM",IS!BK22/Debt!BK79))</f>
        <v>22.901315231226139</v>
      </c>
      <c r="BL57" s="38">
        <f>IF(ISERROR(IF(IS!BL22&lt;0,"NM",IS!BL22/Debt!BL79)),"NM",IF(IS!BL22&lt;0,"NM",IS!BL22/Debt!BL79))</f>
        <v>28.36809503606279</v>
      </c>
      <c r="BM57" s="38">
        <f>IF(ISERROR(IF(IS!BM22&lt;0,"NM",IS!BM22/Debt!BM79)),"NM",IF(IS!BM22&lt;0,"NM",IS!BM22/Debt!BM79))</f>
        <v>28.358252015273642</v>
      </c>
      <c r="BN57" s="38">
        <f>IF(ISERROR(IF(IS!BN22&lt;0,"NM",IS!BN22/Debt!BN79)),"NM",IF(IS!BN22&lt;0,"NM",IS!BN22/Debt!BN79))</f>
        <v>40.006109461179442</v>
      </c>
      <c r="BO57" s="37">
        <f>IF(IS!BO22&lt;0,"NM",IS!BO22/Debt!BO79)</f>
        <v>29.908442935935515</v>
      </c>
      <c r="BP57" s="38"/>
      <c r="BQ57" s="38">
        <f>IF(ISERROR(IF(IS!BQ22&lt;0,"NM",IS!BQ22/Debt!BQ79)),"NM",IF(IS!BQ22&lt;0,"NM",IS!BQ22/Debt!BQ79))</f>
        <v>25.143396853888117</v>
      </c>
      <c r="BR57" s="38">
        <f>IF(ISERROR(IF(IS!BR22&lt;0,"NM",IS!BR22/Debt!BR79)),"NM",IF(IS!BR22&lt;0,"NM",IS!BR22/Debt!BR79))</f>
        <v>31.17874245154729</v>
      </c>
      <c r="BS57" s="38">
        <f>IF(ISERROR(IF(IS!BS22&lt;0,"NM",IS!BS22/Debt!BS79)),"NM",IF(IS!BS22&lt;0,"NM",IS!BS22/Debt!BS79))</f>
        <v>30.465508860486917</v>
      </c>
      <c r="BT57" s="38">
        <f>IF(ISERROR(IF(IS!BT22&lt;0,"NM",IS!BT22/Debt!BT79)),"NM",IF(IS!BT22&lt;0,"NM",IS!BT22/Debt!BT79))</f>
        <v>42.984316523430465</v>
      </c>
      <c r="BU57" s="37">
        <f>IF(IS!BU22&lt;0,"NM",IS!BU22/Debt!BU79)</f>
        <v>32.442991172338203</v>
      </c>
      <c r="BV57" s="97"/>
      <c r="BW57" s="38">
        <f>IF(ISERROR(IF(IS!BW22&lt;0,"NM",IS!BW22/Debt!BW79)),"NM",IF(IS!BW22&lt;0,"NM",IS!BW22/Debt!BW79))</f>
        <v>27.023351943714122</v>
      </c>
      <c r="BX57" s="38">
        <f>IF(ISERROR(IF(IS!BX22&lt;0,"NM",IS!BX22/Debt!BX79)),"NM",IF(IS!BX22&lt;0,"NM",IS!BX22/Debt!BX79))</f>
        <v>33.259267953139648</v>
      </c>
      <c r="BY57" s="38">
        <f>IF(ISERROR(IF(IS!BY22&lt;0,"NM",IS!BY22/Debt!BY79)),"NM",IF(IS!BY22&lt;0,"NM",IS!BY22/Debt!BY79))</f>
        <v>32.420133713340448</v>
      </c>
      <c r="BZ57" s="38">
        <f>IF(ISERROR(IF(IS!BZ22&lt;0,"NM",IS!BZ22/Debt!BZ79)),"NM",IF(IS!BZ22&lt;0,"NM",IS!BZ22/Debt!BZ79))</f>
        <v>45.410522173654407</v>
      </c>
      <c r="CA57" s="37">
        <f>IF(IS!CA22&lt;0,"NM",IS!CA22/Debt!CA79)</f>
        <v>34.528318945962155</v>
      </c>
      <c r="CB57" s="97"/>
      <c r="CC57" s="38">
        <f>IF(ISERROR(IF(IS!CC22&lt;0,"NM",IS!CC22/Debt!CC79)),"NM",IF(IS!CC22&lt;0,"NM",IS!CC22/Debt!CC79))</f>
        <v>28.815294305348292</v>
      </c>
      <c r="CD57" s="38">
        <f>IF(ISERROR(IF(IS!CD22&lt;0,"NM",IS!CD22/Debt!CD79)),"NM",IF(IS!CD22&lt;0,"NM",IS!CD22/Debt!CD79))</f>
        <v>35.19582188786022</v>
      </c>
      <c r="CE57" s="38">
        <f>IF(ISERROR(IF(IS!CE22&lt;0,"NM",IS!CE22/Debt!CE79)),"NM",IF(IS!CE22&lt;0,"NM",IS!CE22/Debt!CE79))</f>
        <v>34.277774628670763</v>
      </c>
      <c r="CF57" s="38">
        <f>IF(ISERROR(IF(IS!CF22&lt;0,"NM",IS!CF22/Debt!CF79)),"NM",IF(IS!CF22&lt;0,"NM",IS!CF22/Debt!CF79))</f>
        <v>47.655770484483476</v>
      </c>
      <c r="CG57" s="37">
        <f>IF(IS!CG22&lt;0,"NM",IS!CG22/Debt!CG79)</f>
        <v>36.486165326590701</v>
      </c>
      <c r="CH57" s="97"/>
      <c r="CI57" s="38">
        <f>IF(ISERROR(IF(IS!CI22&lt;0,"NM",IS!CI22/Debt!CI79)),"NM",IF(IS!CI22&lt;0,"NM",IS!CI22/Debt!CI79))</f>
        <v>30.724583351296236</v>
      </c>
      <c r="CJ57" s="38">
        <f>IF(ISERROR(IF(IS!CJ22&lt;0,"NM",IS!CJ22/Debt!CJ79)),"NM",IF(IS!CJ22&lt;0,"NM",IS!CJ22/Debt!CJ79))</f>
        <v>37.244927076860414</v>
      </c>
      <c r="CK57" s="38">
        <f>IF(ISERROR(IF(IS!CK22&lt;0,"NM",IS!CK22/Debt!CK79)),"NM",IF(IS!CK22&lt;0,"NM",IS!CK22/Debt!CK79))</f>
        <v>36.241422797430033</v>
      </c>
      <c r="CL57" s="38">
        <f>IF(ISERROR(IF(IS!CL22&lt;0,"NM",IS!CL22/Debt!CL79)),"NM",IF(IS!CL22&lt;0,"NM",IS!CL22/Debt!CL79))</f>
        <v>50.020301722302058</v>
      </c>
      <c r="CM57" s="37">
        <f>IF(IS!CM22&lt;0,"NM",IS!CM22/Debt!CM79)</f>
        <v>38.557808736972191</v>
      </c>
      <c r="CN57" s="97"/>
      <c r="CO57" s="97"/>
      <c r="CP57"/>
      <c r="CQ57"/>
      <c r="CR57"/>
      <c r="CS57"/>
      <c r="CT57"/>
      <c r="CU57"/>
      <c r="CV57" s="97"/>
    </row>
    <row r="58" spans="1:100" s="24" customFormat="1">
      <c r="A58" s="100" t="s">
        <v>350</v>
      </c>
      <c r="B58" s="129"/>
      <c r="C58" s="129"/>
      <c r="D58" s="129"/>
      <c r="E58" s="129"/>
      <c r="F58" s="40"/>
      <c r="G58" s="41">
        <f>G47/IS!G27</f>
        <v>0.4230061980956511</v>
      </c>
      <c r="H58" s="40"/>
      <c r="I58" s="40">
        <f>I47/(IS!I27*4)</f>
        <v>0.38076816738610814</v>
      </c>
      <c r="J58" s="40">
        <f>J47/(IS!J27*4)</f>
        <v>0.29288655776782835</v>
      </c>
      <c r="K58" s="40">
        <f>K47/(IS!K27*4)</f>
        <v>0.27431648648428808</v>
      </c>
      <c r="L58" s="40">
        <f>L47/(IS!L27*4)</f>
        <v>0.18376109247658551</v>
      </c>
      <c r="M58" s="41">
        <f>M47/IS!M27</f>
        <v>0.21001944082260443</v>
      </c>
      <c r="N58" s="40"/>
      <c r="O58" s="40">
        <f>O47/(IS!O27*4)</f>
        <v>0.34945304281154699</v>
      </c>
      <c r="P58" s="40">
        <f>P47/(IS!P27*4)</f>
        <v>0.26741182909725331</v>
      </c>
      <c r="Q58" s="40">
        <f>Q47/(IS!Q27*4)</f>
        <v>0.13883391370426981</v>
      </c>
      <c r="R58" s="40">
        <f>R47/(IS!R27*4)</f>
        <v>2.4813448725421955E-3</v>
      </c>
      <c r="S58" s="41">
        <f>S47/IS!S27</f>
        <v>3.0210094757997645E-3</v>
      </c>
      <c r="T58" s="40"/>
      <c r="U58" s="40">
        <f>U47/(IS!U27*4)</f>
        <v>4.2795407363470504E-2</v>
      </c>
      <c r="V58" s="40">
        <f>V47/(IS!V27*4)</f>
        <v>4.5252732240436992E-3</v>
      </c>
      <c r="W58" s="40">
        <f>W47/(IS!W27*4)</f>
        <v>-8.4505158290567414E-2</v>
      </c>
      <c r="X58" s="40">
        <f>X47/(IS!X27*4)</f>
        <v>-0.25580062856689023</v>
      </c>
      <c r="Y58" s="41">
        <f>Y47/IS!Y27</f>
        <v>-0.32280026058258826</v>
      </c>
      <c r="Z58" s="40"/>
      <c r="AA58" s="40">
        <f>AA47/(IS!AA27*4)</f>
        <v>-0.43918422558292292</v>
      </c>
      <c r="AB58" s="40">
        <f>AB47/(IS!AB27*4)</f>
        <v>-0.48520264574722666</v>
      </c>
      <c r="AC58" s="40">
        <f>AC47/(IS!AC27*4)</f>
        <v>-0.35653044230214925</v>
      </c>
      <c r="AD58" s="40">
        <f>AD47/(IS!AD27*4)</f>
        <v>-0.38223504541681624</v>
      </c>
      <c r="AE58" s="41">
        <f>AE47/IS!AE27</f>
        <v>-0.45765198581507116</v>
      </c>
      <c r="AF58" s="40"/>
      <c r="AG58" s="40">
        <f>AG47/(IS!AG27*4)</f>
        <v>-0.61077275655502783</v>
      </c>
      <c r="AH58" s="40">
        <f>AH47/(IS!AH27*4)</f>
        <v>-0.47397701044505575</v>
      </c>
      <c r="AI58" s="40">
        <f>AI47/(IS!AI27*4)</f>
        <v>-0.47570072761784216</v>
      </c>
      <c r="AJ58" s="40">
        <f>AJ47/(IS!AJ27*4)</f>
        <v>-0.46765398855604212</v>
      </c>
      <c r="AK58" s="41">
        <f>AK47/IS!AK27</f>
        <v>-0.56480734472816896</v>
      </c>
      <c r="AL58" s="40"/>
      <c r="AM58" s="40">
        <f>AM47/(IS!AM27*4)</f>
        <v>-0.64342469905603172</v>
      </c>
      <c r="AN58" s="40">
        <f>AN47/(IS!AN27*4)</f>
        <v>-0.65701596195012468</v>
      </c>
      <c r="AO58" s="40">
        <f>AO47/(IS!AO27*4)</f>
        <v>-0.6593822388797792</v>
      </c>
      <c r="AP58" s="40">
        <f>AP47/(IS!AP27*4)</f>
        <v>-0.56997408367271407</v>
      </c>
      <c r="AQ58" s="41">
        <f>AQ47/IS!AQ27</f>
        <v>-0.74100174480761605</v>
      </c>
      <c r="AR58" s="40"/>
      <c r="AS58" s="40">
        <f>AS47/(IS!AS27*4)</f>
        <v>-1.0161918765649747</v>
      </c>
      <c r="AT58" s="40">
        <f>AT47/(IS!AT27*4)</f>
        <v>-0.81803412240617268</v>
      </c>
      <c r="AU58" s="40">
        <f>AU47/(IS!AU27*4)</f>
        <v>-0.72050853417577354</v>
      </c>
      <c r="AV58" s="40">
        <f>AV47/(IS!AV27*4)</f>
        <v>-0.66644795981515703</v>
      </c>
      <c r="AW58" s="41">
        <f>AW47/IS!AW27</f>
        <v>-0.8566184368667662</v>
      </c>
      <c r="AX58" s="40"/>
      <c r="AY58" s="40">
        <f>AY47/(IS!AY27*4)</f>
        <v>-1.0077569604218906</v>
      </c>
      <c r="AZ58" s="40">
        <f>AZ47/(IS!AZ27*4)</f>
        <v>-0.97929072702895315</v>
      </c>
      <c r="BA58" s="40">
        <f>BA47/(IS!BA27*4)</f>
        <v>-1.0217742939953682</v>
      </c>
      <c r="BB58" s="40">
        <f>BB47/(IS!BB27*4)</f>
        <v>-0.82370052153226192</v>
      </c>
      <c r="BC58" s="41">
        <f>BC47/IS!BC27</f>
        <v>-1.0314121920073405</v>
      </c>
      <c r="BD58" s="40"/>
      <c r="BE58" s="40">
        <f>BE47/(IS!BE27*4)</f>
        <v>-1.2776260508024553</v>
      </c>
      <c r="BF58" s="40">
        <f>BF47/(IS!BF27*4)</f>
        <v>-1.1361723974064213</v>
      </c>
      <c r="BG58" s="40">
        <f>BG47/(IS!BG27*4)</f>
        <v>-1.2645603315703868</v>
      </c>
      <c r="BH58" s="40">
        <f>BH47/(IS!BH27*4)</f>
        <v>-1.0121388194611605</v>
      </c>
      <c r="BI58" s="41">
        <f>BI47/IS!BI27</f>
        <v>-1.2854442102472321</v>
      </c>
      <c r="BJ58" s="40"/>
      <c r="BK58" s="40">
        <f>BK47/(IS!BK27*4)</f>
        <v>-1.6603164254068457</v>
      </c>
      <c r="BL58" s="40">
        <f>BL47/(IS!BL27*4)</f>
        <v>-1.4821151493596083</v>
      </c>
      <c r="BM58" s="40">
        <f>BM47/(IS!BM27*4)</f>
        <v>-1.6127936131151366</v>
      </c>
      <c r="BN58" s="40">
        <f>BN47/(IS!BN27*4)</f>
        <v>-1.2804635080003808</v>
      </c>
      <c r="BO58" s="41">
        <f>BO47/IS!BO27</f>
        <v>-1.6543389648783602</v>
      </c>
      <c r="BP58" s="40"/>
      <c r="BQ58" s="40">
        <f>BQ47/(IS!BQ27*4)</f>
        <v>-1.8103353907746853</v>
      </c>
      <c r="BR58" s="40">
        <f>BR47/(IS!BR27*4)</f>
        <v>-1.5229040515089849</v>
      </c>
      <c r="BS58" s="40">
        <f>BS47/(IS!BS27*4)</f>
        <v>-1.5777172497939866</v>
      </c>
      <c r="BT58" s="40">
        <f>BT47/(IS!BT27*4)</f>
        <v>-1.2273274781860883</v>
      </c>
      <c r="BU58" s="41">
        <f>BU47/IS!BU27</f>
        <v>-1.5765625727554415</v>
      </c>
      <c r="BV58" s="265"/>
      <c r="BW58" s="40">
        <f>BW47/(IS!BW27*4)</f>
        <v>-1.6804338435729351</v>
      </c>
      <c r="BX58" s="40">
        <f>BX47/(IS!BX27*4)</f>
        <v>-1.4171527715133696</v>
      </c>
      <c r="BY58" s="40">
        <f>BY47/(IS!BY27*4)</f>
        <v>-1.4655768548164203</v>
      </c>
      <c r="BZ58" s="40">
        <f>BZ47/(IS!BZ27*4)</f>
        <v>-1.1419809075221248</v>
      </c>
      <c r="CA58" s="41">
        <f>CA47/IS!CA27</f>
        <v>-1.4589867212075218</v>
      </c>
      <c r="CB58" s="265"/>
      <c r="CC58" s="40">
        <f>CC47/(IS!CC27*4)</f>
        <v>-1.5704282754580234</v>
      </c>
      <c r="CD58" s="40">
        <f>CD47/(IS!CD27*4)</f>
        <v>-1.412117742043689</v>
      </c>
      <c r="CE58" s="40">
        <f>CE47/(IS!CE27*4)</f>
        <v>-1.5392823831777174</v>
      </c>
      <c r="CF58" s="40">
        <f>CF47/(IS!CF27*4)</f>
        <v>-1.2648624320347823</v>
      </c>
      <c r="CG58" s="41">
        <f>CG47/IS!CG27</f>
        <v>-1.6059470934923568</v>
      </c>
      <c r="CH58" s="265"/>
      <c r="CI58" s="40">
        <f>CI47/(IS!CI27*4)</f>
        <v>-1.8338737242142871</v>
      </c>
      <c r="CJ58" s="40">
        <f>CJ47/(IS!CJ27*4)</f>
        <v>-1.6046535115667482</v>
      </c>
      <c r="CK58" s="40">
        <f>CK47/(IS!CK27*4)</f>
        <v>-1.6912200109075881</v>
      </c>
      <c r="CL58" s="40">
        <f>CL47/(IS!CL27*4)</f>
        <v>-1.352110375255382</v>
      </c>
      <c r="CM58" s="41">
        <f>CM47/IS!CM27</f>
        <v>-1.7060149103148676</v>
      </c>
      <c r="CN58" s="265"/>
      <c r="CO58" s="265"/>
      <c r="CP58"/>
      <c r="CQ58"/>
      <c r="CR58"/>
      <c r="CS58"/>
      <c r="CT58"/>
      <c r="CU58"/>
      <c r="CV58" s="97"/>
    </row>
    <row r="59" spans="1:100" s="1238" customFormat="1">
      <c r="A59" s="1232" t="s">
        <v>351</v>
      </c>
      <c r="B59" s="1233"/>
      <c r="C59" s="1233"/>
      <c r="D59" s="1233"/>
      <c r="E59" s="1233"/>
      <c r="F59" s="1234"/>
      <c r="G59" s="1235">
        <f>G46/(G46+G41)</f>
        <v>0.60137717887817865</v>
      </c>
      <c r="H59" s="1236"/>
      <c r="I59" s="1237">
        <f>I46/(I46+I41)</f>
        <v>0.60099685306409123</v>
      </c>
      <c r="J59" s="1237">
        <f>J46/(J46+J41)</f>
        <v>0.60198074557225856</v>
      </c>
      <c r="K59" s="1237">
        <f>K46/(K46+K41)</f>
        <v>0.61431652228814215</v>
      </c>
      <c r="L59" s="1237">
        <f>L46/(L46+L41)</f>
        <v>0.44783961574605829</v>
      </c>
      <c r="M59" s="1235">
        <f>M46/(M46+M41)</f>
        <v>0.44783961574605829</v>
      </c>
      <c r="N59" s="1236"/>
      <c r="O59" s="1237">
        <f>O46/(O46+O41)</f>
        <v>0.46903184949097609</v>
      </c>
      <c r="P59" s="1237">
        <f>P46/(P46+P41)</f>
        <v>0.46327889851385151</v>
      </c>
      <c r="Q59" s="1237">
        <f>Q46/(Q46+Q41)</f>
        <v>0.45228820718048307</v>
      </c>
      <c r="R59" s="1237">
        <f>R46/(R46+R41)</f>
        <v>0.42666511787163142</v>
      </c>
      <c r="S59" s="1235">
        <f>S46/(S46+S41)</f>
        <v>0.42666511787163142</v>
      </c>
      <c r="T59" s="1236"/>
      <c r="U59" s="1237">
        <f>U46/(U46+U41)</f>
        <v>0.46700589475450754</v>
      </c>
      <c r="V59" s="1237">
        <f>V46/(V46+V41)</f>
        <v>0.48213412086064017</v>
      </c>
      <c r="W59" s="1237">
        <f>W46/(W46+W41)</f>
        <v>0.46181328530082982</v>
      </c>
      <c r="X59" s="1237">
        <f>X46/(X46+X41)</f>
        <v>0.41750233806323345</v>
      </c>
      <c r="Y59" s="1235">
        <f>Y46/(Y46+Y41)</f>
        <v>0.41750233806323345</v>
      </c>
      <c r="Z59" s="1236"/>
      <c r="AA59" s="1237">
        <f>AA46/(AA46+AA41)</f>
        <v>0.40715558898379306</v>
      </c>
      <c r="AB59" s="1237">
        <f>AB46/(AB46+AB41)</f>
        <v>0.40557401380407532</v>
      </c>
      <c r="AC59" s="1237">
        <f>AC46/(AC46+AC41)</f>
        <v>0.45599839674166842</v>
      </c>
      <c r="AD59" s="1237">
        <f>AD46/(AD46+AD41)</f>
        <v>0.44684203642988896</v>
      </c>
      <c r="AE59" s="1235">
        <f>AE46/(AE46+AE41)</f>
        <v>0.44684203642988896</v>
      </c>
      <c r="AF59" s="1236"/>
      <c r="AG59" s="1237">
        <f>AG46/(AG46+AG41)</f>
        <v>0.44290389144437808</v>
      </c>
      <c r="AH59" s="1237">
        <f>AH46/(AH46+AH41)</f>
        <v>0.46587849513353635</v>
      </c>
      <c r="AI59" s="1237">
        <f>AI46/(AI46+AI41)</f>
        <v>0.4632351219858718</v>
      </c>
      <c r="AJ59" s="1237">
        <f>AJ46/(AJ46+AJ41)</f>
        <v>0.44526259121452266</v>
      </c>
      <c r="AK59" s="1235">
        <f>AK46/(AK46+AK41)</f>
        <v>0.44526259121452266</v>
      </c>
      <c r="AL59" s="1236"/>
      <c r="AM59" s="1237">
        <f>AM46/(AM46+AM41)</f>
        <v>0.45511216607398802</v>
      </c>
      <c r="AN59" s="1237">
        <f>AN46/(AN46+AN41)</f>
        <v>0.45477024742640032</v>
      </c>
      <c r="AO59" s="1237">
        <f>AO46/(AO46+AO41)</f>
        <v>0.44422580041512216</v>
      </c>
      <c r="AP59" s="1237">
        <f>AP46/(AP46+AP41)</f>
        <v>0.42875031710480321</v>
      </c>
      <c r="AQ59" s="1235">
        <f>AQ46/(AQ46+AQ41)</f>
        <v>0.42875031710480321</v>
      </c>
      <c r="AR59" s="1236"/>
      <c r="AS59" s="1237">
        <f>AS46/(AS46+AS41)</f>
        <v>0.42269209729028551</v>
      </c>
      <c r="AT59" s="1237">
        <f>AT46/(AT46+AT41)</f>
        <v>0.4304761239808112</v>
      </c>
      <c r="AU59" s="1237">
        <f>AU46/(AU46+AU41)</f>
        <v>0.43706664107443383</v>
      </c>
      <c r="AV59" s="1237">
        <f>AV46/(AV46+AV41)</f>
        <v>0.43609603712481504</v>
      </c>
      <c r="AW59" s="1235">
        <f>AW46/(AW46+AW41)</f>
        <v>0.43609603712481504</v>
      </c>
      <c r="AX59" s="1236"/>
      <c r="AY59" s="1237">
        <f>AY46/(AY46+AY41)</f>
        <v>0.44370161395358293</v>
      </c>
      <c r="AZ59" s="1237">
        <f>AZ46/(AZ46+AZ41)</f>
        <v>0.44670595594771673</v>
      </c>
      <c r="BA59" s="1237">
        <f>BA46/(BA46+BA41)</f>
        <v>0.45298621847917542</v>
      </c>
      <c r="BB59" s="1237">
        <f>BB46/(BB46+BB41)</f>
        <v>0.44761263655405537</v>
      </c>
      <c r="BC59" s="1235">
        <f>BC46/(BC46+BC41)</f>
        <v>0.44761263655405537</v>
      </c>
      <c r="BD59" s="1236"/>
      <c r="BE59" s="1237">
        <f>BE46/(BE46+BE41)</f>
        <v>0.44989040661318996</v>
      </c>
      <c r="BF59" s="1237">
        <f>BF46/(BF46+BF41)</f>
        <v>0.44977526059173101</v>
      </c>
      <c r="BG59" s="1237">
        <f>BG46/(BG46+BG41)</f>
        <v>0.44096578497001354</v>
      </c>
      <c r="BH59" s="1237">
        <f>BH46/(BH46+BH41)</f>
        <v>0.44252099432046604</v>
      </c>
      <c r="BI59" s="1235">
        <f>BI46/(BI46+BI41)</f>
        <v>0.44252099432046604</v>
      </c>
      <c r="BJ59" s="1236"/>
      <c r="BK59" s="1237">
        <f>BK46/(BK46+BK41)</f>
        <v>0.43812699456946858</v>
      </c>
      <c r="BL59" s="1237">
        <f>BL46/(BL46+BL41)</f>
        <v>0.4316002441828844</v>
      </c>
      <c r="BM59" s="1237">
        <f>BM46/(BM46+BM41)</f>
        <v>0.42682343246015542</v>
      </c>
      <c r="BN59" s="1237">
        <f>BN46/(BN46+BN41)</f>
        <v>0.47211266194374557</v>
      </c>
      <c r="BO59" s="1235">
        <f>BO46/(BO46+BO41)</f>
        <v>0.47211266194374557</v>
      </c>
      <c r="BP59" s="1236"/>
      <c r="BQ59" s="1237">
        <f>BQ46/(BQ46+BQ41)</f>
        <v>0.4613837258053578</v>
      </c>
      <c r="BR59" s="1237">
        <f>BR46/(BR46+BR41)</f>
        <v>0.45993065366439168</v>
      </c>
      <c r="BS59" s="1237">
        <f>BS46/(BS46+BS41)</f>
        <v>0.45914854819672651</v>
      </c>
      <c r="BT59" s="1237">
        <f>BT46/(BT46+BT41)</f>
        <v>0.45154221975000947</v>
      </c>
      <c r="BU59" s="1235">
        <f>BU46/(BU46+BU41)</f>
        <v>0.45154221975000947</v>
      </c>
      <c r="BV59" s="1239"/>
      <c r="BW59" s="1237">
        <f>BW46/(BW46+BW41)</f>
        <v>0.43937492125322786</v>
      </c>
      <c r="BX59" s="1237">
        <f>BX46/(BX46+BX41)</f>
        <v>0.43715884206926742</v>
      </c>
      <c r="BY59" s="1237">
        <f>BY46/(BY46+BY41)</f>
        <v>0.4356201732503347</v>
      </c>
      <c r="BZ59" s="1237">
        <f>BZ46/(BZ46+BZ41)</f>
        <v>0.42734877203756289</v>
      </c>
      <c r="CA59" s="1235">
        <f>CA46/(CA46+CA41)</f>
        <v>0.42734877203756289</v>
      </c>
      <c r="CB59" s="1239"/>
      <c r="CC59" s="1237">
        <f>CC46/(CC46+CC41)</f>
        <v>0.42778504507504578</v>
      </c>
      <c r="CD59" s="1237">
        <f>CD46/(CD46+CD41)</f>
        <v>0.41851434591992381</v>
      </c>
      <c r="CE59" s="1237">
        <f>CE46/(CE46+CE41)</f>
        <v>0.41004152161831892</v>
      </c>
      <c r="CF59" s="1237">
        <f>CF46/(CF46+CF41)</f>
        <v>0.39574368141911609</v>
      </c>
      <c r="CG59" s="1235">
        <f>CG46/(CG46+CG41)</f>
        <v>0.39574368141911609</v>
      </c>
      <c r="CH59" s="1239"/>
      <c r="CI59" s="1237">
        <f>CI46/(CI46+CI41)</f>
        <v>0.38920670664509815</v>
      </c>
      <c r="CJ59" s="1237">
        <f>CJ46/(CJ46+CJ41)</f>
        <v>0.38582570165596669</v>
      </c>
      <c r="CK59" s="1237">
        <f>CK46/(CK46+CK41)</f>
        <v>0.38304706625584367</v>
      </c>
      <c r="CL59" s="1237">
        <f>CL46/(CL46+CL41)</f>
        <v>0.37478368448664856</v>
      </c>
      <c r="CM59" s="1235">
        <f>CM46/(CM46+CM41)</f>
        <v>0.37478368448664856</v>
      </c>
      <c r="CN59" s="1239"/>
      <c r="CO59" s="1239"/>
      <c r="CP59"/>
      <c r="CQ59"/>
      <c r="CR59"/>
      <c r="CS59"/>
      <c r="CT59"/>
      <c r="CU59"/>
      <c r="CV59" s="97"/>
    </row>
    <row r="60" spans="1:100" s="24" customFormat="1" hidden="1" outlineLevel="1">
      <c r="A60" s="128"/>
      <c r="B60" s="128"/>
      <c r="C60" s="128"/>
      <c r="D60" s="128"/>
      <c r="E60" s="128"/>
      <c r="F60" s="34"/>
      <c r="G60" s="693"/>
      <c r="H60" s="693"/>
      <c r="I60" s="693"/>
      <c r="J60" s="693"/>
      <c r="K60" s="693"/>
      <c r="L60" s="693"/>
      <c r="M60" s="693"/>
      <c r="N60" s="693"/>
      <c r="O60" s="693"/>
      <c r="P60" s="693"/>
      <c r="Q60" s="693"/>
      <c r="R60" s="693"/>
      <c r="S60" s="694"/>
      <c r="T60" s="693"/>
      <c r="U60" s="693"/>
      <c r="V60" s="693"/>
      <c r="W60" s="693"/>
      <c r="X60" s="693"/>
      <c r="Y60" s="694"/>
      <c r="Z60" s="693"/>
      <c r="AA60" s="693"/>
      <c r="AB60" s="693"/>
      <c r="AC60" s="693"/>
      <c r="AD60" s="693"/>
      <c r="AE60" s="695"/>
      <c r="AF60" s="693"/>
      <c r="AG60" s="693"/>
      <c r="AH60" s="693"/>
      <c r="AI60" s="693"/>
      <c r="AJ60" s="693"/>
      <c r="AK60" s="695"/>
      <c r="AL60" s="693"/>
      <c r="AM60" s="693"/>
      <c r="AN60" s="693"/>
      <c r="AO60" s="693"/>
      <c r="AP60" s="693"/>
      <c r="AQ60" s="694"/>
      <c r="AR60" s="693"/>
      <c r="AS60" s="693"/>
      <c r="AT60" s="693"/>
      <c r="AU60" s="693"/>
      <c r="AV60" s="693"/>
      <c r="AW60" s="694"/>
      <c r="AX60" s="693"/>
      <c r="AY60" s="693"/>
      <c r="AZ60" s="693"/>
      <c r="BA60" s="693"/>
      <c r="BB60" s="693"/>
      <c r="BC60" s="694"/>
      <c r="BD60" s="693"/>
      <c r="BE60" s="693"/>
      <c r="BF60" s="693"/>
      <c r="BG60" s="693"/>
      <c r="BH60" s="693"/>
      <c r="BI60" s="694"/>
      <c r="BJ60" s="693"/>
      <c r="BK60" s="693"/>
      <c r="BL60" s="693"/>
      <c r="BM60" s="693"/>
      <c r="BN60" s="693"/>
      <c r="BO60" s="694"/>
      <c r="BP60" s="693"/>
      <c r="BQ60" s="693"/>
      <c r="BR60" s="693"/>
      <c r="BS60" s="693"/>
      <c r="BT60" s="693"/>
      <c r="BU60" s="694"/>
      <c r="BV60" s="97"/>
      <c r="BW60" s="693"/>
      <c r="BX60" s="693"/>
      <c r="BY60" s="693"/>
      <c r="BZ60" s="693"/>
      <c r="CA60" s="694"/>
      <c r="CB60" s="97"/>
      <c r="CC60" s="693"/>
      <c r="CD60" s="693"/>
      <c r="CE60" s="693"/>
      <c r="CF60" s="693"/>
      <c r="CG60" s="694"/>
      <c r="CH60" s="97"/>
      <c r="CI60" s="693"/>
      <c r="CJ60" s="693"/>
      <c r="CK60" s="693"/>
      <c r="CL60" s="693"/>
      <c r="CM60" s="694"/>
      <c r="CN60" s="97"/>
      <c r="CO60" s="97"/>
      <c r="CP60"/>
      <c r="CQ60"/>
      <c r="CR60"/>
      <c r="CS60"/>
      <c r="CT60"/>
      <c r="CU60"/>
      <c r="CV60" s="97"/>
    </row>
    <row r="61" spans="1:100" s="24" customFormat="1" hidden="1" outlineLevel="1">
      <c r="A61" s="711" t="s">
        <v>352</v>
      </c>
      <c r="B61" s="711"/>
      <c r="C61" s="711"/>
      <c r="D61" s="711"/>
      <c r="E61" s="711"/>
      <c r="F61" s="34"/>
      <c r="G61" s="693"/>
      <c r="H61" s="693"/>
      <c r="I61" s="693"/>
      <c r="J61" s="693"/>
      <c r="K61" s="693"/>
      <c r="L61" s="693"/>
      <c r="M61" s="693"/>
      <c r="N61" s="693"/>
      <c r="O61" s="693"/>
      <c r="P61" s="693"/>
      <c r="Q61" s="693"/>
      <c r="R61" s="693"/>
      <c r="S61" s="694"/>
      <c r="T61" s="693"/>
      <c r="U61" s="693"/>
      <c r="V61" s="693"/>
      <c r="W61" s="693"/>
      <c r="X61" s="693"/>
      <c r="Y61" s="694"/>
      <c r="Z61" s="693"/>
      <c r="AA61" s="693"/>
      <c r="AB61" s="693"/>
      <c r="AC61" s="693"/>
      <c r="AD61" s="693"/>
      <c r="AE61" s="695"/>
      <c r="AF61" s="693"/>
      <c r="AG61" s="693"/>
      <c r="AH61" s="693"/>
      <c r="AI61" s="693"/>
      <c r="AJ61" s="693"/>
      <c r="AK61" s="695"/>
      <c r="AL61" s="693"/>
      <c r="AM61" s="693"/>
      <c r="AN61" s="693"/>
      <c r="AO61" s="693"/>
      <c r="AP61" s="693"/>
      <c r="AQ61" s="694"/>
      <c r="AR61" s="693"/>
      <c r="AS61" s="693"/>
      <c r="AT61" s="693"/>
      <c r="AU61" s="693"/>
      <c r="AV61" s="693"/>
      <c r="AW61" s="694"/>
      <c r="AX61" s="693"/>
      <c r="AY61" s="693"/>
      <c r="AZ61" s="693"/>
      <c r="BA61" s="693"/>
      <c r="BB61" s="693"/>
      <c r="BC61" s="694"/>
      <c r="BD61" s="693"/>
      <c r="BE61" s="693"/>
      <c r="BF61" s="693"/>
      <c r="BG61" s="693"/>
      <c r="BH61" s="693"/>
      <c r="BI61" s="694"/>
      <c r="BJ61" s="693"/>
      <c r="BK61" s="693"/>
      <c r="BL61" s="693"/>
      <c r="BM61" s="693"/>
      <c r="BN61" s="693"/>
      <c r="BO61" s="694"/>
      <c r="BP61" s="693"/>
      <c r="BQ61" s="693"/>
      <c r="BR61" s="693"/>
      <c r="BS61" s="693"/>
      <c r="BT61" s="693"/>
      <c r="BU61" s="694"/>
      <c r="BV61" s="97"/>
      <c r="BW61" s="693"/>
      <c r="BX61" s="693"/>
      <c r="BY61" s="693"/>
      <c r="BZ61" s="693"/>
      <c r="CA61" s="694"/>
      <c r="CB61" s="97"/>
      <c r="CC61" s="693"/>
      <c r="CD61" s="693"/>
      <c r="CE61" s="693"/>
      <c r="CF61" s="693"/>
      <c r="CG61" s="694"/>
      <c r="CH61" s="97"/>
      <c r="CI61" s="693"/>
      <c r="CJ61" s="693"/>
      <c r="CK61" s="693"/>
      <c r="CL61" s="693"/>
      <c r="CM61" s="694"/>
      <c r="CN61" s="97"/>
      <c r="CO61" s="97"/>
      <c r="CP61"/>
      <c r="CQ61"/>
      <c r="CR61"/>
      <c r="CS61"/>
      <c r="CT61"/>
      <c r="CU61"/>
      <c r="CV61" s="97"/>
    </row>
    <row r="62" spans="1:100" s="24" customFormat="1" hidden="1" outlineLevel="1">
      <c r="A62" s="98" t="s">
        <v>353</v>
      </c>
      <c r="B62" s="127"/>
      <c r="C62" s="127"/>
      <c r="D62" s="127"/>
      <c r="E62" s="127"/>
      <c r="F62" s="712"/>
      <c r="G62" s="713">
        <f>G16/G28</f>
        <v>1.8787942299455982</v>
      </c>
      <c r="H62" s="714"/>
      <c r="I62" s="715">
        <f>I16/I28</f>
        <v>2.3447665342038033</v>
      </c>
      <c r="J62" s="715">
        <f>J16/J28</f>
        <v>2.2392823606912251</v>
      </c>
      <c r="K62" s="715">
        <f>K16/K28</f>
        <v>2.1525762611115615</v>
      </c>
      <c r="L62" s="715">
        <f>L16/L28</f>
        <v>3.3032199678072298</v>
      </c>
      <c r="M62" s="713">
        <f>M16/M28</f>
        <v>3.3032199678072298</v>
      </c>
      <c r="N62" s="714"/>
      <c r="O62" s="715">
        <f>O16/O28</f>
        <v>2.8031699826800764</v>
      </c>
      <c r="P62" s="715">
        <f>P16/P28</f>
        <v>2.6450076981524435</v>
      </c>
      <c r="Q62" s="715">
        <f>Q16/Q28</f>
        <v>2.5955822809996905</v>
      </c>
      <c r="R62" s="715">
        <f>R16/R28</f>
        <v>2.9712901198272541</v>
      </c>
      <c r="S62" s="713">
        <f>S16/S28</f>
        <v>2.9712901198272541</v>
      </c>
      <c r="T62" s="714"/>
      <c r="U62" s="715">
        <f>U16/U28</f>
        <v>4.0930557921914525</v>
      </c>
      <c r="V62" s="715">
        <f>V16/V28</f>
        <v>3.6182099506027781</v>
      </c>
      <c r="W62" s="715">
        <f>W16/W28</f>
        <v>3.4458374260319582</v>
      </c>
      <c r="X62" s="715">
        <f>X16/X28</f>
        <v>4.1120668653621877</v>
      </c>
      <c r="Y62" s="713">
        <f>Y16/Y28</f>
        <v>4.1120668653621877</v>
      </c>
      <c r="Z62" s="714"/>
      <c r="AA62" s="715">
        <f>AA16/AA28</f>
        <v>2.350273446062642</v>
      </c>
      <c r="AB62" s="715">
        <f>AB16/AB28</f>
        <v>3.8519571065082818</v>
      </c>
      <c r="AC62" s="715">
        <f>AC16/AC28</f>
        <v>3.0769874780994724</v>
      </c>
      <c r="AD62" s="715">
        <f>AD16/AD28</f>
        <v>3.2268207216592484</v>
      </c>
      <c r="AE62" s="713">
        <f>AE16/AE28</f>
        <v>3.2268207216592484</v>
      </c>
      <c r="AF62" s="714"/>
      <c r="AG62" s="715">
        <f>AG16/AG28</f>
        <v>3.1212896219706519</v>
      </c>
      <c r="AH62" s="715">
        <f>AH16/AH28</f>
        <v>2.8618748241893308</v>
      </c>
      <c r="AI62" s="715">
        <f>AI16/AI28</f>
        <v>2.7847887206505799</v>
      </c>
      <c r="AJ62" s="715">
        <f>AJ16/AJ28</f>
        <v>4.4774651853673433</v>
      </c>
      <c r="AK62" s="713">
        <f>AK16/AK28</f>
        <v>4.4774651853673433</v>
      </c>
      <c r="AL62" s="714"/>
      <c r="AM62" s="715">
        <f>AM16/AM28</f>
        <v>4.7973246153007336</v>
      </c>
      <c r="AN62" s="715">
        <f>AN16/AN28</f>
        <v>4.9358104907222398</v>
      </c>
      <c r="AO62" s="715">
        <f>AO16/AO28</f>
        <v>4.9281036469576218</v>
      </c>
      <c r="AP62" s="715">
        <f>AP16/AP28</f>
        <v>5.243255827309798</v>
      </c>
      <c r="AQ62" s="713">
        <f>AQ16/AQ28</f>
        <v>5.243255827309798</v>
      </c>
      <c r="AR62" s="714"/>
      <c r="AS62" s="715">
        <f>AS16/AS28</f>
        <v>4.4618323614761275</v>
      </c>
      <c r="AT62" s="715">
        <f>AT16/AT28</f>
        <v>4.5083267461612193</v>
      </c>
      <c r="AU62" s="715">
        <f>AU16/AU28</f>
        <v>4.6988836841729649</v>
      </c>
      <c r="AV62" s="715">
        <f>AV16/AV28</f>
        <v>4.9067409451594326</v>
      </c>
      <c r="AW62" s="713">
        <f>AW16/AW28</f>
        <v>4.9067409451594326</v>
      </c>
      <c r="AX62" s="714"/>
      <c r="AY62" s="715">
        <f>AY16/AY28</f>
        <v>5.3409988653056519</v>
      </c>
      <c r="AZ62" s="715">
        <f>AZ16/AZ28</f>
        <v>5.5002560847567388</v>
      </c>
      <c r="BA62" s="715">
        <f>BA16/BA28</f>
        <v>5.7725980214719925</v>
      </c>
      <c r="BB62" s="715">
        <f>BB16/BB28</f>
        <v>5.6969858671526525</v>
      </c>
      <c r="BC62" s="713">
        <f>BC16/BC28</f>
        <v>5.6969858671526525</v>
      </c>
      <c r="BD62" s="714"/>
      <c r="BE62" s="715">
        <f>BE16/BE28</f>
        <v>6.3176134954105683</v>
      </c>
      <c r="BF62" s="715">
        <f>BF16/BF28</f>
        <v>6.5172405875194217</v>
      </c>
      <c r="BG62" s="715">
        <f>BG16/BG28</f>
        <v>6.8033940261905173</v>
      </c>
      <c r="BH62" s="715">
        <f>BH16/BH28</f>
        <v>6.9869273006471024</v>
      </c>
      <c r="BI62" s="713">
        <f>BI16/BI28</f>
        <v>6.9869273006471024</v>
      </c>
      <c r="BJ62" s="714"/>
      <c r="BK62" s="715">
        <f>BK16/BK28</f>
        <v>5.9765236606133065</v>
      </c>
      <c r="BL62" s="715">
        <f>BL16/BL28</f>
        <v>6.042096223876416</v>
      </c>
      <c r="BM62" s="715">
        <f>BM16/BM28</f>
        <v>6.1595275383637205</v>
      </c>
      <c r="BN62" s="715">
        <f>BN16/BN28</f>
        <v>7.0446006562656223</v>
      </c>
      <c r="BO62" s="713">
        <f>BO16/BO28</f>
        <v>7.0446006562656223</v>
      </c>
      <c r="BP62" s="714"/>
      <c r="BQ62" s="715">
        <f>BQ16/BQ28</f>
        <v>7.6026783564554714</v>
      </c>
      <c r="BR62" s="715">
        <f>BR16/BR28</f>
        <v>7.392941427318573</v>
      </c>
      <c r="BS62" s="715">
        <f>BS16/BS28</f>
        <v>7.3798293853943298</v>
      </c>
      <c r="BT62" s="715">
        <f>BT16/BT28</f>
        <v>6.7631066158843813</v>
      </c>
      <c r="BU62" s="713">
        <f>BU16/BU28</f>
        <v>6.7631066158843813</v>
      </c>
      <c r="BV62" s="97"/>
      <c r="BW62" s="715">
        <f>BW16/BW28</f>
        <v>7.2802753543091896</v>
      </c>
      <c r="BX62" s="715">
        <f>BX16/BX28</f>
        <v>7.0863345157097815</v>
      </c>
      <c r="BY62" s="715">
        <f>BY16/BY28</f>
        <v>7.0888849161881238</v>
      </c>
      <c r="BZ62" s="715">
        <f>BZ16/BZ28</f>
        <v>6.5030816771949063</v>
      </c>
      <c r="CA62" s="713">
        <f>CA16/CA28</f>
        <v>6.5030816771949063</v>
      </c>
      <c r="CB62" s="97"/>
      <c r="CC62" s="715">
        <f>CC16/CC28</f>
        <v>7.1125312316041711</v>
      </c>
      <c r="CD62" s="715">
        <f>CD16/CD28</f>
        <v>7.0601286456526831</v>
      </c>
      <c r="CE62" s="715">
        <f>CE16/CE28</f>
        <v>7.2132726624889276</v>
      </c>
      <c r="CF62" s="715">
        <f>CF16/CF28</f>
        <v>6.7432556229119456</v>
      </c>
      <c r="CG62" s="713">
        <f>CG16/CG28</f>
        <v>6.7432556229119456</v>
      </c>
      <c r="CH62" s="97"/>
      <c r="CI62" s="715">
        <f>CI16/CI28</f>
        <v>7.4747582765371181</v>
      </c>
      <c r="CJ62" s="715">
        <f>CJ16/CJ28</f>
        <v>7.3577776521404434</v>
      </c>
      <c r="CK62" s="715">
        <f>CK16/CK28</f>
        <v>7.4657385814590222</v>
      </c>
      <c r="CL62" s="715">
        <f>CL16/CL28</f>
        <v>6.9170074175720107</v>
      </c>
      <c r="CM62" s="713">
        <f>CM16/CM28</f>
        <v>6.9170074175720107</v>
      </c>
      <c r="CN62" s="97"/>
      <c r="CO62" s="97"/>
      <c r="CP62"/>
      <c r="CQ62"/>
      <c r="CR62"/>
      <c r="CS62"/>
      <c r="CT62"/>
      <c r="CU62"/>
      <c r="CV62" s="97"/>
    </row>
    <row r="63" spans="1:100" s="24" customFormat="1" hidden="1" outlineLevel="1">
      <c r="A63" s="716" t="s">
        <v>354</v>
      </c>
      <c r="B63" s="717"/>
      <c r="C63" s="717"/>
      <c r="D63" s="717"/>
      <c r="E63" s="717"/>
      <c r="F63" s="712"/>
      <c r="G63" s="718">
        <f>(G10+G13)/G28</f>
        <v>1.5351667744982793</v>
      </c>
      <c r="H63" s="712"/>
      <c r="I63" s="719">
        <f>(I10+I13)/I28</f>
        <v>1.9080630854385465</v>
      </c>
      <c r="J63" s="719">
        <f>(J10+J13)/J28</f>
        <v>1.8288415108501153</v>
      </c>
      <c r="K63" s="719">
        <f>(K10+K13)/K28</f>
        <v>1.7740536597227854</v>
      </c>
      <c r="L63" s="719">
        <f>(L10+L13)/L28</f>
        <v>2.4879795237404401</v>
      </c>
      <c r="M63" s="718">
        <f>(M10+M13)/M28</f>
        <v>2.4879795237404401</v>
      </c>
      <c r="N63" s="712"/>
      <c r="O63" s="719">
        <f>(O10+O13)/O28</f>
        <v>2.0685432343138253</v>
      </c>
      <c r="P63" s="719">
        <f>(P10+P13)/P28</f>
        <v>2.0010622450611852</v>
      </c>
      <c r="Q63" s="719">
        <f>(Q10+Q13)/Q28</f>
        <v>2.0077970634916964</v>
      </c>
      <c r="R63" s="719">
        <f>(R10+R13)/R28</f>
        <v>2.3937673607591092</v>
      </c>
      <c r="S63" s="718">
        <f>(S10+S13)/S28</f>
        <v>2.3937673607591092</v>
      </c>
      <c r="T63" s="712"/>
      <c r="U63" s="719">
        <f>(U10+U13)/U28</f>
        <v>3.2965852347937776</v>
      </c>
      <c r="V63" s="719">
        <f>(V10+V13)/V28</f>
        <v>2.947414437448113</v>
      </c>
      <c r="W63" s="719">
        <f>(W10+W13)/W28</f>
        <v>2.8141635322584504</v>
      </c>
      <c r="X63" s="719">
        <f>(X10+X13)/X28</f>
        <v>3.381251781780485</v>
      </c>
      <c r="Y63" s="718">
        <f>(Y10+Y13)/Y28</f>
        <v>3.381251781780485</v>
      </c>
      <c r="Z63" s="712"/>
      <c r="AA63" s="719">
        <f>(AA10+AA13)/AA28</f>
        <v>1.9385503798366162</v>
      </c>
      <c r="AB63" s="719">
        <f>(AB10+AB13)/AB28</f>
        <v>3.1821475421412946</v>
      </c>
      <c r="AC63" s="719">
        <f>(AC10+AC13)/AC28</f>
        <v>2.5573244778963606</v>
      </c>
      <c r="AD63" s="719">
        <f>(AD10+AD13)/AD28</f>
        <v>2.7388890827314523</v>
      </c>
      <c r="AE63" s="718">
        <f>(AE10+AE13)/AE28</f>
        <v>2.7388890827314523</v>
      </c>
      <c r="AF63" s="712"/>
      <c r="AG63" s="719">
        <f>(AG10+AG13)/AG28</f>
        <v>2.6335705239841243</v>
      </c>
      <c r="AH63" s="719">
        <f>(AH10+AH13)/AH28</f>
        <v>2.4212070277153828</v>
      </c>
      <c r="AI63" s="719">
        <f>(AI10+AI13)/AI28</f>
        <v>2.3591735911887248</v>
      </c>
      <c r="AJ63" s="719">
        <f>(AJ10+AJ13)/AJ28</f>
        <v>3.8544607549549621</v>
      </c>
      <c r="AK63" s="718">
        <f>(AK10+AK13)/AK28</f>
        <v>3.8544607549549621</v>
      </c>
      <c r="AL63" s="712"/>
      <c r="AM63" s="719">
        <f>(AM10+AM13)/AM28</f>
        <v>4.125406298624771</v>
      </c>
      <c r="AN63" s="719">
        <f>(AN10+AN13)/AN28</f>
        <v>4.2424071434436668</v>
      </c>
      <c r="AO63" s="719">
        <f>(AO10+AO13)/AO28</f>
        <v>4.2055877006475901</v>
      </c>
      <c r="AP63" s="719">
        <f>(AP10+AP13)/AP28</f>
        <v>4.5836068196549151</v>
      </c>
      <c r="AQ63" s="718">
        <f>(AQ10+AQ13)/AQ28</f>
        <v>4.5836068196549151</v>
      </c>
      <c r="AR63" s="712"/>
      <c r="AS63" s="719">
        <f>(AS10+AS13)/AS28</f>
        <v>3.8576588507446345</v>
      </c>
      <c r="AT63" s="719">
        <f>(AT10+AT13)/AT28</f>
        <v>3.9009720984207599</v>
      </c>
      <c r="AU63" s="719">
        <f>(AU10+AU13)/AU28</f>
        <v>4.0724308460361476</v>
      </c>
      <c r="AV63" s="719">
        <f>(AV10+AV13)/AV28</f>
        <v>4.2796172594331114</v>
      </c>
      <c r="AW63" s="718">
        <f>(AW10+AW13)/AW28</f>
        <v>4.2796172594331114</v>
      </c>
      <c r="AX63" s="712"/>
      <c r="AY63" s="719">
        <f>(AY10+AY13)/AY28</f>
        <v>4.6491175940765608</v>
      </c>
      <c r="AZ63" s="719">
        <f>(AZ10+AZ13)/AZ28</f>
        <v>4.7841681086677381</v>
      </c>
      <c r="BA63" s="719">
        <f>(BA10+BA13)/BA28</f>
        <v>5.0882071968863007</v>
      </c>
      <c r="BB63" s="719">
        <f>(BB10+BB13)/BB28</f>
        <v>5.0836731220615663</v>
      </c>
      <c r="BC63" s="718">
        <f>(BC10+BC13)/BC28</f>
        <v>5.0836731220615663</v>
      </c>
      <c r="BD63" s="712"/>
      <c r="BE63" s="719">
        <f>(BE10+BE13)/BE28</f>
        <v>5.6194225521439618</v>
      </c>
      <c r="BF63" s="719">
        <f>(BF10+BF13)/BF28</f>
        <v>5.8280055261727801</v>
      </c>
      <c r="BG63" s="719">
        <f>(BG10+BG13)/BG28</f>
        <v>6.0727178580984447</v>
      </c>
      <c r="BH63" s="719">
        <f>(BH10+BH13)/BH28</f>
        <v>6.3467974577232136</v>
      </c>
      <c r="BI63" s="718">
        <f>(BI10+BI13)/BI28</f>
        <v>6.3467974577232136</v>
      </c>
      <c r="BJ63" s="712"/>
      <c r="BK63" s="719">
        <f>(BK10+BK13)/BK28</f>
        <v>5.4225851812132326</v>
      </c>
      <c r="BL63" s="719">
        <f>(BL10+BL13)/BL28</f>
        <v>5.4933681724321088</v>
      </c>
      <c r="BM63" s="719">
        <f>(BM10+BM13)/BM28</f>
        <v>5.6049182283745793</v>
      </c>
      <c r="BN63" s="719">
        <f>(BN10+BN13)/BN28</f>
        <v>6.4793873534414352</v>
      </c>
      <c r="BO63" s="718">
        <f>(BO10+BO13)/BO28</f>
        <v>6.4793873534414352</v>
      </c>
      <c r="BP63" s="712"/>
      <c r="BQ63" s="719">
        <f>(BQ10+BQ13)/BQ28</f>
        <v>6.8893846873679019</v>
      </c>
      <c r="BR63" s="719">
        <f>(BR10+BR13)/BR28</f>
        <v>6.6867672864099168</v>
      </c>
      <c r="BS63" s="719">
        <f>(BS10+BS13)/BS28</f>
        <v>6.6746601950306488</v>
      </c>
      <c r="BT63" s="719">
        <f>(BT10+BT13)/BT28</f>
        <v>6.176843985558337</v>
      </c>
      <c r="BU63" s="718">
        <f>(BU10+BU13)/BU28</f>
        <v>6.176843985558337</v>
      </c>
      <c r="BV63" s="97"/>
      <c r="BW63" s="719">
        <f>(BW10+BW13)/BW28</f>
        <v>6.535860576431249</v>
      </c>
      <c r="BX63" s="719">
        <f>(BX10+BX13)/BX28</f>
        <v>6.3512952688217847</v>
      </c>
      <c r="BY63" s="719">
        <f>(BY10+BY13)/BY28</f>
        <v>6.3537345670685488</v>
      </c>
      <c r="BZ63" s="719">
        <f>(BZ10+BZ13)/BZ28</f>
        <v>5.8918049549315379</v>
      </c>
      <c r="CA63" s="718">
        <f>(CA10+CA13)/CA28</f>
        <v>5.8918049549315379</v>
      </c>
      <c r="CB63" s="97"/>
      <c r="CC63" s="719">
        <f>(CC10+CC13)/CC28</f>
        <v>6.3481328640849286</v>
      </c>
      <c r="CD63" s="719">
        <f>(CD10+CD13)/CD28</f>
        <v>6.3077797691312725</v>
      </c>
      <c r="CE63" s="719">
        <f>(CE10+CE13)/CE28</f>
        <v>6.4588793219764407</v>
      </c>
      <c r="CF63" s="719">
        <f>(CF10+CF13)/CF28</f>
        <v>6.1166020125790697</v>
      </c>
      <c r="CG63" s="718">
        <f>(CG10+CG13)/CG28</f>
        <v>6.1166020125790697</v>
      </c>
      <c r="CH63" s="97"/>
      <c r="CI63" s="719">
        <f>(CI10+CI13)/CI28</f>
        <v>6.6901766165223098</v>
      </c>
      <c r="CJ63" s="719">
        <f>(CJ10+CJ13)/CJ28</f>
        <v>6.5880137181457812</v>
      </c>
      <c r="CK63" s="719">
        <f>(CK10+CK13)/CK28</f>
        <v>6.691837550470118</v>
      </c>
      <c r="CL63" s="719">
        <f>(CL10+CL13)/CL28</f>
        <v>6.2747681382038483</v>
      </c>
      <c r="CM63" s="718">
        <f>(CM10+CM13)/CM28</f>
        <v>6.2747681382038483</v>
      </c>
      <c r="CN63" s="97"/>
      <c r="CO63" s="97"/>
      <c r="CP63"/>
      <c r="CQ63"/>
      <c r="CR63"/>
      <c r="CS63"/>
      <c r="CT63"/>
      <c r="CU63"/>
      <c r="CV63" s="97"/>
    </row>
    <row r="64" spans="1:100" s="24" customFormat="1" hidden="1" outlineLevel="1">
      <c r="A64" s="720" t="s">
        <v>355</v>
      </c>
      <c r="B64" s="721"/>
      <c r="C64" s="721"/>
      <c r="D64" s="721"/>
      <c r="E64" s="721"/>
      <c r="F64" s="712"/>
      <c r="G64" s="718">
        <f>G10/G28</f>
        <v>1.0525185515936297</v>
      </c>
      <c r="H64" s="712"/>
      <c r="I64" s="719">
        <f>I10/I28</f>
        <v>1.3456713028668748</v>
      </c>
      <c r="J64" s="719">
        <f>J10/J28</f>
        <v>1.3379328006391045</v>
      </c>
      <c r="K64" s="719">
        <f>K10/K28</f>
        <v>1.33984190886193</v>
      </c>
      <c r="L64" s="719">
        <f>L10/L28</f>
        <v>1.4801834849709503</v>
      </c>
      <c r="M64" s="718">
        <f>M10/M28</f>
        <v>1.4801834849709503</v>
      </c>
      <c r="N64" s="712"/>
      <c r="O64" s="719">
        <f>O10/O28</f>
        <v>1.2553946468336561</v>
      </c>
      <c r="P64" s="719">
        <f>P10/P28</f>
        <v>1.2638991642005919</v>
      </c>
      <c r="Q64" s="719">
        <f>Q10/Q28</f>
        <v>1.337642926883442</v>
      </c>
      <c r="R64" s="719">
        <f>R10/R28</f>
        <v>1.5973342997911641</v>
      </c>
      <c r="S64" s="718">
        <f>S10/S28</f>
        <v>1.5973342997911641</v>
      </c>
      <c r="T64" s="712"/>
      <c r="U64" s="719">
        <f>U10/U28</f>
        <v>2.267925715259302</v>
      </c>
      <c r="V64" s="719">
        <f>V10/V28</f>
        <v>2.0808972587438044</v>
      </c>
      <c r="W64" s="719">
        <f>W10/W28</f>
        <v>2.0054574638844298</v>
      </c>
      <c r="X64" s="719">
        <f>X10/X28</f>
        <v>2.4528158610859143</v>
      </c>
      <c r="Y64" s="718">
        <f>Y10/Y28</f>
        <v>2.4528158610859143</v>
      </c>
      <c r="Z64" s="712"/>
      <c r="AA64" s="719">
        <f>AA10/AA28</f>
        <v>1.4507217663624343</v>
      </c>
      <c r="AB64" s="719">
        <f>AB10/AB28</f>
        <v>2.4003513825254612</v>
      </c>
      <c r="AC64" s="719">
        <f>AC10/AC28</f>
        <v>1.9720251197614187</v>
      </c>
      <c r="AD64" s="719">
        <f>AD10/AD28</f>
        <v>2.1289745340717072</v>
      </c>
      <c r="AE64" s="718">
        <f>AE10/AE28</f>
        <v>2.1289745340717072</v>
      </c>
      <c r="AF64" s="712"/>
      <c r="AG64" s="719">
        <f>AG10/AG28</f>
        <v>2.0879045108386305</v>
      </c>
      <c r="AH64" s="719">
        <f>AH10/AH28</f>
        <v>1.9290840385390842</v>
      </c>
      <c r="AI64" s="719">
        <f>AI10/AI28</f>
        <v>1.8870671033740596</v>
      </c>
      <c r="AJ64" s="719">
        <f>AJ10/AJ28</f>
        <v>3.05215551263084</v>
      </c>
      <c r="AK64" s="718">
        <f>AK10/AK28</f>
        <v>3.05215551263084</v>
      </c>
      <c r="AL64" s="712"/>
      <c r="AM64" s="719">
        <f>AM10/AM28</f>
        <v>3.3339638388981387</v>
      </c>
      <c r="AN64" s="719">
        <f>AN10/AN28</f>
        <v>3.4734426353765526</v>
      </c>
      <c r="AO64" s="719">
        <f>AO10/AO28</f>
        <v>3.447135750572119</v>
      </c>
      <c r="AP64" s="719">
        <f>AP10/AP28</f>
        <v>3.6995930523534866</v>
      </c>
      <c r="AQ64" s="718">
        <f>AQ10/AQ28</f>
        <v>3.6995930523534866</v>
      </c>
      <c r="AR64" s="712"/>
      <c r="AS64" s="719">
        <f>AS10/AS28</f>
        <v>3.1708466792597463</v>
      </c>
      <c r="AT64" s="719">
        <f>AT10/AT28</f>
        <v>3.2250121932760387</v>
      </c>
      <c r="AU64" s="719">
        <f>AU10/AU28</f>
        <v>3.3880385531934154</v>
      </c>
      <c r="AV64" s="719">
        <f>AV10/AV28</f>
        <v>3.5340537659367777</v>
      </c>
      <c r="AW64" s="718">
        <f>AW10/AW28</f>
        <v>3.5340537659367777</v>
      </c>
      <c r="AX64" s="712"/>
      <c r="AY64" s="719">
        <f>AY10/AY28</f>
        <v>3.9167290346183918</v>
      </c>
      <c r="AZ64" s="719">
        <f>AZ10/AZ28</f>
        <v>4.0404559040340668</v>
      </c>
      <c r="BA64" s="719">
        <f>BA10/BA28</f>
        <v>4.3114409072420399</v>
      </c>
      <c r="BB64" s="719">
        <f>BB10/BB28</f>
        <v>4.2534392528666345</v>
      </c>
      <c r="BC64" s="718">
        <f>BC10/BC28</f>
        <v>4.2534392528666345</v>
      </c>
      <c r="BD64" s="712"/>
      <c r="BE64" s="719">
        <f>BE10/BE28</f>
        <v>4.7805812644314258</v>
      </c>
      <c r="BF64" s="719">
        <f>BF10/BF28</f>
        <v>4.9746768107400632</v>
      </c>
      <c r="BG64" s="719">
        <f>BG10/BG28</f>
        <v>5.2223479839307334</v>
      </c>
      <c r="BH64" s="719">
        <f>BH10/BH28</f>
        <v>5.4063395480866623</v>
      </c>
      <c r="BI64" s="718">
        <f>BI10/BI28</f>
        <v>5.4063395480866623</v>
      </c>
      <c r="BJ64" s="712"/>
      <c r="BK64" s="719">
        <f>BK10/BK28</f>
        <v>4.6922040268201588</v>
      </c>
      <c r="BL64" s="719">
        <f>BL10/BL28</f>
        <v>4.7849359165698484</v>
      </c>
      <c r="BM64" s="719">
        <f>BM10/BM28</f>
        <v>4.9157470599517632</v>
      </c>
      <c r="BN64" s="719">
        <f>BN10/BN28</f>
        <v>5.5987161741924956</v>
      </c>
      <c r="BO64" s="718">
        <f>BO10/BO28</f>
        <v>5.5987161741924956</v>
      </c>
      <c r="BP64" s="712"/>
      <c r="BQ64" s="719">
        <f>BQ10/BQ28</f>
        <v>5.9545415441532716</v>
      </c>
      <c r="BR64" s="719">
        <f>BR10/BR28</f>
        <v>5.7806178034874982</v>
      </c>
      <c r="BS64" s="719">
        <f>BS10/BS28</f>
        <v>5.8038133199692377</v>
      </c>
      <c r="BT64" s="719">
        <f>BT10/BT28</f>
        <v>5.2706635601582708</v>
      </c>
      <c r="BU64" s="718">
        <f>BU10/BU28</f>
        <v>5.2706635601582708</v>
      </c>
      <c r="BV64" s="97"/>
      <c r="BW64" s="719">
        <f>BW10/BW28</f>
        <v>5.5512095639550187</v>
      </c>
      <c r="BX64" s="719">
        <f>BX10/BX28</f>
        <v>5.3979966626472109</v>
      </c>
      <c r="BY64" s="719">
        <f>BY10/BY28</f>
        <v>5.4354471624956249</v>
      </c>
      <c r="BZ64" s="719">
        <f>BZ10/BZ28</f>
        <v>4.939595864209422</v>
      </c>
      <c r="CA64" s="718">
        <f>CA10/CA28</f>
        <v>4.939595864209422</v>
      </c>
      <c r="CB64" s="97"/>
      <c r="CC64" s="719">
        <f>CC10/CC28</f>
        <v>5.3331941591748828</v>
      </c>
      <c r="CD64" s="719">
        <f>CD10/CD28</f>
        <v>5.3278921781146655</v>
      </c>
      <c r="CE64" s="719">
        <f>CE10/CE28</f>
        <v>5.5119978009669079</v>
      </c>
      <c r="CF64" s="719">
        <f>CF10/CF28</f>
        <v>5.1382289991214023</v>
      </c>
      <c r="CG64" s="718">
        <f>CG10/CG28</f>
        <v>5.1382289991214023</v>
      </c>
      <c r="CH64" s="97"/>
      <c r="CI64" s="719">
        <f>CI10/CI28</f>
        <v>5.644474325086648</v>
      </c>
      <c r="CJ64" s="719">
        <f>CJ10/CJ28</f>
        <v>5.5812277353573112</v>
      </c>
      <c r="CK64" s="719">
        <f>CK10/CK28</f>
        <v>5.7158002244901285</v>
      </c>
      <c r="CL64" s="719">
        <f>CL10/CL28</f>
        <v>5.2697631372654223</v>
      </c>
      <c r="CM64" s="718">
        <f>CM10/CM28</f>
        <v>5.2697631372654223</v>
      </c>
      <c r="CN64" s="97"/>
      <c r="CO64" s="97"/>
      <c r="CP64"/>
      <c r="CQ64"/>
      <c r="CR64"/>
      <c r="CS64"/>
      <c r="CT64"/>
      <c r="CU64"/>
      <c r="CV64" s="97"/>
    </row>
    <row r="65" spans="1:100" s="24" customFormat="1" hidden="1" outlineLevel="1">
      <c r="A65" s="722" t="s">
        <v>356</v>
      </c>
      <c r="B65" s="721"/>
      <c r="C65" s="721"/>
      <c r="D65" s="721"/>
      <c r="E65" s="721"/>
      <c r="F65" s="712"/>
      <c r="G65" s="723">
        <f>(G16-G14)/G28</f>
        <v>1.6116634317182892</v>
      </c>
      <c r="H65" s="724"/>
      <c r="I65" s="725">
        <f>(I16-I14)/I28</f>
        <v>1.9955772778881633</v>
      </c>
      <c r="J65" s="725">
        <f>(J16-J14)/J28</f>
        <v>1.9060832478348899</v>
      </c>
      <c r="K65" s="725">
        <f>(K16-K14)/K28</f>
        <v>1.8430121375326858</v>
      </c>
      <c r="L65" s="725">
        <f>(L16-L14)/L28</f>
        <v>2.7054741525218819</v>
      </c>
      <c r="M65" s="723">
        <f>(M16-M14)/M28</f>
        <v>2.7054741525218819</v>
      </c>
      <c r="N65" s="724"/>
      <c r="O65" s="725">
        <f>(O16-O14)/O28</f>
        <v>2.2473983728004425</v>
      </c>
      <c r="P65" s="725">
        <f>(P16-P14)/P28</f>
        <v>2.1543354594897224</v>
      </c>
      <c r="Q65" s="725">
        <f>(Q16-Q14)/Q28</f>
        <v>2.1395859458508983</v>
      </c>
      <c r="R65" s="725">
        <f>(R16-R14)/R28</f>
        <v>2.5184759027594739</v>
      </c>
      <c r="S65" s="723">
        <f>(S16-S14)/S28</f>
        <v>2.5184759027594739</v>
      </c>
      <c r="T65" s="724"/>
      <c r="U65" s="725">
        <f>(U16-U14)/U28</f>
        <v>3.4730737473951852</v>
      </c>
      <c r="V65" s="725">
        <f>(V16-V14)/V28</f>
        <v>3.0892597587782804</v>
      </c>
      <c r="W65" s="725">
        <f>(W16-W14)/W28</f>
        <v>2.946714261757025</v>
      </c>
      <c r="X65" s="725">
        <f>(X16-X14)/X28</f>
        <v>3.5825864973435273</v>
      </c>
      <c r="Y65" s="723">
        <f>(Y16-Y14)/Y28</f>
        <v>3.5825864973435273</v>
      </c>
      <c r="Z65" s="724"/>
      <c r="AA65" s="725">
        <f>(AA16-AA14)/AA28</f>
        <v>2.0376890631348354</v>
      </c>
      <c r="AB65" s="725">
        <f>(AB16-AB14)/AB28</f>
        <v>3.3315600142949782</v>
      </c>
      <c r="AC65" s="725">
        <f>(AC16-AC14)/AC28</f>
        <v>2.6703386345959821</v>
      </c>
      <c r="AD65" s="725">
        <f>(AD16-AD14)/AD28</f>
        <v>2.8731455497347405</v>
      </c>
      <c r="AE65" s="723">
        <f>(AE16-AE14)/AE28</f>
        <v>2.8731455497347405</v>
      </c>
      <c r="AF65" s="724"/>
      <c r="AG65" s="725">
        <f>(AG16-AG14)/AG28</f>
        <v>2.7613202875904506</v>
      </c>
      <c r="AH65" s="725">
        <f>(AH16-AH14)/AH28</f>
        <v>2.5337923695051803</v>
      </c>
      <c r="AI65" s="725">
        <f>(AI16-AI14)/AI28</f>
        <v>2.4629984287914204</v>
      </c>
      <c r="AJ65" s="725">
        <f>(AJ16-AJ14)/AJ28</f>
        <v>4.0221976749259287</v>
      </c>
      <c r="AK65" s="723">
        <f>(AK16-AK14)/AK28</f>
        <v>4.0221976749259287</v>
      </c>
      <c r="AL65" s="724"/>
      <c r="AM65" s="725">
        <f>(AM16-AM14)/AM28</f>
        <v>4.3026720294590097</v>
      </c>
      <c r="AN65" s="725">
        <f>(AN16-AN14)/AN28</f>
        <v>4.4249367832185502</v>
      </c>
      <c r="AO65" s="725">
        <f>(AO16-AO14)/AO28</f>
        <v>4.406744518202327</v>
      </c>
      <c r="AP65" s="725">
        <f>(AP16-AP14)/AP28</f>
        <v>4.7452372357096566</v>
      </c>
      <c r="AQ65" s="723">
        <f>(AQ16-AQ14)/AQ28</f>
        <v>4.7452372357096566</v>
      </c>
      <c r="AR65" s="724"/>
      <c r="AS65" s="725">
        <f>(AS16-AS14)/AS28</f>
        <v>4.0056258212877793</v>
      </c>
      <c r="AT65" s="725">
        <f>(AT16-AT14)/AT28</f>
        <v>4.0495837467834974</v>
      </c>
      <c r="AU65" s="725">
        <f>(AU16-AU14)/AU28</f>
        <v>4.2304679544421999</v>
      </c>
      <c r="AV65" s="725">
        <f>(AV16-AV14)/AV28</f>
        <v>4.4830268485801987</v>
      </c>
      <c r="AW65" s="723">
        <f>(AW16-AW14)/AW28</f>
        <v>4.4830268485801987</v>
      </c>
      <c r="AX65" s="724"/>
      <c r="AY65" s="725">
        <f>(AY16-AY14)/AY28</f>
        <v>4.8627372690451285</v>
      </c>
      <c r="AZ65" s="725">
        <f>(AZ16-AZ14)/AZ28</f>
        <v>5.0010151931427833</v>
      </c>
      <c r="BA65" s="725">
        <f>(BA16-BA14)/BA28</f>
        <v>5.2468327505718779</v>
      </c>
      <c r="BB65" s="725">
        <f>(BB16-BB14)/BB28</f>
        <v>5.2300009218615928</v>
      </c>
      <c r="BC65" s="723">
        <f>(BC16-BC14)/BC28</f>
        <v>5.2300009218615928</v>
      </c>
      <c r="BD65" s="724"/>
      <c r="BE65" s="725">
        <f>(BE16-BE14)/BE28</f>
        <v>5.7698433295803673</v>
      </c>
      <c r="BF65" s="725">
        <f>(BF16-BF14)/BF28</f>
        <v>5.9691257625276499</v>
      </c>
      <c r="BG65" s="725">
        <f>(BG16-BG14)/BG28</f>
        <v>6.2197897597887204</v>
      </c>
      <c r="BH65" s="725">
        <f>(BH16-BH14)/BH28</f>
        <v>6.4820812536876282</v>
      </c>
      <c r="BI65" s="723">
        <f>(BI16-BI14)/BI28</f>
        <v>6.4820812536876282</v>
      </c>
      <c r="BJ65" s="724"/>
      <c r="BK65" s="725">
        <f>(BK16-BK14)/BK28</f>
        <v>5.5336715115681301</v>
      </c>
      <c r="BL65" s="725">
        <f>(BL16-BL14)/BL28</f>
        <v>5.6025679293543904</v>
      </c>
      <c r="BM65" s="725">
        <f>(BM16-BM14)/BM28</f>
        <v>5.7096982703288832</v>
      </c>
      <c r="BN65" s="725">
        <f>(BN16-BN14)/BN28</f>
        <v>6.5986864789155293</v>
      </c>
      <c r="BO65" s="723">
        <f>(BO16-BO14)/BO28</f>
        <v>6.5986864789155293</v>
      </c>
      <c r="BP65" s="724"/>
      <c r="BQ65" s="725">
        <f>(BQ16-BQ14)/BQ28</f>
        <v>7.035601026267746</v>
      </c>
      <c r="BR65" s="725">
        <f>(BR16-BR14)/BR28</f>
        <v>6.8308157851654947</v>
      </c>
      <c r="BS65" s="725">
        <f>(BS16-BS14)/BS28</f>
        <v>6.8113791430549018</v>
      </c>
      <c r="BT65" s="725">
        <f>(BT16-BT14)/BT28</f>
        <v>6.304265353777974</v>
      </c>
      <c r="BU65" s="723">
        <f>(BU16-BU14)/BU28</f>
        <v>6.304265353777974</v>
      </c>
      <c r="BV65" s="97"/>
      <c r="BW65" s="725">
        <f>(BW16-BW14)/BW28</f>
        <v>6.6904604886335317</v>
      </c>
      <c r="BX65" s="725">
        <f>(BX16-BX14)/BX28</f>
        <v>6.5034167624614314</v>
      </c>
      <c r="BY65" s="725">
        <f>(BY16-BY14)/BY28</f>
        <v>6.4985208557115293</v>
      </c>
      <c r="BZ65" s="725">
        <f>(BZ16-BZ14)/BZ28</f>
        <v>6.0267931645367607</v>
      </c>
      <c r="CA65" s="723">
        <f>(CA16-CA14)/CA28</f>
        <v>6.0267931645367607</v>
      </c>
      <c r="CB65" s="97"/>
      <c r="CC65" s="725">
        <f>(CC16-CC14)/CC28</f>
        <v>6.5098976436398068</v>
      </c>
      <c r="CD65" s="725">
        <f>(CD16-CD14)/CD28</f>
        <v>6.4667035463456424</v>
      </c>
      <c r="CE65" s="725">
        <f>(CE16-CE14)/CE28</f>
        <v>6.6107361297634464</v>
      </c>
      <c r="CF65" s="725">
        <f>(CF16-CF14)/CF28</f>
        <v>6.258255715424986</v>
      </c>
      <c r="CG65" s="723">
        <f>(CG16-CG14)/CG28</f>
        <v>6.258255715424986</v>
      </c>
      <c r="CH65" s="97"/>
      <c r="CI65" s="725">
        <f>(CI16-CI14)/CI28</f>
        <v>6.8592710171691635</v>
      </c>
      <c r="CJ65" s="725">
        <f>(CJ16-CJ14)/CJ28</f>
        <v>6.7538636346250049</v>
      </c>
      <c r="CK65" s="725">
        <f>(CK16-CK14)/CK28</f>
        <v>6.8509431737725155</v>
      </c>
      <c r="CL65" s="725">
        <f>(CL16-CL14)/CL28</f>
        <v>6.4232335223610626</v>
      </c>
      <c r="CM65" s="723">
        <f>(CM16-CM14)/CM28</f>
        <v>6.4232335223610626</v>
      </c>
      <c r="CN65" s="97"/>
      <c r="CO65" s="97"/>
      <c r="CP65"/>
      <c r="CQ65"/>
      <c r="CR65"/>
      <c r="CS65"/>
      <c r="CT65"/>
      <c r="CU65"/>
      <c r="CV65" s="97"/>
    </row>
    <row r="66" spans="1:100" s="24" customFormat="1" collapsed="1">
      <c r="A66" s="128"/>
      <c r="B66" s="128"/>
      <c r="C66" s="128"/>
      <c r="D66" s="128"/>
      <c r="E66" s="128"/>
      <c r="F66" s="34"/>
      <c r="G66" s="693"/>
      <c r="H66" s="693"/>
      <c r="I66" s="693"/>
      <c r="J66" s="693"/>
      <c r="K66" s="693"/>
      <c r="L66" s="693"/>
      <c r="M66" s="693"/>
      <c r="N66" s="693"/>
      <c r="O66" s="693"/>
      <c r="P66" s="693"/>
      <c r="Q66" s="693"/>
      <c r="R66" s="693"/>
      <c r="S66" s="694"/>
      <c r="T66" s="693"/>
      <c r="U66" s="693"/>
      <c r="V66" s="693"/>
      <c r="W66" s="693"/>
      <c r="X66" s="693"/>
      <c r="Y66" s="694"/>
      <c r="Z66" s="693"/>
      <c r="AA66" s="693"/>
      <c r="AB66" s="693"/>
      <c r="AC66" s="693"/>
      <c r="AD66" s="693"/>
      <c r="AE66" s="695"/>
      <c r="AF66" s="693"/>
      <c r="AG66" s="693"/>
      <c r="AH66" s="693"/>
      <c r="AI66" s="693"/>
      <c r="AJ66" s="693"/>
      <c r="AK66" s="695"/>
      <c r="AL66" s="693"/>
      <c r="AM66" s="693"/>
      <c r="AN66" s="693"/>
      <c r="AO66" s="693"/>
      <c r="AP66" s="693"/>
      <c r="AQ66" s="694"/>
      <c r="AR66" s="693"/>
      <c r="AS66" s="693"/>
      <c r="AT66" s="693"/>
      <c r="AU66" s="693"/>
      <c r="AV66" s="693"/>
      <c r="AW66" s="694"/>
      <c r="AX66" s="693"/>
      <c r="AY66" s="693"/>
      <c r="AZ66" s="693"/>
      <c r="BA66" s="693"/>
      <c r="BB66" s="693"/>
      <c r="BC66" s="694"/>
      <c r="BD66" s="693"/>
      <c r="BE66" s="693"/>
      <c r="BF66" s="693"/>
      <c r="BG66" s="693"/>
      <c r="BH66" s="693"/>
      <c r="BI66" s="694"/>
      <c r="BJ66" s="693"/>
      <c r="BK66" s="693"/>
      <c r="BL66" s="693"/>
      <c r="BM66" s="693"/>
      <c r="BN66" s="693"/>
      <c r="BO66" s="694"/>
      <c r="BP66" s="693"/>
      <c r="BQ66" s="693"/>
      <c r="BR66" s="693"/>
      <c r="BS66" s="693"/>
      <c r="BT66" s="693"/>
      <c r="BU66" s="694"/>
      <c r="BV66" s="97"/>
      <c r="BW66" s="693"/>
      <c r="BX66" s="693"/>
      <c r="BY66" s="693"/>
      <c r="BZ66" s="693"/>
      <c r="CA66" s="694"/>
      <c r="CB66" s="97"/>
      <c r="CC66" s="693"/>
      <c r="CD66" s="693"/>
      <c r="CE66" s="693"/>
      <c r="CF66" s="693"/>
      <c r="CG66" s="694"/>
      <c r="CH66" s="97"/>
      <c r="CI66" s="693"/>
      <c r="CJ66" s="693"/>
      <c r="CK66" s="693"/>
      <c r="CL66" s="693"/>
      <c r="CM66" s="694"/>
      <c r="CN66" s="97"/>
      <c r="CO66" s="97"/>
      <c r="CP66"/>
      <c r="CQ66"/>
      <c r="CR66"/>
      <c r="CS66"/>
      <c r="CT66"/>
      <c r="CU66"/>
      <c r="CV66" s="97"/>
    </row>
    <row r="67" spans="1:100" s="24" customFormat="1">
      <c r="A67" s="711" t="s">
        <v>357</v>
      </c>
      <c r="B67" s="711"/>
      <c r="C67" s="711"/>
      <c r="D67" s="711"/>
      <c r="E67" s="711"/>
      <c r="F67" s="34"/>
      <c r="G67" s="693"/>
      <c r="H67" s="693"/>
      <c r="I67" s="693"/>
      <c r="J67" s="693"/>
      <c r="K67" s="693"/>
      <c r="L67" s="693"/>
      <c r="M67" s="693"/>
      <c r="N67" s="693"/>
      <c r="O67" s="693"/>
      <c r="P67" s="693"/>
      <c r="Q67" s="693"/>
      <c r="R67" s="693"/>
      <c r="S67" s="694"/>
      <c r="T67" s="693"/>
      <c r="U67" s="693"/>
      <c r="V67" s="693"/>
      <c r="W67" s="693"/>
      <c r="X67" s="693"/>
      <c r="Y67" s="694"/>
      <c r="Z67" s="693"/>
      <c r="AA67" s="693"/>
      <c r="AB67" s="693"/>
      <c r="AC67" s="693"/>
      <c r="AD67" s="693"/>
      <c r="AE67" s="695"/>
      <c r="AF67" s="693"/>
      <c r="AG67" s="693"/>
      <c r="AH67" s="693"/>
      <c r="AI67" s="693"/>
      <c r="AJ67" s="693"/>
      <c r="AK67" s="695"/>
      <c r="AL67" s="693"/>
      <c r="AM67" s="693">
        <f>+AM69-AG69</f>
        <v>3.2556199967060877</v>
      </c>
      <c r="AN67" s="693">
        <f>+AN69-AH69</f>
        <v>2.0942355446358931</v>
      </c>
      <c r="AO67" s="693">
        <f>+AO69-AI69</f>
        <v>1.10572650399601</v>
      </c>
      <c r="AP67" s="693">
        <f>+AP69-AJ69</f>
        <v>-1.2006788073916113</v>
      </c>
      <c r="AQ67" s="694"/>
      <c r="AR67" s="693"/>
      <c r="AS67" s="693">
        <f>+AS69-AM69</f>
        <v>5.0541403099887816</v>
      </c>
      <c r="AT67" s="693">
        <f>+AT69-AN69</f>
        <v>2.2450071373236398</v>
      </c>
      <c r="AU67" s="693">
        <f>+AU69-AO69</f>
        <v>-1.8465464074911893</v>
      </c>
      <c r="AV67" s="693">
        <f>+AV69-AP69</f>
        <v>-1.7832509894421804</v>
      </c>
      <c r="AW67" s="694"/>
      <c r="AX67" s="693"/>
      <c r="AY67" s="693"/>
      <c r="AZ67" s="693"/>
      <c r="BA67" s="693"/>
      <c r="BB67" s="693"/>
      <c r="BC67" s="1670"/>
      <c r="BD67" s="693"/>
      <c r="BE67" s="693"/>
      <c r="BF67" s="693"/>
      <c r="BG67" s="693"/>
      <c r="BH67" s="693"/>
      <c r="BI67" s="694"/>
      <c r="BJ67" s="693"/>
      <c r="BK67" s="693"/>
      <c r="BL67" s="693"/>
      <c r="BM67" s="693"/>
      <c r="BN67" s="693"/>
      <c r="BO67" s="694"/>
      <c r="BP67" s="693"/>
      <c r="BQ67" s="693"/>
      <c r="BR67" s="693"/>
      <c r="BS67" s="693"/>
      <c r="BT67" s="693"/>
      <c r="BU67" s="694"/>
      <c r="BV67" s="97"/>
      <c r="BW67" s="693"/>
      <c r="BX67" s="693"/>
      <c r="BY67" s="693"/>
      <c r="BZ67" s="693"/>
      <c r="CA67" s="694"/>
      <c r="CB67" s="97"/>
      <c r="CC67" s="693"/>
      <c r="CD67" s="693"/>
      <c r="CE67" s="693"/>
      <c r="CF67" s="693"/>
      <c r="CG67" s="694"/>
      <c r="CH67" s="97"/>
      <c r="CI67" s="693"/>
      <c r="CJ67" s="693"/>
      <c r="CK67" s="693"/>
      <c r="CL67" s="693"/>
      <c r="CM67" s="694"/>
      <c r="CN67" s="97"/>
      <c r="CO67" s="97"/>
      <c r="CP67"/>
      <c r="CQ67"/>
      <c r="CR67"/>
      <c r="CS67"/>
      <c r="CT67"/>
      <c r="CU67"/>
      <c r="CV67" s="97"/>
    </row>
    <row r="68" spans="1:100" s="24" customFormat="1">
      <c r="A68" s="1560" t="s">
        <v>358</v>
      </c>
      <c r="B68" s="721"/>
      <c r="C68" s="721"/>
      <c r="D68" s="721"/>
      <c r="E68" s="721"/>
      <c r="F68" s="726"/>
      <c r="G68" s="727">
        <v>365</v>
      </c>
      <c r="H68" s="36"/>
      <c r="I68" s="728">
        <f>365/4</f>
        <v>91.25</v>
      </c>
      <c r="J68" s="728">
        <f>365/4</f>
        <v>91.25</v>
      </c>
      <c r="K68" s="728">
        <f>365/4</f>
        <v>91.25</v>
      </c>
      <c r="L68" s="728">
        <f>365/4</f>
        <v>91.25</v>
      </c>
      <c r="M68" s="729">
        <f>SUM(I68:L68)</f>
        <v>365</v>
      </c>
      <c r="N68" s="36"/>
      <c r="O68" s="728">
        <f>365/4</f>
        <v>91.25</v>
      </c>
      <c r="P68" s="728">
        <f>365/4</f>
        <v>91.25</v>
      </c>
      <c r="Q68" s="728">
        <f>365/4</f>
        <v>91.25</v>
      </c>
      <c r="R68" s="728">
        <f>365/4</f>
        <v>91.25</v>
      </c>
      <c r="S68" s="729">
        <f>SUM(O68:R68)</f>
        <v>365</v>
      </c>
      <c r="T68" s="36"/>
      <c r="U68" s="728">
        <f>365/4</f>
        <v>91.25</v>
      </c>
      <c r="V68" s="728">
        <f>365/4</f>
        <v>91.25</v>
      </c>
      <c r="W68" s="728">
        <f>365/4</f>
        <v>91.25</v>
      </c>
      <c r="X68" s="728">
        <f>365/4</f>
        <v>91.25</v>
      </c>
      <c r="Y68" s="729">
        <f>SUM(U68:X68)</f>
        <v>365</v>
      </c>
      <c r="Z68" s="36"/>
      <c r="AA68" s="728">
        <f>365/4</f>
        <v>91.25</v>
      </c>
      <c r="AB68" s="728">
        <f>365/4</f>
        <v>91.25</v>
      </c>
      <c r="AC68" s="728">
        <f>365/4</f>
        <v>91.25</v>
      </c>
      <c r="AD68" s="728">
        <f>365/4</f>
        <v>91.25</v>
      </c>
      <c r="AE68" s="729">
        <f>SUM(AA68:AD68)</f>
        <v>365</v>
      </c>
      <c r="AF68" s="36"/>
      <c r="AG68" s="728">
        <f>365/4</f>
        <v>91.25</v>
      </c>
      <c r="AH68" s="728">
        <f>365/4</f>
        <v>91.25</v>
      </c>
      <c r="AI68" s="728">
        <f>365/4</f>
        <v>91.25</v>
      </c>
      <c r="AJ68" s="728">
        <f>365/4</f>
        <v>91.25</v>
      </c>
      <c r="AK68" s="729">
        <f>SUM(AG68:AJ68)</f>
        <v>365</v>
      </c>
      <c r="AL68" s="36"/>
      <c r="AM68" s="728">
        <f>365/4</f>
        <v>91.25</v>
      </c>
      <c r="AN68" s="728">
        <f>365/4</f>
        <v>91.25</v>
      </c>
      <c r="AO68" s="728">
        <f>365/4</f>
        <v>91.25</v>
      </c>
      <c r="AP68" s="728">
        <f>365/4</f>
        <v>91.25</v>
      </c>
      <c r="AQ68" s="729">
        <f>SUM(AM68:AP68)</f>
        <v>365</v>
      </c>
      <c r="AR68" s="36"/>
      <c r="AS68" s="728">
        <f>365/4</f>
        <v>91.25</v>
      </c>
      <c r="AT68" s="728">
        <f>365/4</f>
        <v>91.25</v>
      </c>
      <c r="AU68" s="728">
        <f>365/4</f>
        <v>91.25</v>
      </c>
      <c r="AV68" s="728">
        <f>365/4</f>
        <v>91.25</v>
      </c>
      <c r="AW68" s="729">
        <f>SUM(AS68:AV68)</f>
        <v>365</v>
      </c>
      <c r="AX68" s="36"/>
      <c r="AY68" s="728">
        <f>365/4</f>
        <v>91.25</v>
      </c>
      <c r="AZ68" s="728">
        <f>365/4</f>
        <v>91.25</v>
      </c>
      <c r="BA68" s="728">
        <f>365/4</f>
        <v>91.25</v>
      </c>
      <c r="BB68" s="728">
        <f>365/4</f>
        <v>91.25</v>
      </c>
      <c r="BC68" s="729">
        <f>SUM(AY68:BB68)</f>
        <v>365</v>
      </c>
      <c r="BD68" s="36"/>
      <c r="BE68" s="728">
        <f>365/4</f>
        <v>91.25</v>
      </c>
      <c r="BF68" s="728">
        <f>365/4</f>
        <v>91.25</v>
      </c>
      <c r="BG68" s="728">
        <f>365/4</f>
        <v>91.25</v>
      </c>
      <c r="BH68" s="728">
        <f>365/4</f>
        <v>91.25</v>
      </c>
      <c r="BI68" s="729">
        <f>SUM(BE68:BH68)</f>
        <v>365</v>
      </c>
      <c r="BJ68" s="36"/>
      <c r="BK68" s="728">
        <f>365/4</f>
        <v>91.25</v>
      </c>
      <c r="BL68" s="728">
        <f>365/4</f>
        <v>91.25</v>
      </c>
      <c r="BM68" s="728">
        <f>365/4</f>
        <v>91.25</v>
      </c>
      <c r="BN68" s="728">
        <f>365/4</f>
        <v>91.25</v>
      </c>
      <c r="BO68" s="729">
        <f>SUM(BK68:BN68)</f>
        <v>365</v>
      </c>
      <c r="BP68" s="36"/>
      <c r="BQ68" s="728">
        <f>365/4</f>
        <v>91.25</v>
      </c>
      <c r="BR68" s="728">
        <f>365/4</f>
        <v>91.25</v>
      </c>
      <c r="BS68" s="728">
        <f>365/4</f>
        <v>91.25</v>
      </c>
      <c r="BT68" s="728">
        <f>365/4</f>
        <v>91.25</v>
      </c>
      <c r="BU68" s="729">
        <f>SUM(BQ68:BT68)</f>
        <v>365</v>
      </c>
      <c r="BV68" s="97"/>
      <c r="BW68" s="728">
        <f>365/4</f>
        <v>91.25</v>
      </c>
      <c r="BX68" s="728">
        <f>365/4</f>
        <v>91.25</v>
      </c>
      <c r="BY68" s="728">
        <f>365/4</f>
        <v>91.25</v>
      </c>
      <c r="BZ68" s="728">
        <f>365/4</f>
        <v>91.25</v>
      </c>
      <c r="CA68" s="729">
        <f>SUM(BW68:BZ68)</f>
        <v>365</v>
      </c>
      <c r="CB68" s="97"/>
      <c r="CC68" s="728">
        <f>365/4</f>
        <v>91.25</v>
      </c>
      <c r="CD68" s="728">
        <f>365/4</f>
        <v>91.25</v>
      </c>
      <c r="CE68" s="728">
        <f>365/4</f>
        <v>91.25</v>
      </c>
      <c r="CF68" s="728">
        <f>365/4</f>
        <v>91.25</v>
      </c>
      <c r="CG68" s="729">
        <f>SUM(CC68:CF68)</f>
        <v>365</v>
      </c>
      <c r="CH68" s="97"/>
      <c r="CI68" s="728">
        <f>365/4</f>
        <v>91.25</v>
      </c>
      <c r="CJ68" s="728">
        <f>365/4</f>
        <v>91.25</v>
      </c>
      <c r="CK68" s="728">
        <f>365/4</f>
        <v>91.25</v>
      </c>
      <c r="CL68" s="728">
        <f>365/4</f>
        <v>91.25</v>
      </c>
      <c r="CM68" s="729">
        <f>SUM(CI68:CL68)</f>
        <v>365</v>
      </c>
      <c r="CN68" s="97"/>
      <c r="CO68" s="97"/>
      <c r="CP68"/>
      <c r="CQ68"/>
      <c r="CR68"/>
      <c r="CS68"/>
      <c r="CT68"/>
      <c r="CU68"/>
      <c r="CV68" s="97"/>
    </row>
    <row r="69" spans="1:100" s="24" customFormat="1">
      <c r="A69" s="716" t="s">
        <v>359</v>
      </c>
      <c r="B69" s="717"/>
      <c r="C69" s="717"/>
      <c r="D69" s="717"/>
      <c r="E69" s="717"/>
      <c r="F69" s="40"/>
      <c r="G69" s="41">
        <f>G68/(IS!G9/BS!G13)</f>
        <v>78.744263594940563</v>
      </c>
      <c r="H69" s="40"/>
      <c r="I69" s="40">
        <f>I68/(IS!I9/BS!I13)</f>
        <v>77.761362292270377</v>
      </c>
      <c r="J69" s="40">
        <f>J68/(IS!J9/BS!J13)</f>
        <v>69.794565667465534</v>
      </c>
      <c r="K69" s="40">
        <f>K68/(IS!K9/BS!K13)</f>
        <v>68.32848942559086</v>
      </c>
      <c r="L69" s="40">
        <f>L68/(IS!L9/BS!L13)</f>
        <v>63.641885851156147</v>
      </c>
      <c r="M69" s="41">
        <f>M68/(IS!M9/BS!M13)</f>
        <v>67.609594546207148</v>
      </c>
      <c r="N69" s="40"/>
      <c r="O69" s="40">
        <f>O68/(IS!O9/BS!O13)</f>
        <v>76.535289534366996</v>
      </c>
      <c r="P69" s="40">
        <f>P68/(IS!P9/BS!P13)</f>
        <v>74.173554516215262</v>
      </c>
      <c r="Q69" s="40">
        <f>Q68/(IS!Q9/BS!Q13)</f>
        <v>70.676945312771565</v>
      </c>
      <c r="R69" s="40">
        <f>R68/(IS!R9/BS!R13)</f>
        <v>66.865273360258186</v>
      </c>
      <c r="S69" s="41">
        <f>S68/(IS!S9/BS!S13)</f>
        <v>76.533098685527463</v>
      </c>
      <c r="T69" s="40"/>
      <c r="U69" s="40">
        <f>U68/(IS!U9/BS!U13)</f>
        <v>77.911418955670399</v>
      </c>
      <c r="V69" s="40">
        <f>V68/(IS!V9/BS!V13)</f>
        <v>73.310346370715109</v>
      </c>
      <c r="W69" s="40">
        <f>W68/(IS!W9/BS!W13)</f>
        <v>76.807017040779186</v>
      </c>
      <c r="X69" s="40">
        <f>X68/(IS!X9/BS!X13)</f>
        <v>67.598456195277706</v>
      </c>
      <c r="Y69" s="41">
        <f>Y68/(IS!Y9/BS!Y13)</f>
        <v>79.566029216774552</v>
      </c>
      <c r="Z69" s="40"/>
      <c r="AA69" s="40">
        <f>AA68/(IS!AA9/BS!AA13)</f>
        <v>74.560927425672887</v>
      </c>
      <c r="AB69" s="40">
        <f>AB68/(IS!AB9/BS!AB13)</f>
        <v>74.473733152825901</v>
      </c>
      <c r="AC69" s="40">
        <f>AC68/(IS!AC9/BS!AC13)</f>
        <v>71.156626896997807</v>
      </c>
      <c r="AD69" s="40">
        <f>AD68/(IS!AD9/BS!AD13)</f>
        <v>64.240931015304369</v>
      </c>
      <c r="AE69" s="41">
        <f>AE68/(IS!AE9/BS!AE13)</f>
        <v>72.3785561024728</v>
      </c>
      <c r="AF69" s="40"/>
      <c r="AG69" s="40">
        <f>AG68/(IS!AG9/BS!AG13)</f>
        <v>76.771811928896568</v>
      </c>
      <c r="AH69" s="40">
        <f>AH68/(IS!AH9/BS!AH13)</f>
        <v>71.781622052650818</v>
      </c>
      <c r="AI69" s="40">
        <f>AI68/(IS!AI9/BS!AI13)</f>
        <v>73.488624897766869</v>
      </c>
      <c r="AJ69" s="40">
        <f>AJ68/(IS!AJ9/BS!AJ13)</f>
        <v>70.751515046975086</v>
      </c>
      <c r="AK69" s="41">
        <f>AK68/(IS!AK9/BS!AK13)</f>
        <v>80.093109233305171</v>
      </c>
      <c r="AL69" s="40"/>
      <c r="AM69" s="40">
        <f>AM68/(IS!AM9/BS!AM13)</f>
        <v>80.027431925602656</v>
      </c>
      <c r="AN69" s="40">
        <f>AN68/(IS!AN9/BS!AN13)</f>
        <v>73.875857597286711</v>
      </c>
      <c r="AO69" s="40">
        <f>AO68/(IS!AO9/BS!AO13)</f>
        <v>74.594351401762879</v>
      </c>
      <c r="AP69" s="40">
        <f>AP68/(IS!AP9/BS!AP13)</f>
        <v>69.550836239583475</v>
      </c>
      <c r="AQ69" s="41">
        <f>AQ68/(IS!AQ9/BS!AQ13)</f>
        <v>82.611090221812844</v>
      </c>
      <c r="AR69" s="40"/>
      <c r="AS69" s="40">
        <f>AS68/(IS!AS9/BS!AS13)</f>
        <v>85.081572235591437</v>
      </c>
      <c r="AT69" s="40">
        <f>AT68/(IS!AT9/BS!AT13)</f>
        <v>76.12086473461035</v>
      </c>
      <c r="AU69" s="40">
        <f>AU68/(IS!AU9/BS!AU13)</f>
        <v>72.747804994271689</v>
      </c>
      <c r="AV69" s="40">
        <f>AV68/(IS!AV9/BS!AV13)</f>
        <v>67.767585250141295</v>
      </c>
      <c r="AW69" s="41">
        <f>AW68/(IS!AW9/BS!AW13)</f>
        <v>79.558809336142957</v>
      </c>
      <c r="AX69" s="40"/>
      <c r="AY69" s="40">
        <f>AY68/(IS!AY9/BS!AY13)</f>
        <v>78.162358493844536</v>
      </c>
      <c r="AZ69" s="40">
        <f>AZ68/(IS!AZ9/BS!AZ13)</f>
        <v>74.99029540768889</v>
      </c>
      <c r="BA69" s="40">
        <f>BA68/(IS!BA9/BS!BA13)</f>
        <v>75.889029781572503</v>
      </c>
      <c r="BB69" s="40">
        <f>BB68/(IS!BB9/BS!BB13)</f>
        <v>72.848645181636854</v>
      </c>
      <c r="BC69" s="41">
        <f>BC68/(IS!BC9/BS!BC13)</f>
        <v>83.695978420746485</v>
      </c>
      <c r="BD69" s="40"/>
      <c r="BE69" s="40">
        <f>BE68/(IS!BE9/BS!BE13)</f>
        <v>84.401536257012154</v>
      </c>
      <c r="BF69" s="40">
        <f>BF68/(IS!BF9/BS!BF13)</f>
        <v>75.840933446399276</v>
      </c>
      <c r="BG69" s="40">
        <f>BG68/(IS!BG9/BS!BG13)</f>
        <v>76.516770115597055</v>
      </c>
      <c r="BH69" s="40">
        <f>BH68/(IS!BH9/BS!BH13)</f>
        <v>71.013355874087722</v>
      </c>
      <c r="BI69" s="41">
        <f>BI68/(IS!BI9/BS!BI13)</f>
        <v>82.406203126939232</v>
      </c>
      <c r="BJ69" s="40"/>
      <c r="BK69" s="40">
        <f>BK68/(IS!BK9/BS!BK13)</f>
        <v>84.613989525452382</v>
      </c>
      <c r="BL69" s="40">
        <f>BL68/(IS!BL9/BS!BL13)</f>
        <v>75.649805194805197</v>
      </c>
      <c r="BM69" s="40">
        <f>BM68/(IS!BM9/BS!BM13)</f>
        <v>73.623860469885997</v>
      </c>
      <c r="BN69" s="40">
        <f>BN68/(IS!BN9/BS!BN13)</f>
        <v>70.876332254192292</v>
      </c>
      <c r="BO69" s="41">
        <f>BO68/(IS!BO9/BS!BO13)</f>
        <v>84.382651863644284</v>
      </c>
      <c r="BP69" s="40"/>
      <c r="BQ69" s="1767">
        <f>BK69</f>
        <v>84.613989525452382</v>
      </c>
      <c r="BR69" s="1767">
        <f t="shared" ref="BR69:BT70" si="24">BL69</f>
        <v>75.649805194805197</v>
      </c>
      <c r="BS69" s="1767">
        <f t="shared" si="24"/>
        <v>73.623860469885997</v>
      </c>
      <c r="BT69" s="1767">
        <f t="shared" si="24"/>
        <v>70.876332254192292</v>
      </c>
      <c r="BU69" s="41">
        <f>BU68/(IS!BU9/BS!BU13)</f>
        <v>83.615449616019703</v>
      </c>
      <c r="BV69" s="40"/>
      <c r="BW69" s="1767">
        <f>BQ69+2</f>
        <v>86.613989525452382</v>
      </c>
      <c r="BX69" s="1767">
        <f t="shared" ref="BX69:BZ70" si="25">BR69+2</f>
        <v>77.649805194805197</v>
      </c>
      <c r="BY69" s="1767">
        <f t="shared" si="25"/>
        <v>75.623860469885997</v>
      </c>
      <c r="BZ69" s="1767">
        <f t="shared" si="25"/>
        <v>72.876332254192292</v>
      </c>
      <c r="CA69" s="41">
        <f>CA68/(IS!CA9/BS!CA13)</f>
        <v>85.367002794617619</v>
      </c>
      <c r="CB69" s="40"/>
      <c r="CC69" s="1767">
        <f t="shared" ref="CC69:CF70" si="26">BW69+1</f>
        <v>87.613989525452382</v>
      </c>
      <c r="CD69" s="1767">
        <f t="shared" si="26"/>
        <v>78.649805194805197</v>
      </c>
      <c r="CE69" s="1767">
        <f t="shared" si="26"/>
        <v>76.623860469885997</v>
      </c>
      <c r="CF69" s="1767">
        <f t="shared" si="26"/>
        <v>73.876332254192292</v>
      </c>
      <c r="CG69" s="41">
        <f>CG68/(IS!CG9/BS!CG13)</f>
        <v>85.962078113693607</v>
      </c>
      <c r="CH69" s="40"/>
      <c r="CI69" s="1767">
        <f t="shared" ref="CI69:CL70" si="27">CC69+1</f>
        <v>88.613989525452382</v>
      </c>
      <c r="CJ69" s="1767">
        <f t="shared" si="27"/>
        <v>79.649805194805197</v>
      </c>
      <c r="CK69" s="1767">
        <f t="shared" si="27"/>
        <v>77.623860469885997</v>
      </c>
      <c r="CL69" s="1767">
        <f t="shared" si="27"/>
        <v>74.876332254192292</v>
      </c>
      <c r="CM69" s="41">
        <f>CM68/(IS!CM9/BS!CM13)</f>
        <v>86.554169031440324</v>
      </c>
      <c r="CN69" s="97"/>
      <c r="CO69" s="97"/>
      <c r="CP69"/>
      <c r="CQ69"/>
      <c r="CR69"/>
      <c r="CS69"/>
      <c r="CT69"/>
      <c r="CU69"/>
      <c r="CV69" s="97"/>
    </row>
    <row r="70" spans="1:100" s="24" customFormat="1">
      <c r="A70" s="716" t="s">
        <v>360</v>
      </c>
      <c r="B70" s="717"/>
      <c r="C70" s="717"/>
      <c r="D70" s="717"/>
      <c r="E70" s="717"/>
      <c r="F70" s="40"/>
      <c r="G70" s="41">
        <f>G68/(IS!G12/BS!G14)</f>
        <v>102.13584571866758</v>
      </c>
      <c r="H70" s="40"/>
      <c r="I70" s="40">
        <f>I68/(IS!I12/BS!I14)</f>
        <v>115.54013000881307</v>
      </c>
      <c r="J70" s="40">
        <f>J68/(IS!J12/BS!J14)</f>
        <v>113.35455798285015</v>
      </c>
      <c r="K70" s="40">
        <f>K68/(IS!K12/BS!K14)</f>
        <v>119.61974796592932</v>
      </c>
      <c r="L70" s="40">
        <f>L68/(IS!L12/BS!L14)</f>
        <v>92.20265760847353</v>
      </c>
      <c r="M70" s="41">
        <f>M68/(IS!M12/BS!M14)</f>
        <v>97.090249106162958</v>
      </c>
      <c r="N70" s="40"/>
      <c r="O70" s="40">
        <f>O68/(IS!O12/BS!O14)</f>
        <v>136.69315007767509</v>
      </c>
      <c r="P70" s="40">
        <f>P68/(IS!P12/BS!P14)</f>
        <v>124.2687334378512</v>
      </c>
      <c r="Q70" s="40">
        <f>Q68/(IS!Q12/BS!Q14)</f>
        <v>117.4345546319453</v>
      </c>
      <c r="R70" s="40">
        <f>R68/(IS!R12/BS!R14)</f>
        <v>95.827759197324411</v>
      </c>
      <c r="S70" s="41">
        <f>S68/(IS!S12/BS!S14)</f>
        <v>109.62357240595614</v>
      </c>
      <c r="T70" s="40"/>
      <c r="U70" s="40">
        <f>U68/(IS!U12/BS!U14)</f>
        <v>118.31823212181017</v>
      </c>
      <c r="V70" s="40">
        <f>V68/(IS!V12/BS!V14)</f>
        <v>112.80712356494105</v>
      </c>
      <c r="W70" s="40">
        <f>W68/(IS!W12/BS!W14)</f>
        <v>116.64222934625884</v>
      </c>
      <c r="X70" s="40">
        <f>X68/(IS!X12/BS!X14)</f>
        <v>98.50504351318078</v>
      </c>
      <c r="Y70" s="41">
        <f>Y68/(IS!Y12/BS!Y14)</f>
        <v>114.14228925934827</v>
      </c>
      <c r="Z70" s="40"/>
      <c r="AA70" s="40">
        <f>AA68/(IS!AA12/BS!AA14)</f>
        <v>120.29295644442351</v>
      </c>
      <c r="AB70" s="40">
        <f>AB68/(IS!AB12/BS!AB14)</f>
        <v>126.00679715848111</v>
      </c>
      <c r="AC70" s="40">
        <f>AC68/(IS!AC12/BS!AC14)</f>
        <v>124.61896482880246</v>
      </c>
      <c r="AD70" s="40">
        <f>AD68/(IS!AD12/BS!AD14)</f>
        <v>95.101619149738312</v>
      </c>
      <c r="AE70" s="41">
        <f>AE68/(IS!AE12/BS!AE14)</f>
        <v>106.36017046022344</v>
      </c>
      <c r="AF70" s="40"/>
      <c r="AG70" s="40">
        <f>AG68/(IS!AG12/BS!AG14)</f>
        <v>127.28963177715342</v>
      </c>
      <c r="AH70" s="40">
        <f>AH68/(IS!AH12/BS!AH14)</f>
        <v>121.8150147161641</v>
      </c>
      <c r="AI70" s="40">
        <f>AI68/(IS!AI12/BS!AI14)</f>
        <v>123.3604585609353</v>
      </c>
      <c r="AJ70" s="40">
        <f>AJ68/(IS!AJ12/BS!AJ14)</f>
        <v>100.5351537940997</v>
      </c>
      <c r="AK70" s="41">
        <f>AK68/(IS!AK12/BS!AK14)</f>
        <v>113.89149407851724</v>
      </c>
      <c r="AL70" s="40"/>
      <c r="AM70" s="40">
        <f>AM68/(IS!AM12/BS!AM14)</f>
        <v>123.30051183492968</v>
      </c>
      <c r="AN70" s="40">
        <f>AN68/(IS!AN12/BS!AN14)</f>
        <v>117.56549044491288</v>
      </c>
      <c r="AO70" s="40">
        <f>AO68/(IS!AO12/BS!AO14)</f>
        <v>122.40783951390631</v>
      </c>
      <c r="AP70" s="40">
        <f>AP68/(IS!AP12/BS!AP14)</f>
        <v>96.752710805228148</v>
      </c>
      <c r="AQ70" s="41">
        <f>AQ68/(IS!AQ12/BS!AQ14)</f>
        <v>113.11675448270231</v>
      </c>
      <c r="AR70" s="40"/>
      <c r="AS70" s="40">
        <f>AS68/(IS!AS12/BS!AS14)</f>
        <v>129.60806444739214</v>
      </c>
      <c r="AT70" s="40">
        <f>AT68/(IS!AT12/BS!AT14)</f>
        <v>123.30614357973377</v>
      </c>
      <c r="AU70" s="40">
        <f>AU68/(IS!AU12/BS!AU14)</f>
        <v>121.42555582478666</v>
      </c>
      <c r="AV70" s="40">
        <f>AV68/(IS!AV12/BS!AV14)</f>
        <v>96.46033785319942</v>
      </c>
      <c r="AW70" s="41">
        <f>AW68/(IS!AW12/BS!AW14)</f>
        <v>109.03810462436645</v>
      </c>
      <c r="AX70" s="40"/>
      <c r="AY70" s="40">
        <f>AY68/(IS!AY12/BS!AY14)</f>
        <v>124.17494953658199</v>
      </c>
      <c r="AZ70" s="40">
        <f>AZ68/(IS!AZ12/BS!AZ14)</f>
        <v>119.33018537950335</v>
      </c>
      <c r="BA70" s="40">
        <f>BA68/(IS!BA12/BS!BA14)</f>
        <v>124.33498626719017</v>
      </c>
      <c r="BB70" s="40">
        <f>BB68/(IS!BB12/BS!BB14)</f>
        <v>101.03027867095392</v>
      </c>
      <c r="BC70" s="41">
        <f>BC68/(IS!BC12/BS!BC14)</f>
        <v>114.09715167941975</v>
      </c>
      <c r="BD70" s="40"/>
      <c r="BE70" s="40">
        <f>BE68/(IS!BE12/BS!BE14)</f>
        <v>130.21625544988589</v>
      </c>
      <c r="BF70" s="40">
        <f>BF68/(IS!BF12/BS!BF14)</f>
        <v>118.60607748469683</v>
      </c>
      <c r="BG70" s="40">
        <f>BG68/(IS!BG12/BS!BG14)</f>
        <v>126.70578880115781</v>
      </c>
      <c r="BH70" s="40">
        <f>BH68/(IS!BH12/BS!BH14)</f>
        <v>95.277159460845297</v>
      </c>
      <c r="BI70" s="41">
        <f>BI68/(IS!BI12/BS!BI14)</f>
        <v>107.55354460638979</v>
      </c>
      <c r="BJ70" s="40"/>
      <c r="BK70" s="40">
        <f>BK68/(IS!BK12/BS!BK14)</f>
        <v>121.02517823728654</v>
      </c>
      <c r="BL70" s="40">
        <f>BL68/(IS!BL12/BS!BL14)</f>
        <v>114.10432462210456</v>
      </c>
      <c r="BM70" s="40">
        <f>BM68/(IS!BM12/BS!BM14)</f>
        <v>115.21873357299103</v>
      </c>
      <c r="BN70" s="40">
        <f>BN68/(IS!BN12/BS!BN14)</f>
        <v>91.196353895131466</v>
      </c>
      <c r="BO70" s="41">
        <f>BO68/(IS!BO12/BS!BO14)</f>
        <v>104.17141553871055</v>
      </c>
      <c r="BP70" s="40"/>
      <c r="BQ70" s="1767">
        <f>BK70</f>
        <v>121.02517823728654</v>
      </c>
      <c r="BR70" s="1767">
        <f t="shared" si="24"/>
        <v>114.10432462210456</v>
      </c>
      <c r="BS70" s="1767">
        <f t="shared" si="24"/>
        <v>115.21873357299103</v>
      </c>
      <c r="BT70" s="1767">
        <f t="shared" si="24"/>
        <v>91.196353895131466</v>
      </c>
      <c r="BU70" s="41">
        <f>BU68/(IS!BU12/BS!BU14)</f>
        <v>103.20124885000358</v>
      </c>
      <c r="BV70" s="40"/>
      <c r="BW70" s="1767">
        <f>BQ70+2</f>
        <v>123.02517823728654</v>
      </c>
      <c r="BX70" s="1767">
        <f t="shared" si="25"/>
        <v>116.10432462210456</v>
      </c>
      <c r="BY70" s="1767">
        <f t="shared" si="25"/>
        <v>117.21873357299103</v>
      </c>
      <c r="BZ70" s="1767">
        <f t="shared" si="25"/>
        <v>93.196353895131466</v>
      </c>
      <c r="CA70" s="41">
        <f>CA68/(IS!CA12/BS!CA14)</f>
        <v>104.66993244590088</v>
      </c>
      <c r="CB70" s="40"/>
      <c r="CC70" s="1767">
        <f t="shared" si="26"/>
        <v>124.02517823728654</v>
      </c>
      <c r="CD70" s="1767">
        <f t="shared" si="26"/>
        <v>117.10432462210456</v>
      </c>
      <c r="CE70" s="1767">
        <f t="shared" si="26"/>
        <v>118.21873357299103</v>
      </c>
      <c r="CF70" s="1767">
        <f t="shared" si="26"/>
        <v>94.196353895131466</v>
      </c>
      <c r="CG70" s="41">
        <f>CG68/(IS!CG12/BS!CG14)</f>
        <v>105.03298566959526</v>
      </c>
      <c r="CH70" s="40"/>
      <c r="CI70" s="1767">
        <f t="shared" si="27"/>
        <v>125.02517823728654</v>
      </c>
      <c r="CJ70" s="1767">
        <f t="shared" si="27"/>
        <v>118.10432462210456</v>
      </c>
      <c r="CK70" s="1767">
        <f t="shared" si="27"/>
        <v>119.21873357299103</v>
      </c>
      <c r="CL70" s="1767">
        <f t="shared" si="27"/>
        <v>95.196353895131466</v>
      </c>
      <c r="CM70" s="41">
        <f>CM68/(IS!CM12/BS!CM14)</f>
        <v>105.39624993581812</v>
      </c>
      <c r="CN70" s="97"/>
      <c r="CO70" s="97"/>
      <c r="CP70"/>
      <c r="CQ70"/>
      <c r="CR70"/>
      <c r="CS70"/>
      <c r="CT70"/>
      <c r="CU70"/>
      <c r="CV70" s="97"/>
    </row>
    <row r="71" spans="1:100" s="24" customFormat="1">
      <c r="A71" s="716" t="s">
        <v>361</v>
      </c>
      <c r="B71" s="717"/>
      <c r="C71" s="717"/>
      <c r="D71" s="717"/>
      <c r="E71" s="717"/>
      <c r="F71" s="40"/>
      <c r="G71" s="41">
        <f>G68/(IS!G12/BS!G24)</f>
        <v>27.554170922385243</v>
      </c>
      <c r="H71" s="40"/>
      <c r="I71" s="40">
        <f>I68/(IS!I12/BS!I24)</f>
        <v>34.022031058018285</v>
      </c>
      <c r="J71" s="40">
        <f>J68/(IS!J12/BS!J24)</f>
        <v>31.961499891912666</v>
      </c>
      <c r="K71" s="40">
        <f>K68/(IS!K12/BS!K24)</f>
        <v>31.907918573607933</v>
      </c>
      <c r="L71" s="40">
        <f>L68/(IS!L12/BS!L24)</f>
        <v>25.169768134389802</v>
      </c>
      <c r="M71" s="41">
        <f>M68/(IS!M12/BS!M24)</f>
        <v>26.503998057076458</v>
      </c>
      <c r="N71" s="40"/>
      <c r="O71" s="40">
        <f>O68/(IS!O12/BS!O24)</f>
        <v>34.073234264911264</v>
      </c>
      <c r="P71" s="40">
        <f>P68/(IS!P12/BS!P24)</f>
        <v>32.471185329578091</v>
      </c>
      <c r="Q71" s="40">
        <f>Q68/(IS!Q12/BS!Q24)</f>
        <v>30.003942393710453</v>
      </c>
      <c r="R71" s="40">
        <f>R68/(IS!R12/BS!R24)</f>
        <v>26.588547942467862</v>
      </c>
      <c r="S71" s="41">
        <f>S68/(IS!S12/BS!S24)</f>
        <v>30.41635988313649</v>
      </c>
      <c r="T71" s="40"/>
      <c r="U71" s="40">
        <f>U68/(IS!U12/BS!U24)</f>
        <v>36.156214880903434</v>
      </c>
      <c r="V71" s="40">
        <f>V68/(IS!V12/BS!V24)</f>
        <v>34.892318204379471</v>
      </c>
      <c r="W71" s="40">
        <f>W68/(IS!W12/BS!W24)</f>
        <v>35.457526766266831</v>
      </c>
      <c r="X71" s="40">
        <f>X68/(IS!X12/BS!X24)</f>
        <v>31.053919885021646</v>
      </c>
      <c r="Y71" s="41">
        <f>Y68/(IS!Y12/BS!Y24)</f>
        <v>35.983594136258375</v>
      </c>
      <c r="Z71" s="40"/>
      <c r="AA71" s="40">
        <f>AA68/(IS!AA12/BS!AA24)</f>
        <v>36.216517791425488</v>
      </c>
      <c r="AB71" s="40">
        <f>AB68/(IS!AB12/BS!AB24)</f>
        <v>35.217961931369707</v>
      </c>
      <c r="AC71" s="40">
        <f>AC68/(IS!AC12/BS!AC24)</f>
        <v>32.58610482591866</v>
      </c>
      <c r="AD71" s="40">
        <f>AD68/(IS!AD12/BS!AD24)</f>
        <v>24.714072208105051</v>
      </c>
      <c r="AE71" s="41">
        <f>AE68/(IS!AE12/BS!AE24)</f>
        <v>27.639833646592098</v>
      </c>
      <c r="AF71" s="40"/>
      <c r="AG71" s="40">
        <f>AG68/(IS!AG12/BS!AG24)</f>
        <v>33.528334030725091</v>
      </c>
      <c r="AH71" s="40">
        <f>AH68/(IS!AH12/BS!AH24)</f>
        <v>32.306603667200434</v>
      </c>
      <c r="AI71" s="40">
        <f>AI68/(IS!AI12/BS!AI24)</f>
        <v>30.095688607678078</v>
      </c>
      <c r="AJ71" s="40">
        <f>AJ68/(IS!AJ12/BS!AJ24)</f>
        <v>23.965699284421891</v>
      </c>
      <c r="AK71" s="41">
        <f>AK68/(IS!AK12/BS!AK24)</f>
        <v>27.149600862295109</v>
      </c>
      <c r="AL71" s="40"/>
      <c r="AM71" s="40">
        <f>AM68/(IS!AM12/BS!AM24)</f>
        <v>31.252842731772148</v>
      </c>
      <c r="AN71" s="40">
        <f>AN68/(IS!AN12/BS!AN24)</f>
        <v>27.311672657954961</v>
      </c>
      <c r="AO71" s="40">
        <f>AO68/(IS!AO12/BS!AO24)</f>
        <v>29.891748621899275</v>
      </c>
      <c r="AP71" s="40">
        <f>AP68/(IS!AP12/BS!AP24)</f>
        <v>25.886131987720034</v>
      </c>
      <c r="AQ71" s="41">
        <f>AQ68/(IS!AQ12/BS!AQ24)</f>
        <v>30.264322438018219</v>
      </c>
      <c r="AR71" s="40"/>
      <c r="AS71" s="40">
        <f>AS68/(IS!AS12/BS!AS24)</f>
        <v>35.572717732355279</v>
      </c>
      <c r="AT71" s="40">
        <f>AT68/(IS!AT12/BS!AT24)</f>
        <v>29.422884475336012</v>
      </c>
      <c r="AU71" s="40">
        <f>AU68/(IS!AU12/BS!AU24)</f>
        <v>27.19558826438271</v>
      </c>
      <c r="AV71" s="40">
        <f>AV68/(IS!AV12/BS!AV24)</f>
        <v>25.718581497003669</v>
      </c>
      <c r="AW71" s="41">
        <f>AW68/(IS!AW12/BS!AW24)</f>
        <v>29.072108210199133</v>
      </c>
      <c r="AX71" s="40"/>
      <c r="AY71" s="40">
        <f>AY68/(IS!AY12/BS!AY24)</f>
        <v>30.837124694841634</v>
      </c>
      <c r="AZ71" s="40">
        <f>AZ68/(IS!AZ12/BS!AZ24)</f>
        <v>28.422088142707242</v>
      </c>
      <c r="BA71" s="40">
        <f>BA68/(IS!BA12/BS!BA24)</f>
        <v>27.228861627434668</v>
      </c>
      <c r="BB71" s="40">
        <f>BB68/(IS!BB12/BS!BB24)</f>
        <v>27.067592417460013</v>
      </c>
      <c r="BC71" s="41">
        <f>BC68/(IS!BC12/BS!BC24)</f>
        <v>30.568412146125652</v>
      </c>
      <c r="BD71" s="40"/>
      <c r="BE71" s="40">
        <f>BE68/(IS!BE12/BS!BE24)</f>
        <v>33.247224721726468</v>
      </c>
      <c r="BF71" s="40">
        <f>BF68/(IS!BF12/BS!BF24)</f>
        <v>27.375538277240569</v>
      </c>
      <c r="BG71" s="40">
        <f>BG68/(IS!BG12/BS!BG24)</f>
        <v>28.320248094749569</v>
      </c>
      <c r="BH71" s="40">
        <f>BH68/(IS!BH12/BS!BH24)</f>
        <v>24.569916407967273</v>
      </c>
      <c r="BI71" s="41">
        <f>BI68/(IS!BI12/BS!BI24)</f>
        <v>27.735730318928756</v>
      </c>
      <c r="BJ71" s="40"/>
      <c r="BK71" s="40">
        <f>BK68/(IS!BK12/BS!BK24)</f>
        <v>28.931387526942846</v>
      </c>
      <c r="BL71" s="40">
        <f>BL68/(IS!BL12/BS!BL24)</f>
        <v>28.236090485874922</v>
      </c>
      <c r="BM71" s="40">
        <f>BM68/(IS!BM12/BS!BM24)</f>
        <v>25.822420853610975</v>
      </c>
      <c r="BN71" s="40">
        <f>BN68/(IS!BN12/BS!BN24)</f>
        <v>21.774582829548937</v>
      </c>
      <c r="BO71" s="41">
        <f>BO68/(IS!BO12/BS!BO24)</f>
        <v>24.872585572087296</v>
      </c>
      <c r="BP71" s="40"/>
      <c r="BQ71" s="1767">
        <f>BK71-2</f>
        <v>26.931387526942846</v>
      </c>
      <c r="BR71" s="1767">
        <f t="shared" ref="BR71:BT71" si="28">BL71-2</f>
        <v>26.236090485874922</v>
      </c>
      <c r="BS71" s="1767">
        <f t="shared" si="28"/>
        <v>23.822420853610975</v>
      </c>
      <c r="BT71" s="1767">
        <f t="shared" si="28"/>
        <v>19.774582829548937</v>
      </c>
      <c r="BU71" s="41">
        <f>BU68/(IS!BU12/BS!BU24)</f>
        <v>22.377667048443634</v>
      </c>
      <c r="BV71" s="97"/>
      <c r="BW71" s="1767">
        <f>BQ71-2</f>
        <v>24.931387526942846</v>
      </c>
      <c r="BX71" s="1767">
        <f t="shared" ref="BX71:BZ71" si="29">BR71-2</f>
        <v>24.236090485874922</v>
      </c>
      <c r="BY71" s="1767">
        <f t="shared" si="29"/>
        <v>21.822420853610975</v>
      </c>
      <c r="BZ71" s="1767">
        <f t="shared" si="29"/>
        <v>17.774582829548937</v>
      </c>
      <c r="CA71" s="41">
        <f>CA68/(IS!CA12/BS!CA24)</f>
        <v>19.962845178647562</v>
      </c>
      <c r="CB71" s="97"/>
      <c r="CC71" s="1767">
        <f>BW71-1</f>
        <v>23.931387526942846</v>
      </c>
      <c r="CD71" s="1767">
        <f>BX71-1</f>
        <v>23.236090485874922</v>
      </c>
      <c r="CE71" s="1767">
        <f>BY71-1</f>
        <v>20.822420853610975</v>
      </c>
      <c r="CF71" s="1767">
        <f>BZ71-1</f>
        <v>16.774582829548937</v>
      </c>
      <c r="CG71" s="41">
        <f>CG68/(IS!CG12/BS!CG24)</f>
        <v>18.704381274788545</v>
      </c>
      <c r="CH71" s="97"/>
      <c r="CI71" s="1767">
        <f>CC71-1</f>
        <v>22.931387526942846</v>
      </c>
      <c r="CJ71" s="1767">
        <f>CD71-1</f>
        <v>22.236090485874922</v>
      </c>
      <c r="CK71" s="1767">
        <f>CE71-1</f>
        <v>19.822420853610975</v>
      </c>
      <c r="CL71" s="1767">
        <f>CF71-1</f>
        <v>15.774582829548937</v>
      </c>
      <c r="CM71" s="41">
        <f>CM68/(IS!CM12/BS!CM24)</f>
        <v>17.464764211115785</v>
      </c>
      <c r="CN71" s="97"/>
      <c r="CO71" s="97"/>
      <c r="CP71"/>
      <c r="CQ71"/>
      <c r="CR71"/>
      <c r="CS71"/>
      <c r="CT71"/>
      <c r="CU71"/>
      <c r="CV71" s="97"/>
    </row>
    <row r="72" spans="1:100" s="24" customFormat="1">
      <c r="A72" s="1561" t="s">
        <v>362</v>
      </c>
      <c r="B72" s="717"/>
      <c r="C72" s="717"/>
      <c r="D72" s="717"/>
      <c r="E72" s="717"/>
      <c r="F72" s="40"/>
      <c r="G72" s="708">
        <f>G69+G70-G71</f>
        <v>153.32593839122291</v>
      </c>
      <c r="H72" s="709"/>
      <c r="I72" s="710">
        <f>I69+I70-I71</f>
        <v>159.27946124306516</v>
      </c>
      <c r="J72" s="710">
        <f>J69+J70-J71</f>
        <v>151.18762375840302</v>
      </c>
      <c r="K72" s="710">
        <f>K69+K70-K71</f>
        <v>156.04031881791227</v>
      </c>
      <c r="L72" s="710">
        <f>L69+L70-L71</f>
        <v>130.67477532523986</v>
      </c>
      <c r="M72" s="708">
        <f>M69+M70-M71</f>
        <v>138.19584559529363</v>
      </c>
      <c r="N72" s="709"/>
      <c r="O72" s="710">
        <f>O69+O70-O71</f>
        <v>179.15520534713082</v>
      </c>
      <c r="P72" s="710">
        <f>P69+P70-P71</f>
        <v>165.97110262448837</v>
      </c>
      <c r="Q72" s="710">
        <f>Q69+Q70-Q71</f>
        <v>158.10755755100641</v>
      </c>
      <c r="R72" s="710">
        <f>R69+R70-R71</f>
        <v>136.10448461511473</v>
      </c>
      <c r="S72" s="708">
        <f>S69+S70-S71</f>
        <v>155.74031120834709</v>
      </c>
      <c r="T72" s="709"/>
      <c r="U72" s="710">
        <f>U69+U70-U71</f>
        <v>160.07343619657715</v>
      </c>
      <c r="V72" s="710">
        <f>V69+V70-V71</f>
        <v>151.2251517312767</v>
      </c>
      <c r="W72" s="710">
        <f>W69+W70-W71</f>
        <v>157.99171962077122</v>
      </c>
      <c r="X72" s="710">
        <f>X69+X70-X71</f>
        <v>135.04957982343683</v>
      </c>
      <c r="Y72" s="708">
        <f>Y69+Y70-Y71</f>
        <v>157.72472433986445</v>
      </c>
      <c r="Z72" s="709"/>
      <c r="AA72" s="710">
        <f>AA69+AA70-AA71</f>
        <v>158.63736607867094</v>
      </c>
      <c r="AB72" s="710">
        <f>AB69+AB70-AB71</f>
        <v>165.26256837993731</v>
      </c>
      <c r="AC72" s="710">
        <f>AC69+AC70-AC71</f>
        <v>163.18948689988162</v>
      </c>
      <c r="AD72" s="710">
        <f>AD69+AD70-AD71</f>
        <v>134.62847795693762</v>
      </c>
      <c r="AE72" s="708">
        <f>AE69+AE70-AE71</f>
        <v>151.09889291610412</v>
      </c>
      <c r="AF72" s="709"/>
      <c r="AG72" s="710">
        <f>AG69+AG70-AG71</f>
        <v>170.53310967532491</v>
      </c>
      <c r="AH72" s="710">
        <f>AH69+AH70-AH71</f>
        <v>161.29003310161448</v>
      </c>
      <c r="AI72" s="710">
        <f>AI69+AI70-AI71</f>
        <v>166.7533948510241</v>
      </c>
      <c r="AJ72" s="710">
        <f>AJ69+AJ70-AJ71</f>
        <v>147.3209695566529</v>
      </c>
      <c r="AK72" s="708">
        <f>AK69+AK70-AK71</f>
        <v>166.83500244952731</v>
      </c>
      <c r="AL72" s="709"/>
      <c r="AM72" s="710">
        <f>AM69+AM70-AM71</f>
        <v>172.07510102876017</v>
      </c>
      <c r="AN72" s="710">
        <f>AN69+AN70-AN71</f>
        <v>164.12967538424462</v>
      </c>
      <c r="AO72" s="710">
        <f>AO69+AO70-AO71</f>
        <v>167.11044229376992</v>
      </c>
      <c r="AP72" s="710">
        <f>AP69+AP70-AP71</f>
        <v>140.4174150570916</v>
      </c>
      <c r="AQ72" s="708">
        <f>AQ69+AQ70-AQ71</f>
        <v>165.46352226649694</v>
      </c>
      <c r="AR72" s="709"/>
      <c r="AS72" s="710">
        <f>AS69+AS70-AS71</f>
        <v>179.1169189506283</v>
      </c>
      <c r="AT72" s="710">
        <f>AT69+AT70-AT71</f>
        <v>170.00412383900809</v>
      </c>
      <c r="AU72" s="710">
        <f>AU69+AU70-AU71</f>
        <v>166.97777255467565</v>
      </c>
      <c r="AV72" s="710">
        <f>AV69+AV70-AV71</f>
        <v>138.50934160633705</v>
      </c>
      <c r="AW72" s="708">
        <f>AW69+AW70-AW71</f>
        <v>159.52480575031029</v>
      </c>
      <c r="AX72" s="709"/>
      <c r="AY72" s="710">
        <f>AY69+AY70-AY71</f>
        <v>171.50018333558489</v>
      </c>
      <c r="AZ72" s="710">
        <f>AZ69+AZ70-AZ71</f>
        <v>165.898392644485</v>
      </c>
      <c r="BA72" s="710">
        <f>BA69+BA70-BA71</f>
        <v>172.99515442132801</v>
      </c>
      <c r="BB72" s="710">
        <f>BB69+BB70-BB71</f>
        <v>146.81133143513077</v>
      </c>
      <c r="BC72" s="708">
        <f>BC69+BC70-BC71</f>
        <v>167.22471795404061</v>
      </c>
      <c r="BD72" s="709"/>
      <c r="BE72" s="710">
        <f>BE69+BE70-BE71</f>
        <v>181.37056698517159</v>
      </c>
      <c r="BF72" s="710">
        <f>BF69+BF70-BF71</f>
        <v>167.07147265385552</v>
      </c>
      <c r="BG72" s="710">
        <f>BG69+BG70-BG71</f>
        <v>174.90231082200529</v>
      </c>
      <c r="BH72" s="710">
        <f>BH69+BH70-BH71</f>
        <v>141.72059892696575</v>
      </c>
      <c r="BI72" s="708">
        <f>BI69+BI70-BI71</f>
        <v>162.22401741440029</v>
      </c>
      <c r="BJ72" s="709"/>
      <c r="BK72" s="710">
        <f>BK69+BK70-BK71</f>
        <v>176.70778023579606</v>
      </c>
      <c r="BL72" s="710">
        <f>BL69+BL70-BL71</f>
        <v>161.51803933103486</v>
      </c>
      <c r="BM72" s="710">
        <f>BM69+BM70-BM71</f>
        <v>163.02017318926605</v>
      </c>
      <c r="BN72" s="710">
        <f>BN69+BN70-BN71</f>
        <v>140.29810331977484</v>
      </c>
      <c r="BO72" s="708">
        <f>BO69+BO70-BO71</f>
        <v>163.68148183026753</v>
      </c>
      <c r="BP72" s="709"/>
      <c r="BQ72" s="710">
        <f>BQ69+BQ70-BQ71</f>
        <v>178.70778023579606</v>
      </c>
      <c r="BR72" s="710">
        <f>BR69+BR70-BR71</f>
        <v>163.51803933103486</v>
      </c>
      <c r="BS72" s="710">
        <f>BS69+BS70-BS71</f>
        <v>165.02017318926605</v>
      </c>
      <c r="BT72" s="710">
        <f>BT69+BT70-BT71</f>
        <v>142.29810331977484</v>
      </c>
      <c r="BU72" s="708">
        <f>BU69+BU70-BU71</f>
        <v>164.43903141757966</v>
      </c>
      <c r="BV72" s="97"/>
      <c r="BW72" s="710">
        <f>BW69+BW70-BW71</f>
        <v>184.70778023579606</v>
      </c>
      <c r="BX72" s="710">
        <f>BX69+BX70-BX71</f>
        <v>169.51803933103486</v>
      </c>
      <c r="BY72" s="710">
        <f>BY69+BY70-BY71</f>
        <v>171.02017318926605</v>
      </c>
      <c r="BZ72" s="710">
        <f>BZ69+BZ70-BZ71</f>
        <v>148.29810331977484</v>
      </c>
      <c r="CA72" s="708">
        <f>CA69+CA70-CA71</f>
        <v>170.07409006187095</v>
      </c>
      <c r="CB72" s="97"/>
      <c r="CC72" s="710">
        <f>CC69+CC70-CC71</f>
        <v>187.70778023579606</v>
      </c>
      <c r="CD72" s="710">
        <f>CD69+CD70-CD71</f>
        <v>172.51803933103486</v>
      </c>
      <c r="CE72" s="710">
        <f>CE69+CE70-CE71</f>
        <v>174.02017318926605</v>
      </c>
      <c r="CF72" s="710">
        <f>CF69+CF70-CF71</f>
        <v>151.29810331977484</v>
      </c>
      <c r="CG72" s="708">
        <f>CG69+CG70-CG71</f>
        <v>172.29068250850031</v>
      </c>
      <c r="CH72" s="97"/>
      <c r="CI72" s="710">
        <f>CI69+CI70-CI71</f>
        <v>190.70778023579606</v>
      </c>
      <c r="CJ72" s="710">
        <f>CJ69+CJ70-CJ71</f>
        <v>175.51803933103486</v>
      </c>
      <c r="CK72" s="710">
        <f>CK69+CK70-CK71</f>
        <v>177.02017318926605</v>
      </c>
      <c r="CL72" s="710">
        <f>CL69+CL70-CL71</f>
        <v>154.29810331977484</v>
      </c>
      <c r="CM72" s="708">
        <f>CM69+CM70-CM71</f>
        <v>174.48565475614265</v>
      </c>
      <c r="CN72" s="97"/>
      <c r="CO72" s="97"/>
      <c r="CP72"/>
      <c r="CQ72"/>
      <c r="CR72"/>
      <c r="CS72"/>
      <c r="CT72"/>
      <c r="CU72"/>
      <c r="CV72" s="97"/>
    </row>
    <row r="73" spans="1:100" s="24" customFormat="1">
      <c r="A73" s="717"/>
      <c r="B73" s="717"/>
      <c r="C73" s="717"/>
      <c r="D73" s="717"/>
      <c r="E73" s="717"/>
      <c r="F73" s="34"/>
      <c r="G73" s="693"/>
      <c r="H73" s="693"/>
      <c r="I73" s="693"/>
      <c r="J73" s="693"/>
      <c r="K73" s="693"/>
      <c r="L73" s="693"/>
      <c r="M73" s="693"/>
      <c r="N73" s="693"/>
      <c r="O73" s="693"/>
      <c r="P73" s="693"/>
      <c r="Q73" s="693"/>
      <c r="R73" s="693"/>
      <c r="S73" s="694"/>
      <c r="T73" s="693"/>
      <c r="U73" s="693"/>
      <c r="V73" s="693"/>
      <c r="W73" s="693"/>
      <c r="X73" s="693"/>
      <c r="Y73" s="694"/>
      <c r="Z73" s="693"/>
      <c r="AA73" s="693"/>
      <c r="AB73" s="693"/>
      <c r="AC73" s="693"/>
      <c r="AD73" s="693"/>
      <c r="AE73" s="695"/>
      <c r="AF73" s="693"/>
      <c r="AG73" s="693"/>
      <c r="AH73" s="693"/>
      <c r="AI73" s="693"/>
      <c r="AJ73" s="693"/>
      <c r="AK73" s="695"/>
      <c r="AL73" s="693"/>
      <c r="AM73" s="693"/>
      <c r="AN73" s="693"/>
      <c r="AO73" s="693"/>
      <c r="AP73" s="693"/>
      <c r="AQ73" s="694"/>
      <c r="AR73" s="693"/>
      <c r="AS73" s="693"/>
      <c r="AT73" s="693"/>
      <c r="AU73" s="693"/>
      <c r="AV73" s="693"/>
      <c r="AW73" s="694"/>
      <c r="AX73" s="693"/>
      <c r="AY73" s="693"/>
      <c r="AZ73" s="693"/>
      <c r="BA73" s="693"/>
      <c r="BB73" s="693"/>
      <c r="BC73" s="694"/>
      <c r="BD73" s="693"/>
      <c r="BE73" s="693"/>
      <c r="BF73" s="693"/>
      <c r="BG73" s="693"/>
      <c r="BH73" s="693"/>
      <c r="BI73" s="694"/>
      <c r="BJ73" s="693"/>
      <c r="BK73" s="693"/>
      <c r="BL73" s="693"/>
      <c r="BM73" s="693"/>
      <c r="BN73" s="693"/>
      <c r="BO73" s="694"/>
      <c r="BP73" s="693"/>
      <c r="BQ73" s="693"/>
      <c r="BR73" s="693"/>
      <c r="BS73" s="693"/>
      <c r="BT73" s="693"/>
      <c r="BU73" s="694"/>
      <c r="BV73" s="97"/>
      <c r="BW73" s="693"/>
      <c r="BX73" s="693"/>
      <c r="BY73" s="693"/>
      <c r="BZ73" s="693"/>
      <c r="CA73" s="694"/>
      <c r="CB73" s="97"/>
      <c r="CC73" s="693"/>
      <c r="CD73" s="693"/>
      <c r="CE73" s="693"/>
      <c r="CF73" s="693"/>
      <c r="CG73" s="694"/>
      <c r="CH73" s="97"/>
      <c r="CI73" s="693"/>
      <c r="CJ73" s="693"/>
      <c r="CK73" s="693"/>
      <c r="CL73" s="693"/>
      <c r="CM73" s="694"/>
      <c r="CN73" s="97"/>
      <c r="CO73" s="97"/>
      <c r="CP73"/>
      <c r="CQ73"/>
      <c r="CR73"/>
      <c r="CS73"/>
      <c r="CT73"/>
      <c r="CU73"/>
      <c r="CV73" s="97"/>
    </row>
    <row r="74" spans="1:100" s="24" customFormat="1">
      <c r="A74" s="711" t="s">
        <v>495</v>
      </c>
      <c r="B74" s="711"/>
      <c r="C74" s="711"/>
      <c r="D74" s="711"/>
      <c r="E74" s="711"/>
      <c r="F74" s="34"/>
      <c r="G74" s="693"/>
      <c r="H74" s="693"/>
      <c r="I74" s="693"/>
      <c r="J74" s="693"/>
      <c r="K74" s="693"/>
      <c r="L74" s="693"/>
      <c r="M74" s="693"/>
      <c r="N74" s="693"/>
      <c r="O74" s="693"/>
      <c r="P74" s="693"/>
      <c r="Q74" s="693"/>
      <c r="R74" s="693"/>
      <c r="S74" s="694"/>
      <c r="T74" s="693"/>
      <c r="U74" s="693"/>
      <c r="V74" s="693"/>
      <c r="W74" s="693"/>
      <c r="X74" s="693"/>
      <c r="Y74" s="694"/>
      <c r="Z74" s="693"/>
      <c r="AA74" s="693"/>
      <c r="AB74" s="693"/>
      <c r="AC74" s="693"/>
      <c r="AD74" s="693"/>
      <c r="AE74" s="695"/>
      <c r="AF74" s="693"/>
      <c r="AG74" s="693"/>
      <c r="AH74" s="693"/>
      <c r="AI74" s="693"/>
      <c r="AJ74" s="693"/>
      <c r="AK74" s="695"/>
      <c r="AL74" s="693"/>
      <c r="AM74" s="693"/>
      <c r="AN74" s="693"/>
      <c r="AO74" s="693"/>
      <c r="AP74" s="693"/>
      <c r="AQ74" s="694"/>
      <c r="AR74" s="693"/>
      <c r="AS74" s="693"/>
      <c r="AT74" s="693"/>
      <c r="AU74" s="693"/>
      <c r="AV74" s="693"/>
      <c r="AW74" s="694"/>
      <c r="AX74" s="693"/>
      <c r="AY74" s="693"/>
      <c r="AZ74" s="693"/>
      <c r="BA74" s="693"/>
      <c r="BB74" s="693"/>
      <c r="BC74" s="694"/>
      <c r="BD74" s="693"/>
      <c r="BE74" s="693"/>
      <c r="BF74" s="693"/>
      <c r="BG74" s="693"/>
      <c r="BH74" s="693"/>
      <c r="BI74" s="694"/>
      <c r="BJ74" s="693"/>
      <c r="BK74" s="693"/>
      <c r="BL74" s="693"/>
      <c r="BM74" s="693"/>
      <c r="BN74" s="693"/>
      <c r="BO74" s="694"/>
      <c r="BP74" s="693"/>
      <c r="BQ74" s="693"/>
      <c r="BR74" s="693"/>
      <c r="BS74" s="693"/>
      <c r="BT74" s="693"/>
      <c r="BU74" s="694"/>
      <c r="BV74" s="97"/>
      <c r="BW74" s="693"/>
      <c r="BX74" s="693"/>
      <c r="BY74" s="693"/>
      <c r="BZ74" s="693"/>
      <c r="CA74" s="694"/>
      <c r="CB74" s="97"/>
      <c r="CC74" s="693"/>
      <c r="CD74" s="693"/>
      <c r="CE74" s="693"/>
      <c r="CF74" s="693"/>
      <c r="CG74" s="694"/>
      <c r="CH74" s="97"/>
      <c r="CI74" s="693"/>
      <c r="CJ74" s="693"/>
      <c r="CK74" s="693"/>
      <c r="CL74" s="693"/>
      <c r="CM74" s="694"/>
      <c r="CN74" s="97"/>
      <c r="CO74" s="97"/>
      <c r="CP74"/>
      <c r="CQ74"/>
      <c r="CR74"/>
      <c r="CS74"/>
      <c r="CT74"/>
      <c r="CU74"/>
      <c r="CV74" s="97"/>
    </row>
    <row r="75" spans="1:100" s="24" customFormat="1">
      <c r="A75" s="1609" t="s">
        <v>429</v>
      </c>
      <c r="B75" s="1610"/>
      <c r="C75" s="1610"/>
      <c r="D75" s="1610"/>
      <c r="E75" s="1610"/>
      <c r="F75" s="1611"/>
      <c r="G75" s="1603">
        <f>CFS!G47</f>
        <v>83.167000000000229</v>
      </c>
      <c r="H75" s="1604"/>
      <c r="I75" s="1604">
        <f>CFS!I47</f>
        <v>103.227</v>
      </c>
      <c r="J75" s="1604">
        <f>CFS!J47</f>
        <v>130.12099999999995</v>
      </c>
      <c r="K75" s="1604">
        <f>CFS!K47</f>
        <v>61.91899999999999</v>
      </c>
      <c r="L75" s="1604">
        <f>CFS!L47</f>
        <v>-464.07799999999992</v>
      </c>
      <c r="M75" s="1605">
        <f>CFS!M47</f>
        <v>-168.81100000000004</v>
      </c>
      <c r="N75" s="1604"/>
      <c r="O75" s="1604">
        <f>CFS!O47</f>
        <v>-40.369000000000014</v>
      </c>
      <c r="P75" s="1604">
        <f>CFS!P47</f>
        <v>-29.707999999999974</v>
      </c>
      <c r="Q75" s="1604">
        <f>CFS!Q47</f>
        <v>31.972000000000072</v>
      </c>
      <c r="R75" s="1604">
        <f>CFS!R47</f>
        <v>-49.306000000000026</v>
      </c>
      <c r="S75" s="1605">
        <f>CFS!S47</f>
        <v>-87.410999999999987</v>
      </c>
      <c r="T75" s="1604"/>
      <c r="U75" s="1604">
        <f>CFS!U47</f>
        <v>-44.099000000000011</v>
      </c>
      <c r="V75" s="1604">
        <f>CFS!V47</f>
        <v>13.872000000000014</v>
      </c>
      <c r="W75" s="1604">
        <f>CFS!W47</f>
        <v>-48.092000000000063</v>
      </c>
      <c r="X75" s="1604">
        <f>CFS!X47</f>
        <v>45.706000000000095</v>
      </c>
      <c r="Y75" s="1605">
        <f>CFS!Y47</f>
        <v>-32.613000000000063</v>
      </c>
      <c r="Z75" s="1604"/>
      <c r="AA75" s="1604">
        <f>CFS!AA47</f>
        <v>-11.638000000000025</v>
      </c>
      <c r="AB75" s="1604">
        <f>CFS!AB47</f>
        <v>48.054000000000059</v>
      </c>
      <c r="AC75" s="1604">
        <f>CFS!AC47</f>
        <v>79.011999999999844</v>
      </c>
      <c r="AD75" s="1604">
        <f>CFS!AD47</f>
        <v>-39.935999999999822</v>
      </c>
      <c r="AE75" s="1605">
        <f>CFS!AE47</f>
        <v>75.492000000000147</v>
      </c>
      <c r="AF75" s="1604"/>
      <c r="AG75" s="1604">
        <f>CFS!AG47</f>
        <v>43.195999999999984</v>
      </c>
      <c r="AH75" s="1604">
        <f>CFS!AH47</f>
        <v>-57.756999999999898</v>
      </c>
      <c r="AI75" s="1604">
        <f>CFS!AI47</f>
        <v>-13.13600000000007</v>
      </c>
      <c r="AJ75" s="1604">
        <f>CFS!AJ47</f>
        <v>124.74199999999986</v>
      </c>
      <c r="AK75" s="1605">
        <f>CFS!AK47</f>
        <v>97.044999999999845</v>
      </c>
      <c r="AL75" s="1604"/>
      <c r="AM75" s="1604">
        <f>CFS!AM47</f>
        <v>-8.9870000000000605</v>
      </c>
      <c r="AN75" s="1604">
        <f>CFS!AN47</f>
        <v>-17.003000000000064</v>
      </c>
      <c r="AO75" s="1604">
        <f>CFS!AO47</f>
        <v>-24.04399999999977</v>
      </c>
      <c r="AP75" s="1604">
        <f>CFS!AP47</f>
        <v>9.7949999999997956</v>
      </c>
      <c r="AQ75" s="1605">
        <f>CFS!AQ47</f>
        <v>-40.238999999999763</v>
      </c>
      <c r="AR75" s="1604"/>
      <c r="AS75" s="1604">
        <f>CFS!AS47</f>
        <v>-45.413999999999973</v>
      </c>
      <c r="AT75" s="1604">
        <f>CFS!AT47</f>
        <v>33.309000000000097</v>
      </c>
      <c r="AU75" s="1604">
        <f>CFS!AU47</f>
        <v>-71.722999999999985</v>
      </c>
      <c r="AV75" s="1604">
        <f>CFS!AV47</f>
        <v>65.209000000000145</v>
      </c>
      <c r="AW75" s="1605">
        <f>CFS!AW47</f>
        <v>-18.618999999999581</v>
      </c>
      <c r="AX75" s="1604"/>
      <c r="AY75" s="1604">
        <f>CFS!AY47</f>
        <v>18.620999999999992</v>
      </c>
      <c r="AZ75" s="1604">
        <f>CFS!AZ47</f>
        <v>-74.922999999999988</v>
      </c>
      <c r="BA75" s="1604">
        <f>CFS!BA47</f>
        <v>93.643000000000058</v>
      </c>
      <c r="BB75" s="1604">
        <f>CFS!BB47</f>
        <v>28.147000000000052</v>
      </c>
      <c r="BC75" s="1605">
        <f>CFS!BC47</f>
        <v>65.487999999999857</v>
      </c>
      <c r="BD75" s="1604"/>
      <c r="BE75" s="1604">
        <f>CFS!BE47</f>
        <v>-71.278000000000006</v>
      </c>
      <c r="BF75" s="1604">
        <f>CFS!BF47</f>
        <v>46.994999999999763</v>
      </c>
      <c r="BG75" s="1604">
        <f>CFS!BG47</f>
        <v>-33.172999999999988</v>
      </c>
      <c r="BH75" s="1604">
        <f>CFS!BH47</f>
        <v>75.42200000000004</v>
      </c>
      <c r="BI75" s="1605">
        <f>CFS!BI47</f>
        <v>17.965999999999731</v>
      </c>
      <c r="BJ75" s="1604"/>
      <c r="BK75" s="1604">
        <f>CFS!BK47</f>
        <v>78.812999999999903</v>
      </c>
      <c r="BL75" s="1604">
        <f>CFS!BL47</f>
        <v>-17.188999999999858</v>
      </c>
      <c r="BM75" s="1604">
        <f>CFS!BM47</f>
        <v>36.551999999999865</v>
      </c>
      <c r="BN75" s="1604">
        <f>CFS!BN47</f>
        <v>38.512000000000185</v>
      </c>
      <c r="BO75" s="1605">
        <f>CFS!BO47</f>
        <v>136.68800000000022</v>
      </c>
      <c r="BP75" s="1604"/>
      <c r="BQ75" s="1604">
        <f>CFS!BQ47</f>
        <v>-197.72017047162845</v>
      </c>
      <c r="BR75" s="1604">
        <f>CFS!BR47</f>
        <v>16.216823539542133</v>
      </c>
      <c r="BS75" s="1604">
        <f>CFS!BS47</f>
        <v>22.530817641771478</v>
      </c>
      <c r="BT75" s="1604">
        <f>CFS!BT47</f>
        <v>72.490663261062053</v>
      </c>
      <c r="BU75" s="1605">
        <f>CFS!BU47</f>
        <v>-86.481866029252728</v>
      </c>
      <c r="BV75" s="97"/>
      <c r="BW75" s="1604">
        <f>CFS!BW47</f>
        <v>-221.86816875150379</v>
      </c>
      <c r="BX75" s="1604">
        <f>CFS!BX47</f>
        <v>12.664179269153095</v>
      </c>
      <c r="BY75" s="1604">
        <f>CFS!BY47</f>
        <v>17.842830411609214</v>
      </c>
      <c r="BZ75" s="1604">
        <f>CFS!BZ47</f>
        <v>66.235585338821863</v>
      </c>
      <c r="CA75" s="1605">
        <f>CFS!CA47</f>
        <v>-125.12557373191953</v>
      </c>
      <c r="CB75" s="97"/>
      <c r="CC75" s="1604">
        <f>CFS!CC47</f>
        <v>-105.63115308355502</v>
      </c>
      <c r="CD75" s="1604">
        <f>CFS!CD47</f>
        <v>89.122266053971657</v>
      </c>
      <c r="CE75" s="1604">
        <f>CFS!CE47</f>
        <v>92.01746285959166</v>
      </c>
      <c r="CF75" s="1604">
        <f>CFS!CF47</f>
        <v>146.64628097942986</v>
      </c>
      <c r="CG75" s="1605">
        <f>CFS!CG47</f>
        <v>222.154856809438</v>
      </c>
      <c r="CH75" s="97"/>
      <c r="CI75" s="1604">
        <f>CFS!CI47</f>
        <v>-23.767949964722249</v>
      </c>
      <c r="CJ75" s="1604">
        <f>CFS!CJ47</f>
        <v>53.730007004768567</v>
      </c>
      <c r="CK75" s="1604">
        <f>CFS!CK47</f>
        <v>49.213590614425641</v>
      </c>
      <c r="CL75" s="1604">
        <f>CFS!CL47</f>
        <v>108.39620566973798</v>
      </c>
      <c r="CM75" s="1605">
        <f>CFS!CM47</f>
        <v>187.57185332420988</v>
      </c>
      <c r="CN75" s="97"/>
      <c r="CO75" s="97"/>
      <c r="CP75"/>
      <c r="CQ75"/>
      <c r="CR75"/>
      <c r="CS75"/>
      <c r="CT75"/>
      <c r="CU75"/>
      <c r="CV75" s="97"/>
    </row>
    <row r="76" spans="1:100" s="24" customFormat="1">
      <c r="A76" s="1612" t="s">
        <v>496</v>
      </c>
      <c r="B76" s="1613"/>
      <c r="C76" s="1613"/>
      <c r="D76" s="1613"/>
      <c r="E76" s="1613"/>
      <c r="F76" s="1614"/>
      <c r="G76" s="1606">
        <f>CFS!G25</f>
        <v>370.50700000000006</v>
      </c>
      <c r="H76" s="1607"/>
      <c r="I76" s="1607">
        <f>CFS!I25</f>
        <v>95.927999999999997</v>
      </c>
      <c r="J76" s="1607">
        <f>CFS!J25</f>
        <v>107.35999999999999</v>
      </c>
      <c r="K76" s="1607">
        <f>CFS!K25</f>
        <v>102.742</v>
      </c>
      <c r="L76" s="1607">
        <f>CFS!L25</f>
        <v>112.21799999999999</v>
      </c>
      <c r="M76" s="1606">
        <f>CFS!M25</f>
        <v>418.24799999999999</v>
      </c>
      <c r="N76" s="1607"/>
      <c r="O76" s="1607">
        <f>CFS!O25</f>
        <v>80.687999999999988</v>
      </c>
      <c r="P76" s="1607">
        <f>CFS!P25</f>
        <v>93.146000000000001</v>
      </c>
      <c r="Q76" s="1607">
        <f>CFS!Q25</f>
        <v>124.57000000000004</v>
      </c>
      <c r="R76" s="1607">
        <f>CFS!R25</f>
        <v>119.85899999999998</v>
      </c>
      <c r="S76" s="1606">
        <f>CFS!S25</f>
        <v>418.26300000000003</v>
      </c>
      <c r="T76" s="1607"/>
      <c r="U76" s="1607">
        <f>CFS!U25</f>
        <v>103.15499999999999</v>
      </c>
      <c r="V76" s="1607">
        <f>CFS!V25</f>
        <v>111.672</v>
      </c>
      <c r="W76" s="1607">
        <f>CFS!W25</f>
        <v>108.94200000000001</v>
      </c>
      <c r="X76" s="1607">
        <f>CFS!X25</f>
        <v>134.08700000000002</v>
      </c>
      <c r="Y76" s="1606">
        <f>CFS!Y25</f>
        <v>457.85599999999999</v>
      </c>
      <c r="Z76" s="1607"/>
      <c r="AA76" s="1607">
        <f>CFS!AA25</f>
        <v>122.76100000000001</v>
      </c>
      <c r="AB76" s="1607">
        <f>CFS!AB25</f>
        <v>97.218000000000018</v>
      </c>
      <c r="AC76" s="1607">
        <f>CFS!AC25</f>
        <v>127.33300000000003</v>
      </c>
      <c r="AD76" s="1607">
        <f>CFS!AD25</f>
        <v>150.06199999999998</v>
      </c>
      <c r="AE76" s="1606">
        <f>CFS!AE25</f>
        <v>497.37400000000008</v>
      </c>
      <c r="AF76" s="1607"/>
      <c r="AG76" s="1607">
        <f>CFS!AG25</f>
        <v>111.19799999999999</v>
      </c>
      <c r="AH76" s="1607">
        <f>CFS!AH25</f>
        <v>105.07600000000002</v>
      </c>
      <c r="AI76" s="1607">
        <f>CFS!AI25</f>
        <v>101.35300000000002</v>
      </c>
      <c r="AJ76" s="1607">
        <f>CFS!AJ25</f>
        <v>131.65299999999996</v>
      </c>
      <c r="AK76" s="1606">
        <f>CFS!AK25</f>
        <v>449.28</v>
      </c>
      <c r="AL76" s="1607"/>
      <c r="AM76" s="1607">
        <f>CFS!AM25</f>
        <v>127.79800000000002</v>
      </c>
      <c r="AN76" s="1607">
        <f>CFS!AN25</f>
        <v>109.02200000000002</v>
      </c>
      <c r="AO76" s="1607">
        <f>CFS!AO25</f>
        <v>104.76500000000004</v>
      </c>
      <c r="AP76" s="1607">
        <f>CFS!AP25</f>
        <v>143.29099999999994</v>
      </c>
      <c r="AQ76" s="1606">
        <f>CFS!AQ25</f>
        <v>484.87599999999998</v>
      </c>
      <c r="AR76" s="1607"/>
      <c r="AS76" s="1607">
        <f>CFS!AS25</f>
        <v>115.75499999999997</v>
      </c>
      <c r="AT76" s="1607">
        <f>CFS!AT25</f>
        <v>106.33199999999999</v>
      </c>
      <c r="AU76" s="1607">
        <f>CFS!AU25</f>
        <v>127.83900000000001</v>
      </c>
      <c r="AV76" s="1607">
        <f>CFS!AV25</f>
        <v>161.72199999999998</v>
      </c>
      <c r="AW76" s="1606">
        <f>CFS!AW25</f>
        <v>511.64800000000002</v>
      </c>
      <c r="AX76" s="1607"/>
      <c r="AY76" s="1607">
        <f>CFS!AY25</f>
        <v>154.59000000000003</v>
      </c>
      <c r="AZ76" s="1607">
        <f>CFS!AZ25</f>
        <v>112.95899999999999</v>
      </c>
      <c r="BA76" s="1607">
        <f>CFS!BA25</f>
        <v>139.09299999999993</v>
      </c>
      <c r="BB76" s="1607">
        <f>CFS!BB25</f>
        <v>153.65100000000004</v>
      </c>
      <c r="BC76" s="1606">
        <f>CFS!BC25</f>
        <v>560.29300000000001</v>
      </c>
      <c r="BD76" s="1607"/>
      <c r="BE76" s="1607">
        <f>CFS!BE25</f>
        <v>159.88599999999997</v>
      </c>
      <c r="BF76" s="1607">
        <f>CFS!BF25</f>
        <v>157.01899999999992</v>
      </c>
      <c r="BG76" s="1607">
        <f>CFS!BG25</f>
        <v>139.19800000000006</v>
      </c>
      <c r="BH76" s="1607">
        <f>CFS!BH25</f>
        <v>172.97299999999998</v>
      </c>
      <c r="BI76" s="1606">
        <f>CFS!BI25</f>
        <v>629.07599999999991</v>
      </c>
      <c r="BJ76" s="1607"/>
      <c r="BK76" s="1607">
        <f>CFS!BK25</f>
        <v>174.209</v>
      </c>
      <c r="BL76" s="1607">
        <f>CFS!BL25</f>
        <v>177.05100000000002</v>
      </c>
      <c r="BM76" s="1607">
        <f>CFS!BM25</f>
        <v>154.19599999999994</v>
      </c>
      <c r="BN76" s="1607">
        <f>CFS!BN25</f>
        <v>192.18399999999997</v>
      </c>
      <c r="BO76" s="1606">
        <f>CFS!BO25</f>
        <v>697.64</v>
      </c>
      <c r="BP76" s="1607"/>
      <c r="BQ76" s="1607">
        <f>CFS!BQ25</f>
        <v>74.195929795405192</v>
      </c>
      <c r="BR76" s="1607">
        <f>CFS!BR25</f>
        <v>191.31974030290314</v>
      </c>
      <c r="BS76" s="1607">
        <f>CFS!BS25</f>
        <v>199.63680533664996</v>
      </c>
      <c r="BT76" s="1607">
        <f>CFS!BT25</f>
        <v>257.45360629766844</v>
      </c>
      <c r="BU76" s="1606">
        <f>CFS!BU25</f>
        <v>722.60608173262676</v>
      </c>
      <c r="BV76" s="97"/>
      <c r="BW76" s="1607">
        <f>CFS!BW25</f>
        <v>67.69297268322795</v>
      </c>
      <c r="BX76" s="1607">
        <f>CFS!BX25</f>
        <v>206.03399500363318</v>
      </c>
      <c r="BY76" s="1607">
        <f>CFS!BY25</f>
        <v>212.53785422468439</v>
      </c>
      <c r="BZ76" s="1607">
        <f>CFS!BZ25</f>
        <v>271.20553193044429</v>
      </c>
      <c r="CA76" s="1606">
        <f>CFS!CA25</f>
        <v>757.47035384198989</v>
      </c>
      <c r="CB76" s="97"/>
      <c r="CC76" s="1607">
        <f>CFS!CC25</f>
        <v>87.467169829531741</v>
      </c>
      <c r="CD76" s="1607">
        <f>CFS!CD25</f>
        <v>285.38085258210509</v>
      </c>
      <c r="CE76" s="1607">
        <f>CFS!CE25</f>
        <v>289.31962684093492</v>
      </c>
      <c r="CF76" s="1607">
        <f>CFS!CF25</f>
        <v>353.91285387620326</v>
      </c>
      <c r="CG76" s="1606">
        <f>CFS!CG25</f>
        <v>1016.0805031287749</v>
      </c>
      <c r="CH76" s="97"/>
      <c r="CI76" s="1607">
        <f>CFS!CI25</f>
        <v>159.62539795107699</v>
      </c>
      <c r="CJ76" s="1607">
        <f>CFS!CJ25</f>
        <v>238.54639861721381</v>
      </c>
      <c r="CK76" s="1607">
        <f>CFS!CK25</f>
        <v>235.11889065304834</v>
      </c>
      <c r="CL76" s="1607">
        <f>CFS!CL25</f>
        <v>301.54975350753449</v>
      </c>
      <c r="CM76" s="1606">
        <f>CFS!CM25</f>
        <v>934.84044072887366</v>
      </c>
      <c r="CN76" s="97"/>
      <c r="CO76" s="97"/>
      <c r="CP76"/>
      <c r="CQ76"/>
      <c r="CR76"/>
      <c r="CS76"/>
      <c r="CT76"/>
      <c r="CU76"/>
      <c r="CV76" s="97"/>
    </row>
    <row r="77" spans="1:100" s="24" customFormat="1">
      <c r="A77" s="1612" t="s">
        <v>1</v>
      </c>
      <c r="B77" s="1613"/>
      <c r="C77" s="1613"/>
      <c r="D77" s="1613"/>
      <c r="E77" s="1613"/>
      <c r="F77" s="1614"/>
      <c r="G77" s="1606">
        <f>CFS!G54</f>
        <v>310.16500000000008</v>
      </c>
      <c r="H77" s="1607"/>
      <c r="I77" s="1607">
        <f>CFS!I54</f>
        <v>81.626000000000005</v>
      </c>
      <c r="J77" s="1607">
        <f>CFS!J54</f>
        <v>89.087999999999994</v>
      </c>
      <c r="K77" s="1607">
        <f>CFS!K54</f>
        <v>86.238</v>
      </c>
      <c r="L77" s="1607">
        <f>CFS!L54</f>
        <v>92.230999999999995</v>
      </c>
      <c r="M77" s="1606">
        <f>CFS!M54</f>
        <v>349.18299999999999</v>
      </c>
      <c r="N77" s="1607"/>
      <c r="O77" s="1607">
        <f>CFS!O54</f>
        <v>58.531999999999989</v>
      </c>
      <c r="P77" s="1607">
        <f>CFS!P54</f>
        <v>57.548000000000002</v>
      </c>
      <c r="Q77" s="1607">
        <f>CFS!Q54</f>
        <v>101.92500000000004</v>
      </c>
      <c r="R77" s="1607">
        <f>CFS!R54</f>
        <v>106.46199999999997</v>
      </c>
      <c r="S77" s="1606">
        <f>CFS!S54</f>
        <v>324.46700000000004</v>
      </c>
      <c r="T77" s="1607"/>
      <c r="U77" s="1607">
        <f>CFS!U54</f>
        <v>92.989999999999981</v>
      </c>
      <c r="V77" s="1607">
        <f>CFS!V54</f>
        <v>100.608</v>
      </c>
      <c r="W77" s="1607">
        <f>CFS!W54</f>
        <v>82.894000000000005</v>
      </c>
      <c r="X77" s="1607">
        <f>CFS!X54</f>
        <v>118.62400000000002</v>
      </c>
      <c r="Y77" s="1606">
        <f>CFS!Y54</f>
        <v>395.11599999999999</v>
      </c>
      <c r="Z77" s="1607"/>
      <c r="AA77" s="1607">
        <f>CFS!AA54</f>
        <v>105.92200000000001</v>
      </c>
      <c r="AB77" s="1607">
        <f>CFS!AB54</f>
        <v>78.785000000000025</v>
      </c>
      <c r="AC77" s="1607">
        <f>CFS!AC54</f>
        <v>111.26100000000002</v>
      </c>
      <c r="AD77" s="1607">
        <f>CFS!AD54</f>
        <v>115.96999999999997</v>
      </c>
      <c r="AE77" s="1606">
        <f>CFS!AE54</f>
        <v>411.9380000000001</v>
      </c>
      <c r="AF77" s="1607"/>
      <c r="AG77" s="1607">
        <f>CFS!AG54</f>
        <v>95.663999999999987</v>
      </c>
      <c r="AH77" s="1607">
        <f>CFS!AH54</f>
        <v>73.690000000000026</v>
      </c>
      <c r="AI77" s="1607">
        <f>CFS!AI54</f>
        <v>75.225000000000023</v>
      </c>
      <c r="AJ77" s="1607">
        <f>CFS!AJ54</f>
        <v>99.95199999999997</v>
      </c>
      <c r="AK77" s="1606">
        <f>CFS!AK54</f>
        <v>344.53099999999995</v>
      </c>
      <c r="AL77" s="1607"/>
      <c r="AM77" s="1607">
        <f>CFS!AM54</f>
        <v>97.161000000000016</v>
      </c>
      <c r="AN77" s="1607">
        <f>CFS!AN54</f>
        <v>78.38300000000001</v>
      </c>
      <c r="AO77" s="1607">
        <f>CFS!AO54</f>
        <v>73.225000000000051</v>
      </c>
      <c r="AP77" s="1607">
        <f>CFS!AP54</f>
        <v>117.65699999999994</v>
      </c>
      <c r="AQ77" s="1606">
        <f>CFS!AQ54</f>
        <v>366.42599999999999</v>
      </c>
      <c r="AR77" s="1607"/>
      <c r="AS77" s="1607">
        <f>CFS!AS54</f>
        <v>94.359999999999971</v>
      </c>
      <c r="AT77" s="1607">
        <f>CFS!AT54</f>
        <v>83.575999999999993</v>
      </c>
      <c r="AU77" s="1607">
        <f>CFS!AU54</f>
        <v>101.55300000000003</v>
      </c>
      <c r="AV77" s="1607">
        <f>CFS!AV54</f>
        <v>141.03699999999998</v>
      </c>
      <c r="AW77" s="1606">
        <f>CFS!AW54</f>
        <v>420.52600000000001</v>
      </c>
      <c r="AX77" s="1607"/>
      <c r="AY77" s="1607">
        <f>CFS!AY54</f>
        <v>133.18000000000004</v>
      </c>
      <c r="AZ77" s="1607">
        <f>CFS!AZ54</f>
        <v>89.075999999999993</v>
      </c>
      <c r="BA77" s="1607">
        <f>CFS!BA54</f>
        <v>112.13599999999994</v>
      </c>
      <c r="BB77" s="1607">
        <f>CFS!BB54</f>
        <v>125.88900000000004</v>
      </c>
      <c r="BC77" s="1606">
        <f>CFS!BC54</f>
        <v>460.28100000000001</v>
      </c>
      <c r="BD77" s="1607"/>
      <c r="BE77" s="1607">
        <f>CFS!BE54</f>
        <v>135.23399999999998</v>
      </c>
      <c r="BF77" s="1607">
        <f>CFS!BF54</f>
        <v>131.97499999999991</v>
      </c>
      <c r="BG77" s="1607">
        <f>CFS!BG54</f>
        <v>116.59800000000006</v>
      </c>
      <c r="BH77" s="1607">
        <f>CFS!BH54</f>
        <v>150.30199999999999</v>
      </c>
      <c r="BI77" s="1606">
        <f>CFS!BI54</f>
        <v>534.10899999999992</v>
      </c>
      <c r="BJ77" s="1607"/>
      <c r="BK77" s="1607">
        <f>CFS!BK54</f>
        <v>156.49799999999999</v>
      </c>
      <c r="BL77" s="1607">
        <f>CFS!BL54</f>
        <v>159.40400000000002</v>
      </c>
      <c r="BM77" s="1607">
        <f>CFS!BM54</f>
        <v>134.29699999999994</v>
      </c>
      <c r="BN77" s="1607">
        <f>CFS!BN54</f>
        <v>161.96799999999996</v>
      </c>
      <c r="BO77" s="1606">
        <f>CFS!BO54</f>
        <v>612.16700000000003</v>
      </c>
      <c r="BP77" s="1607"/>
      <c r="BQ77" s="1607">
        <f>CFS!BQ54</f>
        <v>49.467218528371546</v>
      </c>
      <c r="BR77" s="1607">
        <f>CFS!BR54</f>
        <v>163.56295855954212</v>
      </c>
      <c r="BS77" s="1607">
        <f>CFS!BS54</f>
        <v>172.14541645937146</v>
      </c>
      <c r="BT77" s="1607">
        <f>CFS!BT54</f>
        <v>223.99867122055005</v>
      </c>
      <c r="BU77" s="1606">
        <f>CFS!BU54</f>
        <v>609.17426476783521</v>
      </c>
      <c r="BV77" s="97"/>
      <c r="BW77" s="1607">
        <f>CFS!BW54</f>
        <v>29.64004745284565</v>
      </c>
      <c r="BX77" s="1607">
        <f>CFS!BX54</f>
        <v>163.59976549898059</v>
      </c>
      <c r="BY77" s="1607">
        <f>CFS!BY54</f>
        <v>170.61614629385741</v>
      </c>
      <c r="BZ77" s="1607">
        <f>CFS!BZ54</f>
        <v>220.51298041520027</v>
      </c>
      <c r="CA77" s="1606">
        <f>CFS!CA54</f>
        <v>584.36893966088405</v>
      </c>
      <c r="CB77" s="97"/>
      <c r="CC77" s="1607">
        <f>CFS!CC54</f>
        <v>48.13724070365798</v>
      </c>
      <c r="CD77" s="1607">
        <f>CFS!CD54</f>
        <v>241.81264415371911</v>
      </c>
      <c r="CE77" s="1607">
        <f>CFS!CE54</f>
        <v>246.33499558736941</v>
      </c>
      <c r="CF77" s="1607">
        <f>CFS!CF54</f>
        <v>302.27127458987428</v>
      </c>
      <c r="CG77" s="1606">
        <f>CFS!CG54</f>
        <v>838.5561550346207</v>
      </c>
      <c r="CH77" s="97"/>
      <c r="CI77" s="1607">
        <f>CFS!CI54</f>
        <v>130.99175914446883</v>
      </c>
      <c r="CJ77" s="1607">
        <f>CFS!CJ54</f>
        <v>207.03516174455672</v>
      </c>
      <c r="CK77" s="1607">
        <f>CFS!CK54</f>
        <v>204.07212678543922</v>
      </c>
      <c r="CL77" s="1607">
        <f>CFS!CL54</f>
        <v>264.48483879122995</v>
      </c>
      <c r="CM77" s="1606">
        <f>CFS!CM54</f>
        <v>806.58388646569472</v>
      </c>
      <c r="CN77" s="97"/>
      <c r="CO77" s="97"/>
      <c r="CP77"/>
      <c r="CQ77"/>
      <c r="CR77"/>
      <c r="CS77"/>
      <c r="CT77"/>
      <c r="CU77"/>
      <c r="CV77" s="97"/>
    </row>
    <row r="78" spans="1:100" s="24" customFormat="1">
      <c r="A78" s="1615" t="s">
        <v>497</v>
      </c>
      <c r="B78" s="1613"/>
      <c r="C78" s="1613"/>
      <c r="D78" s="1613"/>
      <c r="E78" s="1613"/>
      <c r="F78" s="1614"/>
      <c r="G78" s="1616">
        <f>CFS!G55</f>
        <v>3.0258523974440279</v>
      </c>
      <c r="H78" s="1608"/>
      <c r="I78" s="1617">
        <f>CFS!I55</f>
        <v>0.80038830001078609</v>
      </c>
      <c r="J78" s="1617">
        <f>CFS!J55</f>
        <v>0.88175384767654774</v>
      </c>
      <c r="K78" s="1617">
        <f>CFS!K55</f>
        <v>0.8575264005727582</v>
      </c>
      <c r="L78" s="1617">
        <f>CFS!L55</f>
        <v>0.93331376934052479</v>
      </c>
      <c r="M78" s="1616">
        <f>CFS!M55</f>
        <v>3.472557306946447</v>
      </c>
      <c r="N78" s="1608"/>
      <c r="O78" s="1617">
        <f>CFS!O55</f>
        <v>0.59771053948349262</v>
      </c>
      <c r="P78" s="1617">
        <f>CFS!P55</f>
        <v>0.59330281661099427</v>
      </c>
      <c r="Q78" s="1617">
        <f>CFS!Q55</f>
        <v>1.0560753473625317</v>
      </c>
      <c r="R78" s="1617">
        <f>CFS!R55</f>
        <v>1.1076983904027631</v>
      </c>
      <c r="S78" s="1616">
        <f>CFS!S55</f>
        <v>3.3497862939026661</v>
      </c>
      <c r="T78" s="1608"/>
      <c r="U78" s="1617">
        <f>CFS!U55</f>
        <v>0.97654978314062757</v>
      </c>
      <c r="V78" s="1617">
        <f>CFS!V55</f>
        <v>1.0671418570610323</v>
      </c>
      <c r="W78" s="1617">
        <f>CFS!W55</f>
        <v>0.88860064747121759</v>
      </c>
      <c r="X78" s="1617">
        <f>CFS!X55</f>
        <v>1.2708261912924241</v>
      </c>
      <c r="Y78" s="1616">
        <f>CFS!Y55</f>
        <v>4.2008143997788574</v>
      </c>
      <c r="Z78" s="1608"/>
      <c r="AA78" s="1617">
        <f>CFS!AA55</f>
        <v>1.1351258667066755</v>
      </c>
      <c r="AB78" s="1617">
        <f>CFS!AB55</f>
        <v>0.84468913167007997</v>
      </c>
      <c r="AC78" s="1617">
        <f>CFS!AC55</f>
        <v>1.2085704975016296</v>
      </c>
      <c r="AD78" s="1617">
        <f>CFS!AD55</f>
        <v>1.28050261687609</v>
      </c>
      <c r="AE78" s="1616">
        <f>CFS!AE55</f>
        <v>4.4618250744652057</v>
      </c>
      <c r="AF78" s="1608"/>
      <c r="AG78" s="1617">
        <f>CFS!AG55</f>
        <v>1.0597658110757844</v>
      </c>
      <c r="AH78" s="1617">
        <f>CFS!AH55</f>
        <v>0.82444814893545637</v>
      </c>
      <c r="AI78" s="1617">
        <f>CFS!AI55</f>
        <v>0.85047088218335609</v>
      </c>
      <c r="AJ78" s="1617">
        <f>CFS!AJ55</f>
        <v>1.137744590272165</v>
      </c>
      <c r="AK78" s="1616">
        <f>CFS!AK55</f>
        <v>3.8290156592093707</v>
      </c>
      <c r="AL78" s="1608"/>
      <c r="AM78" s="1617">
        <f>CFS!AM55</f>
        <v>1.1140400160522848</v>
      </c>
      <c r="AN78" s="1617">
        <f>CFS!AN55</f>
        <v>0.90536638329329167</v>
      </c>
      <c r="AO78" s="1617">
        <f>CFS!AO55</f>
        <v>0.84786485109536436</v>
      </c>
      <c r="AP78" s="1617">
        <f>CFS!AP55</f>
        <v>1.3678342653196456</v>
      </c>
      <c r="AQ78" s="1616">
        <f>CFS!AQ55</f>
        <v>4.234033948441815</v>
      </c>
      <c r="AR78" s="1608"/>
      <c r="AS78" s="1617">
        <f>CFS!AS55</f>
        <v>1.0988319960872448</v>
      </c>
      <c r="AT78" s="1617">
        <f>CFS!AT55</f>
        <v>0.97706282587855686</v>
      </c>
      <c r="AU78" s="1617">
        <f>CFS!AU55</f>
        <v>1.2032203409912208</v>
      </c>
      <c r="AV78" s="1617">
        <f>CFS!AV55</f>
        <v>1.6787121347378442</v>
      </c>
      <c r="AW78" s="1616">
        <f>CFS!AW55</f>
        <v>4.9385914434357794</v>
      </c>
      <c r="AX78" s="1608"/>
      <c r="AY78" s="1617">
        <f>CFS!AY55</f>
        <v>1.5901709809914992</v>
      </c>
      <c r="AZ78" s="1617">
        <f>CFS!AZ55</f>
        <v>1.0689291028656458</v>
      </c>
      <c r="BA78" s="1617">
        <f>CFS!BA55</f>
        <v>1.35456126787785</v>
      </c>
      <c r="BB78" s="1617">
        <f>CFS!BB55</f>
        <v>1.5281129372921274</v>
      </c>
      <c r="BC78" s="1616">
        <f>CFS!BC55</f>
        <v>5.5413814898419869</v>
      </c>
      <c r="BD78" s="1608"/>
      <c r="BE78" s="1617">
        <f>CFS!BE55</f>
        <v>1.6497182033327638</v>
      </c>
      <c r="BF78" s="1617">
        <f>CFS!BF55</f>
        <v>1.6202197532379832</v>
      </c>
      <c r="BG78" s="1617">
        <f>CFS!BG55</f>
        <v>1.432619059320785</v>
      </c>
      <c r="BH78" s="1617">
        <f>CFS!BH55</f>
        <v>1.8566346320132421</v>
      </c>
      <c r="BI78" s="1616">
        <f>CFS!BI55</f>
        <v>6.5580914200465958</v>
      </c>
      <c r="BJ78" s="1608"/>
      <c r="BK78" s="1617">
        <f>CFS!BK55</f>
        <v>1.937599821713776</v>
      </c>
      <c r="BL78" s="1617">
        <f>CFS!BL55</f>
        <v>1.9738966764079453</v>
      </c>
      <c r="BM78" s="1617">
        <f>CFS!BM55</f>
        <v>1.6678506228188912</v>
      </c>
      <c r="BN78" s="1617">
        <f>CFS!BN55</f>
        <v>2.0385128502026326</v>
      </c>
      <c r="BO78" s="1616">
        <f>CFS!BO55</f>
        <v>7.6163856920684294</v>
      </c>
      <c r="BP78" s="1608"/>
      <c r="BQ78" s="1617">
        <f>CFS!BQ55</f>
        <v>0.62885521484282891</v>
      </c>
      <c r="BR78" s="1617">
        <f>CFS!BR55</f>
        <v>2.0999945069105292</v>
      </c>
      <c r="BS78" s="1617">
        <f>CFS!BS55</f>
        <v>2.2319262837717542</v>
      </c>
      <c r="BT78" s="1617">
        <f>CFS!BT55</f>
        <v>2.9324610021066793</v>
      </c>
      <c r="BU78" s="1616">
        <f>CFS!BU55</f>
        <v>7.8586858489106604</v>
      </c>
      <c r="BV78" s="97"/>
      <c r="BW78" s="1617">
        <f>CFS!BW55</f>
        <v>0.39175942176112127</v>
      </c>
      <c r="BX78" s="1617">
        <f>CFS!BX55</f>
        <v>2.1828727548595435</v>
      </c>
      <c r="BY78" s="1617">
        <f>CFS!BY55</f>
        <v>2.2978549487491975</v>
      </c>
      <c r="BZ78" s="1617">
        <f>CFS!BZ55</f>
        <v>2.9974024353635582</v>
      </c>
      <c r="CA78" s="1616">
        <f>CFS!CA55</f>
        <v>7.8327336395417966</v>
      </c>
      <c r="CB78" s="97"/>
      <c r="CC78" s="1617">
        <f>CFS!CC55</f>
        <v>0.66031675119251354</v>
      </c>
      <c r="CD78" s="1617">
        <f>CFS!CD55</f>
        <v>3.3470508583253751</v>
      </c>
      <c r="CE78" s="1617">
        <f>CFS!CE55</f>
        <v>3.4401209816309284</v>
      </c>
      <c r="CF78" s="1617">
        <f>CFS!CF55</f>
        <v>4.2585431736787305</v>
      </c>
      <c r="CG78" s="1616">
        <f>CFS!CG55</f>
        <v>11.657413748652626</v>
      </c>
      <c r="CH78" s="97"/>
      <c r="CI78" s="1617">
        <f>CFS!CI55</f>
        <v>1.861560616355167</v>
      </c>
      <c r="CJ78" s="1617">
        <f>CFS!CJ55</f>
        <v>2.9675564509534276</v>
      </c>
      <c r="CK78" s="1617">
        <f>CFS!CK55</f>
        <v>2.9499392821736112</v>
      </c>
      <c r="CL78" s="1617">
        <f>CFS!CL55</f>
        <v>3.8552958970236277</v>
      </c>
      <c r="CM78" s="1616">
        <f>CFS!CM55</f>
        <v>11.609104237525909</v>
      </c>
      <c r="CN78" s="97"/>
      <c r="CO78" s="97"/>
      <c r="CP78"/>
      <c r="CQ78"/>
      <c r="CR78"/>
      <c r="CS78"/>
      <c r="CT78"/>
      <c r="CU78"/>
      <c r="CV78" s="97"/>
    </row>
    <row r="79" spans="1:100" s="24" customFormat="1">
      <c r="A79" s="717"/>
      <c r="B79" s="717"/>
      <c r="C79" s="717"/>
      <c r="D79" s="717"/>
      <c r="E79" s="717"/>
      <c r="F79" s="34"/>
      <c r="G79" s="693"/>
      <c r="H79" s="693"/>
      <c r="I79" s="693"/>
      <c r="J79" s="693"/>
      <c r="K79" s="693"/>
      <c r="L79" s="693"/>
      <c r="M79" s="693"/>
      <c r="N79" s="693"/>
      <c r="O79" s="693"/>
      <c r="P79" s="693"/>
      <c r="Q79" s="693"/>
      <c r="R79" s="693"/>
      <c r="S79" s="694"/>
      <c r="T79" s="693"/>
      <c r="U79" s="693"/>
      <c r="V79" s="693"/>
      <c r="W79" s="693"/>
      <c r="X79" s="693"/>
      <c r="Y79" s="694"/>
      <c r="Z79" s="693"/>
      <c r="AA79" s="693"/>
      <c r="AB79" s="693"/>
      <c r="AC79" s="693"/>
      <c r="AD79" s="693"/>
      <c r="AE79" s="695"/>
      <c r="AF79" s="693"/>
      <c r="AG79" s="693"/>
      <c r="AH79" s="693"/>
      <c r="AI79" s="693"/>
      <c r="AJ79" s="693"/>
      <c r="AK79" s="695"/>
      <c r="AL79" s="693"/>
      <c r="AM79" s="693"/>
      <c r="AN79" s="693"/>
      <c r="AO79" s="693"/>
      <c r="AP79" s="693"/>
      <c r="AQ79" s="694"/>
      <c r="AR79" s="693"/>
      <c r="AS79" s="693"/>
      <c r="AT79" s="693"/>
      <c r="AU79" s="693"/>
      <c r="AV79" s="693"/>
      <c r="AW79" s="694"/>
      <c r="AX79" s="693"/>
      <c r="AY79" s="693"/>
      <c r="AZ79" s="693"/>
      <c r="BA79" s="693"/>
      <c r="BB79" s="693"/>
      <c r="BC79" s="1627"/>
      <c r="BD79" s="693"/>
      <c r="BE79" s="693"/>
      <c r="BF79" s="693"/>
      <c r="BG79" s="693"/>
      <c r="BH79" s="693"/>
      <c r="BI79" s="1627"/>
      <c r="BJ79" s="693"/>
      <c r="BK79" s="693"/>
      <c r="BL79" s="693"/>
      <c r="BM79" s="693"/>
      <c r="BN79" s="693"/>
      <c r="BO79" s="1627"/>
      <c r="BP79" s="693"/>
      <c r="BQ79" s="693"/>
      <c r="BR79" s="693"/>
      <c r="BS79" s="693"/>
      <c r="BT79" s="693"/>
      <c r="BU79" s="1627"/>
      <c r="BV79" s="97"/>
      <c r="BW79" s="693"/>
      <c r="BX79" s="693"/>
      <c r="BY79" s="693"/>
      <c r="BZ79" s="693"/>
      <c r="CA79" s="1627"/>
      <c r="CB79" s="97"/>
      <c r="CC79" s="693"/>
      <c r="CD79" s="693"/>
      <c r="CE79" s="693"/>
      <c r="CF79" s="693"/>
      <c r="CG79" s="1627"/>
      <c r="CH79" s="97"/>
      <c r="CI79" s="693"/>
      <c r="CJ79" s="693"/>
      <c r="CK79" s="693"/>
      <c r="CL79" s="693"/>
      <c r="CM79" s="1627"/>
      <c r="CN79" s="97"/>
      <c r="CO79" s="97"/>
      <c r="CP79"/>
      <c r="CQ79"/>
      <c r="CR79"/>
      <c r="CS79"/>
      <c r="CT79"/>
      <c r="CU79"/>
      <c r="CV79" s="97"/>
    </row>
    <row r="80" spans="1:100" s="24" customFormat="1">
      <c r="A80" s="594" t="s">
        <v>363</v>
      </c>
      <c r="B80" s="594"/>
      <c r="C80" s="594"/>
      <c r="D80" s="594"/>
      <c r="E80" s="594"/>
      <c r="F80" s="692"/>
      <c r="G80" s="691"/>
      <c r="H80" s="691"/>
      <c r="I80" s="691"/>
      <c r="J80" s="691"/>
      <c r="K80" s="691"/>
      <c r="L80" s="691"/>
      <c r="M80" s="691"/>
      <c r="N80" s="691"/>
      <c r="O80" s="691"/>
      <c r="P80" s="691"/>
      <c r="Q80" s="691"/>
      <c r="R80" s="691"/>
      <c r="S80" s="730"/>
      <c r="T80" s="691"/>
      <c r="U80" s="691"/>
      <c r="V80" s="691"/>
      <c r="W80" s="691"/>
      <c r="X80" s="691"/>
      <c r="Y80" s="730"/>
      <c r="Z80" s="691"/>
      <c r="AA80" s="691"/>
      <c r="AB80" s="691"/>
      <c r="AC80" s="691"/>
      <c r="AD80" s="691"/>
      <c r="AE80" s="731"/>
      <c r="AF80" s="691"/>
      <c r="AG80" s="691"/>
      <c r="AH80" s="691"/>
      <c r="AI80" s="691"/>
      <c r="AJ80" s="691"/>
      <c r="AK80" s="731"/>
      <c r="AL80" s="691"/>
      <c r="AM80" s="691"/>
      <c r="AN80" s="691"/>
      <c r="AO80" s="691"/>
      <c r="AP80" s="691"/>
      <c r="AQ80" s="730"/>
      <c r="AR80" s="691"/>
      <c r="AS80" s="691"/>
      <c r="AT80" s="691"/>
      <c r="AU80" s="691"/>
      <c r="AV80" s="691"/>
      <c r="AW80" s="730"/>
      <c r="AX80" s="691"/>
      <c r="AY80" s="691"/>
      <c r="AZ80" s="691"/>
      <c r="BA80" s="691"/>
      <c r="BB80" s="691"/>
      <c r="BC80" s="730"/>
      <c r="BD80" s="691"/>
      <c r="BE80" s="691"/>
      <c r="BF80" s="691"/>
      <c r="BG80" s="691"/>
      <c r="BH80" s="691"/>
      <c r="BI80" s="730"/>
      <c r="BJ80" s="691"/>
      <c r="BK80" s="691"/>
      <c r="BL80" s="691"/>
      <c r="BM80" s="691"/>
      <c r="BN80" s="691"/>
      <c r="BO80" s="730"/>
      <c r="BP80" s="691"/>
      <c r="BQ80" s="691"/>
      <c r="BR80" s="691"/>
      <c r="BS80" s="691"/>
      <c r="BT80" s="691"/>
      <c r="BU80" s="730"/>
      <c r="BV80" s="97"/>
      <c r="BW80" s="691"/>
      <c r="BX80" s="691"/>
      <c r="BY80" s="691"/>
      <c r="BZ80" s="691"/>
      <c r="CA80" s="730"/>
      <c r="CB80" s="97"/>
      <c r="CC80" s="691"/>
      <c r="CD80" s="691"/>
      <c r="CE80" s="691"/>
      <c r="CF80" s="691"/>
      <c r="CG80" s="730"/>
      <c r="CH80" s="97"/>
      <c r="CI80" s="691"/>
      <c r="CJ80" s="691"/>
      <c r="CK80" s="691"/>
      <c r="CL80" s="691"/>
      <c r="CM80" s="730"/>
      <c r="CN80" s="97"/>
      <c r="CO80" s="97"/>
      <c r="CP80"/>
      <c r="CQ80"/>
      <c r="CR80"/>
      <c r="CS80"/>
      <c r="CT80"/>
      <c r="CU80"/>
      <c r="CV80" s="97"/>
    </row>
    <row r="81" spans="1:100" s="24" customFormat="1" hidden="1" outlineLevel="1">
      <c r="A81" s="2038" t="s">
        <v>365</v>
      </c>
      <c r="B81" s="606"/>
      <c r="C81" s="606"/>
      <c r="D81" s="606"/>
      <c r="E81" s="606"/>
      <c r="F81" s="702"/>
      <c r="G81" s="701">
        <f>G26/IS!G11</f>
        <v>0.22660952222821804</v>
      </c>
      <c r="H81" s="702"/>
      <c r="I81" s="702">
        <f>I26/(IS!I11*4)</f>
        <v>0.2651305486886037</v>
      </c>
      <c r="J81" s="702">
        <f>J26/(IS!J11*4)</f>
        <v>0.24663490894723608</v>
      </c>
      <c r="K81" s="702">
        <f>K26/(IS!K11*4)</f>
        <v>0.23298693285939245</v>
      </c>
      <c r="L81" s="702">
        <f>L26/(IS!L11*4)</f>
        <v>0.1922934908745649</v>
      </c>
      <c r="M81" s="701">
        <f>M26/IS!M11</f>
        <v>0.2010210505516522</v>
      </c>
      <c r="N81" s="702"/>
      <c r="O81" s="702">
        <f>O26/(IS!O11*4)</f>
        <v>0.26887002386273251</v>
      </c>
      <c r="P81" s="702">
        <f>P26/(IS!P11*4)</f>
        <v>0.25827875150938562</v>
      </c>
      <c r="Q81" s="702">
        <f>Q26/(IS!Q11*4)</f>
        <v>0.23164813378157056</v>
      </c>
      <c r="R81" s="702">
        <f>R26/(IS!R11*4)</f>
        <v>0.20441826723780568</v>
      </c>
      <c r="S81" s="701">
        <f>S26/IS!S11</f>
        <v>0.21194389351766874</v>
      </c>
      <c r="T81" s="702"/>
      <c r="U81" s="702">
        <f>U26/(IS!U11*4)</f>
        <v>0.25695982835912012</v>
      </c>
      <c r="V81" s="702">
        <f>V26/(IS!V11*4)</f>
        <v>0.25683646112600539</v>
      </c>
      <c r="W81" s="702">
        <f>W26/(IS!W11*4)</f>
        <v>0.25581267357583148</v>
      </c>
      <c r="X81" s="702">
        <f>X26/(IS!X11*4)</f>
        <v>0.20733023248566446</v>
      </c>
      <c r="Y81" s="701">
        <f>Y26/IS!Y11</f>
        <v>0.22327496518047421</v>
      </c>
      <c r="Z81" s="702"/>
      <c r="AA81" s="702">
        <f>AA26/(IS!AA11*4)</f>
        <v>0.26914023835772977</v>
      </c>
      <c r="AB81" s="702">
        <f>AB26/(IS!AB11*4)</f>
        <v>0.27183081451508628</v>
      </c>
      <c r="AC81" s="702">
        <f>AC26/(IS!AC11*4)</f>
        <v>0.24336829696814977</v>
      </c>
      <c r="AD81" s="702">
        <f>AD26/(IS!AD11*4)</f>
        <v>0.19612398121583238</v>
      </c>
      <c r="AE81" s="701">
        <f>AE26/IS!AE11</f>
        <v>0.20777320772406283</v>
      </c>
      <c r="AF81" s="702"/>
      <c r="AG81" s="702">
        <f>AG26/(IS!AG11*4)</f>
        <v>0.25397346790990738</v>
      </c>
      <c r="AH81" s="702">
        <f>AH26/(IS!AH11*4)</f>
        <v>0.24232977254559993</v>
      </c>
      <c r="AI81" s="702">
        <f>AI26/(IS!AI11*4)</f>
        <v>0.23013174823365368</v>
      </c>
      <c r="AJ81" s="702">
        <f>AJ26/(IS!AJ11*4)</f>
        <v>0.19920429797171418</v>
      </c>
      <c r="AK81" s="701">
        <f>AK26/IS!AK11</f>
        <v>0.21570354480461132</v>
      </c>
      <c r="AL81" s="702"/>
      <c r="AM81" s="702">
        <f>AM26/(IS!AM11*4)</f>
        <v>0.26594522192294179</v>
      </c>
      <c r="AN81" s="702">
        <f>AN26/(IS!AN11*4)</f>
        <v>0.24453579065687028</v>
      </c>
      <c r="AO81" s="702">
        <f>AO26/(IS!AO11*4)</f>
        <v>0.23296611578262016</v>
      </c>
      <c r="AP81" s="702">
        <f>AP26/(IS!AP11*4)</f>
        <v>0.19424438606177913</v>
      </c>
      <c r="AQ81" s="701">
        <f>AQ26/IS!AQ11</f>
        <v>0.21641499708474521</v>
      </c>
      <c r="AR81" s="702"/>
      <c r="AS81" s="702">
        <f>AS26/(IS!AS11*4)</f>
        <v>0.27774117614763272</v>
      </c>
      <c r="AT81" s="702">
        <f>AT26/(IS!AT11*4)</f>
        <v>0.25567318233916381</v>
      </c>
      <c r="AU81" s="702">
        <f>AU26/(IS!AU11*4)</f>
        <v>0.22736265432098765</v>
      </c>
      <c r="AV81" s="702">
        <f>AV26/(IS!AV11*4)</f>
        <v>0.18596802128855389</v>
      </c>
      <c r="AW81" s="701">
        <f>AW26/IS!AW11</f>
        <v>0.2018409156337776</v>
      </c>
      <c r="AX81" s="702"/>
      <c r="AY81" s="702">
        <f>AY26/(IS!AY11*4)</f>
        <v>0.26557153830039798</v>
      </c>
      <c r="AZ81" s="702">
        <f>AZ26/(IS!AZ11*4)</f>
        <v>0.26223079948864192</v>
      </c>
      <c r="BA81" s="702">
        <f>BA26/(IS!BA11*4)</f>
        <v>0.24136392801491033</v>
      </c>
      <c r="BB81" s="702">
        <f>BB26/(IS!BB11*4)</f>
        <v>0.20425558326982146</v>
      </c>
      <c r="BC81" s="701">
        <f>BC26/IS!BC11</f>
        <v>0.21535560574423657</v>
      </c>
      <c r="BD81" s="702"/>
      <c r="BE81" s="702">
        <f>BE26/(IS!BE11*4)</f>
        <v>0.28466774997162297</v>
      </c>
      <c r="BF81" s="702">
        <f>BF26/(IS!BF11*4)</f>
        <v>0.26983202636920278</v>
      </c>
      <c r="BG81" s="702">
        <f>BG26/(IS!BG11*4)</f>
        <v>0.24691909370477572</v>
      </c>
      <c r="BH81" s="702">
        <f>BH26/(IS!BH11*4)</f>
        <v>0.20008307836252279</v>
      </c>
      <c r="BI81" s="701">
        <f>BI26/IS!BI11</f>
        <v>0.21048128553993836</v>
      </c>
      <c r="BJ81" s="702"/>
      <c r="BK81" s="702">
        <f>BK26/(IS!BK11*4)</f>
        <v>0.29074611482498719</v>
      </c>
      <c r="BL81" s="702">
        <f>BL26/(IS!BL11*4)</f>
        <v>0.28127359609949731</v>
      </c>
      <c r="BM81" s="702">
        <f>BM26/(IS!BM11*4)</f>
        <v>0.24406685119504931</v>
      </c>
      <c r="BN81" s="702">
        <f>BN26/(IS!BN11*4)</f>
        <v>0.2009055440489379</v>
      </c>
      <c r="BO81" s="701">
        <f>BO26/IS!BO11</f>
        <v>0.220475229573599</v>
      </c>
      <c r="BP81" s="702"/>
      <c r="BQ81" s="1842">
        <f>BK81-0.001</f>
        <v>0.28974611482498719</v>
      </c>
      <c r="BR81" s="1768">
        <f t="shared" ref="BR81:BT82" si="30">BL81-0.001</f>
        <v>0.28027359609949731</v>
      </c>
      <c r="BS81" s="1768">
        <f t="shared" si="30"/>
        <v>0.24306685119504931</v>
      </c>
      <c r="BT81" s="1768">
        <f t="shared" si="30"/>
        <v>0.1999055440489379</v>
      </c>
      <c r="BU81" s="701">
        <f>BU26/IS!BU11</f>
        <v>0.21651636136825486</v>
      </c>
      <c r="BV81" s="97"/>
      <c r="BW81" s="1842">
        <f t="shared" ref="BW81:BZ82" si="31">BQ81-0.001</f>
        <v>0.28874611482498719</v>
      </c>
      <c r="BX81" s="1768">
        <f t="shared" si="31"/>
        <v>0.27927359609949731</v>
      </c>
      <c r="BY81" s="1768">
        <f t="shared" si="31"/>
        <v>0.24206685119504931</v>
      </c>
      <c r="BZ81" s="1768">
        <f t="shared" si="31"/>
        <v>0.1989055440489379</v>
      </c>
      <c r="CA81" s="701">
        <f>CA26/IS!CA11</f>
        <v>0.21454622394315467</v>
      </c>
      <c r="CB81" s="97"/>
      <c r="CC81" s="1842">
        <f t="shared" ref="CC81:CF82" si="32">BW81-0.001</f>
        <v>0.28774611482498719</v>
      </c>
      <c r="CD81" s="1768">
        <f t="shared" si="32"/>
        <v>0.27827359609949731</v>
      </c>
      <c r="CE81" s="1768">
        <f t="shared" si="32"/>
        <v>0.24106685119504931</v>
      </c>
      <c r="CF81" s="1768">
        <f t="shared" si="32"/>
        <v>0.1979055440489379</v>
      </c>
      <c r="CG81" s="701">
        <f>CG26/IS!CG11</f>
        <v>0.21258394190662236</v>
      </c>
      <c r="CH81" s="97"/>
      <c r="CI81" s="1842">
        <f t="shared" ref="CI81:CL82" si="33">CC81-0.001</f>
        <v>0.28674611482498719</v>
      </c>
      <c r="CJ81" s="1768">
        <f t="shared" si="33"/>
        <v>0.27727359609949731</v>
      </c>
      <c r="CK81" s="1768">
        <f t="shared" si="33"/>
        <v>0.24006685119504931</v>
      </c>
      <c r="CL81" s="1768">
        <f t="shared" si="33"/>
        <v>0.1969055440489379</v>
      </c>
      <c r="CM81" s="701">
        <f>CM26/IS!CM11</f>
        <v>0.21062956903627955</v>
      </c>
      <c r="CN81" s="97"/>
      <c r="CO81" s="97"/>
      <c r="CP81"/>
      <c r="CQ81"/>
      <c r="CR81"/>
      <c r="CS81"/>
      <c r="CT81"/>
      <c r="CU81"/>
      <c r="CV81" s="97"/>
    </row>
    <row r="82" spans="1:100" s="24" customFormat="1" hidden="1" outlineLevel="1">
      <c r="A82" s="606" t="s">
        <v>119</v>
      </c>
      <c r="B82" s="606"/>
      <c r="C82" s="606"/>
      <c r="D82" s="606"/>
      <c r="E82" s="606"/>
      <c r="F82" s="702"/>
      <c r="G82" s="701">
        <f>G25/IS!G21</f>
        <v>0.26612405501104813</v>
      </c>
      <c r="H82" s="702"/>
      <c r="I82" s="702">
        <f>I25/(IS!I21*4)</f>
        <v>0.20998543260390215</v>
      </c>
      <c r="J82" s="702">
        <f>J25/(IS!J21*4)</f>
        <v>0.19583268114159641</v>
      </c>
      <c r="K82" s="702">
        <f>K25/(IS!K21*4)</f>
        <v>0.23701229897416981</v>
      </c>
      <c r="L82" s="702">
        <f>L25/(IS!L21*4)</f>
        <v>0.22375136260033693</v>
      </c>
      <c r="M82" s="701">
        <f>M25/IS!M21</f>
        <v>0.21322205761705493</v>
      </c>
      <c r="N82" s="702"/>
      <c r="O82" s="702">
        <f>O25/(IS!O21*4)</f>
        <v>0.18228637653983387</v>
      </c>
      <c r="P82" s="702">
        <f>P25/(IS!P21*4)</f>
        <v>0.19260969976905309</v>
      </c>
      <c r="Q82" s="702">
        <f>Q25/(IS!Q21*4)</f>
        <v>0.24463663565192439</v>
      </c>
      <c r="R82" s="702">
        <f>R25/(IS!R21*4)</f>
        <v>0.21298988026022186</v>
      </c>
      <c r="S82" s="701">
        <f>S25/IS!S21</f>
        <v>0.22226595088314816</v>
      </c>
      <c r="T82" s="702"/>
      <c r="U82" s="702">
        <f>U25/(IS!U21*4)</f>
        <v>0.21461060038951982</v>
      </c>
      <c r="V82" s="702">
        <f>V25/(IS!V21*4)</f>
        <v>0.23326189302244207</v>
      </c>
      <c r="W82" s="702">
        <f>W25/(IS!W21*4)</f>
        <v>0.25667823070251522</v>
      </c>
      <c r="X82" s="702">
        <f>X25/(IS!X21*4)</f>
        <v>0.24343459348587196</v>
      </c>
      <c r="Y82" s="701">
        <f>Y25/IS!Y21</f>
        <v>0.26540203959670738</v>
      </c>
      <c r="Z82" s="702"/>
      <c r="AA82" s="702">
        <f>AA25/(IS!AA21*4)</f>
        <v>0.20226291093285889</v>
      </c>
      <c r="AB82" s="702">
        <f>AB25/(IS!AB21*4)</f>
        <v>0.1817022896135477</v>
      </c>
      <c r="AC82" s="702">
        <f>AC25/(IS!AC21*4)</f>
        <v>0.22506056518084799</v>
      </c>
      <c r="AD82" s="702">
        <f>AD25/(IS!AD21*4)</f>
        <v>0.22395974152381984</v>
      </c>
      <c r="AE82" s="701">
        <f>AE25/IS!AE21</f>
        <v>0.22955254798582508</v>
      </c>
      <c r="AF82" s="702"/>
      <c r="AG82" s="702">
        <f>AG25/(IS!AG21*4)</f>
        <v>0.20418170126111965</v>
      </c>
      <c r="AH82" s="702">
        <f>AH25/(IS!AH21*4)</f>
        <v>0.19437668105335587</v>
      </c>
      <c r="AI82" s="702">
        <f>AI25/(IS!AI21*4)</f>
        <v>0.21630155766874745</v>
      </c>
      <c r="AJ82" s="702">
        <f>AJ25/(IS!AJ21*4)</f>
        <v>0.31452300708439368</v>
      </c>
      <c r="AK82" s="701">
        <f>AK25/IS!AK21</f>
        <v>0.32296647338423179</v>
      </c>
      <c r="AL82" s="702"/>
      <c r="AM82" s="702">
        <f>AM25/(IS!AM21*4)</f>
        <v>0.22017473880153116</v>
      </c>
      <c r="AN82" s="702">
        <f>AN25/(IS!AN21*4)</f>
        <v>0.22591867459478873</v>
      </c>
      <c r="AO82" s="702">
        <f>AO25/(IS!AO21*4)</f>
        <v>0.26516834850050247</v>
      </c>
      <c r="AP82" s="702">
        <f>AP25/(IS!AP21*4)</f>
        <v>0.23913303042428777</v>
      </c>
      <c r="AQ82" s="701">
        <f>AQ25/IS!AQ21</f>
        <v>0.25379823137359669</v>
      </c>
      <c r="AR82" s="702"/>
      <c r="AS82" s="702">
        <f>AS25/(IS!AS21*4)</f>
        <v>0.18258913905062801</v>
      </c>
      <c r="AT82" s="702">
        <f>AT25/(IS!AT21*4)</f>
        <v>0.19535486952027684</v>
      </c>
      <c r="AU82" s="702">
        <f>AU25/(IS!AU21*4)</f>
        <v>0.21664411910470552</v>
      </c>
      <c r="AV82" s="702">
        <f>AV25/(IS!AV21*4)</f>
        <v>0.23440634920634917</v>
      </c>
      <c r="AW82" s="701">
        <f>AW25/IS!AW21</f>
        <v>0.24500942369461914</v>
      </c>
      <c r="AX82" s="702"/>
      <c r="AY82" s="702">
        <f>AY25/(IS!AY21*4)</f>
        <v>0.20176863596282987</v>
      </c>
      <c r="AZ82" s="702">
        <f>AZ25/(IS!AZ21*4)</f>
        <v>0.20285683106369748</v>
      </c>
      <c r="BA82" s="702">
        <f>BA25/(IS!BA21*4)</f>
        <v>0.20824762735474464</v>
      </c>
      <c r="BB82" s="702">
        <f>BB25/(IS!BB21*4)</f>
        <v>0.26416400357092029</v>
      </c>
      <c r="BC82" s="701">
        <f>BC25/IS!BC21</f>
        <v>0.26916618465914244</v>
      </c>
      <c r="BD82" s="702"/>
      <c r="BE82" s="702">
        <f>BE25/(IS!BE21*4)</f>
        <v>0.20562337942955919</v>
      </c>
      <c r="BF82" s="702">
        <f>BF25/(IS!BF21*4)</f>
        <v>0.19883692618882623</v>
      </c>
      <c r="BG82" s="702">
        <f>BG25/(IS!BG21*4)</f>
        <v>0.22553076998336757</v>
      </c>
      <c r="BH82" s="702">
        <f>BH25/(IS!BH21*4)</f>
        <v>0.25364042609427917</v>
      </c>
      <c r="BI82" s="701">
        <f>BI25/IS!BI21</f>
        <v>0.2643954526596366</v>
      </c>
      <c r="BJ82" s="702"/>
      <c r="BK82" s="702">
        <f>BK25/(IS!BK21*4)</f>
        <v>0.20572244747511981</v>
      </c>
      <c r="BL82" s="702">
        <f>BL25/(IS!BL21*4)</f>
        <v>0.20984708665708765</v>
      </c>
      <c r="BM82" s="702">
        <f>BM25/(IS!BM21*4)</f>
        <v>0.26384147954068798</v>
      </c>
      <c r="BN82" s="702">
        <f>BN25/(IS!BN21*4)</f>
        <v>0.36099008206045741</v>
      </c>
      <c r="BO82" s="701">
        <f>BO25/IS!BO21</f>
        <v>0.39795059575174002</v>
      </c>
      <c r="BP82" s="702"/>
      <c r="BQ82" s="1842">
        <f>BK82-0.001</f>
        <v>0.20472244747511981</v>
      </c>
      <c r="BR82" s="1768">
        <f t="shared" si="30"/>
        <v>0.20884708665708765</v>
      </c>
      <c r="BS82" s="1768">
        <f t="shared" si="30"/>
        <v>0.26284147954068798</v>
      </c>
      <c r="BT82" s="1768">
        <f t="shared" si="30"/>
        <v>0.35999008206045741</v>
      </c>
      <c r="BU82" s="701">
        <f>BU25/IS!BU21</f>
        <v>0.39274947739590688</v>
      </c>
      <c r="BV82" s="97"/>
      <c r="BW82" s="1842">
        <f t="shared" si="31"/>
        <v>0.20372244747511981</v>
      </c>
      <c r="BX82" s="1768">
        <f t="shared" si="31"/>
        <v>0.20784708665708765</v>
      </c>
      <c r="BY82" s="1768">
        <f t="shared" si="31"/>
        <v>0.26184147954068798</v>
      </c>
      <c r="BZ82" s="1768">
        <f t="shared" si="31"/>
        <v>0.3589900820604574</v>
      </c>
      <c r="CA82" s="701">
        <f>CA25/IS!CA21</f>
        <v>0.38877457858005526</v>
      </c>
      <c r="CB82" s="97"/>
      <c r="CC82" s="1842">
        <f t="shared" si="32"/>
        <v>0.2027224474751198</v>
      </c>
      <c r="CD82" s="1768">
        <f t="shared" si="32"/>
        <v>0.20684708665708765</v>
      </c>
      <c r="CE82" s="1768">
        <f t="shared" si="32"/>
        <v>0.26084147954068798</v>
      </c>
      <c r="CF82" s="1768">
        <f t="shared" si="32"/>
        <v>0.3579900820604574</v>
      </c>
      <c r="CG82" s="701">
        <f>CG25/IS!CG21</f>
        <v>0.38500376420696486</v>
      </c>
      <c r="CH82" s="97"/>
      <c r="CI82" s="1842">
        <f t="shared" si="33"/>
        <v>0.2017224474751198</v>
      </c>
      <c r="CJ82" s="1768">
        <f t="shared" si="33"/>
        <v>0.20584708665708765</v>
      </c>
      <c r="CK82" s="1768">
        <f t="shared" si="33"/>
        <v>0.25984147954068798</v>
      </c>
      <c r="CL82" s="1768">
        <f t="shared" si="33"/>
        <v>0.3569900820604574</v>
      </c>
      <c r="CM82" s="701">
        <f>CM25/IS!CM21</f>
        <v>0.3813066679972581</v>
      </c>
      <c r="CN82" s="97"/>
      <c r="CO82" s="97"/>
      <c r="CP82"/>
      <c r="CQ82"/>
      <c r="CR82"/>
      <c r="CS82"/>
      <c r="CT82"/>
      <c r="CU82"/>
      <c r="CV82" s="97"/>
    </row>
    <row r="83" spans="1:100" s="24" customFormat="1" hidden="1" outlineLevel="1">
      <c r="A83" s="2037" t="s">
        <v>366</v>
      </c>
      <c r="B83" s="606"/>
      <c r="C83" s="606"/>
      <c r="D83" s="606"/>
      <c r="E83" s="606"/>
      <c r="F83" s="702"/>
      <c r="G83" s="705">
        <f>G15/IS!G9</f>
        <v>3.4193047341295066E-2</v>
      </c>
      <c r="H83" s="706"/>
      <c r="I83" s="706">
        <f>I15/(IS!I9*4)</f>
        <v>3.3152059957311596E-2</v>
      </c>
      <c r="J83" s="706">
        <f>J15/(IS!J9*4)</f>
        <v>3.0087079814798547E-2</v>
      </c>
      <c r="K83" s="706">
        <f>K15/(IS!K9*4)</f>
        <v>2.9730009577800216E-2</v>
      </c>
      <c r="L83" s="706">
        <f>L15/(IS!L9*4)</f>
        <v>3.7629293549844511E-2</v>
      </c>
      <c r="M83" s="705">
        <f>M15/IS!M9</f>
        <v>3.9975265439419372E-2</v>
      </c>
      <c r="N83" s="706"/>
      <c r="O83" s="706">
        <f>O15/(IS!O9*4)</f>
        <v>4.612117627277422E-2</v>
      </c>
      <c r="P83" s="706">
        <f>P15/(IS!P9*4)</f>
        <v>4.225313294950625E-2</v>
      </c>
      <c r="Q83" s="706">
        <f>Q15/(IS!Q9*4)</f>
        <v>3.8079301963028424E-2</v>
      </c>
      <c r="R83" s="706">
        <f>R15/(IS!R9*4)</f>
        <v>2.8684988620676789E-2</v>
      </c>
      <c r="S83" s="705">
        <f>S15/IS!S9</f>
        <v>3.2832454794154933E-2</v>
      </c>
      <c r="T83" s="706"/>
      <c r="U83" s="706">
        <f>U15/(IS!U9*4)</f>
        <v>3.6622926298613002E-2</v>
      </c>
      <c r="V83" s="706">
        <f>V15/(IS!V9*4)</f>
        <v>3.2878367493063637E-2</v>
      </c>
      <c r="W83" s="706">
        <f>W15/(IS!W9*4)</f>
        <v>3.449049715987014E-2</v>
      </c>
      <c r="X83" s="706">
        <f>X15/(IS!X9*4)</f>
        <v>4.016156648979069E-2</v>
      </c>
      <c r="Y83" s="705">
        <f>Y15/IS!Y9</f>
        <v>4.727173596223859E-2</v>
      </c>
      <c r="Z83" s="706"/>
      <c r="AA83" s="706">
        <f>AA15/(IS!AA9*4)</f>
        <v>4.1513974410843701E-2</v>
      </c>
      <c r="AB83" s="706">
        <f>AB15/(IS!AB9*4)</f>
        <v>3.899451999097462E-2</v>
      </c>
      <c r="AC83" s="706">
        <f>AC15/(IS!AC9*4)</f>
        <v>3.7642398588444426E-2</v>
      </c>
      <c r="AD83" s="706">
        <f>AD15/(IS!AD9*4)</f>
        <v>3.8742280695025125E-2</v>
      </c>
      <c r="AE83" s="705">
        <f>AE15/IS!AE9</f>
        <v>4.3649901900621443E-2</v>
      </c>
      <c r="AF83" s="706"/>
      <c r="AG83" s="706">
        <f>AG15/(IS!AG9*4)</f>
        <v>4.9242730546213885E-2</v>
      </c>
      <c r="AH83" s="706">
        <f>AH15/(IS!AH9*4)</f>
        <v>4.4991306081313062E-2</v>
      </c>
      <c r="AI83" s="706">
        <f>AI15/(IS!AI9*4)</f>
        <v>4.4278056326008106E-2</v>
      </c>
      <c r="AJ83" s="706">
        <f>AJ15/(IS!AJ9*4)</f>
        <v>4.052582958644297E-2</v>
      </c>
      <c r="AK83" s="705">
        <f>AK15/IS!AK9</f>
        <v>4.5876610468090044E-2</v>
      </c>
      <c r="AL83" s="706"/>
      <c r="AM83" s="706">
        <f>AM15/(IS!AM9*4)</f>
        <v>4.9107910526144563E-2</v>
      </c>
      <c r="AN83" s="706">
        <f>AN15/(IS!AN9*4)</f>
        <v>4.8043736076166826E-2</v>
      </c>
      <c r="AO83" s="706">
        <f>AO15/(IS!AO9*4)</f>
        <v>5.4202555339075517E-2</v>
      </c>
      <c r="AP83" s="706">
        <f>AP15/(IS!AP9*4)</f>
        <v>3.4839631584159814E-2</v>
      </c>
      <c r="AQ83" s="705">
        <f>AQ15/IS!AQ9</f>
        <v>4.1381816577723773E-2</v>
      </c>
      <c r="AR83" s="706"/>
      <c r="AS83" s="706">
        <f>AS15/(IS!AS9*4)</f>
        <v>5.0219159690412261E-2</v>
      </c>
      <c r="AT83" s="706">
        <f>AT15/(IS!AT9*4)</f>
        <v>4.5850361456285897E-2</v>
      </c>
      <c r="AU83" s="706">
        <f>AU15/(IS!AU9*4)</f>
        <v>4.6023643202579255E-2</v>
      </c>
      <c r="AV83" s="706">
        <f>AV15/(IS!AV9*4)</f>
        <v>5.065425522804734E-2</v>
      </c>
      <c r="AW83" s="705">
        <f>AW15/IS!AW9</f>
        <v>5.9467844676436052E-2</v>
      </c>
      <c r="AX83" s="706"/>
      <c r="AY83" s="706">
        <f>AY15/(IS!AY9*4)</f>
        <v>6.2460360900426587E-2</v>
      </c>
      <c r="AZ83" s="706">
        <f>AZ15/(IS!AZ9*4)</f>
        <v>5.9904697416824998E-2</v>
      </c>
      <c r="BA83" s="706">
        <f>BA15/(IS!BA9*4)</f>
        <v>4.245891749137997E-2</v>
      </c>
      <c r="BB83" s="706">
        <f>BB15/(IS!BB9*4)</f>
        <v>3.5176693203320779E-2</v>
      </c>
      <c r="BC83" s="705">
        <f>BC15/IS!BC9</f>
        <v>4.041458489608938E-2</v>
      </c>
      <c r="BD83" s="706"/>
      <c r="BE83" s="706">
        <f>BE15/(IS!BE9*4)</f>
        <v>4.1465367409720441E-2</v>
      </c>
      <c r="BF83" s="706">
        <f>BF15/(IS!BF9*4)</f>
        <v>3.436241985984792E-2</v>
      </c>
      <c r="BG83" s="706">
        <f>BG15/(IS!BG9*4)</f>
        <v>3.625647742155913E-2</v>
      </c>
      <c r="BH83" s="706">
        <f>BH15/(IS!BH9*4)</f>
        <v>2.7986822246643141E-2</v>
      </c>
      <c r="BI83" s="705">
        <f>BI15/IS!BI9</f>
        <v>3.2476816938825516E-2</v>
      </c>
      <c r="BJ83" s="706"/>
      <c r="BK83" s="706">
        <f>BK15/(IS!BK9*4)</f>
        <v>3.5258218885111325E-2</v>
      </c>
      <c r="BL83" s="706">
        <f>BL15/(IS!BL9*4)</f>
        <v>3.194760412001791E-2</v>
      </c>
      <c r="BM83" s="706">
        <f>BM15/(IS!BM9*4)</f>
        <v>3.0667416334266881E-2</v>
      </c>
      <c r="BN83" s="706">
        <f>BN15/(IS!BN9*4)</f>
        <v>2.6304608781055616E-2</v>
      </c>
      <c r="BO83" s="705">
        <f>BO15/IS!BO9</f>
        <v>3.131726169492758E-2</v>
      </c>
      <c r="BP83" s="706"/>
      <c r="BQ83" s="1843">
        <f>BK83+0.001</f>
        <v>3.6258218885111326E-2</v>
      </c>
      <c r="BR83" s="1769">
        <f>BL83+0.001</f>
        <v>3.2947604120017911E-2</v>
      </c>
      <c r="BS83" s="1769">
        <f>BM83+0.001</f>
        <v>3.1667416334266882E-2</v>
      </c>
      <c r="BT83" s="1769">
        <f>BN83+0.001</f>
        <v>2.7304608781055617E-2</v>
      </c>
      <c r="BU83" s="705">
        <f>BU15/IS!BU9</f>
        <v>3.2212264196027754E-2</v>
      </c>
      <c r="BV83" s="97"/>
      <c r="BW83" s="1843">
        <f>BQ83+0.001</f>
        <v>3.7258218885111327E-2</v>
      </c>
      <c r="BX83" s="1769">
        <f>BR83+0.001</f>
        <v>3.3947604120017912E-2</v>
      </c>
      <c r="BY83" s="1769">
        <f>BS83+0.001</f>
        <v>3.2667416334266883E-2</v>
      </c>
      <c r="BZ83" s="1769">
        <f>BT83+0.001</f>
        <v>2.8304608781055618E-2</v>
      </c>
      <c r="CA83" s="705">
        <f>CA15/IS!CA9</f>
        <v>3.3155889466074687E-2</v>
      </c>
      <c r="CB83" s="97"/>
      <c r="CC83" s="1843">
        <f>BW83+0.001</f>
        <v>3.8258218885111328E-2</v>
      </c>
      <c r="CD83" s="1769">
        <f>BX83+0.001</f>
        <v>3.4947604120017912E-2</v>
      </c>
      <c r="CE83" s="1769">
        <f>BY83+0.001</f>
        <v>3.3667416334266884E-2</v>
      </c>
      <c r="CF83" s="1769">
        <f>BZ83+0.001</f>
        <v>2.9304608781055619E-2</v>
      </c>
      <c r="CG83" s="705">
        <f>CG15/IS!CG9</f>
        <v>3.4098675343826143E-2</v>
      </c>
      <c r="CH83" s="97"/>
      <c r="CI83" s="1843">
        <f>CC83+0.001</f>
        <v>3.9258218885111329E-2</v>
      </c>
      <c r="CJ83" s="1769">
        <f>CD83+0.001</f>
        <v>3.5947604120017913E-2</v>
      </c>
      <c r="CK83" s="1769">
        <f>CE83+0.001</f>
        <v>3.4667416334266885E-2</v>
      </c>
      <c r="CL83" s="1769">
        <f>CF83+0.001</f>
        <v>3.030460878105562E-2</v>
      </c>
      <c r="CM83" s="705">
        <f>CM15/IS!CM9</f>
        <v>3.5030965752469785E-2</v>
      </c>
      <c r="CN83" s="97"/>
      <c r="CO83" s="97"/>
      <c r="CP83"/>
      <c r="CQ83"/>
      <c r="CR83"/>
      <c r="CS83"/>
      <c r="CT83"/>
      <c r="CU83"/>
      <c r="CV83" s="97"/>
    </row>
    <row r="84" spans="1:100" s="24" customFormat="1" collapsed="1">
      <c r="A84" s="128"/>
      <c r="B84" s="128"/>
      <c r="C84" s="128"/>
      <c r="D84" s="128"/>
      <c r="E84" s="128"/>
      <c r="F84" s="34"/>
      <c r="G84" s="693"/>
      <c r="H84" s="693"/>
      <c r="I84" s="693"/>
      <c r="J84" s="693"/>
      <c r="K84" s="693"/>
      <c r="L84" s="693"/>
      <c r="M84" s="693"/>
      <c r="N84" s="693"/>
      <c r="O84" s="693"/>
      <c r="P84" s="693"/>
      <c r="Q84" s="693"/>
      <c r="R84" s="693"/>
      <c r="S84" s="694"/>
      <c r="T84" s="693"/>
      <c r="U84" s="693"/>
      <c r="V84" s="693"/>
      <c r="W84" s="693"/>
      <c r="X84" s="693"/>
      <c r="Y84" s="694"/>
      <c r="Z84" s="693"/>
      <c r="AA84" s="693"/>
      <c r="AB84" s="693"/>
      <c r="AC84" s="693"/>
      <c r="AD84" s="693"/>
      <c r="AE84" s="695"/>
      <c r="AF84" s="693"/>
      <c r="AG84" s="693"/>
      <c r="AH84" s="693"/>
      <c r="AI84" s="693"/>
      <c r="AJ84" s="693"/>
      <c r="AK84" s="695"/>
      <c r="AL84" s="693"/>
      <c r="AM84" s="693"/>
      <c r="AN84" s="693"/>
      <c r="AO84" s="693"/>
      <c r="AP84" s="693"/>
      <c r="AQ84" s="694"/>
      <c r="AR84" s="693"/>
      <c r="AS84" s="693"/>
      <c r="AT84" s="693"/>
      <c r="AU84" s="693"/>
      <c r="AV84" s="693"/>
      <c r="AW84" s="694"/>
      <c r="AX84" s="693"/>
      <c r="AY84" s="693"/>
      <c r="AZ84" s="693"/>
      <c r="BA84" s="693"/>
      <c r="BB84" s="693"/>
      <c r="BC84" s="694"/>
      <c r="BD84" s="693"/>
      <c r="BE84" s="693"/>
      <c r="BF84" s="693"/>
      <c r="BG84" s="693"/>
      <c r="BH84" s="693"/>
      <c r="BI84" s="694"/>
      <c r="BJ84" s="693"/>
      <c r="BK84" s="693"/>
      <c r="BL84" s="693"/>
      <c r="BM84" s="693"/>
      <c r="BN84" s="693"/>
      <c r="BO84" s="694"/>
      <c r="BP84" s="693"/>
      <c r="BQ84" s="693"/>
      <c r="BR84" s="693"/>
      <c r="BS84" s="693"/>
      <c r="BT84" s="693"/>
      <c r="BU84" s="694"/>
      <c r="BV84" s="97"/>
      <c r="BW84" s="693"/>
      <c r="BX84" s="693"/>
      <c r="BY84" s="693"/>
      <c r="BZ84" s="693"/>
      <c r="CA84" s="694"/>
      <c r="CB84" s="97"/>
      <c r="CC84" s="693"/>
      <c r="CD84" s="693"/>
      <c r="CE84" s="693"/>
      <c r="CF84" s="693"/>
      <c r="CG84" s="694"/>
      <c r="CH84" s="97"/>
      <c r="CI84" s="693"/>
      <c r="CJ84" s="693"/>
      <c r="CK84" s="693"/>
      <c r="CL84" s="693"/>
      <c r="CM84" s="694"/>
      <c r="CN84" s="97"/>
      <c r="CO84" s="97"/>
      <c r="CP84"/>
      <c r="CQ84"/>
      <c r="CR84"/>
      <c r="CS84"/>
      <c r="CT84"/>
      <c r="CU84"/>
      <c r="CV84" s="97"/>
    </row>
    <row r="85" spans="1:100" s="24" customFormat="1">
      <c r="A85" s="594" t="s">
        <v>367</v>
      </c>
      <c r="B85" s="594"/>
      <c r="C85" s="594"/>
      <c r="D85" s="594"/>
      <c r="E85" s="594"/>
      <c r="F85" s="34"/>
      <c r="G85" s="693"/>
      <c r="H85" s="693"/>
      <c r="I85" s="693"/>
      <c r="J85" s="693"/>
      <c r="K85" s="693"/>
      <c r="L85" s="693"/>
      <c r="M85" s="693"/>
      <c r="N85" s="693"/>
      <c r="O85" s="693"/>
      <c r="P85" s="693"/>
      <c r="Q85" s="693"/>
      <c r="R85" s="693"/>
      <c r="S85" s="694"/>
      <c r="T85" s="693"/>
      <c r="U85" s="693"/>
      <c r="V85" s="693"/>
      <c r="W85" s="693"/>
      <c r="X85" s="693"/>
      <c r="Y85" s="694"/>
      <c r="Z85" s="693"/>
      <c r="AA85" s="693"/>
      <c r="AB85" s="693"/>
      <c r="AC85" s="693"/>
      <c r="AD85" s="693"/>
      <c r="AE85" s="695"/>
      <c r="AF85" s="693"/>
      <c r="AG85" s="693"/>
      <c r="AH85" s="693"/>
      <c r="AI85" s="693"/>
      <c r="AJ85" s="693"/>
      <c r="AK85" s="695"/>
      <c r="AL85" s="693"/>
      <c r="AM85" s="693"/>
      <c r="AN85" s="693"/>
      <c r="AO85" s="693"/>
      <c r="AP85" s="693"/>
      <c r="AQ85" s="694"/>
      <c r="AR85" s="693"/>
      <c r="AS85" s="693"/>
      <c r="AT85" s="693"/>
      <c r="AU85" s="693"/>
      <c r="AV85" s="693"/>
      <c r="AW85" s="694"/>
      <c r="AX85" s="693"/>
      <c r="AY85" s="693"/>
      <c r="AZ85" s="693"/>
      <c r="BA85" s="693"/>
      <c r="BB85" s="693"/>
      <c r="BC85" s="694"/>
      <c r="BD85" s="693"/>
      <c r="BE85" s="693"/>
      <c r="BF85" s="693"/>
      <c r="BG85" s="693"/>
      <c r="BH85" s="693"/>
      <c r="BI85" s="694"/>
      <c r="BJ85" s="693"/>
      <c r="BK85" s="693"/>
      <c r="BL85" s="693"/>
      <c r="BM85" s="693"/>
      <c r="BN85" s="693"/>
      <c r="BO85" s="694"/>
      <c r="BP85" s="693"/>
      <c r="BQ85" s="693"/>
      <c r="BR85" s="693"/>
      <c r="BS85" s="693"/>
      <c r="BT85" s="693"/>
      <c r="BU85" s="694"/>
      <c r="BV85" s="97"/>
      <c r="BW85" s="693"/>
      <c r="BX85" s="693"/>
      <c r="BY85" s="693"/>
      <c r="BZ85" s="693"/>
      <c r="CA85" s="694"/>
      <c r="CB85" s="97"/>
      <c r="CC85" s="693"/>
      <c r="CD85" s="693"/>
      <c r="CE85" s="693"/>
      <c r="CF85" s="693"/>
      <c r="CG85" s="694"/>
      <c r="CH85" s="97"/>
      <c r="CI85" s="693"/>
      <c r="CJ85" s="693"/>
      <c r="CK85" s="693"/>
      <c r="CL85" s="693"/>
      <c r="CM85" s="694"/>
      <c r="CN85" s="97"/>
      <c r="CO85" s="97"/>
      <c r="CP85"/>
      <c r="CQ85"/>
      <c r="CR85"/>
      <c r="CS85"/>
      <c r="CT85"/>
      <c r="CU85"/>
      <c r="CV85" s="97"/>
    </row>
    <row r="86" spans="1:100" s="24" customFormat="1" hidden="1" outlineLevel="1">
      <c r="A86" s="606" t="s">
        <v>368</v>
      </c>
      <c r="B86" s="606"/>
      <c r="C86" s="606"/>
      <c r="D86" s="606"/>
      <c r="E86" s="606"/>
      <c r="F86" s="682"/>
      <c r="G86" s="732">
        <v>362.38299999999998</v>
      </c>
      <c r="H86" s="684"/>
      <c r="I86" s="685">
        <f>G92</f>
        <v>586.07599999999979</v>
      </c>
      <c r="J86" s="685">
        <f>I92</f>
        <v>616.96499999999958</v>
      </c>
      <c r="K86" s="685">
        <f>J92</f>
        <v>650.61699999999985</v>
      </c>
      <c r="L86" s="685">
        <f>K92</f>
        <v>645.0829999999994</v>
      </c>
      <c r="M86" s="683">
        <f>G92</f>
        <v>586.07599999999979</v>
      </c>
      <c r="N86" s="684"/>
      <c r="O86" s="685">
        <f>M92</f>
        <v>661.00499999999988</v>
      </c>
      <c r="P86" s="685">
        <f>O92</f>
        <v>665.71299999999985</v>
      </c>
      <c r="Q86" s="685">
        <f>P92</f>
        <v>730.74900000000014</v>
      </c>
      <c r="R86" s="685">
        <f>Q92</f>
        <v>780.65799999999967</v>
      </c>
      <c r="S86" s="683">
        <f>M92</f>
        <v>661.00499999999988</v>
      </c>
      <c r="T86" s="684"/>
      <c r="U86" s="685">
        <f>S92</f>
        <v>848.94899999999984</v>
      </c>
      <c r="V86" s="685">
        <f>U92</f>
        <v>813.04199999999958</v>
      </c>
      <c r="W86" s="685">
        <f>V92</f>
        <v>812.94999999999993</v>
      </c>
      <c r="X86" s="685">
        <f>W92</f>
        <v>923.26199999999949</v>
      </c>
      <c r="Y86" s="683">
        <f>S92</f>
        <v>848.94899999999984</v>
      </c>
      <c r="Z86" s="684"/>
      <c r="AA86" s="685">
        <f>Y92</f>
        <v>1068.7969999999996</v>
      </c>
      <c r="AB86" s="685">
        <f>AA92</f>
        <v>1150.7939999999996</v>
      </c>
      <c r="AC86" s="685">
        <f>AB92</f>
        <v>1225.5339999999997</v>
      </c>
      <c r="AD86" s="685">
        <f>AC92</f>
        <v>1159.0829999999996</v>
      </c>
      <c r="AE86" s="683">
        <f>Y92</f>
        <v>1068.7969999999996</v>
      </c>
      <c r="AF86" s="684"/>
      <c r="AG86" s="685">
        <f>AE92</f>
        <v>1226.578</v>
      </c>
      <c r="AH86" s="685">
        <f>AG92</f>
        <v>1287.5309999999995</v>
      </c>
      <c r="AI86" s="685">
        <f>AH92</f>
        <v>1262.6829999999998</v>
      </c>
      <c r="AJ86" s="685">
        <f>AI92</f>
        <v>1329.8789999999995</v>
      </c>
      <c r="AK86" s="683">
        <f>AE92</f>
        <v>1226.578</v>
      </c>
      <c r="AL86" s="684"/>
      <c r="AM86" s="685">
        <f>AK92</f>
        <v>1467.3569999999995</v>
      </c>
      <c r="AN86" s="685">
        <f>AM92</f>
        <v>1476.5</v>
      </c>
      <c r="AO86" s="685">
        <f>AN92</f>
        <v>1520.1119999999999</v>
      </c>
      <c r="AP86" s="685">
        <f>AO92</f>
        <v>1618.6340000000002</v>
      </c>
      <c r="AQ86" s="683">
        <f>AK92</f>
        <v>1467.3569999999995</v>
      </c>
      <c r="AR86" s="684"/>
      <c r="AS86" s="685">
        <f>AQ92</f>
        <v>1763.1729999999993</v>
      </c>
      <c r="AT86" s="685">
        <f>AS92</f>
        <v>1819.3719999999994</v>
      </c>
      <c r="AU86" s="685">
        <f>AT92</f>
        <v>1843.4849999999997</v>
      </c>
      <c r="AV86" s="685">
        <f>AU92</f>
        <v>1841.8199999999988</v>
      </c>
      <c r="AW86" s="683">
        <f>AQ92</f>
        <v>1763.1729999999993</v>
      </c>
      <c r="AX86" s="684"/>
      <c r="AY86" s="685">
        <f>AW92</f>
        <v>1894.6659999999995</v>
      </c>
      <c r="AZ86" s="685">
        <f>AY92</f>
        <v>1862.2399999999989</v>
      </c>
      <c r="BA86" s="685">
        <f>AZ92</f>
        <v>1932.597999999999</v>
      </c>
      <c r="BB86" s="685">
        <f>BA92</f>
        <v>1968.5559999999996</v>
      </c>
      <c r="BC86" s="683">
        <f>AW92</f>
        <v>1894.6659999999995</v>
      </c>
      <c r="BD86" s="684"/>
      <c r="BE86" s="685">
        <f>BC92</f>
        <v>2058.8509999999983</v>
      </c>
      <c r="BF86" s="685">
        <f>BE92</f>
        <v>2101.6859999999997</v>
      </c>
      <c r="BG86" s="685">
        <f>BF92</f>
        <v>2149.3439999999987</v>
      </c>
      <c r="BH86" s="685">
        <f>BG92</f>
        <v>2259.1399999999985</v>
      </c>
      <c r="BI86" s="683">
        <f>BC92</f>
        <v>2058.8509999999983</v>
      </c>
      <c r="BJ86" s="684"/>
      <c r="BK86" s="685">
        <f>BI92</f>
        <v>2301.9489999999992</v>
      </c>
      <c r="BL86" s="685">
        <f>BK92</f>
        <v>2394.8139999999985</v>
      </c>
      <c r="BM86" s="685">
        <f>BL92</f>
        <v>2518.6389999999988</v>
      </c>
      <c r="BN86" s="685">
        <f>BM92</f>
        <v>2629.0949999999984</v>
      </c>
      <c r="BO86" s="683">
        <f>BI92</f>
        <v>2301.9489999999992</v>
      </c>
      <c r="BP86" s="684"/>
      <c r="BQ86" s="685">
        <f>BO92</f>
        <v>2233.7879999999986</v>
      </c>
      <c r="BR86" s="685">
        <f>BQ92</f>
        <v>2215.4486688043312</v>
      </c>
      <c r="BS86" s="685">
        <f>BR92</f>
        <v>2228.4436914713583</v>
      </c>
      <c r="BT86" s="685">
        <f>BS92</f>
        <v>2235.4722172718884</v>
      </c>
      <c r="BU86" s="683">
        <f>BO92</f>
        <v>2233.7879999999986</v>
      </c>
      <c r="BV86" s="97"/>
      <c r="BW86" s="685">
        <f>BU92</f>
        <v>2305.0976629215265</v>
      </c>
      <c r="BX86" s="685">
        <f>BW92</f>
        <v>2293.8887532409308</v>
      </c>
      <c r="BY86" s="685">
        <f>BX92</f>
        <v>2314.6305243837105</v>
      </c>
      <c r="BZ86" s="685">
        <f>BY92</f>
        <v>2329.1560881685418</v>
      </c>
      <c r="CA86" s="683">
        <f>BU92</f>
        <v>2305.0976629215265</v>
      </c>
      <c r="CB86" s="97"/>
      <c r="CC86" s="685">
        <f>CA92</f>
        <v>2409.0334547830435</v>
      </c>
      <c r="CD86" s="685">
        <f>CC92</f>
        <v>2404.7431770196363</v>
      </c>
      <c r="CE86" s="685">
        <f>CD92</f>
        <v>2497.8350215936707</v>
      </c>
      <c r="CF86" s="685">
        <f>CE92</f>
        <v>2586.5966191136204</v>
      </c>
      <c r="CG86" s="683">
        <f>CA92</f>
        <v>2409.0334547830435</v>
      </c>
      <c r="CH86" s="97"/>
      <c r="CI86" s="685">
        <f>CG92</f>
        <v>2744.9997305957131</v>
      </c>
      <c r="CJ86" s="685">
        <f>CI92</f>
        <v>2821.2985116135187</v>
      </c>
      <c r="CK86" s="685">
        <f>CJ92</f>
        <v>2861.7756160155759</v>
      </c>
      <c r="CL86" s="685">
        <f>CK92</f>
        <v>2895.5761346783202</v>
      </c>
      <c r="CM86" s="683">
        <f>CG92</f>
        <v>2744.9997305957131</v>
      </c>
      <c r="CN86" s="97"/>
      <c r="CO86" s="97"/>
      <c r="CP86"/>
      <c r="CQ86"/>
      <c r="CR86"/>
      <c r="CS86"/>
      <c r="CT86"/>
      <c r="CU86"/>
      <c r="CV86" s="97"/>
    </row>
    <row r="87" spans="1:100" s="24" customFormat="1" hidden="1" outlineLevel="1">
      <c r="A87" s="610" t="s">
        <v>369</v>
      </c>
      <c r="B87" s="610"/>
      <c r="C87" s="610"/>
      <c r="D87" s="610"/>
      <c r="E87" s="610"/>
      <c r="F87" s="682"/>
      <c r="G87" s="733">
        <f>(G36+G37+G40)-(1.441+554.169+(-1563.649))</f>
        <v>-63.041000000000054</v>
      </c>
      <c r="H87" s="682"/>
      <c r="I87" s="688">
        <f>(I36+I37+I40)-(G36+G37+G40)</f>
        <v>-51.023000000000138</v>
      </c>
      <c r="J87" s="688">
        <f>(J36+J37+J40)-(I36+I37+I40)</f>
        <v>-65.226999999999862</v>
      </c>
      <c r="K87" s="688">
        <f>(K36+K37+K40)-(J36+J37+J40)</f>
        <v>-40.388000000000375</v>
      </c>
      <c r="L87" s="688">
        <f>(L36+L37+L40)-(K36+K37+K40)</f>
        <v>-16.098999999999705</v>
      </c>
      <c r="M87" s="687">
        <f>(M36+M37+M40)-(G36+G37+G40)</f>
        <v>-172.73700000000008</v>
      </c>
      <c r="N87" s="682"/>
      <c r="O87" s="688">
        <f>(O36+O37+O40)-(M36+M37+M40)</f>
        <v>-56.278999999999996</v>
      </c>
      <c r="P87" s="688">
        <f>(P36+P37+P40)-(O36+O37+O40)</f>
        <v>-34.726999999999862</v>
      </c>
      <c r="Q87" s="688">
        <f>(Q36+Q37+Q40)-(P36+P37+P40)</f>
        <v>-36.435000000000173</v>
      </c>
      <c r="R87" s="688">
        <f>(R36+R37+R40)-(Q36+Q37+Q40)</f>
        <v>-32.082999999999856</v>
      </c>
      <c r="S87" s="687">
        <f>(S36+S37+S40)-(M36+M37+M40)</f>
        <v>-159.52399999999989</v>
      </c>
      <c r="T87" s="682"/>
      <c r="U87" s="688">
        <f>(U36+U37+U40)-(S36+S37+S40)</f>
        <v>-88.171000000000276</v>
      </c>
      <c r="V87" s="688">
        <f>(V36+V37+V40)-(U36+U37+U40)</f>
        <v>-56.550999999999704</v>
      </c>
      <c r="W87" s="688">
        <f>(W36+W37+W40)-(V36+V37+V40)</f>
        <v>-24.072000000000344</v>
      </c>
      <c r="X87" s="688">
        <f>(X36+X37+X40)-(W36+W37+W40)</f>
        <v>34.248000000000275</v>
      </c>
      <c r="Y87" s="687">
        <f>(Y36+Y37+Y40)-(S36+S37+S40)</f>
        <v>-134.54600000000005</v>
      </c>
      <c r="Z87" s="682"/>
      <c r="AA87" s="688">
        <f>(AA36+AA37+AA40)-(Y36+Y37+Y40)</f>
        <v>-46.566000000000031</v>
      </c>
      <c r="AB87" s="688">
        <f>(AB36+AB37+AB40)-(AA36+AA37+AA40)</f>
        <v>-35.551000000000158</v>
      </c>
      <c r="AC87" s="688">
        <f>(AC36+AC37+AC40)-(AB36+AB37+AB40)</f>
        <v>-134.43000000000006</v>
      </c>
      <c r="AD87" s="688">
        <f>(AD36+AD37+AD40)-(AC36+AC37+AC40)</f>
        <v>-34.379999999999654</v>
      </c>
      <c r="AE87" s="687">
        <f>(AE36+AE37+AE40)-(Y36+Y37+Y40)</f>
        <v>-250.92699999999991</v>
      </c>
      <c r="AF87" s="682"/>
      <c r="AG87" s="688">
        <f>(AG36+AG37+AG40)-(AE36+AE37+AE40)</f>
        <v>-40.832000000000107</v>
      </c>
      <c r="AH87" s="688">
        <f>(AH36+AH37+AH40)-(AG36+AG37+AG40)</f>
        <v>-91.918999999999869</v>
      </c>
      <c r="AI87" s="688">
        <f>(AI36+AI37+AI40)-(AH36+AH37+AH40)</f>
        <v>-56.010000000000218</v>
      </c>
      <c r="AJ87" s="688">
        <f>(AJ36+AJ37+AJ40)-(AI36+AI37+AI40)</f>
        <v>-41.563000000000102</v>
      </c>
      <c r="AK87" s="687">
        <f>(AK36+AK37+AK40)-(AE36+AE37+AE40)</f>
        <v>-230.3240000000003</v>
      </c>
      <c r="AL87" s="682"/>
      <c r="AM87" s="688">
        <f>(AM36+AM37+AM40)-(AK36+AK37+AK40)</f>
        <v>-83.639999999999645</v>
      </c>
      <c r="AN87" s="688">
        <f>(AN36+AN37+AN40)-(AM36+AM37+AM40)</f>
        <v>-46.778999999999996</v>
      </c>
      <c r="AO87" s="688">
        <f>(AO36+AO37+AO40)-(AN36+AN37+AN40)</f>
        <v>-27.945999999999913</v>
      </c>
      <c r="AP87" s="688">
        <f>(AP36+AP37+AP40)-(AO36+AO37+AO40)</f>
        <v>-28.096000000000458</v>
      </c>
      <c r="AQ87" s="687">
        <f>(AQ36+AQ37+AQ40)-(AK36+AK37+AK40)</f>
        <v>-186.46100000000001</v>
      </c>
      <c r="AR87" s="682"/>
      <c r="AS87" s="688">
        <f>(AS36+AS37+AS40)-(AQ36+AQ37+AQ40)</f>
        <v>-40.68100000000004</v>
      </c>
      <c r="AT87" s="688">
        <f>(AT36+AT37+AT40)-(AS36+AS37+AS40)</f>
        <v>-79.040999999999713</v>
      </c>
      <c r="AU87" s="688">
        <f>(AU36+AU37+AU40)-(AT36+AT37+AT40)</f>
        <v>-66.00400000000036</v>
      </c>
      <c r="AV87" s="688">
        <f>(AV36+AV37+AV40)-(AU36+AU37+AU40)</f>
        <v>-29.816999999999553</v>
      </c>
      <c r="AW87" s="687">
        <f>(AW36+AW37+AW40)-(AQ36+AQ37+AQ40)</f>
        <v>-215.54299999999967</v>
      </c>
      <c r="AX87" s="682"/>
      <c r="AY87" s="688">
        <f>(AY36+AY37+AY40)-(AW36+AW37+AW40)</f>
        <v>-68.816000000000258</v>
      </c>
      <c r="AZ87" s="688">
        <f>(AZ36+AZ37+AZ40)-(AY36+AY37+AY40)</f>
        <v>-55.402000000000044</v>
      </c>
      <c r="BA87" s="688">
        <f>(BA36+BA37+BA40)-(AZ36+AZ37+AZ40)</f>
        <v>-71.779999999999291</v>
      </c>
      <c r="BB87" s="688">
        <f>(BB36+BB37+BB40)-(BA36+BA37+BA40)</f>
        <v>-40.84900000000107</v>
      </c>
      <c r="BC87" s="687">
        <f>(BC36+BC37+BC40)-(AW36+AW37+AW40)</f>
        <v>-236.84700000000066</v>
      </c>
      <c r="BD87" s="682"/>
      <c r="BE87" s="688">
        <f>(BE36+BE37+BE40)-(BC36+BC37+BC40)</f>
        <v>-69.995999999999185</v>
      </c>
      <c r="BF87" s="688">
        <f>(BF36+BF37+BF40)-(BE36+BE37+BE40)</f>
        <v>-51.57700000000068</v>
      </c>
      <c r="BG87" s="688">
        <f>(BG36+BG37+BG40)-(BF36+BF37+BF40)</f>
        <v>-16.585000000000036</v>
      </c>
      <c r="BH87" s="688">
        <f>(BH36+BH37+BH40)-(BG36+BG37+BG40)</f>
        <v>-70.692999999999756</v>
      </c>
      <c r="BI87" s="687">
        <f>(BI36+BI37+BI40)-(BC36+BC37+BC40)</f>
        <v>-208.85099999999966</v>
      </c>
      <c r="BJ87" s="682"/>
      <c r="BK87" s="688">
        <f>(BK36+BK37+BK40)-(BI36+BI37+BI40)</f>
        <v>-42.434999999999945</v>
      </c>
      <c r="BL87" s="688">
        <f>(BL36+BL37+BL40)-(BK36+BK37+BK40)</f>
        <v>-46.759000000000015</v>
      </c>
      <c r="BM87" s="688">
        <f>(BM36+BM37+BM40)-(BL36+BL37+BL40)</f>
        <v>-52.99599999999964</v>
      </c>
      <c r="BN87" s="688">
        <f>(BN36+BN37+BN40)-(BM36+BM37+BM40)</f>
        <v>-52.4950000000008</v>
      </c>
      <c r="BO87" s="687">
        <f>(BO36+BO37+BO40)-(BI36+BI37+BI40)</f>
        <v>-194.6850000000004</v>
      </c>
      <c r="BP87" s="682"/>
      <c r="BQ87" s="688">
        <f>(BQ36+BQ37+BQ40)-(BO36+BO37+BO40)</f>
        <v>-139.01405488945738</v>
      </c>
      <c r="BR87" s="688">
        <f>(BR36+BR37+BR40)-(BQ36+BQ37+BQ40)</f>
        <v>-138.65369422554068</v>
      </c>
      <c r="BS87" s="688">
        <f>(BS36+BS37+BS40)-(BR36+BR37+BR40)</f>
        <v>-141.05814346357465</v>
      </c>
      <c r="BT87" s="688">
        <f>(BT36+BT37+BT40)-(BS36+BS37+BS40)</f>
        <v>-141.97356927371038</v>
      </c>
      <c r="BU87" s="687">
        <f>(BU36+BU37+BU40)-(BO36+BO37+BO40)</f>
        <v>-560.69946185228309</v>
      </c>
      <c r="BV87" s="97"/>
      <c r="BW87" s="688">
        <f>(BW36+BW37+BW40)-(BU36+BU37+BU40)</f>
        <v>-142.79942093701993</v>
      </c>
      <c r="BX87" s="688">
        <f>(BX36+BX37+BX40)-(BW36+BW37+BW40)</f>
        <v>-141.73403144298481</v>
      </c>
      <c r="BY87" s="688">
        <f>(BY36+BY37+BY40)-(BX36+BX37+BX40)</f>
        <v>-143.73872606218174</v>
      </c>
      <c r="BZ87" s="688">
        <f>(BZ36+BZ37+BZ40)-(BY36+BY37+BY40)</f>
        <v>-144.27390940265286</v>
      </c>
      <c r="CA87" s="687">
        <f>(CA36+CA37+CA40)-(BU36+BU37+BU40)</f>
        <v>-572.54608784483935</v>
      </c>
      <c r="CB87" s="97"/>
      <c r="CC87" s="688">
        <f>(CC36+CC37+CC40)-(CA36+CA37+CA40)</f>
        <v>-144.55801655924552</v>
      </c>
      <c r="CD87" s="688">
        <f>(CD36+CD37+CD40)-(CC36+CC37+CC40)</f>
        <v>-143.02322007391922</v>
      </c>
      <c r="CE87" s="688">
        <f>(CE36+CE37+CE40)-(CD36+CD37+CD40)</f>
        <v>-144.83843723526206</v>
      </c>
      <c r="CF87" s="688">
        <f>(CF36+CF37+CF40)-(CE36+CE37+CE40)</f>
        <v>-145.19723571427949</v>
      </c>
      <c r="CG87" s="687">
        <f>(CG36+CG37+CG40)-(CA36+CA37+CA40)</f>
        <v>-577.61690958270628</v>
      </c>
      <c r="CH87" s="97"/>
      <c r="CI87" s="688">
        <f>(CI36+CI37+CI40)-(CG36+CG37+CG40)</f>
        <v>-145.01861944450138</v>
      </c>
      <c r="CJ87" s="688">
        <f>(CJ36+CJ37+CJ40)-(CI36+CI37+CI40)</f>
        <v>-143.14801771963084</v>
      </c>
      <c r="CK87" s="688">
        <f>(CK36+CK37+CK40)-(CJ36+CJ37+CJ40)</f>
        <v>-144.91257462030717</v>
      </c>
      <c r="CL87" s="688">
        <f>(CL36+CL37+CL40)-(CK36+CK37+CK40)</f>
        <v>-145.21608912014381</v>
      </c>
      <c r="CM87" s="687">
        <f>(CM36+CM37+CM40)-(CG36+CG37+CG40)</f>
        <v>-578.2953009045832</v>
      </c>
      <c r="CN87" s="97"/>
      <c r="CO87" s="97"/>
      <c r="CP87"/>
      <c r="CQ87"/>
      <c r="CR87"/>
      <c r="CS87"/>
      <c r="CT87"/>
      <c r="CU87"/>
      <c r="CV87" s="97"/>
    </row>
    <row r="88" spans="1:100" s="24" customFormat="1" hidden="1" outlineLevel="1">
      <c r="A88" s="610" t="s">
        <v>230</v>
      </c>
      <c r="B88" s="610"/>
      <c r="C88" s="610"/>
      <c r="D88" s="610"/>
      <c r="E88" s="610"/>
      <c r="F88" s="682"/>
      <c r="G88" s="734">
        <f>IS!G33</f>
        <v>268.07199999999983</v>
      </c>
      <c r="H88" s="682"/>
      <c r="I88" s="682">
        <f>IS!I33</f>
        <v>68.761000000000053</v>
      </c>
      <c r="J88" s="682">
        <f>IS!J33</f>
        <v>82.862000000000009</v>
      </c>
      <c r="K88" s="682">
        <f>IS!K33</f>
        <v>71.502999999999957</v>
      </c>
      <c r="L88" s="682">
        <f>IS!L33</f>
        <v>100.15299999999991</v>
      </c>
      <c r="M88" s="734">
        <f>IS!M33</f>
        <v>323.27899999999994</v>
      </c>
      <c r="N88" s="682"/>
      <c r="O88" s="682">
        <f>IS!O33</f>
        <v>73.302000000000021</v>
      </c>
      <c r="P88" s="682">
        <f>IS!P33</f>
        <v>69.906999999999996</v>
      </c>
      <c r="Q88" s="682">
        <f>IS!Q33</f>
        <v>75.936000000000035</v>
      </c>
      <c r="R88" s="682">
        <f>IS!R33</f>
        <v>104.12299999999998</v>
      </c>
      <c r="S88" s="734">
        <f>IS!S33</f>
        <v>323.26800000000014</v>
      </c>
      <c r="T88" s="682"/>
      <c r="U88" s="682">
        <f>IS!U33</f>
        <v>75.518000000000001</v>
      </c>
      <c r="V88" s="682">
        <f>IS!V33</f>
        <v>84.921999999999997</v>
      </c>
      <c r="W88" s="682">
        <f>IS!W33</f>
        <v>94.718999999999994</v>
      </c>
      <c r="X88" s="682">
        <f>IS!X33</f>
        <v>126.604</v>
      </c>
      <c r="Y88" s="734">
        <f>IS!Y33</f>
        <v>381.76300000000003</v>
      </c>
      <c r="Z88" s="682"/>
      <c r="AA88" s="682">
        <f>IS!AA33</f>
        <v>94.489000000000019</v>
      </c>
      <c r="AB88" s="682">
        <f>IS!AB33</f>
        <v>100.07500000000006</v>
      </c>
      <c r="AC88" s="682">
        <f>IS!AC33</f>
        <v>101.25700000000001</v>
      </c>
      <c r="AD88" s="682">
        <f>IS!AD33</f>
        <v>137.22799999999998</v>
      </c>
      <c r="AE88" s="734">
        <f>IS!AE33</f>
        <v>433.04900000000009</v>
      </c>
      <c r="AF88" s="682"/>
      <c r="AG88" s="682">
        <f>IS!AG33</f>
        <v>88.666000000000039</v>
      </c>
      <c r="AH88" s="682">
        <f>IS!AH33</f>
        <v>97.724000000000004</v>
      </c>
      <c r="AI88" s="682">
        <f>IS!AI33</f>
        <v>99.109000000000009</v>
      </c>
      <c r="AJ88" s="682">
        <f>IS!AJ33</f>
        <v>175.9439999999999</v>
      </c>
      <c r="AK88" s="734">
        <f>IS!AK33</f>
        <v>461.4430000000001</v>
      </c>
      <c r="AL88" s="682"/>
      <c r="AM88" s="682">
        <f>IS!AM33</f>
        <v>121.05900000000003</v>
      </c>
      <c r="AN88" s="682">
        <f>IS!AN33</f>
        <v>89.314000000000021</v>
      </c>
      <c r="AO88" s="682">
        <f>IS!AO33</f>
        <v>98.04800000000003</v>
      </c>
      <c r="AP88" s="682">
        <f>IS!AP33</f>
        <v>141.58199999999994</v>
      </c>
      <c r="AQ88" s="734">
        <f>IS!AQ33</f>
        <v>450.00300000000004</v>
      </c>
      <c r="AR88" s="682"/>
      <c r="AS88" s="682">
        <f>IS!AS33</f>
        <v>70.301999999999964</v>
      </c>
      <c r="AT88" s="682">
        <f>IS!AT33</f>
        <v>96.528999999999982</v>
      </c>
      <c r="AU88" s="682">
        <f>IS!AU33</f>
        <v>113.49700000000003</v>
      </c>
      <c r="AV88" s="682">
        <f>IS!AV33</f>
        <v>151.29199999999997</v>
      </c>
      <c r="AW88" s="734">
        <f>IS!AW33</f>
        <v>431.61999999999995</v>
      </c>
      <c r="AX88" s="682"/>
      <c r="AY88" s="682">
        <f>IS!AY33</f>
        <v>96.061000000000035</v>
      </c>
      <c r="AZ88" s="682">
        <f>IS!AZ33</f>
        <v>105.65700000000001</v>
      </c>
      <c r="BA88" s="682">
        <f>IS!BA33</f>
        <v>116.28099999999993</v>
      </c>
      <c r="BB88" s="682">
        <f>IS!BB33</f>
        <v>151.054</v>
      </c>
      <c r="BC88" s="734">
        <f>IS!BC33</f>
        <v>469.05299999999983</v>
      </c>
      <c r="BD88" s="682"/>
      <c r="BE88" s="682">
        <f>IS!BE33</f>
        <v>94.051999999999964</v>
      </c>
      <c r="BF88" s="682">
        <f>IS!BF33</f>
        <v>128.21699999999993</v>
      </c>
      <c r="BG88" s="682">
        <f>IS!BG33</f>
        <v>124.85600000000005</v>
      </c>
      <c r="BH88" s="682">
        <f>IS!BH33</f>
        <v>174.37799999999996</v>
      </c>
      <c r="BI88" s="734">
        <f>IS!BI33</f>
        <v>521.5029999999997</v>
      </c>
      <c r="BJ88" s="682"/>
      <c r="BK88" s="682">
        <f>IS!BK33</f>
        <v>105.55700000000002</v>
      </c>
      <c r="BL88" s="682">
        <f>IS!BL33</f>
        <v>131.822</v>
      </c>
      <c r="BM88" s="682">
        <f>IS!BM33</f>
        <v>136.10399999999993</v>
      </c>
      <c r="BN88" s="682">
        <f>IS!BN33</f>
        <v>-353.17200000000003</v>
      </c>
      <c r="BO88" s="734">
        <f>IS!BO33</f>
        <v>20.311000000000149</v>
      </c>
      <c r="BP88" s="682"/>
      <c r="BQ88" s="682">
        <f>IS!BQ33</f>
        <v>120.67472369378999</v>
      </c>
      <c r="BR88" s="682">
        <f>IS!BR33</f>
        <v>151.64871689256745</v>
      </c>
      <c r="BS88" s="682">
        <f>IS!BS33</f>
        <v>148.0866692641045</v>
      </c>
      <c r="BT88" s="682">
        <f>IS!BT33</f>
        <v>211.59901492334876</v>
      </c>
      <c r="BU88" s="734">
        <f>IS!BU33</f>
        <v>632.00912477381087</v>
      </c>
      <c r="BV88" s="97"/>
      <c r="BW88" s="682">
        <f>IS!BW33</f>
        <v>131.59051125642418</v>
      </c>
      <c r="BX88" s="682">
        <f>IS!BX33</f>
        <v>162.47580258576488</v>
      </c>
      <c r="BY88" s="682">
        <f>IS!BY33</f>
        <v>158.26428984701346</v>
      </c>
      <c r="BZ88" s="682">
        <f>IS!BZ33</f>
        <v>224.15127601715488</v>
      </c>
      <c r="CA88" s="734">
        <f>IS!CA33</f>
        <v>676.48187970635752</v>
      </c>
      <c r="CB88" s="97"/>
      <c r="CC88" s="682">
        <f>IS!CC33</f>
        <v>140.26773879583797</v>
      </c>
      <c r="CD88" s="682">
        <f>IS!CD33</f>
        <v>236.11506464795346</v>
      </c>
      <c r="CE88" s="682">
        <f>IS!CE33</f>
        <v>233.60003475521148</v>
      </c>
      <c r="CF88" s="682">
        <f>IS!CF33</f>
        <v>303.60034719637196</v>
      </c>
      <c r="CG88" s="734">
        <f>IS!CG33</f>
        <v>913.58318539537504</v>
      </c>
      <c r="CH88" s="97"/>
      <c r="CI88" s="682">
        <f>IS!CI33</f>
        <v>221.31740046230712</v>
      </c>
      <c r="CJ88" s="682">
        <f>IS!CJ33</f>
        <v>183.62512212168841</v>
      </c>
      <c r="CK88" s="682">
        <f>IS!CK33</f>
        <v>178.71309328305139</v>
      </c>
      <c r="CL88" s="682">
        <f>IS!CL33</f>
        <v>248.69696500851811</v>
      </c>
      <c r="CM88" s="734">
        <f>IS!CM33</f>
        <v>832.3525808755652</v>
      </c>
      <c r="CN88" s="97"/>
      <c r="CO88" s="97"/>
      <c r="CP88"/>
      <c r="CQ88"/>
      <c r="CR88"/>
      <c r="CS88"/>
      <c r="CT88"/>
      <c r="CU88"/>
      <c r="CV88" s="97"/>
    </row>
    <row r="89" spans="1:100" s="24" customFormat="1" hidden="1" outlineLevel="1">
      <c r="A89" s="735" t="s">
        <v>370</v>
      </c>
      <c r="B89" s="735"/>
      <c r="C89" s="735"/>
      <c r="D89" s="735"/>
      <c r="E89" s="735"/>
      <c r="F89" s="682"/>
      <c r="G89" s="733">
        <v>0</v>
      </c>
      <c r="H89" s="682"/>
      <c r="I89" s="736">
        <v>0</v>
      </c>
      <c r="J89" s="736">
        <v>0</v>
      </c>
      <c r="K89" s="736">
        <v>0</v>
      </c>
      <c r="L89" s="736">
        <v>0</v>
      </c>
      <c r="M89" s="733">
        <v>0</v>
      </c>
      <c r="N89" s="682"/>
      <c r="O89" s="736">
        <v>0</v>
      </c>
      <c r="P89" s="736">
        <v>0</v>
      </c>
      <c r="Q89" s="736">
        <v>0</v>
      </c>
      <c r="R89" s="736">
        <v>0</v>
      </c>
      <c r="S89" s="733">
        <v>0</v>
      </c>
      <c r="T89" s="682"/>
      <c r="U89" s="736">
        <v>0</v>
      </c>
      <c r="V89" s="736">
        <v>0</v>
      </c>
      <c r="W89" s="736">
        <v>0</v>
      </c>
      <c r="X89" s="736">
        <v>0</v>
      </c>
      <c r="Y89" s="733">
        <v>0</v>
      </c>
      <c r="Z89" s="682"/>
      <c r="AA89" s="736">
        <v>0</v>
      </c>
      <c r="AB89" s="736">
        <v>0</v>
      </c>
      <c r="AC89" s="736">
        <v>0</v>
      </c>
      <c r="AD89" s="736">
        <v>0</v>
      </c>
      <c r="AE89" s="733">
        <v>0</v>
      </c>
      <c r="AF89" s="682"/>
      <c r="AG89" s="736">
        <v>0</v>
      </c>
      <c r="AH89" s="736">
        <v>0</v>
      </c>
      <c r="AI89" s="736">
        <v>0</v>
      </c>
      <c r="AJ89" s="736">
        <v>0</v>
      </c>
      <c r="AK89" s="733">
        <v>0</v>
      </c>
      <c r="AL89" s="682"/>
      <c r="AM89" s="736">
        <v>0</v>
      </c>
      <c r="AN89" s="736">
        <v>0</v>
      </c>
      <c r="AO89" s="736">
        <v>0</v>
      </c>
      <c r="AP89" s="736">
        <v>0</v>
      </c>
      <c r="AQ89" s="733">
        <v>0</v>
      </c>
      <c r="AR89" s="682"/>
      <c r="AS89" s="736">
        <v>0</v>
      </c>
      <c r="AT89" s="736">
        <v>0</v>
      </c>
      <c r="AU89" s="736">
        <v>0</v>
      </c>
      <c r="AV89" s="736">
        <v>0</v>
      </c>
      <c r="AW89" s="733">
        <v>0</v>
      </c>
      <c r="AX89" s="682"/>
      <c r="AY89" s="736">
        <v>0</v>
      </c>
      <c r="AZ89" s="736">
        <v>0</v>
      </c>
      <c r="BA89" s="736">
        <v>0</v>
      </c>
      <c r="BB89" s="736">
        <v>0</v>
      </c>
      <c r="BC89" s="733">
        <v>0</v>
      </c>
      <c r="BD89" s="682"/>
      <c r="BE89" s="736">
        <v>0</v>
      </c>
      <c r="BF89" s="736">
        <v>0</v>
      </c>
      <c r="BG89" s="736">
        <v>0</v>
      </c>
      <c r="BH89" s="736">
        <v>0</v>
      </c>
      <c r="BI89" s="733">
        <v>0</v>
      </c>
      <c r="BJ89" s="682"/>
      <c r="BK89" s="736">
        <v>0</v>
      </c>
      <c r="BL89" s="736">
        <v>0</v>
      </c>
      <c r="BM89" s="736">
        <v>0</v>
      </c>
      <c r="BN89" s="736">
        <v>0</v>
      </c>
      <c r="BO89" s="733">
        <v>0</v>
      </c>
      <c r="BP89" s="682"/>
      <c r="BQ89" s="736">
        <v>0</v>
      </c>
      <c r="BR89" s="736">
        <v>0</v>
      </c>
      <c r="BS89" s="736">
        <v>0</v>
      </c>
      <c r="BT89" s="736">
        <v>0</v>
      </c>
      <c r="BU89" s="733">
        <v>0</v>
      </c>
      <c r="BV89" s="97"/>
      <c r="BW89" s="736">
        <v>0</v>
      </c>
      <c r="BX89" s="736">
        <v>0</v>
      </c>
      <c r="BY89" s="736">
        <v>0</v>
      </c>
      <c r="BZ89" s="736">
        <v>0</v>
      </c>
      <c r="CA89" s="733">
        <v>0</v>
      </c>
      <c r="CB89" s="97"/>
      <c r="CC89" s="736">
        <v>0</v>
      </c>
      <c r="CD89" s="736">
        <v>0</v>
      </c>
      <c r="CE89" s="736">
        <v>0</v>
      </c>
      <c r="CF89" s="736">
        <v>0</v>
      </c>
      <c r="CG89" s="733">
        <v>0</v>
      </c>
      <c r="CH89" s="97"/>
      <c r="CI89" s="736">
        <v>0</v>
      </c>
      <c r="CJ89" s="736">
        <v>0</v>
      </c>
      <c r="CK89" s="736">
        <v>0</v>
      </c>
      <c r="CL89" s="736">
        <v>0</v>
      </c>
      <c r="CM89" s="733">
        <v>0</v>
      </c>
      <c r="CN89" s="97"/>
      <c r="CO89" s="97"/>
      <c r="CP89"/>
      <c r="CQ89"/>
      <c r="CR89"/>
      <c r="CS89"/>
      <c r="CT89"/>
      <c r="CU89"/>
      <c r="CV89" s="97"/>
    </row>
    <row r="90" spans="1:100" s="24" customFormat="1" hidden="1" outlineLevel="1">
      <c r="A90" s="610" t="s">
        <v>371</v>
      </c>
      <c r="B90" s="610"/>
      <c r="C90" s="610"/>
      <c r="D90" s="610"/>
      <c r="E90" s="610"/>
      <c r="F90" s="682"/>
      <c r="G90" s="733">
        <f>(G38-43.665)</f>
        <v>22.567</v>
      </c>
      <c r="H90" s="682"/>
      <c r="I90" s="688">
        <f>(I38-G38)</f>
        <v>13.436999999999998</v>
      </c>
      <c r="J90" s="688">
        <f>(J38-I38)</f>
        <v>15.731000000000009</v>
      </c>
      <c r="K90" s="688">
        <f>(K38-J38)</f>
        <v>-36.649000000000008</v>
      </c>
      <c r="L90" s="688">
        <f>(L38-K38)</f>
        <v>-67.331999999999994</v>
      </c>
      <c r="M90" s="687">
        <f>(M38-G38)</f>
        <v>-74.813000000000002</v>
      </c>
      <c r="N90" s="682"/>
      <c r="O90" s="688">
        <f>(O38-M38)</f>
        <v>-12.36</v>
      </c>
      <c r="P90" s="688">
        <f>(P38-O38)</f>
        <v>29.855999999999998</v>
      </c>
      <c r="Q90" s="688">
        <f>(Q38-P38)</f>
        <v>10.408000000000001</v>
      </c>
      <c r="R90" s="688">
        <f>(R38-Q38)</f>
        <v>-3.7490000000000006</v>
      </c>
      <c r="S90" s="687">
        <f>(S38-M38)</f>
        <v>24.155000000000001</v>
      </c>
      <c r="T90" s="682"/>
      <c r="U90" s="688">
        <f>(U38-S38)</f>
        <v>-23.253999999999998</v>
      </c>
      <c r="V90" s="688">
        <f>(V38-U38)</f>
        <v>-28.463000000000001</v>
      </c>
      <c r="W90" s="688">
        <f>(W38-V38)</f>
        <v>39.664999999999999</v>
      </c>
      <c r="X90" s="688">
        <f>(X38-W38)</f>
        <v>-15.317</v>
      </c>
      <c r="Y90" s="687">
        <f>(Y38-S38)</f>
        <v>-27.369</v>
      </c>
      <c r="Z90" s="682"/>
      <c r="AA90" s="688">
        <f>(AA38-Y38)</f>
        <v>34.073999999999998</v>
      </c>
      <c r="AB90" s="688">
        <f>(AB38-AA38)</f>
        <v>10.215999999999998</v>
      </c>
      <c r="AC90" s="688">
        <f>(AC38-AB38)</f>
        <v>-33.277999999999999</v>
      </c>
      <c r="AD90" s="688">
        <f>(AD38-AC38)</f>
        <v>-35.271999999999998</v>
      </c>
      <c r="AE90" s="687">
        <f>(AE38-Y38)</f>
        <v>-24.259999999999998</v>
      </c>
      <c r="AF90" s="682"/>
      <c r="AG90" s="688">
        <f>(AG38-AE38)</f>
        <v>13.119</v>
      </c>
      <c r="AH90" s="688">
        <f>(AH38-AG38)</f>
        <v>-30.652999999999999</v>
      </c>
      <c r="AI90" s="688">
        <f>(AI38-AH38)</f>
        <v>24.096999999999998</v>
      </c>
      <c r="AJ90" s="688">
        <f>(AJ38-AI38)</f>
        <v>3.0970000000000013</v>
      </c>
      <c r="AK90" s="687">
        <f>(AK38-AE38)</f>
        <v>9.66</v>
      </c>
      <c r="AL90" s="682"/>
      <c r="AM90" s="688">
        <f>(AM38-AK38)</f>
        <v>-28.276</v>
      </c>
      <c r="AN90" s="688">
        <f>(AN38-AM38)</f>
        <v>1.0769999999999982</v>
      </c>
      <c r="AO90" s="688">
        <f>(AO38-AN38)</f>
        <v>28.42</v>
      </c>
      <c r="AP90" s="688">
        <f>(AP38-AO38)</f>
        <v>31.052999999999997</v>
      </c>
      <c r="AQ90" s="687">
        <f>(AQ38-AK38)</f>
        <v>32.274000000000001</v>
      </c>
      <c r="AR90" s="682"/>
      <c r="AS90" s="688">
        <f>(AS38-AQ38)</f>
        <v>26.578000000000003</v>
      </c>
      <c r="AT90" s="688">
        <f>(AT38-AS38)</f>
        <v>6.625</v>
      </c>
      <c r="AU90" s="688">
        <f>(AU38-AT38)</f>
        <v>-49.158000000000001</v>
      </c>
      <c r="AV90" s="688">
        <f>(AV38-AU38)</f>
        <v>-68.628999999999991</v>
      </c>
      <c r="AW90" s="687">
        <f>(AW38-AQ38)</f>
        <v>-84.584000000000003</v>
      </c>
      <c r="AX90" s="682"/>
      <c r="AY90" s="688">
        <f>(AY38-AW38)</f>
        <v>-59.671000000000006</v>
      </c>
      <c r="AZ90" s="688">
        <f>(AZ38-AY38)</f>
        <v>20.103000000000009</v>
      </c>
      <c r="BA90" s="688">
        <f>(BA38-AZ38)</f>
        <v>-8.5430000000000064</v>
      </c>
      <c r="BB90" s="688">
        <f>(BB38-BA38)</f>
        <v>-19.909999999999997</v>
      </c>
      <c r="BC90" s="687">
        <f>(BC38-AW38)</f>
        <v>-68.021000000000001</v>
      </c>
      <c r="BD90" s="682"/>
      <c r="BE90" s="688">
        <f>(BE38-BC38)</f>
        <v>18.778999999999996</v>
      </c>
      <c r="BF90" s="688">
        <f>(BF38-BE38)</f>
        <v>-28.981999999999999</v>
      </c>
      <c r="BG90" s="688">
        <f>(BG38-BF38)</f>
        <v>1.5250000000000057</v>
      </c>
      <c r="BH90" s="688">
        <f>(BH38-BG38)</f>
        <v>-60.876000000000005</v>
      </c>
      <c r="BI90" s="687">
        <f>(BI38-BC38)</f>
        <v>-69.554000000000002</v>
      </c>
      <c r="BJ90" s="682"/>
      <c r="BK90" s="688">
        <f>(BK38-BI38)</f>
        <v>29.742999999999995</v>
      </c>
      <c r="BL90" s="688">
        <f>(BL38-BK38)</f>
        <v>38.762</v>
      </c>
      <c r="BM90" s="688">
        <f>(BM38-BL38)</f>
        <v>27.347999999999999</v>
      </c>
      <c r="BN90" s="688">
        <f>(BN38-BM38)</f>
        <v>10.360000000000014</v>
      </c>
      <c r="BO90" s="687">
        <f>(BO38-BI38)</f>
        <v>106.21300000000001</v>
      </c>
      <c r="BP90" s="682"/>
      <c r="BQ90" s="688">
        <f>(BQ38-BO38)</f>
        <v>0</v>
      </c>
      <c r="BR90" s="688">
        <f>(BR38-BQ38)</f>
        <v>0</v>
      </c>
      <c r="BS90" s="688">
        <f>(BS38-BR38)</f>
        <v>0</v>
      </c>
      <c r="BT90" s="688">
        <f>(BT38-BS38)</f>
        <v>0</v>
      </c>
      <c r="BU90" s="687">
        <f>(BU38-BO38)</f>
        <v>0</v>
      </c>
      <c r="BV90" s="97"/>
      <c r="BW90" s="688">
        <f>(BW38-BU38)</f>
        <v>0</v>
      </c>
      <c r="BX90" s="688">
        <f>(BX38-BW38)</f>
        <v>0</v>
      </c>
      <c r="BY90" s="688">
        <f>(BY38-BX38)</f>
        <v>0</v>
      </c>
      <c r="BZ90" s="688">
        <f>(BZ38-BY38)</f>
        <v>0</v>
      </c>
      <c r="CA90" s="687">
        <f>(CA38-BU38)</f>
        <v>0</v>
      </c>
      <c r="CB90" s="97"/>
      <c r="CC90" s="688">
        <f>(CC38-CA38)</f>
        <v>0</v>
      </c>
      <c r="CD90" s="688">
        <f>(CD38-CC38)</f>
        <v>0</v>
      </c>
      <c r="CE90" s="688">
        <f>(CE38-CD38)</f>
        <v>0</v>
      </c>
      <c r="CF90" s="688">
        <f>(CF38-CE38)</f>
        <v>0</v>
      </c>
      <c r="CG90" s="687">
        <f>(CG38-CA38)</f>
        <v>0</v>
      </c>
      <c r="CH90" s="97"/>
      <c r="CI90" s="688">
        <f>(CI38-CG38)</f>
        <v>0</v>
      </c>
      <c r="CJ90" s="688">
        <f>(CJ38-CI38)</f>
        <v>0</v>
      </c>
      <c r="CK90" s="688">
        <f>(CK38-CJ38)</f>
        <v>0</v>
      </c>
      <c r="CL90" s="688">
        <f>(CL38-CK38)</f>
        <v>0</v>
      </c>
      <c r="CM90" s="687">
        <f>(CM38-CG38)</f>
        <v>0</v>
      </c>
      <c r="CN90" s="97"/>
      <c r="CO90" s="97"/>
      <c r="CP90"/>
      <c r="CQ90"/>
      <c r="CR90"/>
      <c r="CS90"/>
      <c r="CT90"/>
      <c r="CU90"/>
      <c r="CV90" s="97"/>
    </row>
    <row r="91" spans="1:100" s="24" customFormat="1" hidden="1" outlineLevel="1">
      <c r="A91" s="737" t="s">
        <v>372</v>
      </c>
      <c r="B91" s="737"/>
      <c r="C91" s="737"/>
      <c r="D91" s="737"/>
      <c r="E91" s="737"/>
      <c r="F91" s="682"/>
      <c r="G91" s="733">
        <f>(G39-1326.757)-G88-G89</f>
        <v>-3.9049999999999159</v>
      </c>
      <c r="H91" s="682"/>
      <c r="I91" s="688">
        <f>(I39-G39)-I88-I89</f>
        <v>-0.28600000000014347</v>
      </c>
      <c r="J91" s="688">
        <f>(J39-I39)-J88-J89</f>
        <v>0.28600000000012926</v>
      </c>
      <c r="K91" s="688">
        <f>(K39-J39)-K88-K89</f>
        <v>-2.8421709430404007E-14</v>
      </c>
      <c r="L91" s="688">
        <f>(L39-K39)-L88-L89</f>
        <v>-0.79999999999984084</v>
      </c>
      <c r="M91" s="687">
        <f>(M39-G39)-M88-M89</f>
        <v>-0.79999999999989768</v>
      </c>
      <c r="N91" s="682"/>
      <c r="O91" s="688">
        <f>(O39-M39)-O88-O89</f>
        <v>4.4999999999959073E-2</v>
      </c>
      <c r="P91" s="688">
        <f>(P39-O39)-P88-P89</f>
        <v>1.5631940186722204E-13</v>
      </c>
      <c r="Q91" s="688">
        <f>(Q39-P39)-Q88-Q89</f>
        <v>-3.4106051316484809E-13</v>
      </c>
      <c r="R91" s="688">
        <f>(R39-Q39)-R88-R89</f>
        <v>7.1054273576010019E-14</v>
      </c>
      <c r="S91" s="687">
        <f>(S39-M39)-S88-S89</f>
        <v>4.4999999999731699E-2</v>
      </c>
      <c r="T91" s="682"/>
      <c r="U91" s="688">
        <f>(U39-S39)-U88-U89</f>
        <v>2.8421709430404007E-14</v>
      </c>
      <c r="V91" s="688">
        <f>(V39-U39)-V88-V89</f>
        <v>2.8421709430404007E-14</v>
      </c>
      <c r="W91" s="688">
        <f>(W39-V39)-W88-W89</f>
        <v>5.6843418860808015E-14</v>
      </c>
      <c r="X91" s="688">
        <f>(X39-W39)-X88-X89</f>
        <v>-1.8474111129762605E-13</v>
      </c>
      <c r="Y91" s="687">
        <f>(Y39-S39)-Y88-Y89</f>
        <v>-1.1368683772161603E-13</v>
      </c>
      <c r="Z91" s="682"/>
      <c r="AA91" s="688">
        <f>(AA39-Y39)-AA88-AA89</f>
        <v>1.4210854715202004E-14</v>
      </c>
      <c r="AB91" s="688">
        <f>(AB39-AA39)-AB88-AB89</f>
        <v>2.1316282072803006E-13</v>
      </c>
      <c r="AC91" s="688">
        <f>(AC39-AB39)-AC88-AC89</f>
        <v>5.6843418860808015E-14</v>
      </c>
      <c r="AD91" s="688">
        <f>(AD39-AC39)-AD88-AD89</f>
        <v>-8.1000000000045702E-2</v>
      </c>
      <c r="AE91" s="687">
        <f>(AE39-Y39)-AE88-AE89</f>
        <v>-8.0999999999789907E-2</v>
      </c>
      <c r="AF91" s="682"/>
      <c r="AG91" s="688">
        <f>(AG39-AE39)-AG88-AG89</f>
        <v>-3.2684965844964609E-13</v>
      </c>
      <c r="AH91" s="688">
        <f>(AH39-AG39)-AH88-AH89</f>
        <v>1.5631940186722204E-13</v>
      </c>
      <c r="AI91" s="688">
        <f>(AI39-AH39)-AI88-AI89</f>
        <v>-8.5265128291212022E-14</v>
      </c>
      <c r="AJ91" s="688">
        <f>(AJ39-AI39)-AJ88-AJ89</f>
        <v>5.6843418860808015E-14</v>
      </c>
      <c r="AK91" s="687">
        <f>(AK39-AE39)-AK88-AK89</f>
        <v>-3.4106051316484809E-13</v>
      </c>
      <c r="AL91" s="682"/>
      <c r="AM91" s="1177">
        <f>(AM39-AK39)-AM88-AM89</f>
        <v>1.7053025658242404E-13</v>
      </c>
      <c r="AN91" s="688">
        <f>(AN39-AM39)-AN88-AN89</f>
        <v>-1.7053025658242404E-13</v>
      </c>
      <c r="AO91" s="688">
        <f>(AO39-AN39)-AO88-AO89</f>
        <v>1.9895196601282805E-13</v>
      </c>
      <c r="AP91" s="688">
        <f>(AP39-AO39)-AP88-AP89</f>
        <v>-5.6843418860808015E-14</v>
      </c>
      <c r="AQ91" s="687">
        <f>(AQ39-AK39)-AQ88-AQ89</f>
        <v>1.1368683772161603E-13</v>
      </c>
      <c r="AR91" s="682"/>
      <c r="AS91" s="688">
        <f>(AS39-AQ39)-AS88-AS89</f>
        <v>1.7053025658242404E-13</v>
      </c>
      <c r="AT91" s="688">
        <f>(AT39-AS39)-AT88-AT89</f>
        <v>1.4210854715202004E-14</v>
      </c>
      <c r="AU91" s="688">
        <f>(AU39-AT39)-AU88-AU89</f>
        <v>-6.3948846218409017E-13</v>
      </c>
      <c r="AV91" s="688">
        <f>(AV39-AU39)-AV88-AV89</f>
        <v>3.979039320256561E-13</v>
      </c>
      <c r="AW91" s="687">
        <f>(AW39-AQ39)-AW88-AW89</f>
        <v>-5.6843418860808015E-14</v>
      </c>
      <c r="AX91" s="682"/>
      <c r="AY91" s="688">
        <f>(AY39-AW39)-AY88-AY89</f>
        <v>-3.4106051316484809E-13</v>
      </c>
      <c r="AZ91" s="688">
        <f>(AZ39-AY39)-AZ88-AZ89</f>
        <v>1.4210854715202004E-13</v>
      </c>
      <c r="BA91" s="688">
        <f>(BA39-AZ39)-BA88-BA89</f>
        <v>1.4210854715202004E-14</v>
      </c>
      <c r="BB91" s="688">
        <f>(BB39-BA39)-BB88-BB89</f>
        <v>8.5265128291212022E-14</v>
      </c>
      <c r="BC91" s="687">
        <f>(BC39-AW39)-BC88-BC89</f>
        <v>5.6843418860808015E-14</v>
      </c>
      <c r="BD91" s="682"/>
      <c r="BE91" s="688">
        <f>(BE39-BC39)-BE88-BE89</f>
        <v>6.2527760746888816E-13</v>
      </c>
      <c r="BF91" s="688">
        <f>(BF39-BE39)-BF88-BF89</f>
        <v>-2.8421709430404007E-13</v>
      </c>
      <c r="BG91" s="688">
        <f>(BG39-BF39)-BG88-BG89</f>
        <v>-2.8421709430404007E-13</v>
      </c>
      <c r="BH91" s="688">
        <f>(BH39-BG39)-BH88-BH89</f>
        <v>6.5369931689929217E-13</v>
      </c>
      <c r="BI91" s="687">
        <f>(BI39-BC39)-BI88-BI89</f>
        <v>9.0949470177292824E-13</v>
      </c>
      <c r="BJ91" s="682"/>
      <c r="BK91" s="688">
        <f>(BK39-BI39)-BK88-BK89</f>
        <v>-2.2737367544323206E-13</v>
      </c>
      <c r="BL91" s="688">
        <f>(BL39-BK39)-BL88-BL89</f>
        <v>1.1368683772161603E-13</v>
      </c>
      <c r="BM91" s="688">
        <f>(BM39-BL39)-BM88-BM89</f>
        <v>-5.6843418860808015E-13</v>
      </c>
      <c r="BN91" s="688">
        <f>(BN39-BM39)-BN88-BN89</f>
        <v>4.5474735088646412E-13</v>
      </c>
      <c r="BO91" s="687">
        <f>(BO39-BI39)-BO88-BO89</f>
        <v>-4.5474735088646412E-13</v>
      </c>
      <c r="BP91" s="682"/>
      <c r="BQ91" s="688">
        <f>(BQ39-BO39)-BQ88-BQ89</f>
        <v>-5.6843418860808015E-14</v>
      </c>
      <c r="BR91" s="688">
        <f>(BR39-BQ39)-BR88-BR89</f>
        <v>3.4106051316484809E-13</v>
      </c>
      <c r="BS91" s="688">
        <f>(BS39-BR39)-BS88-BS89</f>
        <v>2.8421709430404007E-13</v>
      </c>
      <c r="BT91" s="688">
        <f>(BT39-BS39)-BT88-BT89</f>
        <v>-2.8421709430404007E-13</v>
      </c>
      <c r="BU91" s="687">
        <f>(BU39-BO39)-BU88-BU89</f>
        <v>1.1368683772161603E-13</v>
      </c>
      <c r="BV91" s="97"/>
      <c r="BW91" s="688">
        <f>(BW39-BU39)-BW88-BW89</f>
        <v>0</v>
      </c>
      <c r="BX91" s="688">
        <f>(BX39-BW39)-BX88-BX89</f>
        <v>-3.4106051316484809E-13</v>
      </c>
      <c r="BY91" s="688">
        <f>(BY39-BX39)-BY88-BY89</f>
        <v>-3.979039320256561E-13</v>
      </c>
      <c r="BZ91" s="688">
        <f>(BZ39-BY39)-BZ88-BZ89</f>
        <v>-3.979039320256561E-13</v>
      </c>
      <c r="CA91" s="687">
        <f>(CA39-BU39)-CA88-CA89</f>
        <v>-1.2505552149377763E-12</v>
      </c>
      <c r="CB91" s="97"/>
      <c r="CC91" s="688">
        <f>(CC39-CA39)-CC88-CC89</f>
        <v>3.694822225952521E-13</v>
      </c>
      <c r="CD91" s="688">
        <f>(CD39-CC39)-CD88-CD89</f>
        <v>1.9895196601282805E-13</v>
      </c>
      <c r="CE91" s="688">
        <f>(CE39-CD39)-CE88-CE89</f>
        <v>2.2737367544323206E-13</v>
      </c>
      <c r="CF91" s="688">
        <f>(CF39-CE39)-CF88-CF89</f>
        <v>2.8421709430404007E-13</v>
      </c>
      <c r="CG91" s="687">
        <f>(CG39-CA39)-CG88-CG89</f>
        <v>9.0949470177292824E-13</v>
      </c>
      <c r="CH91" s="97"/>
      <c r="CI91" s="688">
        <f>(CI39-CG39)-CI88-CI89</f>
        <v>-1.4210854715202004E-13</v>
      </c>
      <c r="CJ91" s="688">
        <f>(CJ39-CI39)-CJ88-CJ89</f>
        <v>-3.694822225952521E-13</v>
      </c>
      <c r="CK91" s="688">
        <f>(CK39-CJ39)-CK88-CK89</f>
        <v>2.8421709430404007E-14</v>
      </c>
      <c r="CL91" s="688">
        <f>(CL39-CK39)-CL88-CL89</f>
        <v>-5.9685589803848416E-13</v>
      </c>
      <c r="CM91" s="687">
        <f>(CM39-CG39)-CM88-CM89</f>
        <v>-1.2505552149377763E-12</v>
      </c>
      <c r="CN91" s="97"/>
      <c r="CO91" s="97"/>
      <c r="CP91"/>
      <c r="CQ91"/>
      <c r="CR91"/>
      <c r="CS91"/>
      <c r="CT91"/>
      <c r="CU91"/>
      <c r="CV91" s="97"/>
    </row>
    <row r="92" spans="1:100" s="24" customFormat="1" hidden="1" outlineLevel="1">
      <c r="A92" s="738" t="s">
        <v>373</v>
      </c>
      <c r="B92" s="738"/>
      <c r="C92" s="738"/>
      <c r="D92" s="738"/>
      <c r="E92" s="738"/>
      <c r="F92" s="682"/>
      <c r="G92" s="739">
        <f>SUM(G86:G91)</f>
        <v>586.07599999999979</v>
      </c>
      <c r="H92" s="730"/>
      <c r="I92" s="740">
        <f>SUM(I86:I91)</f>
        <v>616.96499999999958</v>
      </c>
      <c r="J92" s="740">
        <f>SUM(J86:J91)</f>
        <v>650.61699999999985</v>
      </c>
      <c r="K92" s="740">
        <f>SUM(K86:K91)</f>
        <v>645.0829999999994</v>
      </c>
      <c r="L92" s="740">
        <f>SUM(L86:L91)</f>
        <v>661.00499999999977</v>
      </c>
      <c r="M92" s="739">
        <f>SUM(M86:M91)</f>
        <v>661.00499999999988</v>
      </c>
      <c r="N92" s="730"/>
      <c r="O92" s="740">
        <f>SUM(O86:O91)</f>
        <v>665.71299999999985</v>
      </c>
      <c r="P92" s="740">
        <f>SUM(P86:P91)</f>
        <v>730.74900000000014</v>
      </c>
      <c r="Q92" s="740">
        <f>SUM(Q86:Q91)</f>
        <v>780.65799999999967</v>
      </c>
      <c r="R92" s="740">
        <f>SUM(R86:R91)</f>
        <v>848.94899999999984</v>
      </c>
      <c r="S92" s="739">
        <f>SUM(S86:S91)</f>
        <v>848.94899999999984</v>
      </c>
      <c r="T92" s="730"/>
      <c r="U92" s="740">
        <f>SUM(U86:U91)</f>
        <v>813.04199999999958</v>
      </c>
      <c r="V92" s="740">
        <f>SUM(V86:V91)</f>
        <v>812.94999999999993</v>
      </c>
      <c r="W92" s="740">
        <f>SUM(W86:W91)</f>
        <v>923.26199999999949</v>
      </c>
      <c r="X92" s="740">
        <f>SUM(X86:X91)</f>
        <v>1068.7969999999996</v>
      </c>
      <c r="Y92" s="739">
        <f>SUM(Y86:Y91)</f>
        <v>1068.7969999999996</v>
      </c>
      <c r="Z92" s="730"/>
      <c r="AA92" s="740">
        <f>SUM(AA86:AA91)</f>
        <v>1150.7939999999996</v>
      </c>
      <c r="AB92" s="740">
        <f>SUM(AB86:AB91)</f>
        <v>1225.5339999999997</v>
      </c>
      <c r="AC92" s="740">
        <f>SUM(AC86:AC91)</f>
        <v>1159.0829999999996</v>
      </c>
      <c r="AD92" s="740">
        <f>SUM(AD86:AD91)</f>
        <v>1226.578</v>
      </c>
      <c r="AE92" s="739">
        <f>SUM(AE86:AE91)</f>
        <v>1226.578</v>
      </c>
      <c r="AF92" s="730"/>
      <c r="AG92" s="740">
        <f>SUM(AG86:AG91)</f>
        <v>1287.5309999999995</v>
      </c>
      <c r="AH92" s="740">
        <f>SUM(AH86:AH91)</f>
        <v>1262.6829999999998</v>
      </c>
      <c r="AI92" s="740">
        <f>SUM(AI86:AI91)</f>
        <v>1329.8789999999995</v>
      </c>
      <c r="AJ92" s="740">
        <f>SUM(AJ86:AJ91)</f>
        <v>1467.3569999999993</v>
      </c>
      <c r="AK92" s="739">
        <f>SUM(AK86:AK91)</f>
        <v>1467.3569999999995</v>
      </c>
      <c r="AL92" s="730"/>
      <c r="AM92" s="740">
        <f>SUM(AM86:AM91)</f>
        <v>1476.5</v>
      </c>
      <c r="AN92" s="740">
        <f>SUM(AN86:AN91)</f>
        <v>1520.1119999999999</v>
      </c>
      <c r="AO92" s="740">
        <f>SUM(AO86:AO91)</f>
        <v>1618.6340000000002</v>
      </c>
      <c r="AP92" s="740">
        <f>SUM(AP86:AP91)</f>
        <v>1763.1729999999998</v>
      </c>
      <c r="AQ92" s="739">
        <f>SUM(AQ86:AQ91)</f>
        <v>1763.1729999999993</v>
      </c>
      <c r="AR92" s="730"/>
      <c r="AS92" s="740">
        <f>SUM(AS86:AS91)</f>
        <v>1819.3719999999994</v>
      </c>
      <c r="AT92" s="740">
        <f>SUM(AT86:AT91)</f>
        <v>1843.4849999999997</v>
      </c>
      <c r="AU92" s="740">
        <f>SUM(AU86:AU91)</f>
        <v>1841.8199999999988</v>
      </c>
      <c r="AV92" s="740">
        <f>SUM(AV86:AV91)</f>
        <v>1894.6659999999997</v>
      </c>
      <c r="AW92" s="739">
        <f>SUM(AW86:AW91)</f>
        <v>1894.6659999999995</v>
      </c>
      <c r="AX92" s="730"/>
      <c r="AY92" s="740">
        <f>SUM(AY86:AY91)</f>
        <v>1862.2399999999989</v>
      </c>
      <c r="AZ92" s="740">
        <f>SUM(AZ86:AZ91)</f>
        <v>1932.597999999999</v>
      </c>
      <c r="BA92" s="740">
        <f>SUM(BA86:BA91)</f>
        <v>1968.5559999999996</v>
      </c>
      <c r="BB92" s="740">
        <f>SUM(BB86:BB91)</f>
        <v>2058.8509999999987</v>
      </c>
      <c r="BC92" s="739">
        <f>SUM(BC86:BC91)</f>
        <v>2058.8509999999983</v>
      </c>
      <c r="BD92" s="730"/>
      <c r="BE92" s="740">
        <f>SUM(BE86:BE91)</f>
        <v>2101.6859999999997</v>
      </c>
      <c r="BF92" s="740">
        <f>SUM(BF86:BF91)</f>
        <v>2149.3439999999987</v>
      </c>
      <c r="BG92" s="740">
        <f>SUM(BG86:BG91)</f>
        <v>2259.1399999999985</v>
      </c>
      <c r="BH92" s="740">
        <f>SUM(BH86:BH91)</f>
        <v>2301.9489999999992</v>
      </c>
      <c r="BI92" s="739">
        <f>SUM(BI86:BI91)</f>
        <v>2301.9489999999992</v>
      </c>
      <c r="BJ92" s="730"/>
      <c r="BK92" s="740">
        <f>SUM(BK86:BK91)</f>
        <v>2394.8139999999985</v>
      </c>
      <c r="BL92" s="740">
        <f>SUM(BL86:BL91)</f>
        <v>2518.6389999999988</v>
      </c>
      <c r="BM92" s="740">
        <f>SUM(BM86:BM91)</f>
        <v>2629.0949999999984</v>
      </c>
      <c r="BN92" s="740">
        <f>SUM(BN86:BN91)</f>
        <v>2233.7879999999982</v>
      </c>
      <c r="BO92" s="739">
        <f>SUM(BO86:BO91)</f>
        <v>2233.7879999999986</v>
      </c>
      <c r="BP92" s="730"/>
      <c r="BQ92" s="740">
        <f>SUM(BQ86:BQ91)</f>
        <v>2215.4486688043312</v>
      </c>
      <c r="BR92" s="740">
        <f>SUM(BR86:BR91)</f>
        <v>2228.4436914713583</v>
      </c>
      <c r="BS92" s="740">
        <f>SUM(BS86:BS91)</f>
        <v>2235.4722172718884</v>
      </c>
      <c r="BT92" s="740">
        <f>SUM(BT86:BT91)</f>
        <v>2305.0976629215265</v>
      </c>
      <c r="BU92" s="739">
        <f>SUM(BU86:BU91)</f>
        <v>2305.0976629215265</v>
      </c>
      <c r="BV92" s="97"/>
      <c r="BW92" s="740">
        <f>SUM(BW86:BW91)</f>
        <v>2293.8887532409308</v>
      </c>
      <c r="BX92" s="740">
        <f>SUM(BX86:BX91)</f>
        <v>2314.6305243837105</v>
      </c>
      <c r="BY92" s="740">
        <f>SUM(BY86:BY91)</f>
        <v>2329.1560881685418</v>
      </c>
      <c r="BZ92" s="740">
        <f>SUM(BZ86:BZ91)</f>
        <v>2409.0334547830435</v>
      </c>
      <c r="CA92" s="739">
        <f>SUM(CA86:CA91)</f>
        <v>2409.0334547830435</v>
      </c>
      <c r="CB92" s="97"/>
      <c r="CC92" s="740">
        <f>SUM(CC86:CC91)</f>
        <v>2404.7431770196363</v>
      </c>
      <c r="CD92" s="740">
        <f>SUM(CD86:CD91)</f>
        <v>2497.8350215936707</v>
      </c>
      <c r="CE92" s="740">
        <f>SUM(CE86:CE91)</f>
        <v>2586.5966191136204</v>
      </c>
      <c r="CF92" s="740">
        <f>SUM(CF86:CF91)</f>
        <v>2744.9997305957131</v>
      </c>
      <c r="CG92" s="739">
        <f>SUM(CG86:CG91)</f>
        <v>2744.9997305957131</v>
      </c>
      <c r="CH92" s="97"/>
      <c r="CI92" s="740">
        <f>SUM(CI86:CI91)</f>
        <v>2821.2985116135187</v>
      </c>
      <c r="CJ92" s="740">
        <f>SUM(CJ86:CJ91)</f>
        <v>2861.7756160155759</v>
      </c>
      <c r="CK92" s="740">
        <f>SUM(CK86:CK91)</f>
        <v>2895.5761346783202</v>
      </c>
      <c r="CL92" s="740">
        <f>SUM(CL86:CL91)</f>
        <v>2999.0570105666939</v>
      </c>
      <c r="CM92" s="739">
        <f>SUM(CM86:CM91)</f>
        <v>2999.0570105666939</v>
      </c>
      <c r="CN92" s="97"/>
      <c r="CO92" s="97"/>
      <c r="CP92"/>
      <c r="CQ92"/>
      <c r="CR92"/>
      <c r="CS92"/>
      <c r="CT92"/>
      <c r="CU92"/>
      <c r="CV92" s="97"/>
    </row>
    <row r="93" spans="1:100" s="24" customFormat="1" collapsed="1">
      <c r="A93" s="677"/>
      <c r="B93" s="677"/>
      <c r="C93" s="677"/>
      <c r="D93" s="677"/>
      <c r="E93" s="677"/>
      <c r="F93" s="34"/>
      <c r="G93" s="693"/>
      <c r="H93" s="693"/>
      <c r="I93" s="693"/>
      <c r="J93" s="693"/>
      <c r="K93" s="693"/>
      <c r="L93" s="693"/>
      <c r="M93" s="693"/>
      <c r="N93" s="693"/>
      <c r="O93" s="693"/>
      <c r="P93" s="693"/>
      <c r="Q93" s="693"/>
      <c r="R93" s="693"/>
      <c r="S93" s="694"/>
      <c r="T93" s="693"/>
      <c r="U93" s="693"/>
      <c r="V93" s="693"/>
      <c r="W93" s="693"/>
      <c r="X93" s="693"/>
      <c r="Y93" s="694"/>
      <c r="Z93" s="693"/>
      <c r="AA93" s="693"/>
      <c r="AB93" s="693"/>
      <c r="AC93" s="693"/>
      <c r="AD93" s="693"/>
      <c r="AE93" s="695"/>
      <c r="AF93" s="693"/>
      <c r="AG93" s="693"/>
      <c r="AH93" s="693"/>
      <c r="AI93" s="693"/>
      <c r="AJ93" s="693"/>
      <c r="AK93" s="695"/>
      <c r="AL93" s="693"/>
      <c r="AM93" s="693"/>
      <c r="AN93" s="693"/>
      <c r="AO93" s="693"/>
      <c r="AP93" s="693"/>
      <c r="AQ93" s="694"/>
      <c r="AR93" s="693"/>
      <c r="AS93" s="693"/>
      <c r="AT93" s="693"/>
      <c r="AU93" s="693"/>
      <c r="AV93" s="693"/>
      <c r="AW93" s="694"/>
      <c r="AX93" s="693"/>
      <c r="AY93" s="693"/>
      <c r="AZ93" s="693"/>
      <c r="BA93" s="693"/>
      <c r="BB93" s="693"/>
      <c r="BC93" s="694"/>
      <c r="BD93" s="693"/>
      <c r="BE93" s="693"/>
      <c r="BF93" s="693"/>
      <c r="BG93" s="693"/>
      <c r="BH93" s="693"/>
      <c r="BI93" s="694"/>
      <c r="BJ93" s="693"/>
      <c r="BK93" s="693"/>
      <c r="BL93" s="693"/>
      <c r="BM93" s="693"/>
      <c r="BN93" s="693"/>
      <c r="BO93" s="694"/>
      <c r="BP93" s="693"/>
      <c r="BQ93" s="693"/>
      <c r="BR93" s="693"/>
      <c r="BS93" s="693"/>
      <c r="BT93" s="693"/>
      <c r="BU93" s="694"/>
      <c r="BV93" s="97"/>
      <c r="BW93" s="693"/>
      <c r="BX93" s="693"/>
      <c r="BY93" s="693"/>
      <c r="BZ93" s="693"/>
      <c r="CA93" s="694"/>
      <c r="CB93" s="97"/>
      <c r="CC93" s="693"/>
      <c r="CD93" s="693"/>
      <c r="CE93" s="693"/>
      <c r="CF93" s="693"/>
      <c r="CG93" s="694"/>
      <c r="CH93" s="97"/>
      <c r="CI93" s="693"/>
      <c r="CJ93" s="693"/>
      <c r="CK93" s="693"/>
      <c r="CL93" s="693"/>
      <c r="CM93" s="694"/>
      <c r="CN93" s="97"/>
      <c r="CO93" s="97"/>
      <c r="CP93"/>
      <c r="CQ93"/>
      <c r="CR93"/>
      <c r="CS93"/>
      <c r="CT93"/>
      <c r="CU93"/>
      <c r="CV93" s="97"/>
    </row>
    <row r="94" spans="1:100" s="24" customFormat="1" hidden="1" outlineLevel="1">
      <c r="A94" s="741" t="s">
        <v>374</v>
      </c>
      <c r="B94" s="741"/>
      <c r="C94" s="741"/>
      <c r="D94" s="741"/>
      <c r="E94" s="741"/>
      <c r="F94" s="742"/>
      <c r="G94" s="742"/>
      <c r="H94" s="742"/>
      <c r="I94" s="742"/>
      <c r="J94" s="742"/>
      <c r="K94" s="742"/>
      <c r="L94" s="742"/>
      <c r="M94" s="743"/>
      <c r="N94" s="742"/>
      <c r="O94" s="742"/>
      <c r="P94" s="742"/>
      <c r="Q94" s="742"/>
      <c r="R94" s="742"/>
      <c r="S94" s="742"/>
      <c r="T94" s="742"/>
      <c r="U94" s="742"/>
      <c r="V94" s="742"/>
      <c r="W94" s="742"/>
      <c r="X94" s="742"/>
      <c r="Y94" s="742"/>
      <c r="Z94" s="742"/>
      <c r="AA94" s="742"/>
      <c r="AB94" s="742"/>
      <c r="AC94" s="742"/>
      <c r="AD94" s="742"/>
      <c r="AE94" s="742"/>
      <c r="AF94" s="742"/>
      <c r="AG94" s="742"/>
      <c r="AH94" s="742"/>
      <c r="AI94" s="742"/>
      <c r="AJ94" s="742"/>
      <c r="AK94" s="742"/>
      <c r="AL94" s="742"/>
      <c r="AM94" s="742"/>
      <c r="AN94" s="742"/>
      <c r="AO94" s="742"/>
      <c r="AP94" s="742"/>
      <c r="AQ94" s="742"/>
      <c r="AR94" s="742"/>
      <c r="AS94" s="742"/>
      <c r="AT94" s="742"/>
      <c r="AU94" s="742"/>
      <c r="AV94" s="742"/>
      <c r="AW94" s="742"/>
      <c r="AX94" s="742"/>
      <c r="AY94" s="742"/>
      <c r="AZ94" s="742"/>
      <c r="BA94" s="742"/>
      <c r="BB94" s="742"/>
      <c r="BC94" s="742"/>
      <c r="BD94" s="742"/>
      <c r="BE94" s="742"/>
      <c r="BF94" s="742"/>
      <c r="BG94" s="742"/>
      <c r="BH94" s="742"/>
      <c r="BI94" s="742"/>
      <c r="BJ94" s="742"/>
      <c r="BK94" s="742"/>
      <c r="BL94" s="742"/>
      <c r="BM94" s="742"/>
      <c r="BN94" s="742"/>
      <c r="BO94" s="742"/>
      <c r="BP94" s="742"/>
      <c r="BQ94" s="742"/>
      <c r="BR94" s="742"/>
      <c r="BS94" s="742"/>
      <c r="BT94" s="742"/>
      <c r="BU94" s="742"/>
      <c r="BV94" s="97"/>
      <c r="BW94" s="742"/>
      <c r="BX94" s="742"/>
      <c r="BY94" s="742"/>
      <c r="BZ94" s="742"/>
      <c r="CA94" s="742"/>
      <c r="CB94" s="97"/>
      <c r="CC94" s="742"/>
      <c r="CD94" s="742"/>
      <c r="CE94" s="742"/>
      <c r="CF94" s="742"/>
      <c r="CG94" s="742"/>
      <c r="CH94" s="97"/>
      <c r="CI94" s="742"/>
      <c r="CJ94" s="742"/>
      <c r="CK94" s="742"/>
      <c r="CL94" s="742"/>
      <c r="CM94" s="742"/>
      <c r="CN94" s="97"/>
      <c r="CO94" s="97"/>
      <c r="CP94"/>
      <c r="CQ94"/>
      <c r="CR94"/>
      <c r="CS94"/>
      <c r="CT94"/>
      <c r="CU94"/>
      <c r="CV94" s="97"/>
    </row>
    <row r="95" spans="1:100" s="24" customFormat="1" collapsed="1">
      <c r="A95" s="741" t="s">
        <v>375</v>
      </c>
      <c r="B95" s="741"/>
      <c r="C95" s="741"/>
      <c r="D95" s="741"/>
      <c r="E95" s="741"/>
      <c r="F95" s="742"/>
      <c r="G95" s="742"/>
      <c r="H95" s="742"/>
      <c r="I95" s="742"/>
      <c r="J95" s="742"/>
      <c r="K95" s="742"/>
      <c r="L95" s="742"/>
      <c r="M95" s="744"/>
      <c r="N95" s="742"/>
      <c r="O95" s="742"/>
      <c r="P95" s="742"/>
      <c r="Q95" s="742"/>
      <c r="R95" s="742"/>
      <c r="S95" s="742"/>
      <c r="T95" s="742"/>
      <c r="U95" s="742"/>
      <c r="V95" s="742"/>
      <c r="W95" s="742"/>
      <c r="X95" s="742"/>
      <c r="Y95" s="742"/>
      <c r="Z95" s="742"/>
      <c r="AA95" s="742"/>
      <c r="AB95" s="742"/>
      <c r="AC95" s="742"/>
      <c r="AD95" s="742"/>
      <c r="AE95" s="742"/>
      <c r="AF95" s="742"/>
      <c r="AG95" s="742"/>
      <c r="AH95" s="742"/>
      <c r="AI95" s="742"/>
      <c r="AJ95" s="742"/>
      <c r="AK95" s="742"/>
      <c r="AL95" s="742"/>
      <c r="AM95" s="742"/>
      <c r="AN95" s="742"/>
      <c r="AO95" s="742"/>
      <c r="AP95" s="742"/>
      <c r="AQ95" s="742"/>
      <c r="AR95" s="742"/>
      <c r="AS95" s="742"/>
      <c r="AT95" s="742"/>
      <c r="AU95" s="742"/>
      <c r="AV95" s="742"/>
      <c r="AW95" s="742"/>
      <c r="AX95" s="742"/>
      <c r="AY95" s="742"/>
      <c r="AZ95" s="742"/>
      <c r="BA95" s="742"/>
      <c r="BB95" s="742"/>
      <c r="BC95" s="742"/>
      <c r="BD95" s="742"/>
      <c r="BE95" s="742"/>
      <c r="BF95" s="742"/>
      <c r="BG95" s="742"/>
      <c r="BH95" s="742"/>
      <c r="BI95" s="742"/>
      <c r="BJ95" s="742"/>
      <c r="BK95" s="742"/>
      <c r="BL95" s="742"/>
      <c r="BM95" s="742"/>
      <c r="BN95" s="742"/>
      <c r="BO95" s="742"/>
      <c r="BP95" s="742"/>
      <c r="BQ95" s="742"/>
      <c r="BR95" s="742"/>
      <c r="BS95" s="742"/>
      <c r="BT95" s="742"/>
      <c r="BU95" s="742"/>
      <c r="BV95" s="97"/>
      <c r="BW95" s="742"/>
      <c r="BX95" s="742"/>
      <c r="BY95" s="742"/>
      <c r="BZ95" s="742"/>
      <c r="CA95" s="742"/>
      <c r="CB95" s="97"/>
      <c r="CC95" s="742"/>
      <c r="CD95" s="742"/>
      <c r="CE95" s="742"/>
      <c r="CF95" s="742"/>
      <c r="CG95" s="742"/>
      <c r="CH95" s="97"/>
      <c r="CI95" s="742"/>
      <c r="CJ95" s="742"/>
      <c r="CK95" s="742"/>
      <c r="CL95" s="742"/>
      <c r="CM95" s="742"/>
      <c r="CN95" s="97"/>
      <c r="CO95" s="97"/>
      <c r="CP95"/>
      <c r="CQ95"/>
      <c r="CR95"/>
      <c r="CS95"/>
      <c r="CT95"/>
      <c r="CU95"/>
      <c r="CV95" s="97"/>
    </row>
    <row r="96" spans="1:100" s="24" customFormat="1" hidden="1" outlineLevel="1">
      <c r="A96" s="129" t="s">
        <v>150</v>
      </c>
      <c r="B96" s="129"/>
      <c r="C96" s="129"/>
      <c r="D96" s="129"/>
      <c r="E96" s="129"/>
      <c r="F96" s="745"/>
      <c r="G96" s="746">
        <v>310.07799999999997</v>
      </c>
      <c r="H96" s="747"/>
      <c r="I96" s="747">
        <f>G101</f>
        <v>347.36799999999999</v>
      </c>
      <c r="J96" s="747">
        <f>I101</f>
        <v>361.67</v>
      </c>
      <c r="K96" s="747">
        <f>J101</f>
        <v>379.94200000000001</v>
      </c>
      <c r="L96" s="747">
        <f>K101</f>
        <v>396.44600000000003</v>
      </c>
      <c r="M96" s="748">
        <f>G101</f>
        <v>347.36799999999999</v>
      </c>
      <c r="N96" s="747"/>
      <c r="O96" s="747">
        <f>M101</f>
        <v>372.06700000000001</v>
      </c>
      <c r="P96" s="747">
        <f>O101</f>
        <v>394.22300000000001</v>
      </c>
      <c r="Q96" s="747">
        <f>P101</f>
        <v>429.82100000000003</v>
      </c>
      <c r="R96" s="747">
        <f>Q101</f>
        <v>452.46600000000001</v>
      </c>
      <c r="S96" s="748">
        <f>M101</f>
        <v>372.06700000000001</v>
      </c>
      <c r="T96" s="747"/>
      <c r="U96" s="747">
        <f>S101</f>
        <v>437.89100000000002</v>
      </c>
      <c r="V96" s="747">
        <f>U101</f>
        <v>448.05600000000004</v>
      </c>
      <c r="W96" s="747">
        <f>V101</f>
        <v>459.12000000000006</v>
      </c>
      <c r="X96" s="747">
        <f>W101</f>
        <v>485.16800000000006</v>
      </c>
      <c r="Y96" s="748">
        <f>S101</f>
        <v>437.89100000000002</v>
      </c>
      <c r="Z96" s="747"/>
      <c r="AA96" s="747">
        <f>Y101</f>
        <v>466.42499999999995</v>
      </c>
      <c r="AB96" s="747">
        <f>AA101</f>
        <v>483.26399999999995</v>
      </c>
      <c r="AC96" s="749">
        <f>AB101</f>
        <v>501.69699999999995</v>
      </c>
      <c r="AD96" s="749">
        <f>AC101</f>
        <v>517.76900000000001</v>
      </c>
      <c r="AE96" s="750">
        <f>Y101</f>
        <v>466.42499999999995</v>
      </c>
      <c r="AF96" s="747"/>
      <c r="AG96" s="747">
        <f>AE101</f>
        <v>518.08100000000002</v>
      </c>
      <c r="AH96" s="747">
        <f>AG101</f>
        <v>533.61500000000001</v>
      </c>
      <c r="AI96" s="749">
        <f>AH101</f>
        <v>565.00099999999998</v>
      </c>
      <c r="AJ96" s="749">
        <f>AI101</f>
        <v>591.12900000000002</v>
      </c>
      <c r="AK96" s="750">
        <f>AE101</f>
        <v>518.08100000000002</v>
      </c>
      <c r="AL96" s="747"/>
      <c r="AM96" s="749">
        <f>AK101</f>
        <v>587.32299999999998</v>
      </c>
      <c r="AN96" s="747">
        <f>AM101</f>
        <v>617.96</v>
      </c>
      <c r="AO96" s="747">
        <f>AN101</f>
        <v>648.59900000000005</v>
      </c>
      <c r="AP96" s="747">
        <f>AO101</f>
        <v>680.13900000000001</v>
      </c>
      <c r="AQ96" s="750">
        <f>AK101</f>
        <v>587.32299999999998</v>
      </c>
      <c r="AR96" s="747"/>
      <c r="AS96" s="749">
        <f>AQ101</f>
        <v>659.34900000000005</v>
      </c>
      <c r="AT96" s="747">
        <f>AS101</f>
        <v>680.74400000000003</v>
      </c>
      <c r="AU96" s="747">
        <f>AT101</f>
        <v>703.5</v>
      </c>
      <c r="AV96" s="747">
        <f>AU101</f>
        <v>729.78599999999994</v>
      </c>
      <c r="AW96" s="750">
        <f>AQ101</f>
        <v>659.34900000000005</v>
      </c>
      <c r="AX96" s="747"/>
      <c r="AY96" s="749">
        <f>AW101</f>
        <v>684.61300000000006</v>
      </c>
      <c r="AZ96" s="747">
        <f>AY101</f>
        <v>706.02300000000002</v>
      </c>
      <c r="BA96" s="747">
        <f>AZ101</f>
        <v>729.90600000000006</v>
      </c>
      <c r="BB96" s="747">
        <f>BA101</f>
        <v>756.86300000000006</v>
      </c>
      <c r="BC96" s="750">
        <f>AW101</f>
        <v>684.61300000000006</v>
      </c>
      <c r="BD96" s="747"/>
      <c r="BE96" s="749">
        <f>BC101</f>
        <v>704.52800000000002</v>
      </c>
      <c r="BF96" s="747">
        <f>BE101</f>
        <v>729.18000000000006</v>
      </c>
      <c r="BG96" s="747">
        <f>BF101</f>
        <v>754.22400000000005</v>
      </c>
      <c r="BH96" s="747">
        <f>BG101</f>
        <v>776.82400000000007</v>
      </c>
      <c r="BI96" s="750">
        <f>BC101</f>
        <v>704.52800000000002</v>
      </c>
      <c r="BJ96" s="747"/>
      <c r="BK96" s="749">
        <f>BI101</f>
        <v>768.54899999999998</v>
      </c>
      <c r="BL96" s="747">
        <f>BK101</f>
        <v>786.26</v>
      </c>
      <c r="BM96" s="747">
        <f>BL101</f>
        <v>803.90700000000004</v>
      </c>
      <c r="BN96" s="747">
        <f>BM101</f>
        <v>823.80600000000004</v>
      </c>
      <c r="BO96" s="750">
        <f>BI101</f>
        <v>768.54899999999998</v>
      </c>
      <c r="BP96" s="747"/>
      <c r="BQ96" s="749">
        <f>BO101</f>
        <v>838.35899999999992</v>
      </c>
      <c r="BR96" s="749">
        <f>BQ101</f>
        <v>863.08771126703357</v>
      </c>
      <c r="BS96" s="749">
        <f>BR101</f>
        <v>890.84449301039456</v>
      </c>
      <c r="BT96" s="749">
        <f>BS101</f>
        <v>918.33588188767305</v>
      </c>
      <c r="BU96" s="750">
        <f>BO101</f>
        <v>838.35899999999992</v>
      </c>
      <c r="BV96" s="97"/>
      <c r="BW96" s="749">
        <f>BU101</f>
        <v>951.79081696479147</v>
      </c>
      <c r="BX96" s="749">
        <f>BW101</f>
        <v>989.84374219517372</v>
      </c>
      <c r="BY96" s="749">
        <f>BX101</f>
        <v>1032.2779716998264</v>
      </c>
      <c r="BZ96" s="749">
        <f>BY101</f>
        <v>1074.1996796306532</v>
      </c>
      <c r="CA96" s="750">
        <f>BU101</f>
        <v>951.79081696479147</v>
      </c>
      <c r="CB96" s="97"/>
      <c r="CC96" s="749">
        <f>CA101</f>
        <v>1124.8922311458973</v>
      </c>
      <c r="CD96" s="749">
        <f>CC101</f>
        <v>1164.2221602717711</v>
      </c>
      <c r="CE96" s="749">
        <f>CD101</f>
        <v>1207.7903687001572</v>
      </c>
      <c r="CF96" s="749">
        <f>CE101</f>
        <v>1250.7749999537227</v>
      </c>
      <c r="CG96" s="750">
        <f>CA101</f>
        <v>1124.8922311458973</v>
      </c>
      <c r="CH96" s="97"/>
      <c r="CI96" s="749">
        <f>CG101</f>
        <v>1302.4165792400515</v>
      </c>
      <c r="CJ96" s="749">
        <f>CI101</f>
        <v>1331.0502180466597</v>
      </c>
      <c r="CK96" s="749">
        <f>CJ101</f>
        <v>1362.5614549193167</v>
      </c>
      <c r="CL96" s="749">
        <f>CK101</f>
        <v>1393.6082187869258</v>
      </c>
      <c r="CM96" s="750">
        <f>CG101</f>
        <v>1302.4165792400515</v>
      </c>
      <c r="CN96" s="97"/>
      <c r="CO96" s="97"/>
      <c r="CP96"/>
      <c r="CQ96"/>
      <c r="CR96"/>
      <c r="CS96"/>
      <c r="CT96"/>
      <c r="CU96"/>
      <c r="CV96" s="97"/>
    </row>
    <row r="97" spans="1:100" s="24" customFormat="1" hidden="1" outlineLevel="1">
      <c r="A97" s="751" t="s">
        <v>151</v>
      </c>
      <c r="B97" s="751"/>
      <c r="C97" s="751"/>
      <c r="D97" s="751"/>
      <c r="E97" s="751"/>
      <c r="F97" s="745"/>
      <c r="G97" s="752">
        <f>-CFS!G28</f>
        <v>60.341999999999999</v>
      </c>
      <c r="H97" s="745"/>
      <c r="I97" s="745">
        <f>-CFS!I28</f>
        <v>14.302</v>
      </c>
      <c r="J97" s="745">
        <f>-CFS!J28</f>
        <v>18.271999999999998</v>
      </c>
      <c r="K97" s="745">
        <f>-CFS!K28</f>
        <v>16.504000000000005</v>
      </c>
      <c r="L97" s="745">
        <f>-CFS!L28</f>
        <v>19.986999999999995</v>
      </c>
      <c r="M97" s="752">
        <f>SUM(I97:L97)</f>
        <v>69.064999999999998</v>
      </c>
      <c r="N97" s="745"/>
      <c r="O97" s="745">
        <f>-CFS!O28</f>
        <v>22.155999999999999</v>
      </c>
      <c r="P97" s="745">
        <f>-CFS!P28</f>
        <v>35.597999999999999</v>
      </c>
      <c r="Q97" s="745">
        <f>-CFS!Q28</f>
        <v>22.645000000000003</v>
      </c>
      <c r="R97" s="745">
        <f>-CFS!R28</f>
        <v>13.397000000000006</v>
      </c>
      <c r="S97" s="752">
        <f>SUM(O97:R97)</f>
        <v>93.796000000000006</v>
      </c>
      <c r="T97" s="745"/>
      <c r="U97" s="745">
        <f>-CFS!U28</f>
        <v>10.164999999999999</v>
      </c>
      <c r="V97" s="745">
        <f>-CFS!V28</f>
        <v>11.064</v>
      </c>
      <c r="W97" s="745">
        <f>-CFS!W28</f>
        <v>26.048000000000002</v>
      </c>
      <c r="X97" s="745">
        <f>-CFS!X28</f>
        <v>15.463000000000001</v>
      </c>
      <c r="Y97" s="752">
        <f>SUM(U97:X97)</f>
        <v>62.74</v>
      </c>
      <c r="Z97" s="745"/>
      <c r="AA97" s="745">
        <f>-CFS!AA28</f>
        <v>16.838999999999999</v>
      </c>
      <c r="AB97" s="745">
        <f>-CFS!AB28</f>
        <v>18.433</v>
      </c>
      <c r="AC97" s="745">
        <f>-CFS!AC28</f>
        <v>16.072000000000003</v>
      </c>
      <c r="AD97" s="745">
        <f>-CFS!AD28</f>
        <v>34.092000000000006</v>
      </c>
      <c r="AE97" s="753">
        <f>SUM(AA97:AD97)</f>
        <v>85.436000000000007</v>
      </c>
      <c r="AF97" s="745"/>
      <c r="AG97" s="745">
        <f>-CFS!AG28</f>
        <v>15.534000000000001</v>
      </c>
      <c r="AH97" s="745">
        <f>-CFS!AH28</f>
        <v>31.386000000000003</v>
      </c>
      <c r="AI97" s="745">
        <f>-CFS!AI28</f>
        <v>26.128</v>
      </c>
      <c r="AJ97" s="745">
        <f>-CFS!AJ28</f>
        <v>31.700999999999993</v>
      </c>
      <c r="AK97" s="753">
        <f>SUM(AG97:AJ97)</f>
        <v>104.749</v>
      </c>
      <c r="AL97" s="745"/>
      <c r="AM97" s="745">
        <f>-CFS!AM28</f>
        <v>30.637</v>
      </c>
      <c r="AN97" s="745">
        <f>-CFS!AN28</f>
        <v>30.639000000000003</v>
      </c>
      <c r="AO97" s="745">
        <f>-CFS!AO28</f>
        <v>31.54</v>
      </c>
      <c r="AP97" s="745">
        <f>-CFS!AP28</f>
        <v>25.634</v>
      </c>
      <c r="AQ97" s="753">
        <f>SUM(AM97:AP97)</f>
        <v>118.45</v>
      </c>
      <c r="AR97" s="745"/>
      <c r="AS97" s="745">
        <f>-CFS!AS28</f>
        <v>21.395</v>
      </c>
      <c r="AT97" s="745">
        <f>-CFS!AT28</f>
        <v>22.756000000000004</v>
      </c>
      <c r="AU97" s="745">
        <f>-CFS!AU28</f>
        <v>26.285999999999994</v>
      </c>
      <c r="AV97" s="745">
        <f>-CFS!AV28</f>
        <v>20.685000000000002</v>
      </c>
      <c r="AW97" s="753">
        <f>SUM(AS97:AV97)</f>
        <v>91.122</v>
      </c>
      <c r="AX97" s="745"/>
      <c r="AY97" s="745">
        <f>-CFS!AY28</f>
        <v>21.41</v>
      </c>
      <c r="AZ97" s="745">
        <f>-CFS!AZ28</f>
        <v>23.882999999999999</v>
      </c>
      <c r="BA97" s="745">
        <f>-CFS!BA28</f>
        <v>26.957000000000001</v>
      </c>
      <c r="BB97" s="745">
        <f>-CFS!BB28</f>
        <v>27.762</v>
      </c>
      <c r="BC97" s="753">
        <f>SUM(AY97:BB97)</f>
        <v>100.012</v>
      </c>
      <c r="BD97" s="745"/>
      <c r="BE97" s="745">
        <f>-CFS!BE28</f>
        <v>24.652000000000001</v>
      </c>
      <c r="BF97" s="745">
        <f>-CFS!BF28</f>
        <v>25.043999999999997</v>
      </c>
      <c r="BG97" s="745">
        <f>-CFS!BG28</f>
        <v>22.600000000000009</v>
      </c>
      <c r="BH97" s="745">
        <f>-CFS!BH28</f>
        <v>22.670999999999992</v>
      </c>
      <c r="BI97" s="753">
        <f>SUM(BE97:BH97)</f>
        <v>94.966999999999999</v>
      </c>
      <c r="BJ97" s="745"/>
      <c r="BK97" s="745">
        <f>-CFS!BK28</f>
        <v>17.710999999999999</v>
      </c>
      <c r="BL97" s="745">
        <f>-CFS!BL28</f>
        <v>17.646999999999998</v>
      </c>
      <c r="BM97" s="745">
        <f>-CFS!BM28</f>
        <v>19.899000000000001</v>
      </c>
      <c r="BN97" s="745">
        <f>-CFS!BN28</f>
        <v>30.216000000000001</v>
      </c>
      <c r="BO97" s="753">
        <f>SUM(BK97:BN97)</f>
        <v>85.472999999999999</v>
      </c>
      <c r="BP97" s="745"/>
      <c r="BQ97" s="745">
        <f>BQ98*IS!BQ9</f>
        <v>24.728711267033646</v>
      </c>
      <c r="BR97" s="745">
        <f>BR98*IS!BR9</f>
        <v>27.756781743361028</v>
      </c>
      <c r="BS97" s="745">
        <f>BS98*IS!BS9</f>
        <v>27.491388877278499</v>
      </c>
      <c r="BT97" s="745">
        <f>BT98*IS!BT9</f>
        <v>33.454935077118385</v>
      </c>
      <c r="BU97" s="753">
        <f>SUM(BQ97:BT97)</f>
        <v>113.43181696479155</v>
      </c>
      <c r="BV97" s="97"/>
      <c r="BW97" s="745">
        <f>BW98*IS!BW9</f>
        <v>38.0529252303823</v>
      </c>
      <c r="BX97" s="745">
        <f>BX98*IS!BX9</f>
        <v>42.434229504652585</v>
      </c>
      <c r="BY97" s="745">
        <f>BY98*IS!BY9</f>
        <v>41.921707930826969</v>
      </c>
      <c r="BZ97" s="745">
        <f>BZ98*IS!BZ9</f>
        <v>50.692551515244013</v>
      </c>
      <c r="CA97" s="753">
        <f>SUM(BW97:BZ97)</f>
        <v>173.10141418110587</v>
      </c>
      <c r="CB97" s="97"/>
      <c r="CC97" s="745">
        <f>CC98*IS!CC9</f>
        <v>39.329929125873761</v>
      </c>
      <c r="CD97" s="745">
        <f>CD98*IS!CD9</f>
        <v>43.568208428385979</v>
      </c>
      <c r="CE97" s="745">
        <f>CE98*IS!CE9</f>
        <v>42.984631253565503</v>
      </c>
      <c r="CF97" s="745">
        <f>CF98*IS!CF9</f>
        <v>51.641579286328998</v>
      </c>
      <c r="CG97" s="753">
        <f>SUM(CC97:CF97)</f>
        <v>177.52434809415425</v>
      </c>
      <c r="CH97" s="97"/>
      <c r="CI97" s="745">
        <f>CI98*IS!CI9</f>
        <v>28.633638806608154</v>
      </c>
      <c r="CJ97" s="745">
        <f>CJ98*IS!CJ9</f>
        <v>31.511236872657093</v>
      </c>
      <c r="CK97" s="745">
        <f>CK98*IS!CK9</f>
        <v>31.046763867609126</v>
      </c>
      <c r="CL97" s="745">
        <f>CL98*IS!CL9</f>
        <v>37.064914716304557</v>
      </c>
      <c r="CM97" s="753">
        <f>SUM(CI97:CL97)</f>
        <v>128.25655426317894</v>
      </c>
      <c r="CN97" s="97"/>
      <c r="CO97" s="97"/>
      <c r="CP97"/>
      <c r="CQ97"/>
      <c r="CR97"/>
      <c r="CS97"/>
      <c r="CT97"/>
      <c r="CU97"/>
      <c r="CV97" s="97"/>
    </row>
    <row r="98" spans="1:100" s="24" customFormat="1" hidden="1" outlineLevel="1">
      <c r="A98" s="754" t="s">
        <v>152</v>
      </c>
      <c r="B98" s="754"/>
      <c r="C98" s="754"/>
      <c r="D98" s="754"/>
      <c r="E98" s="754"/>
      <c r="F98" s="628"/>
      <c r="G98" s="755">
        <f>G97/IS!G9</f>
        <v>4.0964041904948116E-2</v>
      </c>
      <c r="H98" s="628"/>
      <c r="I98" s="628">
        <f>I97/IS!I9</f>
        <v>3.8446443260447632E-2</v>
      </c>
      <c r="J98" s="628">
        <f>J97/IS!J9</f>
        <v>4.5853670778071939E-2</v>
      </c>
      <c r="K98" s="628">
        <f>K97/IS!K9</f>
        <v>4.2722166136004783E-2</v>
      </c>
      <c r="L98" s="628">
        <f>L97/IS!L9</f>
        <v>4.7777955733617636E-2</v>
      </c>
      <c r="M98" s="755">
        <f>M97/IS!M9</f>
        <v>4.3847341542634102E-2</v>
      </c>
      <c r="N98" s="628"/>
      <c r="O98" s="628">
        <f>O97/IS!O9</f>
        <v>6.6524146379544333E-2</v>
      </c>
      <c r="P98" s="628">
        <f>P97/IS!P9</f>
        <v>9.8110170682703252E-2</v>
      </c>
      <c r="Q98" s="628">
        <f>Q97/IS!Q9</f>
        <v>6.0554118990381406E-2</v>
      </c>
      <c r="R98" s="628">
        <f>R97/IS!R9</f>
        <v>3.1239506771630052E-2</v>
      </c>
      <c r="S98" s="755">
        <f>S97/IS!S9</f>
        <v>6.2584906919330094E-2</v>
      </c>
      <c r="T98" s="628"/>
      <c r="U98" s="628">
        <f>U97/IS!U9</f>
        <v>2.7644819146042967E-2</v>
      </c>
      <c r="V98" s="628">
        <f>V97/IS!V9</f>
        <v>2.8292695400902686E-2</v>
      </c>
      <c r="W98" s="628">
        <f>W97/IS!W9</f>
        <v>6.4951450984694722E-2</v>
      </c>
      <c r="X98" s="628">
        <f>X97/IS!X9</f>
        <v>3.1976227206365886E-2</v>
      </c>
      <c r="Y98" s="755">
        <f>Y97/IS!Y9</f>
        <v>3.8177623920587621E-2</v>
      </c>
      <c r="Z98" s="628"/>
      <c r="AA98" s="628">
        <f>AA97/IS!AA9</f>
        <v>3.9379985640886517E-2</v>
      </c>
      <c r="AB98" s="628">
        <f>AB97/IS!AB9</f>
        <v>4.1179374791958476E-2</v>
      </c>
      <c r="AC98" s="628">
        <f>AC97/IS!AC9</f>
        <v>3.5359291054134573E-2</v>
      </c>
      <c r="AD98" s="628">
        <f>AD97/IS!AD9</f>
        <v>6.5382992597138603E-2</v>
      </c>
      <c r="AE98" s="755">
        <f>AE97/IS!AE9</f>
        <v>4.615208428767751E-2</v>
      </c>
      <c r="AF98" s="628"/>
      <c r="AG98" s="628">
        <f>AG97/IS!AG9</f>
        <v>3.694542617812005E-2</v>
      </c>
      <c r="AH98" s="628">
        <f>AH97/IS!AH9</f>
        <v>6.9520339339705195E-2</v>
      </c>
      <c r="AI98" s="628">
        <f>AI97/IS!AI9</f>
        <v>5.8068416186615464E-2</v>
      </c>
      <c r="AJ98" s="628">
        <f>AJ97/IS!AJ9</f>
        <v>6.0757121008268064E-2</v>
      </c>
      <c r="AK98" s="755">
        <f>AK97/IS!AK9</f>
        <v>5.6816375856254007E-2</v>
      </c>
      <c r="AL98" s="628"/>
      <c r="AM98" s="628">
        <f>AM97/IS!AM9</f>
        <v>7.1192876297236127E-2</v>
      </c>
      <c r="AN98" s="628">
        <f>AN97/IS!AN9</f>
        <v>6.7918380013965399E-2</v>
      </c>
      <c r="AO98" s="628">
        <f>AO97/IS!AO9</f>
        <v>6.8967477701463095E-2</v>
      </c>
      <c r="AP98" s="628">
        <f>AP97/IS!AP9</f>
        <v>4.5333965280627046E-2</v>
      </c>
      <c r="AQ98" s="755">
        <f>AQ97/IS!AQ9</f>
        <v>6.2204012355728186E-2</v>
      </c>
      <c r="AR98" s="628"/>
      <c r="AS98" s="628">
        <f>AS97/IS!AS9</f>
        <v>4.9697102028301451E-2</v>
      </c>
      <c r="AT98" s="628">
        <f>AT97/IS!AT9</f>
        <v>4.7231118241763723E-2</v>
      </c>
      <c r="AU98" s="628">
        <f>AU97/IS!AU9</f>
        <v>5.3300619468129314E-2</v>
      </c>
      <c r="AV98" s="628">
        <f>AV97/IS!AV9</f>
        <v>3.5427406785757107E-2</v>
      </c>
      <c r="AW98" s="755">
        <f>AW97/IS!AW9</f>
        <v>4.5805049302684704E-2</v>
      </c>
      <c r="AX98" s="628"/>
      <c r="AY98" s="628">
        <f>AY97/IS!AY9</f>
        <v>4.6502636814623681E-2</v>
      </c>
      <c r="AZ98" s="628">
        <f>AZ97/IS!AZ9</f>
        <v>4.8273840805271452E-2</v>
      </c>
      <c r="BA98" s="628">
        <f>BA97/IS!BA9</f>
        <v>5.3851747380028694E-2</v>
      </c>
      <c r="BB98" s="628">
        <f>BB97/IS!BB9</f>
        <v>4.7326162186120249E-2</v>
      </c>
      <c r="BC98" s="755">
        <f>BC97/IS!BC9</f>
        <v>4.8969511323330391E-2</v>
      </c>
      <c r="BD98" s="628"/>
      <c r="BE98" s="628">
        <f>BE97/IS!BE9</f>
        <v>5.1872083089599917E-2</v>
      </c>
      <c r="BF98" s="628">
        <f>BF97/IS!BF9</f>
        <v>4.6675115550916954E-2</v>
      </c>
      <c r="BG98" s="628">
        <f>BG97/IS!BG9</f>
        <v>4.2898088567469593E-2</v>
      </c>
      <c r="BH98" s="628">
        <f>BH97/IS!BH9</f>
        <v>3.6055134727658159E-2</v>
      </c>
      <c r="BI98" s="755">
        <f>BI97/IS!BI9</f>
        <v>4.3815628052299903E-2</v>
      </c>
      <c r="BJ98" s="628"/>
      <c r="BK98" s="628">
        <f>BK97/IS!BK9</f>
        <v>3.5566471005223213E-2</v>
      </c>
      <c r="BL98" s="628">
        <f>BL97/IS!BL9</f>
        <v>3.1611285266457678E-2</v>
      </c>
      <c r="BM98" s="628">
        <f>BM97/IS!BM9</f>
        <v>3.5183102775184591E-2</v>
      </c>
      <c r="BN98" s="628">
        <f>BN97/IS!BN9</f>
        <v>4.3964933978392934E-2</v>
      </c>
      <c r="BO98" s="755">
        <f>BO97/IS!BO9</f>
        <v>3.7016073081983375E-2</v>
      </c>
      <c r="BP98" s="628"/>
      <c r="BQ98" s="494">
        <v>4.5699999999999998E-2</v>
      </c>
      <c r="BR98" s="493">
        <f>BQ98</f>
        <v>4.5699999999999998E-2</v>
      </c>
      <c r="BS98" s="493">
        <f>BR98</f>
        <v>4.5699999999999998E-2</v>
      </c>
      <c r="BT98" s="493">
        <f>BS98</f>
        <v>4.5699999999999998E-2</v>
      </c>
      <c r="BU98" s="755">
        <f>BU97/IS!BU9</f>
        <v>4.5699999999999991E-2</v>
      </c>
      <c r="BV98" s="628"/>
      <c r="BW98" s="494">
        <v>6.6000000000000003E-2</v>
      </c>
      <c r="BX98" s="493">
        <f>BW98</f>
        <v>6.6000000000000003E-2</v>
      </c>
      <c r="BY98" s="493">
        <f>BX98</f>
        <v>6.6000000000000003E-2</v>
      </c>
      <c r="BZ98" s="493">
        <f>BY98</f>
        <v>6.6000000000000003E-2</v>
      </c>
      <c r="CA98" s="755">
        <f>CA97/IS!CA9</f>
        <v>6.6000000000000003E-2</v>
      </c>
      <c r="CB98" s="628"/>
      <c r="CC98" s="494">
        <v>6.4500000000000002E-2</v>
      </c>
      <c r="CD98" s="493">
        <f>CC98</f>
        <v>6.4500000000000002E-2</v>
      </c>
      <c r="CE98" s="493">
        <f>CD98</f>
        <v>6.4500000000000002E-2</v>
      </c>
      <c r="CF98" s="493">
        <f>CE98</f>
        <v>6.4500000000000002E-2</v>
      </c>
      <c r="CG98" s="755">
        <f>CG97/IS!CG9</f>
        <v>6.4500000000000002E-2</v>
      </c>
      <c r="CH98" s="628"/>
      <c r="CI98" s="494">
        <v>4.4400000000000002E-2</v>
      </c>
      <c r="CJ98" s="493">
        <f>CI98</f>
        <v>4.4400000000000002E-2</v>
      </c>
      <c r="CK98" s="493">
        <f>CJ98</f>
        <v>4.4400000000000002E-2</v>
      </c>
      <c r="CL98" s="493">
        <f>CK98</f>
        <v>4.4400000000000002E-2</v>
      </c>
      <c r="CM98" s="755">
        <f>CM97/IS!CM9</f>
        <v>4.4400000000000002E-2</v>
      </c>
      <c r="CN98" s="97"/>
      <c r="CO98" s="97"/>
      <c r="CP98"/>
      <c r="CQ98"/>
      <c r="CR98"/>
      <c r="CS98"/>
      <c r="CT98"/>
      <c r="CU98"/>
      <c r="CV98" s="97"/>
    </row>
    <row r="99" spans="1:100" s="24" customFormat="1" hidden="1" outlineLevel="1">
      <c r="A99" s="751" t="s">
        <v>382</v>
      </c>
      <c r="B99" s="751"/>
      <c r="C99" s="751"/>
      <c r="D99" s="751"/>
      <c r="E99" s="751"/>
      <c r="F99" s="745"/>
      <c r="G99" s="756">
        <v>0</v>
      </c>
      <c r="H99" s="745"/>
      <c r="I99" s="757">
        <v>0</v>
      </c>
      <c r="J99" s="757">
        <v>0</v>
      </c>
      <c r="K99" s="757">
        <v>0</v>
      </c>
      <c r="L99" s="757">
        <v>0</v>
      </c>
      <c r="M99" s="753">
        <f>SUM(I99:L99)</f>
        <v>0</v>
      </c>
      <c r="N99" s="745"/>
      <c r="O99" s="757">
        <v>0</v>
      </c>
      <c r="P99" s="757">
        <v>0</v>
      </c>
      <c r="Q99" s="757">
        <v>0</v>
      </c>
      <c r="R99" s="757">
        <v>0</v>
      </c>
      <c r="S99" s="753">
        <f>SUM(O99:R99)</f>
        <v>0</v>
      </c>
      <c r="T99" s="745"/>
      <c r="U99" s="757">
        <v>0</v>
      </c>
      <c r="V99" s="757">
        <v>0</v>
      </c>
      <c r="W99" s="757">
        <v>0</v>
      </c>
      <c r="X99" s="757">
        <v>0</v>
      </c>
      <c r="Y99" s="753">
        <f>SUM(U99:X99)</f>
        <v>0</v>
      </c>
      <c r="Z99" s="745"/>
      <c r="AA99" s="757">
        <v>0</v>
      </c>
      <c r="AB99" s="757">
        <v>0</v>
      </c>
      <c r="AC99" s="757">
        <v>0</v>
      </c>
      <c r="AD99" s="757">
        <v>0</v>
      </c>
      <c r="AE99" s="752">
        <f>SUM(AA99:AD99)</f>
        <v>0</v>
      </c>
      <c r="AF99" s="745"/>
      <c r="AG99" s="757">
        <v>0</v>
      </c>
      <c r="AH99" s="757">
        <v>0</v>
      </c>
      <c r="AI99" s="757">
        <v>0</v>
      </c>
      <c r="AJ99" s="757">
        <v>0</v>
      </c>
      <c r="AK99" s="752">
        <f>SUM(AG99:AJ99)</f>
        <v>0</v>
      </c>
      <c r="AL99" s="745"/>
      <c r="AM99" s="757">
        <v>0</v>
      </c>
      <c r="AN99" s="757">
        <v>0</v>
      </c>
      <c r="AO99" s="757">
        <v>0</v>
      </c>
      <c r="AP99" s="757">
        <v>0</v>
      </c>
      <c r="AQ99" s="752">
        <f>SUM(AM99:AP99)</f>
        <v>0</v>
      </c>
      <c r="AR99" s="745"/>
      <c r="AS99" s="757">
        <v>0</v>
      </c>
      <c r="AT99" s="757">
        <v>0</v>
      </c>
      <c r="AU99" s="757">
        <v>0</v>
      </c>
      <c r="AV99" s="757">
        <v>0</v>
      </c>
      <c r="AW99" s="752">
        <f>SUM(AS99:AV99)</f>
        <v>0</v>
      </c>
      <c r="AX99" s="745"/>
      <c r="AY99" s="757">
        <v>0</v>
      </c>
      <c r="AZ99" s="757">
        <v>0</v>
      </c>
      <c r="BA99" s="757">
        <v>0</v>
      </c>
      <c r="BB99" s="757">
        <v>0</v>
      </c>
      <c r="BC99" s="752">
        <f>SUM(AY99:BB99)</f>
        <v>0</v>
      </c>
      <c r="BD99" s="745"/>
      <c r="BE99" s="757">
        <v>0</v>
      </c>
      <c r="BF99" s="757">
        <v>0</v>
      </c>
      <c r="BG99" s="757">
        <v>0</v>
      </c>
      <c r="BH99" s="757">
        <v>0</v>
      </c>
      <c r="BI99" s="752">
        <f>SUM(BE99:BH99)</f>
        <v>0</v>
      </c>
      <c r="BJ99" s="745"/>
      <c r="BK99" s="757">
        <v>0</v>
      </c>
      <c r="BL99" s="757">
        <v>0</v>
      </c>
      <c r="BM99" s="757">
        <v>0</v>
      </c>
      <c r="BN99" s="757">
        <v>0</v>
      </c>
      <c r="BO99" s="752">
        <f>SUM(BK99:BN99)</f>
        <v>0</v>
      </c>
      <c r="BP99" s="745"/>
      <c r="BQ99" s="745">
        <f>-CFS!BQ31*BS!BQ132</f>
        <v>0</v>
      </c>
      <c r="BR99" s="745">
        <f>-CFS!BR31*BS!BR132</f>
        <v>0</v>
      </c>
      <c r="BS99" s="745">
        <f>-CFS!BS31*BS!BS132</f>
        <v>0</v>
      </c>
      <c r="BT99" s="745">
        <f>-CFS!BT31*BS!BT132</f>
        <v>0</v>
      </c>
      <c r="BU99" s="752">
        <f>SUM(BQ99:BT99)</f>
        <v>0</v>
      </c>
      <c r="BV99" s="97"/>
      <c r="BW99" s="745">
        <f>-CFS!BW31*BS!BW132</f>
        <v>0</v>
      </c>
      <c r="BX99" s="745">
        <f>-CFS!BX31*BS!BX132</f>
        <v>0</v>
      </c>
      <c r="BY99" s="745">
        <f>-CFS!BY31*BS!BY132</f>
        <v>0</v>
      </c>
      <c r="BZ99" s="745">
        <f>-CFS!BZ31*BS!BZ132</f>
        <v>0</v>
      </c>
      <c r="CA99" s="752">
        <f>SUM(BW99:BZ99)</f>
        <v>0</v>
      </c>
      <c r="CB99" s="97"/>
      <c r="CC99" s="745">
        <f>-CFS!CC31*BS!CC132</f>
        <v>0</v>
      </c>
      <c r="CD99" s="745">
        <f>-CFS!CD31*BS!CD132</f>
        <v>0</v>
      </c>
      <c r="CE99" s="745">
        <f>-CFS!CE31*BS!CE132</f>
        <v>0</v>
      </c>
      <c r="CF99" s="745">
        <f>-CFS!CF31*BS!CF132</f>
        <v>0</v>
      </c>
      <c r="CG99" s="752">
        <f>SUM(CC99:CF99)</f>
        <v>0</v>
      </c>
      <c r="CH99" s="97"/>
      <c r="CI99" s="745">
        <f>-CFS!CI31*BS!CI132</f>
        <v>0</v>
      </c>
      <c r="CJ99" s="745">
        <f>-CFS!CJ31*BS!CJ132</f>
        <v>0</v>
      </c>
      <c r="CK99" s="745">
        <f>-CFS!CK31*BS!CK132</f>
        <v>0</v>
      </c>
      <c r="CL99" s="745">
        <f>-CFS!CL31*BS!CL132</f>
        <v>0</v>
      </c>
      <c r="CM99" s="752">
        <f>SUM(CI99:CL99)</f>
        <v>0</v>
      </c>
      <c r="CN99" s="97"/>
      <c r="CO99" s="97"/>
      <c r="CP99"/>
      <c r="CQ99"/>
      <c r="CR99"/>
      <c r="CS99"/>
      <c r="CT99"/>
      <c r="CU99"/>
      <c r="CV99" s="97"/>
    </row>
    <row r="100" spans="1:100" s="24" customFormat="1" hidden="1" outlineLevel="1">
      <c r="A100" s="751" t="s">
        <v>300</v>
      </c>
      <c r="B100" s="751"/>
      <c r="C100" s="751"/>
      <c r="D100" s="751"/>
      <c r="E100" s="751"/>
      <c r="F100" s="745"/>
      <c r="G100" s="753">
        <f>G101-G96-G97-G99</f>
        <v>-23.051999999999978</v>
      </c>
      <c r="H100" s="745"/>
      <c r="I100" s="757">
        <v>0</v>
      </c>
      <c r="J100" s="757">
        <v>0</v>
      </c>
      <c r="K100" s="757">
        <v>0</v>
      </c>
      <c r="L100" s="758">
        <f>L101-L96-L97-L99</f>
        <v>-44.366000000000014</v>
      </c>
      <c r="M100" s="753">
        <f>SUM(I100:L100)</f>
        <v>-44.366000000000014</v>
      </c>
      <c r="N100" s="745"/>
      <c r="O100" s="757">
        <v>0</v>
      </c>
      <c r="P100" s="757">
        <v>0</v>
      </c>
      <c r="Q100" s="757">
        <v>0</v>
      </c>
      <c r="R100" s="758">
        <f>R101-R96-R97-R99</f>
        <v>-27.971999999999994</v>
      </c>
      <c r="S100" s="753">
        <f>SUM(O100:R100)</f>
        <v>-27.971999999999994</v>
      </c>
      <c r="T100" s="745"/>
      <c r="U100" s="757">
        <v>0</v>
      </c>
      <c r="V100" s="757">
        <v>0</v>
      </c>
      <c r="W100" s="757">
        <v>0</v>
      </c>
      <c r="X100" s="758">
        <f>X101-X96-X97-X99</f>
        <v>-34.206000000000053</v>
      </c>
      <c r="Y100" s="753">
        <f>SUM(U100:X100)</f>
        <v>-34.206000000000053</v>
      </c>
      <c r="Z100" s="745"/>
      <c r="AA100" s="757">
        <v>0</v>
      </c>
      <c r="AB100" s="757">
        <v>0</v>
      </c>
      <c r="AC100" s="757">
        <v>0</v>
      </c>
      <c r="AD100" s="758">
        <f>AD101-AD96-AD97-AD99</f>
        <v>-33.779999999999994</v>
      </c>
      <c r="AE100" s="753">
        <f>SUM(AA100:AD100)</f>
        <v>-33.779999999999994</v>
      </c>
      <c r="AF100" s="745"/>
      <c r="AG100" s="757">
        <v>0</v>
      </c>
      <c r="AH100" s="757">
        <v>0</v>
      </c>
      <c r="AI100" s="757">
        <v>0</v>
      </c>
      <c r="AJ100" s="758">
        <f>AJ101-AJ96-AJ97-AJ99</f>
        <v>-35.507000000000033</v>
      </c>
      <c r="AK100" s="753">
        <f>SUM(AG100:AJ100)</f>
        <v>-35.507000000000033</v>
      </c>
      <c r="AL100" s="745"/>
      <c r="AM100" s="757">
        <v>0</v>
      </c>
      <c r="AN100" s="757">
        <v>0</v>
      </c>
      <c r="AO100" s="757">
        <v>0</v>
      </c>
      <c r="AP100" s="758">
        <f>AP101-AP96-AP97-AP99</f>
        <v>-46.423999999999964</v>
      </c>
      <c r="AQ100" s="753">
        <f>SUM(AM100:AP100)</f>
        <v>-46.423999999999964</v>
      </c>
      <c r="AR100" s="745"/>
      <c r="AS100" s="757">
        <v>0</v>
      </c>
      <c r="AT100" s="757">
        <v>0</v>
      </c>
      <c r="AU100" s="757">
        <v>0</v>
      </c>
      <c r="AV100" s="758">
        <f>AV101-AV96-AV97-AV99</f>
        <v>-65.85799999999989</v>
      </c>
      <c r="AW100" s="753">
        <f>SUM(AS100:AV100)</f>
        <v>-65.85799999999989</v>
      </c>
      <c r="AX100" s="745"/>
      <c r="AY100" s="757">
        <v>0</v>
      </c>
      <c r="AZ100" s="757">
        <v>0</v>
      </c>
      <c r="BA100" s="757">
        <v>0</v>
      </c>
      <c r="BB100" s="758">
        <f>BB101-BB96-BB97-BB99</f>
        <v>-80.097000000000037</v>
      </c>
      <c r="BC100" s="753">
        <f>SUM(AY100:BB100)</f>
        <v>-80.097000000000037</v>
      </c>
      <c r="BD100" s="745"/>
      <c r="BE100" s="757">
        <v>0</v>
      </c>
      <c r="BF100" s="757">
        <v>0</v>
      </c>
      <c r="BG100" s="757">
        <v>0</v>
      </c>
      <c r="BH100" s="758">
        <f>BH101-BH96-BH97-BH99</f>
        <v>-30.946000000000083</v>
      </c>
      <c r="BI100" s="753">
        <f>SUM(BE100:BH100)</f>
        <v>-30.946000000000083</v>
      </c>
      <c r="BJ100" s="745"/>
      <c r="BK100" s="757">
        <v>0</v>
      </c>
      <c r="BL100" s="757">
        <v>0</v>
      </c>
      <c r="BM100" s="757">
        <v>0</v>
      </c>
      <c r="BN100" s="758">
        <f>BN101-BN96-BN97-BN99</f>
        <v>-15.663000000000004</v>
      </c>
      <c r="BO100" s="753">
        <f>SUM(BK100:BN100)</f>
        <v>-15.663000000000004</v>
      </c>
      <c r="BP100" s="745"/>
      <c r="BQ100" s="757">
        <v>0</v>
      </c>
      <c r="BR100" s="757">
        <v>0</v>
      </c>
      <c r="BS100" s="757">
        <v>0</v>
      </c>
      <c r="BT100" s="757">
        <v>0</v>
      </c>
      <c r="BU100" s="753">
        <f>SUM(BQ100:BT100)</f>
        <v>0</v>
      </c>
      <c r="BV100" s="97"/>
      <c r="BW100" s="757">
        <v>0</v>
      </c>
      <c r="BX100" s="757">
        <v>0</v>
      </c>
      <c r="BY100" s="757">
        <v>0</v>
      </c>
      <c r="BZ100" s="757">
        <v>0</v>
      </c>
      <c r="CA100" s="753">
        <f>SUM(BW100:BZ100)</f>
        <v>0</v>
      </c>
      <c r="CB100" s="97"/>
      <c r="CC100" s="757">
        <v>0</v>
      </c>
      <c r="CD100" s="757">
        <v>0</v>
      </c>
      <c r="CE100" s="757">
        <v>0</v>
      </c>
      <c r="CF100" s="757">
        <v>0</v>
      </c>
      <c r="CG100" s="753">
        <f>SUM(CC100:CF100)</f>
        <v>0</v>
      </c>
      <c r="CH100" s="97"/>
      <c r="CI100" s="757">
        <v>0</v>
      </c>
      <c r="CJ100" s="757">
        <v>0</v>
      </c>
      <c r="CK100" s="757">
        <v>0</v>
      </c>
      <c r="CL100" s="757">
        <v>0</v>
      </c>
      <c r="CM100" s="753">
        <f>SUM(CI100:CL100)</f>
        <v>0</v>
      </c>
      <c r="CN100" s="97"/>
      <c r="CO100" s="97"/>
      <c r="CP100"/>
      <c r="CQ100"/>
      <c r="CR100"/>
      <c r="CS100"/>
      <c r="CT100"/>
      <c r="CU100"/>
      <c r="CV100" s="97"/>
    </row>
    <row r="101" spans="1:100" s="24" customFormat="1" hidden="1" outlineLevel="1">
      <c r="A101" s="129" t="s">
        <v>153</v>
      </c>
      <c r="B101" s="129"/>
      <c r="C101" s="129"/>
      <c r="D101" s="129"/>
      <c r="E101" s="129"/>
      <c r="F101" s="745"/>
      <c r="G101" s="756">
        <v>347.36799999999999</v>
      </c>
      <c r="H101" s="745"/>
      <c r="I101" s="758">
        <f>I96+I97+I99+I100</f>
        <v>361.67</v>
      </c>
      <c r="J101" s="758">
        <f>J96+J97+J99+J100</f>
        <v>379.94200000000001</v>
      </c>
      <c r="K101" s="758">
        <f>K96+K97+K99+K100</f>
        <v>396.44600000000003</v>
      </c>
      <c r="L101" s="757">
        <v>372.06700000000001</v>
      </c>
      <c r="M101" s="753">
        <f>M96+M97+M99+M100</f>
        <v>372.06700000000001</v>
      </c>
      <c r="N101" s="745"/>
      <c r="O101" s="758">
        <f>O96+O97+O99+O100</f>
        <v>394.22300000000001</v>
      </c>
      <c r="P101" s="758">
        <f>P96+P97+P99+P100</f>
        <v>429.82100000000003</v>
      </c>
      <c r="Q101" s="758">
        <f>Q96+Q97+Q99+Q100</f>
        <v>452.46600000000001</v>
      </c>
      <c r="R101" s="757">
        <v>437.89100000000002</v>
      </c>
      <c r="S101" s="753">
        <f>S96+S97+S99+S100</f>
        <v>437.89100000000002</v>
      </c>
      <c r="T101" s="745"/>
      <c r="U101" s="758">
        <f>U96+U97+U99+U100</f>
        <v>448.05600000000004</v>
      </c>
      <c r="V101" s="758">
        <f>V96+V97+V99+V100</f>
        <v>459.12000000000006</v>
      </c>
      <c r="W101" s="758">
        <f>W96+W97+W99+W100</f>
        <v>485.16800000000006</v>
      </c>
      <c r="X101" s="757">
        <v>466.42500000000001</v>
      </c>
      <c r="Y101" s="753">
        <f>Y96+Y97+Y99+Y100</f>
        <v>466.42499999999995</v>
      </c>
      <c r="Z101" s="745"/>
      <c r="AA101" s="758">
        <f>AA96+AA97+AA99+AA100</f>
        <v>483.26399999999995</v>
      </c>
      <c r="AB101" s="758">
        <f>AB96+AB97+AB99+AB100</f>
        <v>501.69699999999995</v>
      </c>
      <c r="AC101" s="758">
        <f>AC96+AC97+AC99+AC100</f>
        <v>517.76900000000001</v>
      </c>
      <c r="AD101" s="757">
        <v>518.08100000000002</v>
      </c>
      <c r="AE101" s="753">
        <f>AE96+AE97+AE99+AE100</f>
        <v>518.08100000000002</v>
      </c>
      <c r="AF101" s="745"/>
      <c r="AG101" s="758">
        <f>AG96+AG97+AG99+AG100</f>
        <v>533.61500000000001</v>
      </c>
      <c r="AH101" s="758">
        <f>AH96+AH97+AH99+AH100</f>
        <v>565.00099999999998</v>
      </c>
      <c r="AI101" s="758">
        <f>AI96+AI97+AI99+AI100</f>
        <v>591.12900000000002</v>
      </c>
      <c r="AJ101" s="757">
        <v>587.32299999999998</v>
      </c>
      <c r="AK101" s="753">
        <f>AK96+AK97+AK99+AK100</f>
        <v>587.32299999999998</v>
      </c>
      <c r="AL101" s="745"/>
      <c r="AM101" s="758">
        <f>AM96+AM97+AM99+AM100</f>
        <v>617.96</v>
      </c>
      <c r="AN101" s="758">
        <f>AN96+AN97+AN99+AN100</f>
        <v>648.59900000000005</v>
      </c>
      <c r="AO101" s="758">
        <f>AO96+AO97+AO99+AO100</f>
        <v>680.13900000000001</v>
      </c>
      <c r="AP101" s="757">
        <v>659.34900000000005</v>
      </c>
      <c r="AQ101" s="753">
        <f>AQ96+AQ97+AQ99+AQ100</f>
        <v>659.34900000000005</v>
      </c>
      <c r="AR101" s="745"/>
      <c r="AS101" s="758">
        <f>AS96+AS97+AS99+AS100</f>
        <v>680.74400000000003</v>
      </c>
      <c r="AT101" s="758">
        <f>AT96+AT97+AT99+AT100</f>
        <v>703.5</v>
      </c>
      <c r="AU101" s="758">
        <f>AU96+AU97+AU99+AU100</f>
        <v>729.78599999999994</v>
      </c>
      <c r="AV101" s="757">
        <v>684.61300000000006</v>
      </c>
      <c r="AW101" s="753">
        <f>AW96+AW97+AW99+AW100</f>
        <v>684.61300000000006</v>
      </c>
      <c r="AX101" s="745"/>
      <c r="AY101" s="758">
        <f>AY96+AY97+AY99+AY100</f>
        <v>706.02300000000002</v>
      </c>
      <c r="AZ101" s="758">
        <f>AZ96+AZ97+AZ99+AZ100</f>
        <v>729.90600000000006</v>
      </c>
      <c r="BA101" s="758">
        <f>BA96+BA97+BA99+BA100</f>
        <v>756.86300000000006</v>
      </c>
      <c r="BB101" s="757">
        <v>704.52800000000002</v>
      </c>
      <c r="BC101" s="753">
        <f>BC96+BC97+BC99+BC100</f>
        <v>704.52800000000002</v>
      </c>
      <c r="BD101" s="745"/>
      <c r="BE101" s="758">
        <f>BE96+BE97+BE99+BE100</f>
        <v>729.18000000000006</v>
      </c>
      <c r="BF101" s="758">
        <f>BF96+BF97+BF99+BF100</f>
        <v>754.22400000000005</v>
      </c>
      <c r="BG101" s="758">
        <f>BG96+BG97+BG99+BG100</f>
        <v>776.82400000000007</v>
      </c>
      <c r="BH101" s="757">
        <v>768.54899999999998</v>
      </c>
      <c r="BI101" s="753">
        <f>BI96+BI97+BI99+BI100</f>
        <v>768.54899999999998</v>
      </c>
      <c r="BJ101" s="745"/>
      <c r="BK101" s="758">
        <f>BK96+BK97+BK99+BK100</f>
        <v>786.26</v>
      </c>
      <c r="BL101" s="758">
        <f>BL96+BL97+BL99+BL100</f>
        <v>803.90700000000004</v>
      </c>
      <c r="BM101" s="758">
        <f>BM96+BM97+BM99+BM100</f>
        <v>823.80600000000004</v>
      </c>
      <c r="BN101" s="757">
        <v>838.35900000000004</v>
      </c>
      <c r="BO101" s="753">
        <f>BO96+BO97+BO99+BO100</f>
        <v>838.35899999999992</v>
      </c>
      <c r="BP101" s="745"/>
      <c r="BQ101" s="758">
        <f>BQ96+BQ97+BQ99+BQ100</f>
        <v>863.08771126703357</v>
      </c>
      <c r="BR101" s="758">
        <f>BR96+BR97+BR99+BR100</f>
        <v>890.84449301039456</v>
      </c>
      <c r="BS101" s="758">
        <f>BS96+BS97+BS99+BS100</f>
        <v>918.33588188767305</v>
      </c>
      <c r="BT101" s="758">
        <f>BT96+BT97+BT99+BT100</f>
        <v>951.79081696479147</v>
      </c>
      <c r="BU101" s="753">
        <f>BU96+BU97+BU99+BU100</f>
        <v>951.79081696479147</v>
      </c>
      <c r="BV101" s="97"/>
      <c r="BW101" s="758">
        <f>BW96+BW97+BW99+BW100</f>
        <v>989.84374219517372</v>
      </c>
      <c r="BX101" s="758">
        <f>BX96+BX97+BX99+BX100</f>
        <v>1032.2779716998264</v>
      </c>
      <c r="BY101" s="758">
        <f>BY96+BY97+BY99+BY100</f>
        <v>1074.1996796306532</v>
      </c>
      <c r="BZ101" s="758">
        <f>BZ96+BZ97+BZ99+BZ100</f>
        <v>1124.8922311458973</v>
      </c>
      <c r="CA101" s="753">
        <f>CA96+CA97+CA99+CA100</f>
        <v>1124.8922311458973</v>
      </c>
      <c r="CB101" s="97"/>
      <c r="CC101" s="758">
        <f>CC96+CC97+CC99+CC100</f>
        <v>1164.2221602717711</v>
      </c>
      <c r="CD101" s="758">
        <f>CD96+CD97+CD99+CD100</f>
        <v>1207.7903687001572</v>
      </c>
      <c r="CE101" s="758">
        <f>CE96+CE97+CE99+CE100</f>
        <v>1250.7749999537227</v>
      </c>
      <c r="CF101" s="758">
        <f>CF96+CF97+CF99+CF100</f>
        <v>1302.4165792400518</v>
      </c>
      <c r="CG101" s="753">
        <f>CG96+CG97+CG99+CG100</f>
        <v>1302.4165792400515</v>
      </c>
      <c r="CH101" s="97"/>
      <c r="CI101" s="758">
        <f>CI96+CI97+CI99+CI100</f>
        <v>1331.0502180466597</v>
      </c>
      <c r="CJ101" s="758">
        <f>CJ96+CJ97+CJ99+CJ100</f>
        <v>1362.5614549193167</v>
      </c>
      <c r="CK101" s="758">
        <f>CK96+CK97+CK99+CK100</f>
        <v>1393.6082187869258</v>
      </c>
      <c r="CL101" s="758">
        <f>CL96+CL97+CL99+CL100</f>
        <v>1430.6731335032305</v>
      </c>
      <c r="CM101" s="753">
        <f>CM96+CM97+CM99+CM100</f>
        <v>1430.6731335032305</v>
      </c>
      <c r="CN101" s="97"/>
      <c r="CO101" s="97"/>
      <c r="CP101"/>
      <c r="CQ101"/>
      <c r="CR101"/>
      <c r="CS101"/>
      <c r="CT101"/>
      <c r="CU101"/>
      <c r="CV101" s="97"/>
    </row>
    <row r="102" spans="1:100" s="24" customFormat="1" hidden="1" outlineLevel="1">
      <c r="A102" s="73"/>
      <c r="B102" s="73"/>
      <c r="C102" s="73"/>
      <c r="D102" s="73"/>
      <c r="E102" s="73"/>
      <c r="F102" s="745"/>
      <c r="G102" s="752"/>
      <c r="H102" s="745"/>
      <c r="I102" s="745"/>
      <c r="J102" s="745"/>
      <c r="K102" s="745"/>
      <c r="L102" s="745"/>
      <c r="M102" s="752"/>
      <c r="N102" s="745"/>
      <c r="O102" s="745"/>
      <c r="P102" s="745"/>
      <c r="Q102" s="745"/>
      <c r="R102" s="745"/>
      <c r="S102" s="752"/>
      <c r="T102" s="745"/>
      <c r="U102" s="745"/>
      <c r="V102" s="745"/>
      <c r="W102" s="745"/>
      <c r="X102" s="745"/>
      <c r="Y102" s="752"/>
      <c r="Z102" s="745"/>
      <c r="AA102" s="745"/>
      <c r="AB102" s="745"/>
      <c r="AC102" s="745"/>
      <c r="AD102" s="745"/>
      <c r="AE102" s="752"/>
      <c r="AF102" s="745"/>
      <c r="AG102" s="745"/>
      <c r="AH102" s="745"/>
      <c r="AI102" s="745"/>
      <c r="AJ102" s="745"/>
      <c r="AK102" s="752"/>
      <c r="AL102" s="745"/>
      <c r="AM102" s="745"/>
      <c r="AN102" s="745"/>
      <c r="AO102" s="745"/>
      <c r="AP102" s="745"/>
      <c r="AQ102" s="752"/>
      <c r="AR102" s="745"/>
      <c r="AS102" s="745"/>
      <c r="AT102" s="745"/>
      <c r="AU102" s="745"/>
      <c r="AV102" s="745"/>
      <c r="AW102" s="752"/>
      <c r="AX102" s="745"/>
      <c r="AY102" s="745"/>
      <c r="AZ102" s="745"/>
      <c r="BA102" s="745"/>
      <c r="BB102" s="745"/>
      <c r="BC102" s="752"/>
      <c r="BD102" s="745"/>
      <c r="BE102" s="745"/>
      <c r="BF102" s="745"/>
      <c r="BG102" s="745"/>
      <c r="BH102" s="745"/>
      <c r="BI102" s="752"/>
      <c r="BJ102" s="745"/>
      <c r="BK102" s="745"/>
      <c r="BL102" s="745"/>
      <c r="BM102" s="745"/>
      <c r="BN102" s="745"/>
      <c r="BO102" s="752"/>
      <c r="BP102" s="745"/>
      <c r="BQ102" s="745"/>
      <c r="BR102" s="745"/>
      <c r="BS102" s="745"/>
      <c r="BT102" s="745"/>
      <c r="BU102" s="752"/>
      <c r="BV102" s="97"/>
      <c r="BW102" s="745"/>
      <c r="BX102" s="745"/>
      <c r="BY102" s="745"/>
      <c r="BZ102" s="745"/>
      <c r="CA102" s="752"/>
      <c r="CB102" s="97"/>
      <c r="CC102" s="745"/>
      <c r="CD102" s="745"/>
      <c r="CE102" s="745"/>
      <c r="CF102" s="745"/>
      <c r="CG102" s="752"/>
      <c r="CH102" s="97"/>
      <c r="CI102" s="745"/>
      <c r="CJ102" s="745"/>
      <c r="CK102" s="745"/>
      <c r="CL102" s="745"/>
      <c r="CM102" s="752"/>
      <c r="CN102" s="97"/>
      <c r="CO102" s="97"/>
      <c r="CP102"/>
      <c r="CQ102"/>
      <c r="CR102"/>
      <c r="CS102"/>
      <c r="CT102"/>
      <c r="CU102"/>
      <c r="CV102" s="97"/>
    </row>
    <row r="103" spans="1:100" s="24" customFormat="1" hidden="1" outlineLevel="1">
      <c r="A103" s="129" t="s">
        <v>154</v>
      </c>
      <c r="B103" s="129"/>
      <c r="C103" s="129"/>
      <c r="D103" s="129"/>
      <c r="E103" s="129"/>
      <c r="F103" s="745"/>
      <c r="G103" s="756">
        <v>-160.816</v>
      </c>
      <c r="H103" s="745"/>
      <c r="I103" s="758">
        <f>G107</f>
        <v>-186.512</v>
      </c>
      <c r="J103" s="758">
        <f>I107</f>
        <v>-197.798</v>
      </c>
      <c r="K103" s="758">
        <f>J107</f>
        <v>-214.01300000000001</v>
      </c>
      <c r="L103" s="758">
        <f>K107</f>
        <v>-229.87700000000004</v>
      </c>
      <c r="M103" s="753">
        <f>G107</f>
        <v>-186.512</v>
      </c>
      <c r="N103" s="745"/>
      <c r="O103" s="758">
        <f>M107</f>
        <v>-200.47900000000001</v>
      </c>
      <c r="P103" s="758">
        <f>O107</f>
        <v>-210.4</v>
      </c>
      <c r="Q103" s="758">
        <f>P107</f>
        <v>-226.52800000000002</v>
      </c>
      <c r="R103" s="758">
        <f>Q107</f>
        <v>-243.29400000000001</v>
      </c>
      <c r="S103" s="753">
        <f>M107</f>
        <v>-200.47900000000001</v>
      </c>
      <c r="T103" s="745"/>
      <c r="U103" s="758">
        <f>S107</f>
        <v>-226.965</v>
      </c>
      <c r="V103" s="758">
        <f>U107</f>
        <v>-239.09900000000005</v>
      </c>
      <c r="W103" s="758">
        <f>V107</f>
        <v>-248.47100000000006</v>
      </c>
      <c r="X103" s="758">
        <f>W107</f>
        <v>-270.3950000000001</v>
      </c>
      <c r="Y103" s="753">
        <f>S107</f>
        <v>-226.965</v>
      </c>
      <c r="Z103" s="745"/>
      <c r="AA103" s="758">
        <f>Y107</f>
        <v>-251.36500000000004</v>
      </c>
      <c r="AB103" s="758">
        <f>AA107</f>
        <v>-266.27499999999998</v>
      </c>
      <c r="AC103" s="758">
        <f>AB107</f>
        <v>-283.05999999999995</v>
      </c>
      <c r="AD103" s="758">
        <f>AC107</f>
        <v>-296.71000000000004</v>
      </c>
      <c r="AE103" s="753">
        <f>Y107</f>
        <v>-251.36500000000004</v>
      </c>
      <c r="AF103" s="745"/>
      <c r="AG103" s="758">
        <f>AE107</f>
        <v>-280.98599999999999</v>
      </c>
      <c r="AH103" s="758">
        <f>AG107</f>
        <v>-294.65999999999997</v>
      </c>
      <c r="AI103" s="758">
        <f>AH107</f>
        <v>-313.64400000000001</v>
      </c>
      <c r="AJ103" s="758">
        <f>AI107</f>
        <v>-330.01400000000001</v>
      </c>
      <c r="AK103" s="753">
        <f>AE107</f>
        <v>-280.98599999999999</v>
      </c>
      <c r="AL103" s="745"/>
      <c r="AM103" s="758">
        <f>AK107</f>
        <v>-314.04399999999998</v>
      </c>
      <c r="AN103" s="758">
        <f>AM107</f>
        <v>-335.24400000000003</v>
      </c>
      <c r="AO103" s="758">
        <f>AN107</f>
        <v>-352.85800000000006</v>
      </c>
      <c r="AP103" s="758">
        <f>AO107</f>
        <v>-366.47200000000004</v>
      </c>
      <c r="AQ103" s="753">
        <f>AK107</f>
        <v>-314.04399999999998</v>
      </c>
      <c r="AR103" s="745"/>
      <c r="AS103" s="758">
        <f>AQ107</f>
        <v>-334.41700000000003</v>
      </c>
      <c r="AT103" s="758">
        <f>AS107</f>
        <v>-350.86400000000003</v>
      </c>
      <c r="AU103" s="758">
        <f>AT107</f>
        <v>-374.90199999999999</v>
      </c>
      <c r="AV103" s="758">
        <f>AU107</f>
        <v>-406.86199999999997</v>
      </c>
      <c r="AW103" s="753">
        <f>AQ107</f>
        <v>-334.41700000000003</v>
      </c>
      <c r="AX103" s="745"/>
      <c r="AY103" s="758">
        <f>AW107</f>
        <v>-363.03000000000009</v>
      </c>
      <c r="AZ103" s="758">
        <f>AY107</f>
        <v>-389.209</v>
      </c>
      <c r="BA103" s="758">
        <f>AZ107</f>
        <v>-405.01000000000005</v>
      </c>
      <c r="BB103" s="758">
        <f>BA107</f>
        <v>-431.30900000000008</v>
      </c>
      <c r="BC103" s="753">
        <f>AW107</f>
        <v>-363.03000000000009</v>
      </c>
      <c r="BD103" s="745"/>
      <c r="BE103" s="758">
        <f>BC107</f>
        <v>-371.173</v>
      </c>
      <c r="BF103" s="758">
        <f>BE107</f>
        <v>-392.38200000000006</v>
      </c>
      <c r="BG103" s="758">
        <f>BF107</f>
        <v>-423.98900000000003</v>
      </c>
      <c r="BH103" s="758">
        <f>BG107</f>
        <v>-447.10300000000007</v>
      </c>
      <c r="BI103" s="753">
        <f>BC107</f>
        <v>-371.173</v>
      </c>
      <c r="BJ103" s="745"/>
      <c r="BK103" s="758">
        <f>BI107</f>
        <v>-431.43099999999993</v>
      </c>
      <c r="BL103" s="758">
        <f>BK107</f>
        <v>-451.87799999999999</v>
      </c>
      <c r="BM103" s="758">
        <f>BL107</f>
        <v>-465.04700000000003</v>
      </c>
      <c r="BN103" s="758">
        <f>BM107</f>
        <v>-480.97400000000005</v>
      </c>
      <c r="BO103" s="753">
        <f>BI107</f>
        <v>-431.43099999999993</v>
      </c>
      <c r="BP103" s="745"/>
      <c r="BQ103" s="758">
        <f>BO107</f>
        <v>-489.08100000000002</v>
      </c>
      <c r="BR103" s="758">
        <f>BQ107</f>
        <v>-502.02731566900553</v>
      </c>
      <c r="BS103" s="758">
        <f>BR107</f>
        <v>-515.38998306416147</v>
      </c>
      <c r="BT103" s="758">
        <f>BS107</f>
        <v>-529.16502129247658</v>
      </c>
      <c r="BU103" s="753">
        <f>BO107</f>
        <v>-489.08100000000002</v>
      </c>
      <c r="BV103" s="97"/>
      <c r="BW103" s="758">
        <f>BU107</f>
        <v>-543.44188354694836</v>
      </c>
      <c r="BX103" s="758">
        <f>BW107</f>
        <v>-557.05223500213197</v>
      </c>
      <c r="BY103" s="758">
        <f>BX107</f>
        <v>-571.24605711300455</v>
      </c>
      <c r="BZ103" s="758">
        <f>BY107</f>
        <v>-586.016302707926</v>
      </c>
      <c r="CA103" s="753">
        <f>BU107</f>
        <v>-543.44188354694836</v>
      </c>
      <c r="CB103" s="97"/>
      <c r="CC103" s="758">
        <f>CA107</f>
        <v>-601.48357088618218</v>
      </c>
      <c r="CD103" s="758">
        <f>CC107</f>
        <v>-616.03634788957936</v>
      </c>
      <c r="CE103" s="758">
        <f>CD107</f>
        <v>-631.13372749833138</v>
      </c>
      <c r="CF103" s="758">
        <f>CE107</f>
        <v>-646.76841499775287</v>
      </c>
      <c r="CG103" s="753">
        <f>CA107</f>
        <v>-601.48357088618218</v>
      </c>
      <c r="CH103" s="97"/>
      <c r="CI103" s="758">
        <f>CG107</f>
        <v>-663.04862223825342</v>
      </c>
      <c r="CJ103" s="758">
        <f>CI107</f>
        <v>-678.02293719127829</v>
      </c>
      <c r="CK103" s="758">
        <f>CJ107</f>
        <v>-693.35175355912065</v>
      </c>
      <c r="CL103" s="758">
        <f>CK107</f>
        <v>-709.02984602047354</v>
      </c>
      <c r="CM103" s="753">
        <f>CG107</f>
        <v>-663.04862223825342</v>
      </c>
      <c r="CN103" s="97"/>
      <c r="CO103" s="97"/>
      <c r="CP103"/>
      <c r="CQ103"/>
      <c r="CR103"/>
      <c r="CS103"/>
      <c r="CT103"/>
      <c r="CU103"/>
      <c r="CV103" s="97"/>
    </row>
    <row r="104" spans="1:100" s="24" customFormat="1" hidden="1" outlineLevel="1">
      <c r="A104" s="751" t="s">
        <v>376</v>
      </c>
      <c r="B104" s="751"/>
      <c r="C104" s="751"/>
      <c r="D104" s="751"/>
      <c r="E104" s="751"/>
      <c r="F104" s="745"/>
      <c r="G104" s="752">
        <f>-CFS!G13</f>
        <v>-27.466999999999999</v>
      </c>
      <c r="H104" s="745"/>
      <c r="I104" s="745">
        <f>-CFS!I13</f>
        <v>-7.1139999999999999</v>
      </c>
      <c r="J104" s="745">
        <f>-CFS!J13</f>
        <v>-8.4969999999999999</v>
      </c>
      <c r="K104" s="745">
        <f>-CFS!K13</f>
        <v>-6.4409999999999989</v>
      </c>
      <c r="L104" s="745">
        <f>-CFS!L13</f>
        <v>-7.0190000000000019</v>
      </c>
      <c r="M104" s="752">
        <f>SUM(I104:L104)</f>
        <v>-29.071000000000002</v>
      </c>
      <c r="N104" s="745"/>
      <c r="O104" s="745">
        <f>-CFS!O13</f>
        <v>-8.3629999999999995</v>
      </c>
      <c r="P104" s="745">
        <f>-CFS!P13</f>
        <v>-7.9329999999999998</v>
      </c>
      <c r="Q104" s="745">
        <f>-CFS!Q13</f>
        <v>-7.4860000000000007</v>
      </c>
      <c r="R104" s="745">
        <f>-CFS!R13</f>
        <v>-8.0229999999999997</v>
      </c>
      <c r="S104" s="752">
        <f>SUM(O104:R104)</f>
        <v>-31.805</v>
      </c>
      <c r="T104" s="745"/>
      <c r="U104" s="745">
        <f>-CFS!U13</f>
        <v>-8.4410000000000007</v>
      </c>
      <c r="V104" s="745">
        <f>-CFS!V13</f>
        <v>-8.6769999999999978</v>
      </c>
      <c r="W104" s="745">
        <f>-CFS!W13</f>
        <v>-8.7789999999999981</v>
      </c>
      <c r="X104" s="745">
        <f>-CFS!X13</f>
        <v>-8.5239999999999991</v>
      </c>
      <c r="Y104" s="752">
        <f>SUM(U104:X104)</f>
        <v>-34.420999999999999</v>
      </c>
      <c r="Z104" s="745"/>
      <c r="AA104" s="745">
        <f>-CFS!AA13</f>
        <v>-8.64</v>
      </c>
      <c r="AB104" s="745">
        <f>-CFS!AB13</f>
        <v>-9.2989999999999995</v>
      </c>
      <c r="AC104" s="745">
        <f>-CFS!AC13</f>
        <v>-9.3279999999999994</v>
      </c>
      <c r="AD104" s="745">
        <f>-CFS!AD13</f>
        <v>-9.2639999999999993</v>
      </c>
      <c r="AE104" s="752">
        <f>SUM(AA104:AD104)</f>
        <v>-36.530999999999999</v>
      </c>
      <c r="AF104" s="745"/>
      <c r="AG104" s="745">
        <f>-CFS!AG13</f>
        <v>-7.7629999999999999</v>
      </c>
      <c r="AH104" s="745">
        <f>-CFS!AH13</f>
        <v>-9.4049999999999994</v>
      </c>
      <c r="AI104" s="745">
        <f>-CFS!AI13</f>
        <v>-9.9329999999999998</v>
      </c>
      <c r="AJ104" s="745">
        <f>-CFS!AJ13</f>
        <v>-10.320999999999998</v>
      </c>
      <c r="AK104" s="752">
        <f>SUM(AG104:AJ104)</f>
        <v>-37.421999999999997</v>
      </c>
      <c r="AL104" s="745"/>
      <c r="AM104" s="745">
        <f>-CFS!AM13</f>
        <v>-8.4870000000000001</v>
      </c>
      <c r="AN104" s="745">
        <f>-CFS!AN13</f>
        <v>-9.604000000000001</v>
      </c>
      <c r="AO104" s="745">
        <f>-CFS!AO13</f>
        <v>-9.7159999999999958</v>
      </c>
      <c r="AP104" s="745">
        <f>-CFS!AP13</f>
        <v>-10.358000000000004</v>
      </c>
      <c r="AQ104" s="752">
        <f>SUM(AM104:AP104)</f>
        <v>-38.164999999999999</v>
      </c>
      <c r="AR104" s="745"/>
      <c r="AS104" s="745">
        <f>-CFS!AS13</f>
        <v>-8.8190000000000008</v>
      </c>
      <c r="AT104" s="745">
        <f>-CFS!AT13</f>
        <v>-12.598000000000001</v>
      </c>
      <c r="AU104" s="745">
        <f>-CFS!AU13</f>
        <v>-17.336999999999996</v>
      </c>
      <c r="AV104" s="745">
        <f>-CFS!AV13</f>
        <v>-7.6390000000000029</v>
      </c>
      <c r="AW104" s="752">
        <f>SUM(AS104:AV104)</f>
        <v>-46.393000000000001</v>
      </c>
      <c r="AX104" s="745"/>
      <c r="AY104" s="745">
        <f>-CFS!AY13</f>
        <v>-11.445</v>
      </c>
      <c r="AZ104" s="745">
        <f>-CFS!AZ13</f>
        <v>-11.320999999999998</v>
      </c>
      <c r="BA104" s="745">
        <f>-CFS!BA13</f>
        <v>-10.436</v>
      </c>
      <c r="BB104" s="745">
        <f>-CFS!BB13</f>
        <v>-12.085000000000001</v>
      </c>
      <c r="BC104" s="752">
        <f>SUM(AY104:BB104)</f>
        <v>-45.286999999999999</v>
      </c>
      <c r="BD104" s="745"/>
      <c r="BE104" s="745">
        <f>-CFS!BE13</f>
        <v>-12.356</v>
      </c>
      <c r="BF104" s="745">
        <f>-CFS!BF13</f>
        <v>-13.699</v>
      </c>
      <c r="BG104" s="745">
        <f>-CFS!BG13</f>
        <v>-12.798999999999999</v>
      </c>
      <c r="BH104" s="745">
        <f>-CFS!BH13</f>
        <v>-12.829999999999998</v>
      </c>
      <c r="BI104" s="752">
        <f>SUM(BE104:BH104)</f>
        <v>-51.683999999999997</v>
      </c>
      <c r="BJ104" s="745"/>
      <c r="BK104" s="745">
        <f>-CFS!BK13</f>
        <v>-12.782999999999999</v>
      </c>
      <c r="BL104" s="745">
        <f>-CFS!BL13</f>
        <v>-18.012999999999998</v>
      </c>
      <c r="BM104" s="745">
        <f>-CFS!BM13</f>
        <v>-14.658000000000001</v>
      </c>
      <c r="BN104" s="745">
        <f>-CFS!BN13</f>
        <v>-15.996000000000002</v>
      </c>
      <c r="BO104" s="752">
        <f>SUM(BK104:BN104)</f>
        <v>-61.45</v>
      </c>
      <c r="BP104" s="745"/>
      <c r="BQ104" s="745">
        <f>-BQ101*BQ105/4</f>
        <v>-12.946315669005504</v>
      </c>
      <c r="BR104" s="745">
        <f>-BR101*BR105/4</f>
        <v>-13.362667395155919</v>
      </c>
      <c r="BS104" s="745">
        <f>-BS101*BS105/4</f>
        <v>-13.775038228315095</v>
      </c>
      <c r="BT104" s="745">
        <f>-BT101*BT105/4</f>
        <v>-14.276862254471872</v>
      </c>
      <c r="BU104" s="752">
        <f>SUM(BQ104:BT104)</f>
        <v>-54.360883546948394</v>
      </c>
      <c r="BV104" s="97"/>
      <c r="BW104" s="745">
        <f>-BW101*BW105/4</f>
        <v>-13.610351455183638</v>
      </c>
      <c r="BX104" s="745">
        <f>-BX101*BX105/4</f>
        <v>-14.193822110872613</v>
      </c>
      <c r="BY104" s="745">
        <f>-BY101*BY105/4</f>
        <v>-14.770245594921482</v>
      </c>
      <c r="BZ104" s="745">
        <f>-BZ101*BZ105/4</f>
        <v>-15.467268178256088</v>
      </c>
      <c r="CA104" s="752">
        <f>SUM(BW104:BZ104)</f>
        <v>-58.041687339233818</v>
      </c>
      <c r="CB104" s="97"/>
      <c r="CC104" s="745">
        <f>-CC101*CC105/4</f>
        <v>-14.552777003397139</v>
      </c>
      <c r="CD104" s="745">
        <f>-CD101*CD105/4</f>
        <v>-15.097379608751964</v>
      </c>
      <c r="CE104" s="745">
        <f>-CE101*CE105/4</f>
        <v>-15.634687499421535</v>
      </c>
      <c r="CF104" s="745">
        <f>-CF101*CF105/4</f>
        <v>-16.280207240500648</v>
      </c>
      <c r="CG104" s="752">
        <f>SUM(CC104:CF104)</f>
        <v>-61.565051352071279</v>
      </c>
      <c r="CH104" s="97"/>
      <c r="CI104" s="745">
        <f>-CI101*CI105/4</f>
        <v>-14.974314953024921</v>
      </c>
      <c r="CJ104" s="745">
        <f>-CJ101*CJ105/4</f>
        <v>-15.328816367842313</v>
      </c>
      <c r="CK104" s="745">
        <f>-CK101*CK105/4</f>
        <v>-15.678092461352914</v>
      </c>
      <c r="CL104" s="745">
        <f>-CL101*CL105/4</f>
        <v>-16.095072751911342</v>
      </c>
      <c r="CM104" s="752">
        <f>SUM(CI104:CL104)</f>
        <v>-62.076296534131487</v>
      </c>
      <c r="CN104" s="97"/>
      <c r="CO104" s="97"/>
      <c r="CP104"/>
      <c r="CQ104"/>
      <c r="CR104"/>
      <c r="CS104"/>
      <c r="CT104"/>
      <c r="CU104"/>
      <c r="CV104" s="97"/>
    </row>
    <row r="105" spans="1:100" s="24" customFormat="1" hidden="1" outlineLevel="1">
      <c r="A105" s="759" t="s">
        <v>155</v>
      </c>
      <c r="B105" s="759"/>
      <c r="C105" s="759"/>
      <c r="D105" s="759"/>
      <c r="E105" s="759"/>
      <c r="F105" s="628"/>
      <c r="G105" s="755">
        <f>-G104/G96</f>
        <v>8.8580937699546572E-2</v>
      </c>
      <c r="H105" s="628"/>
      <c r="I105" s="628">
        <f>-I104*4/I96</f>
        <v>8.1918887174408692E-2</v>
      </c>
      <c r="J105" s="628">
        <f>-J104*4/J96</f>
        <v>9.397517073575358E-2</v>
      </c>
      <c r="K105" s="628">
        <f>-K104*4/K96</f>
        <v>6.7810350000789582E-2</v>
      </c>
      <c r="L105" s="628">
        <f>-L104*4/L96</f>
        <v>7.0819228848317317E-2</v>
      </c>
      <c r="M105" s="755">
        <f>-M104/M96</f>
        <v>8.368934386587136E-2</v>
      </c>
      <c r="N105" s="628"/>
      <c r="O105" s="628">
        <f>-O104*4/O96</f>
        <v>8.990853797837485E-2</v>
      </c>
      <c r="P105" s="628">
        <f>-P104*4/P96</f>
        <v>8.0492513120746373E-2</v>
      </c>
      <c r="Q105" s="628">
        <f>-Q104*4/Q96</f>
        <v>6.9666209887371724E-2</v>
      </c>
      <c r="R105" s="628">
        <f>-R104*4/R96</f>
        <v>7.0926876273576356E-2</v>
      </c>
      <c r="S105" s="755">
        <f>-S104/S96</f>
        <v>8.5481915891492663E-2</v>
      </c>
      <c r="T105" s="628"/>
      <c r="U105" s="628">
        <f>-U104*4/U96</f>
        <v>7.7105946456995006E-2</v>
      </c>
      <c r="V105" s="628">
        <f>-V104*4/V96</f>
        <v>7.7463531344296219E-2</v>
      </c>
      <c r="W105" s="628">
        <f>-W104*4/W96</f>
        <v>7.648545042690362E-2</v>
      </c>
      <c r="X105" s="628">
        <f>-X104*4/X96</f>
        <v>7.0276687662830184E-2</v>
      </c>
      <c r="Y105" s="755">
        <f>-Y104/Y96</f>
        <v>7.8606319837585148E-2</v>
      </c>
      <c r="Z105" s="628"/>
      <c r="AA105" s="628">
        <f>-AA104*4/AA96</f>
        <v>7.4095513748191039E-2</v>
      </c>
      <c r="AB105" s="628">
        <f>-AB104*4/AB96</f>
        <v>7.6968282346709049E-2</v>
      </c>
      <c r="AC105" s="628">
        <f>-AC104*4/AC96</f>
        <v>7.4371582847814519E-2</v>
      </c>
      <c r="AD105" s="628">
        <f>-AD104*4/AD96</f>
        <v>7.1568595261593482E-2</v>
      </c>
      <c r="AE105" s="755">
        <f>-AE104/AE96</f>
        <v>7.8321273516642559E-2</v>
      </c>
      <c r="AF105" s="628"/>
      <c r="AG105" s="628">
        <f>-AG104*4/AG96</f>
        <v>5.9936573624587659E-2</v>
      </c>
      <c r="AH105" s="628">
        <f>-AH104*4/AH96</f>
        <v>7.0500267046466072E-2</v>
      </c>
      <c r="AI105" s="628">
        <f>-AI104*4/AI96</f>
        <v>7.0321999430089502E-2</v>
      </c>
      <c r="AJ105" s="628">
        <f>-AJ104*4/AJ96</f>
        <v>6.9839239827516483E-2</v>
      </c>
      <c r="AK105" s="755">
        <f>-AK104/AK96</f>
        <v>7.2231948286078804E-2</v>
      </c>
      <c r="AL105" s="628"/>
      <c r="AM105" s="628">
        <f>-AM104*4/AM96</f>
        <v>5.7801243949240882E-2</v>
      </c>
      <c r="AN105" s="628">
        <f>-AN104*4/AN96</f>
        <v>6.2165835976438606E-2</v>
      </c>
      <c r="AO105" s="628">
        <f>-AO104*4/AO96</f>
        <v>5.991991970385397E-2</v>
      </c>
      <c r="AP105" s="628">
        <f>-AP104*4/AP96</f>
        <v>6.0916959621489158E-2</v>
      </c>
      <c r="AQ105" s="755">
        <f>-AQ104/AQ96</f>
        <v>6.4981279466324329E-2</v>
      </c>
      <c r="AR105" s="628"/>
      <c r="AS105" s="628">
        <f>-AS104*4/AS96</f>
        <v>5.3501256542438071E-2</v>
      </c>
      <c r="AT105" s="628">
        <f>-AT104*4/AT96</f>
        <v>7.4024890414017608E-2</v>
      </c>
      <c r="AU105" s="628">
        <f>-AU104*4/AU96</f>
        <v>9.857569296375264E-2</v>
      </c>
      <c r="AV105" s="628">
        <f>-AV104*4/AV96</f>
        <v>4.1869808409588587E-2</v>
      </c>
      <c r="AW105" s="755">
        <f>-AW104/AW96</f>
        <v>7.0361826589560306E-2</v>
      </c>
      <c r="AX105" s="628"/>
      <c r="AY105" s="628">
        <f>-AY104*4/AY96</f>
        <v>6.6869895838963037E-2</v>
      </c>
      <c r="AZ105" s="628">
        <f>-AZ104*4/AZ96</f>
        <v>6.4139553527293003E-2</v>
      </c>
      <c r="BA105" s="628">
        <f>-BA104*4/BA96</f>
        <v>5.7190925954848974E-2</v>
      </c>
      <c r="BB105" s="628">
        <f>-BB104*4/BB96</f>
        <v>6.3868890406850384E-2</v>
      </c>
      <c r="BC105" s="755">
        <f>-BC104/BC96</f>
        <v>6.6149780971147196E-2</v>
      </c>
      <c r="BD105" s="628"/>
      <c r="BE105" s="628">
        <f>-BE104*4/BE96</f>
        <v>7.0151931505916018E-2</v>
      </c>
      <c r="BF105" s="628">
        <f>-BF104*4/BF96</f>
        <v>7.5147425875641119E-2</v>
      </c>
      <c r="BG105" s="628">
        <f>-BG104*4/BG96</f>
        <v>6.7879038588005675E-2</v>
      </c>
      <c r="BH105" s="628">
        <f>-BH104*4/BH96</f>
        <v>6.6063870323264967E-2</v>
      </c>
      <c r="BI105" s="755">
        <f>-BI104/BI96</f>
        <v>7.3359752912588283E-2</v>
      </c>
      <c r="BJ105" s="628"/>
      <c r="BK105" s="628">
        <f>-BK104*4/BK96</f>
        <v>6.653056604068186E-2</v>
      </c>
      <c r="BL105" s="628">
        <f>-BL104*4/BL96</f>
        <v>9.1638898074428293E-2</v>
      </c>
      <c r="BM105" s="628">
        <f>-BM104*4/BM96</f>
        <v>7.2933809507816208E-2</v>
      </c>
      <c r="BN105" s="628">
        <f>-BN104*4/BN96</f>
        <v>7.7668771531161473E-2</v>
      </c>
      <c r="BO105" s="755">
        <f>-BO104/BO96</f>
        <v>7.9955864883045846E-2</v>
      </c>
      <c r="BP105" s="628"/>
      <c r="BQ105" s="494">
        <v>0.06</v>
      </c>
      <c r="BR105" s="494">
        <f>+BQ105</f>
        <v>0.06</v>
      </c>
      <c r="BS105" s="494">
        <f>+BR105</f>
        <v>0.06</v>
      </c>
      <c r="BT105" s="494">
        <f>+BS105</f>
        <v>0.06</v>
      </c>
      <c r="BU105" s="755">
        <f>-BU104/BU96</f>
        <v>6.4842011056061188E-2</v>
      </c>
      <c r="BV105" s="628"/>
      <c r="BW105" s="494">
        <v>5.5E-2</v>
      </c>
      <c r="BX105" s="494">
        <f>+BW105</f>
        <v>5.5E-2</v>
      </c>
      <c r="BY105" s="494">
        <f>+BX105</f>
        <v>5.5E-2</v>
      </c>
      <c r="BZ105" s="494">
        <f>+BY105</f>
        <v>5.5E-2</v>
      </c>
      <c r="CA105" s="755">
        <f>-CA104/CA96</f>
        <v>6.0981558452439751E-2</v>
      </c>
      <c r="CB105" s="628"/>
      <c r="CC105" s="494">
        <v>0.05</v>
      </c>
      <c r="CD105" s="494">
        <f>+CC105</f>
        <v>0.05</v>
      </c>
      <c r="CE105" s="494">
        <f>+CD105</f>
        <v>0.05</v>
      </c>
      <c r="CF105" s="494">
        <f>+CE105</f>
        <v>0.05</v>
      </c>
      <c r="CG105" s="755">
        <f>-CG104/CG96</f>
        <v>5.4729732900152248E-2</v>
      </c>
      <c r="CH105" s="628"/>
      <c r="CI105" s="494">
        <v>4.4999999999999998E-2</v>
      </c>
      <c r="CJ105" s="494">
        <f>+CI105</f>
        <v>4.4999999999999998E-2</v>
      </c>
      <c r="CK105" s="494">
        <f>+CJ105</f>
        <v>4.4999999999999998E-2</v>
      </c>
      <c r="CL105" s="494">
        <f>+CK105</f>
        <v>4.4999999999999998E-2</v>
      </c>
      <c r="CM105" s="755">
        <f>-CM104/CM96</f>
        <v>4.7662397364714483E-2</v>
      </c>
      <c r="CN105" s="97"/>
      <c r="CO105" s="97"/>
      <c r="CP105"/>
      <c r="CQ105"/>
      <c r="CR105"/>
      <c r="CS105"/>
      <c r="CT105"/>
      <c r="CU105"/>
      <c r="CV105" s="97"/>
    </row>
    <row r="106" spans="1:100" s="24" customFormat="1" hidden="1" outlineLevel="1">
      <c r="A106" s="751" t="s">
        <v>300</v>
      </c>
      <c r="B106" s="751"/>
      <c r="C106" s="751"/>
      <c r="D106" s="751"/>
      <c r="E106" s="751"/>
      <c r="F106" s="745"/>
      <c r="G106" s="753">
        <f>G107-G103-G104</f>
        <v>1.7710000000000008</v>
      </c>
      <c r="H106" s="745"/>
      <c r="I106" s="758">
        <f>I107-I103-I104</f>
        <v>-4.1720000000000015</v>
      </c>
      <c r="J106" s="758">
        <f>J107-J103-J104</f>
        <v>-7.7180000000000035</v>
      </c>
      <c r="K106" s="758">
        <f>K107-K103-K104</f>
        <v>-9.4230000000000338</v>
      </c>
      <c r="L106" s="758">
        <f>L107-L103-L104</f>
        <v>36.41700000000003</v>
      </c>
      <c r="M106" s="753">
        <f>SUM(I106:L106)</f>
        <v>15.103999999999992</v>
      </c>
      <c r="N106" s="745"/>
      <c r="O106" s="758">
        <f>O107-O103-O104</f>
        <v>-1.5579999999999927</v>
      </c>
      <c r="P106" s="758">
        <f>P107-P103-P104</f>
        <v>-8.1950000000000145</v>
      </c>
      <c r="Q106" s="758">
        <f>Q107-Q103-Q104</f>
        <v>-9.2799999999999905</v>
      </c>
      <c r="R106" s="758">
        <f>R107-R103-R104</f>
        <v>24.352000000000007</v>
      </c>
      <c r="S106" s="753">
        <f>SUM(O106:R106)</f>
        <v>5.3190000000000097</v>
      </c>
      <c r="T106" s="745"/>
      <c r="U106" s="758">
        <f>U107-U103-U104</f>
        <v>-3.6930000000000422</v>
      </c>
      <c r="V106" s="758">
        <f>V107-V103-V104</f>
        <v>-0.69500000000001627</v>
      </c>
      <c r="W106" s="758">
        <f>W107-W103-W104</f>
        <v>-13.145000000000037</v>
      </c>
      <c r="X106" s="758">
        <f>X107-X103-X104</f>
        <v>27.554000000000087</v>
      </c>
      <c r="Y106" s="753">
        <f>SUM(U106:X106)</f>
        <v>10.020999999999994</v>
      </c>
      <c r="Z106" s="745"/>
      <c r="AA106" s="758">
        <f>AA107-AA103-AA104</f>
        <v>-6.2699999999999392</v>
      </c>
      <c r="AB106" s="758">
        <f>AB107-AB103-AB104</f>
        <v>-7.4859999999999687</v>
      </c>
      <c r="AC106" s="758">
        <f>AC107-AC103-AC104</f>
        <v>-4.3220000000000915</v>
      </c>
      <c r="AD106" s="758">
        <f>AD107-AD103-AD104</f>
        <v>24.988000000000046</v>
      </c>
      <c r="AE106" s="753">
        <f>SUM(AA106:AD106)</f>
        <v>6.9100000000000463</v>
      </c>
      <c r="AF106" s="745"/>
      <c r="AG106" s="758">
        <f>AG107-AG103-AG104</f>
        <v>-5.9109999999999783</v>
      </c>
      <c r="AH106" s="758">
        <f>AH107-AH103-AH104</f>
        <v>-9.5790000000000379</v>
      </c>
      <c r="AI106" s="758">
        <f>AI107-AI103-AI104</f>
        <v>-6.4370000000000047</v>
      </c>
      <c r="AJ106" s="758">
        <f>AJ107-AJ103-AJ104</f>
        <v>26.291000000000025</v>
      </c>
      <c r="AK106" s="753">
        <f>SUM(AG106:AJ106)</f>
        <v>4.3640000000000043</v>
      </c>
      <c r="AL106" s="745"/>
      <c r="AM106" s="758">
        <f>AM107-AM103-AM104</f>
        <v>-12.713000000000045</v>
      </c>
      <c r="AN106" s="758">
        <f>AN107-AN103-AN104</f>
        <v>-8.0100000000000318</v>
      </c>
      <c r="AO106" s="758">
        <f>AO107-AO103-AO104</f>
        <v>-3.8979999999999801</v>
      </c>
      <c r="AP106" s="758">
        <f>AP107-AP103-AP104</f>
        <v>42.413000000000011</v>
      </c>
      <c r="AQ106" s="753">
        <f>SUM(AM106:AP106)</f>
        <v>17.791999999999952</v>
      </c>
      <c r="AR106" s="745"/>
      <c r="AS106" s="758">
        <f>AS107-AS103-AS104</f>
        <v>-7.6280000000000019</v>
      </c>
      <c r="AT106" s="758">
        <f>AT107-AT103-AT104</f>
        <v>-11.439999999999953</v>
      </c>
      <c r="AU106" s="758">
        <f>AU107-AU103-AU104</f>
        <v>-14.622999999999983</v>
      </c>
      <c r="AV106" s="758">
        <f>AV107-AV103-AV104</f>
        <v>51.47099999999994</v>
      </c>
      <c r="AW106" s="753">
        <f>SUM(AS106:AV106)</f>
        <v>17.78</v>
      </c>
      <c r="AX106" s="745"/>
      <c r="AY106" s="758">
        <f>AY107-AY103-AY104</f>
        <v>-14.733999999999916</v>
      </c>
      <c r="AZ106" s="758">
        <f>AZ107-AZ103-AZ104</f>
        <v>-4.4800000000000466</v>
      </c>
      <c r="BA106" s="758">
        <f>BA107-BA103-BA104</f>
        <v>-15.863000000000035</v>
      </c>
      <c r="BB106" s="758">
        <f>BB107-BB103-BB104</f>
        <v>72.221000000000089</v>
      </c>
      <c r="BC106" s="753">
        <f>SUM(AY106:BB106)</f>
        <v>37.144000000000091</v>
      </c>
      <c r="BD106" s="745"/>
      <c r="BE106" s="758">
        <f>BE107-BE103-BE104</f>
        <v>-8.8530000000000602</v>
      </c>
      <c r="BF106" s="758">
        <f>BF107-BF103-BF104</f>
        <v>-17.907999999999973</v>
      </c>
      <c r="BG106" s="758">
        <f>BG107-BG103-BG104</f>
        <v>-10.315000000000033</v>
      </c>
      <c r="BH106" s="758">
        <f>BH107-BH103-BH104</f>
        <v>28.502000000000081</v>
      </c>
      <c r="BI106" s="753">
        <f>SUM(BE106:BH106)</f>
        <v>-8.5739999999999839</v>
      </c>
      <c r="BJ106" s="745"/>
      <c r="BK106" s="758">
        <f>BK107-BK103-BK104</f>
        <v>-7.6640000000000601</v>
      </c>
      <c r="BL106" s="758">
        <f>BL107-BL103-BL104</f>
        <v>4.8439999999999586</v>
      </c>
      <c r="BM106" s="758">
        <f>BM107-BM103-BM104</f>
        <v>-1.2690000000000197</v>
      </c>
      <c r="BN106" s="758">
        <f>BN107-BN103-BN104</f>
        <v>7.8890000000000313</v>
      </c>
      <c r="BO106" s="753">
        <f>SUM(BK106:BN106)</f>
        <v>3.7999999999999101</v>
      </c>
      <c r="BP106" s="745"/>
      <c r="BQ106" s="757">
        <v>0</v>
      </c>
      <c r="BR106" s="757">
        <v>0</v>
      </c>
      <c r="BS106" s="757">
        <v>0</v>
      </c>
      <c r="BT106" s="757">
        <v>0</v>
      </c>
      <c r="BU106" s="753">
        <f>SUM(BQ106:BT106)</f>
        <v>0</v>
      </c>
      <c r="BV106" s="97"/>
      <c r="BW106" s="757">
        <v>0</v>
      </c>
      <c r="BX106" s="757">
        <v>0</v>
      </c>
      <c r="BY106" s="757">
        <v>0</v>
      </c>
      <c r="BZ106" s="757">
        <v>0</v>
      </c>
      <c r="CA106" s="753">
        <f>SUM(BW106:BZ106)</f>
        <v>0</v>
      </c>
      <c r="CB106" s="97"/>
      <c r="CC106" s="757">
        <v>0</v>
      </c>
      <c r="CD106" s="757">
        <v>0</v>
      </c>
      <c r="CE106" s="757">
        <v>0</v>
      </c>
      <c r="CF106" s="757">
        <v>0</v>
      </c>
      <c r="CG106" s="753">
        <f>SUM(CC106:CF106)</f>
        <v>0</v>
      </c>
      <c r="CH106" s="97"/>
      <c r="CI106" s="757">
        <v>0</v>
      </c>
      <c r="CJ106" s="757">
        <v>0</v>
      </c>
      <c r="CK106" s="757">
        <v>0</v>
      </c>
      <c r="CL106" s="757">
        <v>0</v>
      </c>
      <c r="CM106" s="753">
        <f>SUM(CI106:CL106)</f>
        <v>0</v>
      </c>
      <c r="CN106" s="97"/>
      <c r="CO106" s="97"/>
      <c r="CP106"/>
      <c r="CQ106"/>
      <c r="CR106"/>
      <c r="CS106"/>
      <c r="CT106"/>
      <c r="CU106"/>
      <c r="CV106" s="97"/>
    </row>
    <row r="107" spans="1:100" s="24" customFormat="1" hidden="1" outlineLevel="1">
      <c r="A107" s="129" t="s">
        <v>156</v>
      </c>
      <c r="B107" s="129"/>
      <c r="C107" s="129"/>
      <c r="D107" s="129"/>
      <c r="E107" s="129"/>
      <c r="F107" s="745"/>
      <c r="G107" s="756">
        <v>-186.512</v>
      </c>
      <c r="H107" s="745"/>
      <c r="I107" s="758">
        <f>I109-I101</f>
        <v>-197.798</v>
      </c>
      <c r="J107" s="758">
        <f>J109-J101</f>
        <v>-214.01300000000001</v>
      </c>
      <c r="K107" s="758">
        <f>K109-K101</f>
        <v>-229.87700000000004</v>
      </c>
      <c r="L107" s="757">
        <v>-200.47900000000001</v>
      </c>
      <c r="M107" s="753">
        <f>M103+M104+M106</f>
        <v>-200.47900000000001</v>
      </c>
      <c r="N107" s="745"/>
      <c r="O107" s="758">
        <f>O109-O101</f>
        <v>-210.4</v>
      </c>
      <c r="P107" s="758">
        <f>P109-P101</f>
        <v>-226.52800000000002</v>
      </c>
      <c r="Q107" s="758">
        <f>Q109-Q101</f>
        <v>-243.29400000000001</v>
      </c>
      <c r="R107" s="757">
        <v>-226.965</v>
      </c>
      <c r="S107" s="753">
        <f>S103+S104+S106</f>
        <v>-226.965</v>
      </c>
      <c r="T107" s="745"/>
      <c r="U107" s="758">
        <f>U109-U101</f>
        <v>-239.09900000000005</v>
      </c>
      <c r="V107" s="758">
        <f>V109-V101</f>
        <v>-248.47100000000006</v>
      </c>
      <c r="W107" s="758">
        <f>W109-W101</f>
        <v>-270.3950000000001</v>
      </c>
      <c r="X107" s="757">
        <v>-251.36500000000001</v>
      </c>
      <c r="Y107" s="753">
        <f>Y103+Y104+Y106</f>
        <v>-251.36500000000004</v>
      </c>
      <c r="Z107" s="745"/>
      <c r="AA107" s="758">
        <f>AA109-AA101</f>
        <v>-266.27499999999998</v>
      </c>
      <c r="AB107" s="758">
        <f>AB109-AB101</f>
        <v>-283.05999999999995</v>
      </c>
      <c r="AC107" s="758">
        <f>AC109-AC101</f>
        <v>-296.71000000000004</v>
      </c>
      <c r="AD107" s="758">
        <f>AD109-AD101</f>
        <v>-280.98599999999999</v>
      </c>
      <c r="AE107" s="753">
        <f>AE103+AE104+AE106</f>
        <v>-280.98599999999999</v>
      </c>
      <c r="AF107" s="745"/>
      <c r="AG107" s="758">
        <f>AG109-AG101</f>
        <v>-294.65999999999997</v>
      </c>
      <c r="AH107" s="758">
        <f>AH109-AH101</f>
        <v>-313.64400000000001</v>
      </c>
      <c r="AI107" s="758">
        <f>AI109-AI101</f>
        <v>-330.01400000000001</v>
      </c>
      <c r="AJ107" s="758">
        <f>AJ109-AJ101</f>
        <v>-314.04399999999998</v>
      </c>
      <c r="AK107" s="753">
        <f>AK103+AK104+AK106</f>
        <v>-314.04399999999998</v>
      </c>
      <c r="AL107" s="745"/>
      <c r="AM107" s="758">
        <f>AM109-AM101</f>
        <v>-335.24400000000003</v>
      </c>
      <c r="AN107" s="758">
        <f>AN109-AN101</f>
        <v>-352.85800000000006</v>
      </c>
      <c r="AO107" s="758">
        <f>AO109-AO101</f>
        <v>-366.47200000000004</v>
      </c>
      <c r="AP107" s="758">
        <f>AP109-AP101</f>
        <v>-334.41700000000003</v>
      </c>
      <c r="AQ107" s="753">
        <f>AQ103+AQ104+AQ106</f>
        <v>-334.41700000000003</v>
      </c>
      <c r="AR107" s="745"/>
      <c r="AS107" s="758">
        <f>AS109-AS101</f>
        <v>-350.86400000000003</v>
      </c>
      <c r="AT107" s="758">
        <f>AT109-AT101</f>
        <v>-374.90199999999999</v>
      </c>
      <c r="AU107" s="758">
        <f>AU109-AU101</f>
        <v>-406.86199999999997</v>
      </c>
      <c r="AV107" s="758">
        <f>AV109-AV101</f>
        <v>-363.03000000000003</v>
      </c>
      <c r="AW107" s="753">
        <f>AW103+AW104+AW106</f>
        <v>-363.03000000000009</v>
      </c>
      <c r="AX107" s="745"/>
      <c r="AY107" s="758">
        <f>AY109-AY101</f>
        <v>-389.209</v>
      </c>
      <c r="AZ107" s="758">
        <f>AZ109-AZ101</f>
        <v>-405.01000000000005</v>
      </c>
      <c r="BA107" s="758">
        <f>BA109-BA101</f>
        <v>-431.30900000000008</v>
      </c>
      <c r="BB107" s="758">
        <f>BB109-BB101</f>
        <v>-371.173</v>
      </c>
      <c r="BC107" s="753">
        <f>BC103+BC104+BC106</f>
        <v>-371.173</v>
      </c>
      <c r="BD107" s="745"/>
      <c r="BE107" s="758">
        <f>BE109-BE101</f>
        <v>-392.38200000000006</v>
      </c>
      <c r="BF107" s="758">
        <f>BF109-BF101</f>
        <v>-423.98900000000003</v>
      </c>
      <c r="BG107" s="758">
        <f>BG109-BG101</f>
        <v>-447.10300000000007</v>
      </c>
      <c r="BH107" s="758">
        <f>BH109-BH101</f>
        <v>-431.43099999999998</v>
      </c>
      <c r="BI107" s="753">
        <f>BI103+BI104+BI106</f>
        <v>-431.43099999999993</v>
      </c>
      <c r="BJ107" s="745"/>
      <c r="BK107" s="758">
        <f>BK109-BK101</f>
        <v>-451.87799999999999</v>
      </c>
      <c r="BL107" s="758">
        <f>BL109-BL101</f>
        <v>-465.04700000000003</v>
      </c>
      <c r="BM107" s="758">
        <f>BM109-BM101</f>
        <v>-480.97400000000005</v>
      </c>
      <c r="BN107" s="758">
        <f>BN109-BN101</f>
        <v>-489.08100000000002</v>
      </c>
      <c r="BO107" s="753">
        <f>BO103+BO104+BO106</f>
        <v>-489.08100000000002</v>
      </c>
      <c r="BP107" s="745"/>
      <c r="BQ107" s="758">
        <f>BQ103+BQ104+BQ106</f>
        <v>-502.02731566900553</v>
      </c>
      <c r="BR107" s="758">
        <f>BR103+BR104+BR106</f>
        <v>-515.38998306416147</v>
      </c>
      <c r="BS107" s="758">
        <f>BS103+BS104+BS106</f>
        <v>-529.16502129247658</v>
      </c>
      <c r="BT107" s="758">
        <f>BT103+BT104+BT106</f>
        <v>-543.44188354694847</v>
      </c>
      <c r="BU107" s="753">
        <f>BU103+BU104+BU106</f>
        <v>-543.44188354694836</v>
      </c>
      <c r="BV107" s="97"/>
      <c r="BW107" s="758">
        <f>BW103+BW104+BW106</f>
        <v>-557.05223500213197</v>
      </c>
      <c r="BX107" s="758">
        <f>BX103+BX104+BX106</f>
        <v>-571.24605711300455</v>
      </c>
      <c r="BY107" s="758">
        <f>BY103+BY104+BY106</f>
        <v>-586.016302707926</v>
      </c>
      <c r="BZ107" s="758">
        <f>BZ103+BZ104+BZ106</f>
        <v>-601.48357088618206</v>
      </c>
      <c r="CA107" s="753">
        <f>CA103+CA104+CA106</f>
        <v>-601.48357088618218</v>
      </c>
      <c r="CB107" s="97"/>
      <c r="CC107" s="758">
        <f>CC103+CC104+CC106</f>
        <v>-616.03634788957936</v>
      </c>
      <c r="CD107" s="758">
        <f>CD103+CD104+CD106</f>
        <v>-631.13372749833138</v>
      </c>
      <c r="CE107" s="758">
        <f>CE103+CE104+CE106</f>
        <v>-646.76841499775287</v>
      </c>
      <c r="CF107" s="758">
        <f>CF103+CF104+CF106</f>
        <v>-663.04862223825353</v>
      </c>
      <c r="CG107" s="753">
        <f>CG103+CG104+CG106</f>
        <v>-663.04862223825342</v>
      </c>
      <c r="CH107" s="97"/>
      <c r="CI107" s="758">
        <f>CI103+CI104+CI106</f>
        <v>-678.02293719127829</v>
      </c>
      <c r="CJ107" s="758">
        <f>CJ103+CJ104+CJ106</f>
        <v>-693.35175355912065</v>
      </c>
      <c r="CK107" s="758">
        <f>CK103+CK104+CK106</f>
        <v>-709.02984602047354</v>
      </c>
      <c r="CL107" s="758">
        <f>CL103+CL104+CL106</f>
        <v>-725.12491877238483</v>
      </c>
      <c r="CM107" s="753">
        <f>CM103+CM104+CM106</f>
        <v>-725.12491877238494</v>
      </c>
      <c r="CN107" s="97"/>
      <c r="CO107" s="97"/>
      <c r="CP107"/>
      <c r="CQ107"/>
      <c r="CR107"/>
      <c r="CS107"/>
      <c r="CT107"/>
      <c r="CU107"/>
      <c r="CV107" s="97"/>
    </row>
    <row r="108" spans="1:100" s="24" customFormat="1" hidden="1" outlineLevel="1">
      <c r="A108" s="73"/>
      <c r="B108" s="73"/>
      <c r="C108" s="73"/>
      <c r="D108" s="73"/>
      <c r="E108" s="73"/>
      <c r="F108" s="742"/>
      <c r="G108" s="760"/>
      <c r="H108" s="742"/>
      <c r="I108" s="742"/>
      <c r="J108" s="742"/>
      <c r="K108" s="742"/>
      <c r="L108" s="742"/>
      <c r="M108" s="760"/>
      <c r="N108" s="742"/>
      <c r="O108" s="742"/>
      <c r="P108" s="742"/>
      <c r="Q108" s="742"/>
      <c r="R108" s="742"/>
      <c r="S108" s="760"/>
      <c r="T108" s="742"/>
      <c r="U108" s="742"/>
      <c r="V108" s="742"/>
      <c r="W108" s="742"/>
      <c r="X108" s="742"/>
      <c r="Y108" s="760"/>
      <c r="Z108" s="742"/>
      <c r="AA108" s="742"/>
      <c r="AB108" s="742"/>
      <c r="AC108" s="742"/>
      <c r="AD108" s="742"/>
      <c r="AE108" s="760"/>
      <c r="AF108" s="742"/>
      <c r="AG108" s="742"/>
      <c r="AH108" s="742"/>
      <c r="AI108" s="742"/>
      <c r="AJ108" s="742"/>
      <c r="AK108" s="760"/>
      <c r="AL108" s="742"/>
      <c r="AM108" s="742"/>
      <c r="AN108" s="742"/>
      <c r="AO108" s="742"/>
      <c r="AP108" s="742"/>
      <c r="AQ108" s="760"/>
      <c r="AR108" s="742"/>
      <c r="AS108" s="742"/>
      <c r="AT108" s="742"/>
      <c r="AU108" s="742"/>
      <c r="AV108" s="742"/>
      <c r="AW108" s="760"/>
      <c r="AX108" s="742"/>
      <c r="AY108" s="742"/>
      <c r="AZ108" s="742"/>
      <c r="BA108" s="742"/>
      <c r="BB108" s="742"/>
      <c r="BC108" s="760"/>
      <c r="BD108" s="742"/>
      <c r="BE108" s="742"/>
      <c r="BF108" s="742"/>
      <c r="BG108" s="742"/>
      <c r="BH108" s="742"/>
      <c r="BI108" s="760"/>
      <c r="BJ108" s="742"/>
      <c r="BK108" s="742"/>
      <c r="BL108" s="742"/>
      <c r="BM108" s="742"/>
      <c r="BN108" s="742"/>
      <c r="BO108" s="760"/>
      <c r="BP108" s="742"/>
      <c r="BQ108" s="742"/>
      <c r="BR108" s="742"/>
      <c r="BS108" s="742"/>
      <c r="BT108" s="742"/>
      <c r="BU108" s="760"/>
      <c r="BV108" s="97"/>
      <c r="BW108" s="742"/>
      <c r="BX108" s="742"/>
      <c r="BY108" s="742"/>
      <c r="BZ108" s="742"/>
      <c r="CA108" s="760"/>
      <c r="CB108" s="97"/>
      <c r="CC108" s="742"/>
      <c r="CD108" s="742"/>
      <c r="CE108" s="742"/>
      <c r="CF108" s="742"/>
      <c r="CG108" s="760"/>
      <c r="CH108" s="97"/>
      <c r="CI108" s="742"/>
      <c r="CJ108" s="742"/>
      <c r="CK108" s="742"/>
      <c r="CL108" s="742"/>
      <c r="CM108" s="760"/>
      <c r="CN108" s="97"/>
      <c r="CO108" s="97"/>
      <c r="CP108"/>
      <c r="CQ108"/>
      <c r="CR108"/>
      <c r="CS108"/>
      <c r="CT108"/>
      <c r="CU108"/>
      <c r="CV108" s="97"/>
    </row>
    <row r="109" spans="1:100" s="24" customFormat="1" hidden="1" outlineLevel="1">
      <c r="A109" s="73" t="s">
        <v>157</v>
      </c>
      <c r="B109" s="73"/>
      <c r="C109" s="73"/>
      <c r="D109" s="73"/>
      <c r="E109" s="73"/>
      <c r="F109" s="761"/>
      <c r="G109" s="762">
        <f>G17</f>
        <v>160.85599999999999</v>
      </c>
      <c r="H109" s="761"/>
      <c r="I109" s="763">
        <f>I17</f>
        <v>163.87200000000001</v>
      </c>
      <c r="J109" s="763">
        <f>J17</f>
        <v>165.929</v>
      </c>
      <c r="K109" s="763">
        <f>K17</f>
        <v>166.56899999999999</v>
      </c>
      <c r="L109" s="763">
        <f>L101+L107</f>
        <v>171.58799999999999</v>
      </c>
      <c r="M109" s="762">
        <f>M101+M107</f>
        <v>171.58799999999999</v>
      </c>
      <c r="N109" s="761"/>
      <c r="O109" s="763">
        <f>O17</f>
        <v>183.82300000000001</v>
      </c>
      <c r="P109" s="763">
        <f>P17</f>
        <v>203.29300000000001</v>
      </c>
      <c r="Q109" s="763">
        <f>Q17</f>
        <v>209.172</v>
      </c>
      <c r="R109" s="763">
        <f>R17</f>
        <v>210.92599999999999</v>
      </c>
      <c r="S109" s="762">
        <f>S17</f>
        <v>210.92599999999999</v>
      </c>
      <c r="T109" s="761"/>
      <c r="U109" s="763">
        <f>U17</f>
        <v>208.95699999999999</v>
      </c>
      <c r="V109" s="763">
        <f>V17</f>
        <v>210.649</v>
      </c>
      <c r="W109" s="763">
        <f>W17</f>
        <v>214.773</v>
      </c>
      <c r="X109" s="763">
        <f>X17</f>
        <v>215.06</v>
      </c>
      <c r="Y109" s="762">
        <f>Y17</f>
        <v>215.06</v>
      </c>
      <c r="Z109" s="761"/>
      <c r="AA109" s="763">
        <f>AA17</f>
        <v>216.989</v>
      </c>
      <c r="AB109" s="763">
        <f>AB17</f>
        <v>218.637</v>
      </c>
      <c r="AC109" s="763">
        <f>AC17</f>
        <v>221.059</v>
      </c>
      <c r="AD109" s="763">
        <f>AD17</f>
        <v>237.095</v>
      </c>
      <c r="AE109" s="762">
        <f>AE101+AE107</f>
        <v>237.09500000000003</v>
      </c>
      <c r="AF109" s="761"/>
      <c r="AG109" s="763">
        <f>AG17</f>
        <v>238.95500000000001</v>
      </c>
      <c r="AH109" s="763">
        <f>AH17</f>
        <v>251.357</v>
      </c>
      <c r="AI109" s="763">
        <f>AI17</f>
        <v>261.11500000000001</v>
      </c>
      <c r="AJ109" s="763">
        <f>AJ17</f>
        <v>273.279</v>
      </c>
      <c r="AK109" s="762">
        <f>AK101+AK107</f>
        <v>273.279</v>
      </c>
      <c r="AL109" s="761"/>
      <c r="AM109" s="763">
        <f>AM17</f>
        <v>282.71600000000001</v>
      </c>
      <c r="AN109" s="763">
        <f>AN17</f>
        <v>295.74099999999999</v>
      </c>
      <c r="AO109" s="763">
        <f>AO17</f>
        <v>313.66699999999997</v>
      </c>
      <c r="AP109" s="763">
        <f>AP17</f>
        <v>324.93200000000002</v>
      </c>
      <c r="AQ109" s="762">
        <f>AQ101+AQ107</f>
        <v>324.93200000000002</v>
      </c>
      <c r="AR109" s="761"/>
      <c r="AS109" s="763">
        <f>AS17</f>
        <v>329.88</v>
      </c>
      <c r="AT109" s="763">
        <f>AT17</f>
        <v>328.59800000000001</v>
      </c>
      <c r="AU109" s="763">
        <f>AU17</f>
        <v>322.92399999999998</v>
      </c>
      <c r="AV109" s="763">
        <f>AV17</f>
        <v>321.58300000000003</v>
      </c>
      <c r="AW109" s="762">
        <f>AW101+AW107</f>
        <v>321.58299999999997</v>
      </c>
      <c r="AX109" s="761"/>
      <c r="AY109" s="763">
        <f>AY17</f>
        <v>316.81400000000002</v>
      </c>
      <c r="AZ109" s="763">
        <f>AZ17</f>
        <v>324.89600000000002</v>
      </c>
      <c r="BA109" s="763">
        <f>BA17</f>
        <v>325.55399999999997</v>
      </c>
      <c r="BB109" s="763">
        <f>BB17</f>
        <v>333.35500000000002</v>
      </c>
      <c r="BC109" s="762">
        <f>BC101+BC107</f>
        <v>333.35500000000002</v>
      </c>
      <c r="BD109" s="761"/>
      <c r="BE109" s="763">
        <f>BE17</f>
        <v>336.798</v>
      </c>
      <c r="BF109" s="763">
        <f>BF17</f>
        <v>330.23500000000001</v>
      </c>
      <c r="BG109" s="763">
        <f>BG17</f>
        <v>329.721</v>
      </c>
      <c r="BH109" s="763">
        <f>BH17</f>
        <v>337.11799999999999</v>
      </c>
      <c r="BI109" s="762">
        <f>BI101+BI107</f>
        <v>337.11800000000005</v>
      </c>
      <c r="BJ109" s="761"/>
      <c r="BK109" s="763">
        <f>BK17</f>
        <v>334.38200000000001</v>
      </c>
      <c r="BL109" s="763">
        <f>BL17</f>
        <v>338.86</v>
      </c>
      <c r="BM109" s="763">
        <f>BM17</f>
        <v>342.83199999999999</v>
      </c>
      <c r="BN109" s="763">
        <f>BN17</f>
        <v>349.27800000000002</v>
      </c>
      <c r="BO109" s="762">
        <f>BO101+BO107</f>
        <v>349.27799999999991</v>
      </c>
      <c r="BP109" s="761"/>
      <c r="BQ109" s="763">
        <f>BQ101+BQ107</f>
        <v>361.06039559802804</v>
      </c>
      <c r="BR109" s="763">
        <f>BR101+BR107</f>
        <v>375.45450994623309</v>
      </c>
      <c r="BS109" s="763">
        <f>BS101+BS107</f>
        <v>389.17086059519647</v>
      </c>
      <c r="BT109" s="763">
        <f>BT101+BT107</f>
        <v>408.348933417843</v>
      </c>
      <c r="BU109" s="762">
        <f>BU101+BU107</f>
        <v>408.34893341784311</v>
      </c>
      <c r="BV109" s="97"/>
      <c r="BW109" s="763">
        <f>BW101+BW107</f>
        <v>432.79150719304175</v>
      </c>
      <c r="BX109" s="763">
        <f>BX101+BX107</f>
        <v>461.03191458682181</v>
      </c>
      <c r="BY109" s="763">
        <f>BY101+BY107</f>
        <v>488.18337692272723</v>
      </c>
      <c r="BZ109" s="763">
        <f>BZ101+BZ107</f>
        <v>523.40866025971525</v>
      </c>
      <c r="CA109" s="762">
        <f>CA101+CA107</f>
        <v>523.40866025971513</v>
      </c>
      <c r="CB109" s="97"/>
      <c r="CC109" s="763">
        <f>CC101+CC107</f>
        <v>548.18581238219178</v>
      </c>
      <c r="CD109" s="763">
        <f>CD101+CD107</f>
        <v>576.65664120182578</v>
      </c>
      <c r="CE109" s="763">
        <f>CE101+CE107</f>
        <v>604.00658495596986</v>
      </c>
      <c r="CF109" s="763">
        <f>CF101+CF107</f>
        <v>639.36795700179823</v>
      </c>
      <c r="CG109" s="762">
        <f>CG101+CG107</f>
        <v>639.36795700179812</v>
      </c>
      <c r="CH109" s="97"/>
      <c r="CI109" s="763">
        <f>CI101+CI107</f>
        <v>653.02728085538138</v>
      </c>
      <c r="CJ109" s="763">
        <f>CJ101+CJ107</f>
        <v>669.20970136019605</v>
      </c>
      <c r="CK109" s="763">
        <f>CK101+CK107</f>
        <v>684.57837276645228</v>
      </c>
      <c r="CL109" s="763">
        <f>CL101+CL107</f>
        <v>705.54821473084564</v>
      </c>
      <c r="CM109" s="762">
        <f>CM101+CM107</f>
        <v>705.54821473084553</v>
      </c>
      <c r="CN109" s="97"/>
      <c r="CO109" s="97"/>
      <c r="CP109"/>
      <c r="CQ109"/>
      <c r="CR109"/>
      <c r="CS109"/>
      <c r="CT109"/>
      <c r="CU109"/>
      <c r="CV109" s="97"/>
    </row>
    <row r="110" spans="1:100" s="24" customFormat="1" hidden="1" outlineLevel="1">
      <c r="A110" s="73"/>
      <c r="B110" s="73"/>
      <c r="C110" s="73"/>
      <c r="D110" s="73"/>
      <c r="E110" s="73"/>
      <c r="F110" s="764"/>
      <c r="G110" s="765"/>
      <c r="H110" s="764"/>
      <c r="I110" s="764"/>
      <c r="J110" s="764"/>
      <c r="K110" s="764"/>
      <c r="L110" s="764"/>
      <c r="M110" s="765"/>
      <c r="N110" s="764"/>
      <c r="O110" s="764"/>
      <c r="P110" s="764"/>
      <c r="Q110" s="764"/>
      <c r="R110" s="764"/>
      <c r="S110" s="765"/>
      <c r="T110" s="764"/>
      <c r="U110" s="764"/>
      <c r="V110" s="764"/>
      <c r="W110" s="764"/>
      <c r="X110" s="764"/>
      <c r="Y110" s="765"/>
      <c r="Z110" s="764"/>
      <c r="AA110" s="764"/>
      <c r="AB110" s="764"/>
      <c r="AC110" s="764"/>
      <c r="AD110" s="764"/>
      <c r="AE110" s="766"/>
      <c r="AF110" s="764"/>
      <c r="AG110" s="764"/>
      <c r="AH110" s="764"/>
      <c r="AI110" s="764"/>
      <c r="AJ110" s="764"/>
      <c r="AK110" s="766"/>
      <c r="AL110" s="764"/>
      <c r="AM110" s="764"/>
      <c r="AN110" s="764"/>
      <c r="AO110" s="764"/>
      <c r="AP110" s="764"/>
      <c r="AQ110" s="766"/>
      <c r="AR110" s="764"/>
      <c r="AS110" s="764"/>
      <c r="AT110" s="764"/>
      <c r="AU110" s="764"/>
      <c r="AV110" s="764"/>
      <c r="AW110" s="766"/>
      <c r="AX110" s="764"/>
      <c r="AY110" s="764"/>
      <c r="AZ110" s="764"/>
      <c r="BA110" s="764"/>
      <c r="BB110" s="764"/>
      <c r="BC110" s="766"/>
      <c r="BD110" s="764"/>
      <c r="BE110" s="764"/>
      <c r="BF110" s="764"/>
      <c r="BG110" s="764"/>
      <c r="BH110" s="764"/>
      <c r="BI110" s="766"/>
      <c r="BJ110" s="764"/>
      <c r="BK110" s="764"/>
      <c r="BL110" s="764"/>
      <c r="BM110" s="764"/>
      <c r="BN110" s="764"/>
      <c r="BO110" s="766"/>
      <c r="BP110" s="764"/>
      <c r="BQ110" s="764"/>
      <c r="BR110" s="764"/>
      <c r="BS110" s="764"/>
      <c r="BT110" s="764"/>
      <c r="BU110" s="766"/>
      <c r="BV110" s="97"/>
      <c r="BW110" s="764"/>
      <c r="BX110" s="764"/>
      <c r="BY110" s="764"/>
      <c r="BZ110" s="764"/>
      <c r="CA110" s="766"/>
      <c r="CB110" s="97"/>
      <c r="CC110" s="764"/>
      <c r="CD110" s="764"/>
      <c r="CE110" s="764"/>
      <c r="CF110" s="764"/>
      <c r="CG110" s="766"/>
      <c r="CH110" s="97"/>
      <c r="CI110" s="764"/>
      <c r="CJ110" s="764"/>
      <c r="CK110" s="764"/>
      <c r="CL110" s="764"/>
      <c r="CM110" s="766"/>
      <c r="CN110" s="97"/>
      <c r="CO110" s="97"/>
      <c r="CP110"/>
      <c r="CQ110"/>
      <c r="CR110"/>
      <c r="CS110"/>
      <c r="CT110"/>
      <c r="CU110"/>
      <c r="CV110" s="97"/>
    </row>
    <row r="111" spans="1:100" s="24" customFormat="1" hidden="1" outlineLevel="1">
      <c r="A111" s="73" t="s">
        <v>158</v>
      </c>
      <c r="B111" s="73"/>
      <c r="C111" s="73"/>
      <c r="D111" s="73"/>
      <c r="E111" s="73"/>
      <c r="F111" s="761"/>
      <c r="G111" s="767">
        <f>G101/-G104</f>
        <v>12.646739724032475</v>
      </c>
      <c r="H111" s="761"/>
      <c r="I111" s="761">
        <f>-I101/(I104*4)</f>
        <v>12.70979758223222</v>
      </c>
      <c r="J111" s="761">
        <f>-J101/(J104*4)</f>
        <v>11.178710132988114</v>
      </c>
      <c r="K111" s="761">
        <f>-K101/(K104*4)</f>
        <v>15.387595093929518</v>
      </c>
      <c r="L111" s="761">
        <f>-L101/(L104*4)</f>
        <v>13.252137056560761</v>
      </c>
      <c r="M111" s="767">
        <f>-M101/M104</f>
        <v>12.798562140965222</v>
      </c>
      <c r="N111" s="761"/>
      <c r="O111" s="761">
        <f>-O101/(O104*4)</f>
        <v>11.784736338634463</v>
      </c>
      <c r="P111" s="761">
        <f>-P101/(P104*4)</f>
        <v>13.545348544056473</v>
      </c>
      <c r="Q111" s="761">
        <f>-Q101/(Q104*4)</f>
        <v>15.110406091370557</v>
      </c>
      <c r="R111" s="761">
        <f>-R101/(R104*4)</f>
        <v>13.644864763804064</v>
      </c>
      <c r="S111" s="767">
        <f>-S101/S104</f>
        <v>13.767992454016666</v>
      </c>
      <c r="T111" s="761"/>
      <c r="U111" s="761">
        <f>-U101/(U104*4)</f>
        <v>13.270228645895036</v>
      </c>
      <c r="V111" s="761">
        <f>-V101/(V104*4)</f>
        <v>13.22807421920019</v>
      </c>
      <c r="W111" s="761">
        <f>-W101/(W104*4)</f>
        <v>13.816152181341844</v>
      </c>
      <c r="X111" s="761">
        <f>-X101/(X104*4)</f>
        <v>13.679757156264666</v>
      </c>
      <c r="Y111" s="767">
        <f>-Y101/Y104</f>
        <v>13.550594114058278</v>
      </c>
      <c r="Z111" s="761"/>
      <c r="AA111" s="761">
        <f>-AA101/(AA104*4)</f>
        <v>13.983333333333331</v>
      </c>
      <c r="AB111" s="761">
        <f>-AB101/(AB104*4)</f>
        <v>13.487928809549413</v>
      </c>
      <c r="AC111" s="761">
        <f>-AC101/(AC104*4)</f>
        <v>13.876742066895369</v>
      </c>
      <c r="AD111" s="761">
        <f>-AD101/(AD104*4)</f>
        <v>13.981028713298793</v>
      </c>
      <c r="AE111" s="767">
        <f>-AE101/AE104</f>
        <v>14.181955051873752</v>
      </c>
      <c r="AF111" s="761"/>
      <c r="AG111" s="761">
        <f>-AG101/(AG104*4)</f>
        <v>17.184561380909443</v>
      </c>
      <c r="AH111" s="761">
        <f>-AH101/(AH104*4)</f>
        <v>15.018633705475811</v>
      </c>
      <c r="AI111" s="761">
        <f>-AI101/(AI104*4)</f>
        <v>14.877906976744187</v>
      </c>
      <c r="AJ111" s="761">
        <f>-AJ101/(AJ104*4)</f>
        <v>14.226407324871623</v>
      </c>
      <c r="AK111" s="767">
        <f>-AK101/AK104</f>
        <v>15.69459141681364</v>
      </c>
      <c r="AL111" s="761"/>
      <c r="AM111" s="761">
        <f>-AM101/(AM104*4)</f>
        <v>18.203134205255097</v>
      </c>
      <c r="AN111" s="761">
        <f>-AN101/(AN104*4)</f>
        <v>16.88356413994169</v>
      </c>
      <c r="AO111" s="761">
        <f>-AO101/(AO104*4)</f>
        <v>17.500488884314542</v>
      </c>
      <c r="AP111" s="761">
        <f>-AP101/(AP104*4)</f>
        <v>15.914003668661898</v>
      </c>
      <c r="AQ111" s="767">
        <f>-AQ101/AQ104</f>
        <v>17.276274073103629</v>
      </c>
      <c r="AR111" s="761"/>
      <c r="AS111" s="761">
        <f>-AS101/(AS104*4)</f>
        <v>19.297652795101484</v>
      </c>
      <c r="AT111" s="761">
        <f>-AT101/(AT104*4)</f>
        <v>13.960549293538657</v>
      </c>
      <c r="AU111" s="761">
        <f>-AU101/(AU104*4)</f>
        <v>10.523533483301611</v>
      </c>
      <c r="AV111" s="761">
        <f>-AV101/(AV104*4)</f>
        <v>22.405190469956793</v>
      </c>
      <c r="AW111" s="767">
        <f>-AW101/AW104</f>
        <v>14.756816761149313</v>
      </c>
      <c r="AX111" s="761"/>
      <c r="AY111" s="761">
        <f>-AY101/(AY104*4)</f>
        <v>15.422083879423329</v>
      </c>
      <c r="AZ111" s="761">
        <f>-AZ101/(AZ104*4)</f>
        <v>16.118408267820868</v>
      </c>
      <c r="BA111" s="761">
        <f>-BA101/(BA104*4)</f>
        <v>18.131060751245691</v>
      </c>
      <c r="BB111" s="761">
        <f>-BB101/(BB104*4)</f>
        <v>14.574431112949938</v>
      </c>
      <c r="BC111" s="767">
        <f>-BC101/BC104</f>
        <v>15.556958950692252</v>
      </c>
      <c r="BD111" s="761"/>
      <c r="BE111" s="761">
        <f>-BE101/(BE104*4)</f>
        <v>14.753561022984787</v>
      </c>
      <c r="BF111" s="761">
        <f>-BF101/(BF104*4)</f>
        <v>13.764216366158115</v>
      </c>
      <c r="BG111" s="761">
        <f>-BG101/(BG104*4)</f>
        <v>15.173529181967343</v>
      </c>
      <c r="BH111" s="761">
        <f>-BH101/(BH104*4)</f>
        <v>14.975623538581452</v>
      </c>
      <c r="BI111" s="767">
        <f>-BI101/BI104</f>
        <v>14.870153238913398</v>
      </c>
      <c r="BJ111" s="761"/>
      <c r="BK111" s="761">
        <f>-BK101/(BK104*4)</f>
        <v>15.377063287178284</v>
      </c>
      <c r="BL111" s="761">
        <f>-BL101/(BL104*4)</f>
        <v>11.15731693776717</v>
      </c>
      <c r="BM111" s="761">
        <f>-BM101/(BM104*4)</f>
        <v>14.050450266066312</v>
      </c>
      <c r="BN111" s="761">
        <f>-BN101/(BN104*4)</f>
        <v>13.102635033758439</v>
      </c>
      <c r="BO111" s="767">
        <f>-BO101/BO104</f>
        <v>13.64294548413344</v>
      </c>
      <c r="BP111" s="761"/>
      <c r="BQ111" s="761">
        <f>-BQ101/(BQ104*4)</f>
        <v>16.666666666666668</v>
      </c>
      <c r="BR111" s="761">
        <f>-BR101/(BR104*4)</f>
        <v>16.666666666666668</v>
      </c>
      <c r="BS111" s="761">
        <f>-BS101/(BS104*4)</f>
        <v>16.666666666666668</v>
      </c>
      <c r="BT111" s="761">
        <f>-BT101/(BT104*4)</f>
        <v>16.666666666666668</v>
      </c>
      <c r="BU111" s="767">
        <f>-BU101/BU104</f>
        <v>17.508744429122167</v>
      </c>
      <c r="BV111" s="97"/>
      <c r="BW111" s="761">
        <f>-BW101/(BW104*4)</f>
        <v>18.181818181818183</v>
      </c>
      <c r="BX111" s="761">
        <f>-BX101/(BX104*4)</f>
        <v>18.18181818181818</v>
      </c>
      <c r="BY111" s="761">
        <f>-BY101/(BY104*4)</f>
        <v>18.181818181818183</v>
      </c>
      <c r="BZ111" s="761">
        <f>-BZ101/(BZ104*4)</f>
        <v>18.181818181818183</v>
      </c>
      <c r="CA111" s="767">
        <f>-CA101/CA104</f>
        <v>19.380763770206865</v>
      </c>
      <c r="CB111" s="97"/>
      <c r="CC111" s="761">
        <f>-CC101/(CC104*4)</f>
        <v>20</v>
      </c>
      <c r="CD111" s="761">
        <f>-CD101/(CD104*4)</f>
        <v>20</v>
      </c>
      <c r="CE111" s="761">
        <f>-CE101/(CE104*4)</f>
        <v>20</v>
      </c>
      <c r="CF111" s="761">
        <f>-CF101/(CF104*4)</f>
        <v>20</v>
      </c>
      <c r="CG111" s="767">
        <f>-CG101/CG104</f>
        <v>21.155128610093058</v>
      </c>
      <c r="CH111" s="97"/>
      <c r="CI111" s="761">
        <f>-CI101/(CI104*4)</f>
        <v>22.222222222222221</v>
      </c>
      <c r="CJ111" s="761">
        <f>-CJ101/(CJ104*4)</f>
        <v>22.222222222222221</v>
      </c>
      <c r="CK111" s="761">
        <f>-CK101/(CK104*4)</f>
        <v>22.222222222222225</v>
      </c>
      <c r="CL111" s="761">
        <f>-CL101/(CL104*4)</f>
        <v>22.222222222222221</v>
      </c>
      <c r="CM111" s="767">
        <f>-CM101/CM104</f>
        <v>23.047011715922867</v>
      </c>
      <c r="CN111" s="97"/>
      <c r="CO111" s="97"/>
      <c r="CP111"/>
      <c r="CQ111"/>
      <c r="CR111"/>
      <c r="CS111"/>
      <c r="CT111"/>
      <c r="CU111"/>
      <c r="CV111" s="97"/>
    </row>
    <row r="112" spans="1:100" s="24" customFormat="1" hidden="1" outlineLevel="1">
      <c r="A112" s="73" t="s">
        <v>377</v>
      </c>
      <c r="B112" s="73"/>
      <c r="C112" s="73"/>
      <c r="D112" s="73"/>
      <c r="E112" s="73"/>
      <c r="F112" s="761"/>
      <c r="G112" s="768">
        <f>G107/G104</f>
        <v>6.790403029089453</v>
      </c>
      <c r="H112" s="769"/>
      <c r="I112" s="769">
        <f>I107/(I104*4)</f>
        <v>6.9510120888389091</v>
      </c>
      <c r="J112" s="769">
        <f>J107/(J104*4)</f>
        <v>6.2967223726020949</v>
      </c>
      <c r="K112" s="769">
        <f>K107/(K104*4)</f>
        <v>8.9224111162862947</v>
      </c>
      <c r="L112" s="769">
        <f>L107/(L104*4)</f>
        <v>7.1405827040889003</v>
      </c>
      <c r="M112" s="768">
        <f>M107/M104</f>
        <v>6.8961852017474463</v>
      </c>
      <c r="N112" s="769"/>
      <c r="O112" s="769">
        <f>O107/(O104*4)</f>
        <v>6.289608991988521</v>
      </c>
      <c r="P112" s="769">
        <f>P107/(P104*4)</f>
        <v>7.1387873440060519</v>
      </c>
      <c r="Q112" s="769">
        <f>Q107/(Q104*4)</f>
        <v>8.1249666043280779</v>
      </c>
      <c r="R112" s="769">
        <f>R107/(R104*4)</f>
        <v>7.0723233204536964</v>
      </c>
      <c r="S112" s="768">
        <f>S107/S104</f>
        <v>7.136142116019494</v>
      </c>
      <c r="T112" s="769"/>
      <c r="U112" s="769">
        <f>U107/(U104*4)</f>
        <v>7.0814773131145605</v>
      </c>
      <c r="V112" s="769">
        <f>V107/(V104*4)</f>
        <v>7.1588970842457105</v>
      </c>
      <c r="W112" s="769">
        <f>W107/(W104*4)</f>
        <v>7.7000512586855034</v>
      </c>
      <c r="X112" s="769">
        <f>X107/(X104*4)</f>
        <v>7.3722724073205077</v>
      </c>
      <c r="Y112" s="768">
        <f>Y107/Y104</f>
        <v>7.3026640713517921</v>
      </c>
      <c r="Z112" s="769"/>
      <c r="AA112" s="769">
        <f>AA107/(AA104*4)</f>
        <v>7.7047164351851842</v>
      </c>
      <c r="AB112" s="769">
        <f>AB107/(AB104*4)</f>
        <v>7.6099580600064511</v>
      </c>
      <c r="AC112" s="769">
        <f>AC107/(AC104*4)</f>
        <v>7.9521333619210992</v>
      </c>
      <c r="AD112" s="769">
        <f>AD107/(AD104*4)</f>
        <v>7.5827396373056999</v>
      </c>
      <c r="AE112" s="768">
        <f>AE107/AE104</f>
        <v>7.6917138868358377</v>
      </c>
      <c r="AF112" s="769"/>
      <c r="AG112" s="769">
        <f>AG107/(AG104*4)</f>
        <v>9.4892438490274369</v>
      </c>
      <c r="AH112" s="769">
        <f>AH107/(AH104*4)</f>
        <v>8.337161084529507</v>
      </c>
      <c r="AI112" s="769">
        <f>AI107/(AI104*4)</f>
        <v>8.3060002013490397</v>
      </c>
      <c r="AJ112" s="769">
        <f>AJ107/(AJ104*4)</f>
        <v>7.6069179343086919</v>
      </c>
      <c r="AK112" s="768">
        <f>AK107/AK104</f>
        <v>8.3919619475175029</v>
      </c>
      <c r="AL112" s="769"/>
      <c r="AM112" s="769">
        <f>AM107/(AM104*4)</f>
        <v>9.8752209261223047</v>
      </c>
      <c r="AN112" s="769">
        <f>AN107/(AN104*4)</f>
        <v>9.185183256976261</v>
      </c>
      <c r="AO112" s="769">
        <f>AO107/(AO104*4)</f>
        <v>9.429600658707292</v>
      </c>
      <c r="AP112" s="769">
        <f>AP107/(AP104*4)</f>
        <v>8.0714664993241918</v>
      </c>
      <c r="AQ112" s="768">
        <f>AQ107/AQ104</f>
        <v>8.7624001048080711</v>
      </c>
      <c r="AR112" s="769"/>
      <c r="AS112" s="769">
        <f>AS107/(AS104*4)</f>
        <v>9.9462524095702456</v>
      </c>
      <c r="AT112" s="769">
        <f>AT107/(AT104*4)</f>
        <v>7.4397126528020312</v>
      </c>
      <c r="AU112" s="769">
        <f>AU107/(AU104*4)</f>
        <v>5.8669608352079372</v>
      </c>
      <c r="AV112" s="769">
        <f>AV107/(AV104*4)</f>
        <v>11.880809006414449</v>
      </c>
      <c r="AW112" s="768">
        <f>AW107/AW104</f>
        <v>7.8251029250102402</v>
      </c>
      <c r="AX112" s="769"/>
      <c r="AY112" s="769">
        <f>AY107/(AY104*4)</f>
        <v>8.5017256443861946</v>
      </c>
      <c r="AZ112" s="769">
        <f>AZ107/(AZ104*4)</f>
        <v>8.9437770514972197</v>
      </c>
      <c r="BA112" s="769">
        <f>BA107/(BA104*4)</f>
        <v>10.332239363740898</v>
      </c>
      <c r="BB112" s="769">
        <f>BB107/(BB104*4)</f>
        <v>7.6783822920976412</v>
      </c>
      <c r="BC112" s="768">
        <f>BC107/BC104</f>
        <v>8.1960165168812242</v>
      </c>
      <c r="BD112" s="769"/>
      <c r="BE112" s="769">
        <f>BE107/(BE104*4)</f>
        <v>7.9390984137261267</v>
      </c>
      <c r="BF112" s="769">
        <f>BF107/(BF104*4)</f>
        <v>7.7375903350609541</v>
      </c>
      <c r="BG112" s="769">
        <f>BG107/(BG104*4)</f>
        <v>8.7331627470896187</v>
      </c>
      <c r="BH112" s="769">
        <f>BH107/(BH104*4)</f>
        <v>8.4066835541699145</v>
      </c>
      <c r="BI112" s="768">
        <f>BI107/BI104</f>
        <v>8.3474769754662947</v>
      </c>
      <c r="BJ112" s="769"/>
      <c r="BK112" s="769">
        <f>BK107/(BK104*4)</f>
        <v>8.83747946491434</v>
      </c>
      <c r="BL112" s="769">
        <f>BL107/(BL104*4)</f>
        <v>6.454324654416256</v>
      </c>
      <c r="BM112" s="769">
        <f>BM107/(BM104*4)</f>
        <v>8.2032678400873245</v>
      </c>
      <c r="BN112" s="769">
        <f>BN107/(BN104*4)</f>
        <v>7.643801575393848</v>
      </c>
      <c r="BO112" s="768">
        <f>BO107/BO104</f>
        <v>7.9590073230268512</v>
      </c>
      <c r="BP112" s="769"/>
      <c r="BQ112" s="769">
        <f>BQ107/(BQ104*4)</f>
        <v>9.694405120811675</v>
      </c>
      <c r="BR112" s="769">
        <f>BR107/(BR104*4)</f>
        <v>9.642348488951292</v>
      </c>
      <c r="BS112" s="769">
        <f>BS107/(BS104*4)</f>
        <v>9.6036942424732903</v>
      </c>
      <c r="BT112" s="769">
        <f>BT107/(BT104*4)</f>
        <v>9.5161295574020262</v>
      </c>
      <c r="BU112" s="768">
        <f>BU107/BU104</f>
        <v>9.9969288224980488</v>
      </c>
      <c r="BV112" s="97"/>
      <c r="BW112" s="769">
        <f>BW107/(BW104*4)</f>
        <v>10.23214273408739</v>
      </c>
      <c r="BX112" s="769">
        <f>BX107/(BX104*4)</f>
        <v>10.061526286767823</v>
      </c>
      <c r="BY112" s="769">
        <f>BY107/(BY104*4)</f>
        <v>9.9188652440115579</v>
      </c>
      <c r="BZ112" s="769">
        <f>BZ107/(BZ104*4)</f>
        <v>9.7218779029730129</v>
      </c>
      <c r="CA112" s="768">
        <f>CA107/CA104</f>
        <v>10.362958047217276</v>
      </c>
      <c r="CB112" s="97"/>
      <c r="CC112" s="769">
        <f>CC107/(CC104*4)</f>
        <v>10.582797148368563</v>
      </c>
      <c r="CD112" s="769">
        <f>CD107/(CD104*4)</f>
        <v>10.451047530335373</v>
      </c>
      <c r="CE112" s="769">
        <f>CE107/(CE104*4)</f>
        <v>10.341882673089605</v>
      </c>
      <c r="CF112" s="769">
        <f>CF107/(CF104*4)</f>
        <v>10.181820975054485</v>
      </c>
      <c r="CG112" s="768">
        <f>CG107/CG104</f>
        <v>10.769886610611037</v>
      </c>
      <c r="CH112" s="97"/>
      <c r="CI112" s="769">
        <f>CI107/(CI104*4)</f>
        <v>11.319765533820174</v>
      </c>
      <c r="CJ112" s="769">
        <f>CJ107/(CJ104*4)</f>
        <v>11.307979313616061</v>
      </c>
      <c r="CK112" s="769">
        <f>CK107/(CK104*4)</f>
        <v>11.306060475281969</v>
      </c>
      <c r="CL112" s="769">
        <f>CL107/(CL104*4)</f>
        <v>11.26315068514173</v>
      </c>
      <c r="CM112" s="768">
        <f>CM107/CM104</f>
        <v>11.681188460939977</v>
      </c>
      <c r="CN112" s="97"/>
      <c r="CO112" s="97"/>
      <c r="CP112"/>
      <c r="CQ112"/>
      <c r="CR112"/>
      <c r="CS112"/>
      <c r="CT112"/>
      <c r="CU112"/>
      <c r="CV112" s="97"/>
    </row>
    <row r="113" spans="1:100" s="24" customFormat="1" collapsed="1">
      <c r="A113" s="73"/>
      <c r="B113" s="73"/>
      <c r="C113" s="73"/>
      <c r="D113" s="73"/>
      <c r="E113" s="73"/>
      <c r="F113" s="742"/>
      <c r="G113" s="742"/>
      <c r="H113" s="742"/>
      <c r="I113" s="742"/>
      <c r="J113" s="742"/>
      <c r="K113" s="742"/>
      <c r="L113" s="742"/>
      <c r="M113" s="742"/>
      <c r="N113" s="742"/>
      <c r="O113" s="742"/>
      <c r="P113" s="742"/>
      <c r="Q113" s="742"/>
      <c r="R113" s="742"/>
      <c r="S113" s="742"/>
      <c r="T113" s="742"/>
      <c r="U113" s="742"/>
      <c r="V113" s="742"/>
      <c r="W113" s="742"/>
      <c r="X113" s="742"/>
      <c r="Y113" s="742"/>
      <c r="Z113" s="742"/>
      <c r="AA113" s="742"/>
      <c r="AB113" s="742"/>
      <c r="AC113" s="742"/>
      <c r="AD113" s="742"/>
      <c r="AE113" s="742"/>
      <c r="AF113" s="742"/>
      <c r="AG113" s="742"/>
      <c r="AH113" s="742"/>
      <c r="AI113" s="742"/>
      <c r="AJ113" s="742"/>
      <c r="AK113" s="742"/>
      <c r="AL113" s="742"/>
      <c r="AM113" s="742"/>
      <c r="AN113" s="742"/>
      <c r="AO113" s="742"/>
      <c r="AP113" s="742"/>
      <c r="AQ113" s="742"/>
      <c r="AR113" s="742"/>
      <c r="AS113" s="742"/>
      <c r="AT113" s="742"/>
      <c r="AU113" s="742"/>
      <c r="AV113" s="742"/>
      <c r="AW113" s="742"/>
      <c r="AX113" s="742"/>
      <c r="AY113" s="742"/>
      <c r="AZ113" s="742"/>
      <c r="BA113" s="742"/>
      <c r="BB113" s="742"/>
      <c r="BC113" s="742"/>
      <c r="BD113" s="742"/>
      <c r="BE113" s="742"/>
      <c r="BF113" s="742"/>
      <c r="BG113" s="742"/>
      <c r="BH113" s="742"/>
      <c r="BI113" s="742"/>
      <c r="BJ113" s="742"/>
      <c r="BK113" s="742"/>
      <c r="BL113" s="742"/>
      <c r="BM113" s="742"/>
      <c r="BN113" s="742"/>
      <c r="BO113" s="742"/>
      <c r="BP113" s="742"/>
      <c r="BQ113" s="742"/>
      <c r="BR113" s="742"/>
      <c r="BS113" s="742"/>
      <c r="BT113" s="742"/>
      <c r="BU113" s="742"/>
      <c r="BV113" s="97"/>
      <c r="BW113" s="742"/>
      <c r="BX113" s="742"/>
      <c r="BY113" s="742"/>
      <c r="BZ113" s="742"/>
      <c r="CA113" s="742"/>
      <c r="CB113" s="97"/>
      <c r="CC113" s="742"/>
      <c r="CD113" s="742"/>
      <c r="CE113" s="742"/>
      <c r="CF113" s="742"/>
      <c r="CG113" s="742"/>
      <c r="CH113" s="97"/>
      <c r="CI113" s="742"/>
      <c r="CJ113" s="742"/>
      <c r="CK113" s="742"/>
      <c r="CL113" s="742"/>
      <c r="CM113" s="742"/>
      <c r="CN113" s="97"/>
      <c r="CO113" s="97"/>
      <c r="CP113"/>
      <c r="CQ113"/>
      <c r="CR113"/>
      <c r="CS113"/>
      <c r="CT113"/>
      <c r="CU113"/>
      <c r="CV113" s="97"/>
    </row>
    <row r="114" spans="1:100" s="24" customFormat="1">
      <c r="A114" s="741" t="s">
        <v>378</v>
      </c>
      <c r="B114" s="741"/>
      <c r="C114" s="741"/>
      <c r="D114" s="741"/>
      <c r="E114" s="741"/>
      <c r="F114" s="742"/>
      <c r="G114" s="742"/>
      <c r="H114" s="742"/>
      <c r="I114" s="742"/>
      <c r="J114" s="742"/>
      <c r="K114" s="742"/>
      <c r="L114" s="742"/>
      <c r="M114" s="742"/>
      <c r="N114" s="742"/>
      <c r="O114" s="742"/>
      <c r="P114" s="742"/>
      <c r="Q114" s="742"/>
      <c r="R114" s="742"/>
      <c r="S114" s="742"/>
      <c r="T114" s="742"/>
      <c r="U114" s="742"/>
      <c r="V114" s="742"/>
      <c r="W114" s="742"/>
      <c r="X114" s="742"/>
      <c r="Y114" s="742"/>
      <c r="Z114" s="742"/>
      <c r="AA114" s="742"/>
      <c r="AB114" s="742"/>
      <c r="AC114" s="742"/>
      <c r="AD114" s="742"/>
      <c r="AE114" s="742"/>
      <c r="AF114" s="742"/>
      <c r="AG114" s="742"/>
      <c r="AH114" s="742"/>
      <c r="AI114" s="742"/>
      <c r="AJ114" s="742"/>
      <c r="AK114" s="742"/>
      <c r="AL114" s="742"/>
      <c r="AM114" s="742"/>
      <c r="AN114" s="742"/>
      <c r="AO114" s="742"/>
      <c r="AP114" s="742"/>
      <c r="AQ114" s="742"/>
      <c r="AR114" s="742"/>
      <c r="AS114" s="742"/>
      <c r="AT114" s="742"/>
      <c r="AU114" s="742"/>
      <c r="AV114" s="742"/>
      <c r="AW114" s="742"/>
      <c r="AX114" s="742"/>
      <c r="AY114" s="742"/>
      <c r="AZ114" s="742"/>
      <c r="BA114" s="742"/>
      <c r="BB114" s="742"/>
      <c r="BC114" s="742"/>
      <c r="BD114" s="742"/>
      <c r="BE114" s="742"/>
      <c r="BF114" s="742"/>
      <c r="BG114" s="742"/>
      <c r="BH114" s="742"/>
      <c r="BI114" s="742"/>
      <c r="BJ114" s="742"/>
      <c r="BK114" s="742"/>
      <c r="BL114" s="742"/>
      <c r="BM114" s="742"/>
      <c r="BN114" s="742"/>
      <c r="BO114" s="742"/>
      <c r="BP114" s="742"/>
      <c r="BQ114" s="742"/>
      <c r="BR114" s="742"/>
      <c r="BS114" s="742"/>
      <c r="BT114" s="742"/>
      <c r="BU114" s="742"/>
      <c r="BV114" s="97"/>
      <c r="BW114" s="742"/>
      <c r="BX114" s="742"/>
      <c r="BY114" s="742"/>
      <c r="BZ114" s="742"/>
      <c r="CA114" s="742"/>
      <c r="CB114" s="97"/>
      <c r="CC114" s="742"/>
      <c r="CD114" s="742"/>
      <c r="CE114" s="742"/>
      <c r="CF114" s="742"/>
      <c r="CG114" s="742"/>
      <c r="CH114" s="97"/>
      <c r="CI114" s="742"/>
      <c r="CJ114" s="742"/>
      <c r="CK114" s="742"/>
      <c r="CL114" s="742"/>
      <c r="CM114" s="742"/>
      <c r="CN114" s="97"/>
      <c r="CO114" s="97"/>
      <c r="CP114"/>
      <c r="CQ114"/>
      <c r="CR114"/>
      <c r="CS114"/>
      <c r="CT114"/>
      <c r="CU114"/>
      <c r="CV114" s="97"/>
    </row>
    <row r="115" spans="1:100" s="24" customFormat="1" hidden="1" outlineLevel="1">
      <c r="A115" s="770" t="s">
        <v>159</v>
      </c>
      <c r="B115" s="770"/>
      <c r="C115" s="770"/>
      <c r="D115" s="770"/>
      <c r="E115" s="770"/>
      <c r="F115" s="761"/>
      <c r="G115" s="771">
        <v>131.65299999999999</v>
      </c>
      <c r="H115" s="772"/>
      <c r="I115" s="773">
        <f>G120</f>
        <v>141.75899999999999</v>
      </c>
      <c r="J115" s="773">
        <f>I120</f>
        <v>144.04</v>
      </c>
      <c r="K115" s="773">
        <f>J120</f>
        <v>153.89099999999999</v>
      </c>
      <c r="L115" s="773">
        <f>K120</f>
        <v>148.71600000000001</v>
      </c>
      <c r="M115" s="774">
        <f>G120</f>
        <v>141.75899999999999</v>
      </c>
      <c r="N115" s="772"/>
      <c r="O115" s="773">
        <f>M120</f>
        <v>149.65199999999999</v>
      </c>
      <c r="P115" s="773">
        <f>O120</f>
        <v>171.70699999999999</v>
      </c>
      <c r="Q115" s="773">
        <f>P120</f>
        <v>177.40700000000001</v>
      </c>
      <c r="R115" s="773">
        <f>Q120</f>
        <v>181.92599999999999</v>
      </c>
      <c r="S115" s="774">
        <f>M120</f>
        <v>149.65199999999999</v>
      </c>
      <c r="T115" s="772"/>
      <c r="U115" s="773">
        <f>S120</f>
        <v>182.16499999999999</v>
      </c>
      <c r="V115" s="773">
        <f>U120</f>
        <v>179.55699999999999</v>
      </c>
      <c r="W115" s="773">
        <f>V120</f>
        <v>172.203</v>
      </c>
      <c r="X115" s="773">
        <f>W120</f>
        <v>183.18199999999999</v>
      </c>
      <c r="Y115" s="774">
        <f>S120</f>
        <v>182.16499999999999</v>
      </c>
      <c r="Z115" s="772"/>
      <c r="AA115" s="773">
        <f>Y120</f>
        <v>181.316</v>
      </c>
      <c r="AB115" s="773">
        <f>AA120</f>
        <v>191.43199999999999</v>
      </c>
      <c r="AC115" s="773">
        <f>AB120</f>
        <v>195.07400000000001</v>
      </c>
      <c r="AD115" s="773">
        <f>AC120</f>
        <v>196.30500000000001</v>
      </c>
      <c r="AE115" s="774">
        <f>Y120</f>
        <v>181.316</v>
      </c>
      <c r="AF115" s="772"/>
      <c r="AG115" s="773">
        <f>AE120</f>
        <v>191.99199999999999</v>
      </c>
      <c r="AH115" s="773">
        <f>AG120</f>
        <v>205.35499999999999</v>
      </c>
      <c r="AI115" s="773">
        <f>AH120</f>
        <v>306.77</v>
      </c>
      <c r="AJ115" s="773">
        <f>AI120</f>
        <v>316.26900000000001</v>
      </c>
      <c r="AK115" s="774">
        <f>AE120</f>
        <v>191.99199999999999</v>
      </c>
      <c r="AL115" s="772"/>
      <c r="AM115" s="773">
        <f>AK120</f>
        <v>220.14500000000001</v>
      </c>
      <c r="AN115" s="773">
        <f>AM120</f>
        <v>214.99299999999999</v>
      </c>
      <c r="AO115" s="773">
        <f>AN120</f>
        <v>219.453</v>
      </c>
      <c r="AP115" s="773">
        <f>AO120</f>
        <v>230.774</v>
      </c>
      <c r="AQ115" s="774">
        <f>AK120</f>
        <v>220.14500000000001</v>
      </c>
      <c r="AR115" s="772"/>
      <c r="AS115" s="773">
        <f>AQ120</f>
        <v>239.11199999999999</v>
      </c>
      <c r="AT115" s="773">
        <f>AS120</f>
        <v>238.25800000000001</v>
      </c>
      <c r="AU115" s="773">
        <f>AT120</f>
        <v>237.06399999999999</v>
      </c>
      <c r="AV115" s="773">
        <f>AU120</f>
        <v>241.654</v>
      </c>
      <c r="AW115" s="774">
        <f>AQ120</f>
        <v>239.11199999999999</v>
      </c>
      <c r="AX115" s="772"/>
      <c r="AY115" s="773">
        <f>AW120</f>
        <v>232.37100000000001</v>
      </c>
      <c r="AZ115" s="773">
        <f>AY120</f>
        <v>213.108</v>
      </c>
      <c r="BA115" s="773">
        <f>AZ120</f>
        <v>223.16</v>
      </c>
      <c r="BB115" s="773">
        <f>BA120</f>
        <v>222.80600000000001</v>
      </c>
      <c r="BC115" s="774">
        <f>AW120</f>
        <v>232.37100000000001</v>
      </c>
      <c r="BD115" s="772"/>
      <c r="BE115" s="773">
        <f>BC120</f>
        <v>218.02199999999999</v>
      </c>
      <c r="BF115" s="773">
        <f>BE120</f>
        <v>223.364</v>
      </c>
      <c r="BG115" s="773">
        <f>BF120</f>
        <v>217.393</v>
      </c>
      <c r="BH115" s="773">
        <f>BG120</f>
        <v>221.619</v>
      </c>
      <c r="BI115" s="774">
        <f>BC120</f>
        <v>218.02199999999999</v>
      </c>
      <c r="BJ115" s="772"/>
      <c r="BK115" s="773">
        <f>BI120</f>
        <v>207.05500000000001</v>
      </c>
      <c r="BL115" s="773">
        <f>BK120</f>
        <v>211.04900000000001</v>
      </c>
      <c r="BM115" s="773">
        <f>BL120</f>
        <v>219.09200000000001</v>
      </c>
      <c r="BN115" s="773">
        <f>BM120</f>
        <v>224.05600000000001</v>
      </c>
      <c r="BO115" s="774">
        <f>BI120</f>
        <v>207.05500000000001</v>
      </c>
      <c r="BP115" s="772"/>
      <c r="BQ115" s="773">
        <f>BO120</f>
        <v>228.39500000000001</v>
      </c>
      <c r="BR115" s="773">
        <f>BQ120</f>
        <v>218.39500000000001</v>
      </c>
      <c r="BS115" s="773">
        <f>BR120</f>
        <v>208.39500000000001</v>
      </c>
      <c r="BT115" s="773">
        <f>BS120</f>
        <v>198.39500000000001</v>
      </c>
      <c r="BU115" s="774">
        <f>BO120</f>
        <v>228.39500000000001</v>
      </c>
      <c r="BV115" s="97"/>
      <c r="BW115" s="773">
        <f>BU120</f>
        <v>188.39500000000001</v>
      </c>
      <c r="BX115" s="773">
        <f>BW120</f>
        <v>178.39500000000001</v>
      </c>
      <c r="BY115" s="773">
        <f>BX120</f>
        <v>168.39500000000001</v>
      </c>
      <c r="BZ115" s="773">
        <f>BY120</f>
        <v>158.39500000000001</v>
      </c>
      <c r="CA115" s="774">
        <f>BU120</f>
        <v>188.39500000000001</v>
      </c>
      <c r="CB115" s="97"/>
      <c r="CC115" s="773">
        <f>CA120</f>
        <v>148.39500000000001</v>
      </c>
      <c r="CD115" s="773">
        <f>CC120</f>
        <v>138.39500000000001</v>
      </c>
      <c r="CE115" s="773">
        <f>CD120</f>
        <v>128.39500000000001</v>
      </c>
      <c r="CF115" s="773">
        <f>CE120</f>
        <v>118.39500000000001</v>
      </c>
      <c r="CG115" s="774">
        <f>CA120</f>
        <v>148.39500000000001</v>
      </c>
      <c r="CH115" s="97"/>
      <c r="CI115" s="773">
        <f>CG120</f>
        <v>108.39500000000001</v>
      </c>
      <c r="CJ115" s="773">
        <f>CI120</f>
        <v>98.39500000000001</v>
      </c>
      <c r="CK115" s="773">
        <f>CJ120</f>
        <v>88.39500000000001</v>
      </c>
      <c r="CL115" s="773">
        <f>CK120</f>
        <v>78.39500000000001</v>
      </c>
      <c r="CM115" s="774">
        <f>CG120</f>
        <v>108.39500000000001</v>
      </c>
      <c r="CN115" s="97"/>
      <c r="CO115" s="97"/>
      <c r="CP115"/>
      <c r="CQ115"/>
      <c r="CR115"/>
      <c r="CS115"/>
      <c r="CT115"/>
      <c r="CU115"/>
      <c r="CV115" s="97"/>
    </row>
    <row r="116" spans="1:100" s="24" customFormat="1" hidden="1" outlineLevel="1">
      <c r="A116" s="775" t="s">
        <v>382</v>
      </c>
      <c r="B116" s="775"/>
      <c r="C116" s="775"/>
      <c r="D116" s="775"/>
      <c r="E116" s="775"/>
      <c r="F116" s="761"/>
      <c r="G116" s="776">
        <v>4.4000000000000004</v>
      </c>
      <c r="H116" s="761"/>
      <c r="I116" s="777">
        <v>0</v>
      </c>
      <c r="J116" s="777">
        <v>0</v>
      </c>
      <c r="K116" s="763">
        <f>1-I116-J116</f>
        <v>1</v>
      </c>
      <c r="L116" s="777">
        <f>3+1-I116-J116-K116</f>
        <v>3</v>
      </c>
      <c r="M116" s="753">
        <f>SUM(I116:L116)</f>
        <v>4</v>
      </c>
      <c r="N116" s="761"/>
      <c r="O116" s="777">
        <v>0</v>
      </c>
      <c r="P116" s="777">
        <f>24-O116</f>
        <v>24</v>
      </c>
      <c r="Q116" s="777">
        <f>24-O116-P116</f>
        <v>0</v>
      </c>
      <c r="R116" s="777">
        <f>24-O116-P116-Q116</f>
        <v>0</v>
      </c>
      <c r="S116" s="753">
        <f>SUM(O116:R116)</f>
        <v>24</v>
      </c>
      <c r="T116" s="761"/>
      <c r="U116" s="777">
        <v>0</v>
      </c>
      <c r="V116" s="777">
        <v>0</v>
      </c>
      <c r="W116" s="777">
        <v>0</v>
      </c>
      <c r="X116" s="777">
        <v>0</v>
      </c>
      <c r="Y116" s="753">
        <f>SUM(U116:X116)</f>
        <v>0</v>
      </c>
      <c r="Z116" s="761"/>
      <c r="AA116" s="777">
        <v>0</v>
      </c>
      <c r="AB116" s="777">
        <v>0</v>
      </c>
      <c r="AC116" s="777">
        <v>4</v>
      </c>
      <c r="AD116" s="745">
        <f>CFS!AD31*BS!AD131</f>
        <v>0</v>
      </c>
      <c r="AE116" s="753">
        <f>SUM(AA116:AD116)</f>
        <v>4</v>
      </c>
      <c r="AF116" s="761"/>
      <c r="AG116" s="777">
        <v>0</v>
      </c>
      <c r="AH116" s="777">
        <v>0</v>
      </c>
      <c r="AI116" s="777">
        <v>4</v>
      </c>
      <c r="AJ116" s="1184">
        <v>0</v>
      </c>
      <c r="AK116" s="753">
        <f>SUM(AG116:AJ116)</f>
        <v>4</v>
      </c>
      <c r="AL116" s="761"/>
      <c r="AM116" s="777">
        <v>0</v>
      </c>
      <c r="AN116" s="777">
        <v>0</v>
      </c>
      <c r="AO116" s="777">
        <v>0</v>
      </c>
      <c r="AP116" s="777">
        <v>0</v>
      </c>
      <c r="AQ116" s="753">
        <f>SUM(AM116:AP116)</f>
        <v>0</v>
      </c>
      <c r="AR116" s="761"/>
      <c r="AS116" s="757">
        <v>0</v>
      </c>
      <c r="AT116" s="777">
        <v>0</v>
      </c>
      <c r="AU116" s="777">
        <v>0</v>
      </c>
      <c r="AV116" s="777">
        <v>0</v>
      </c>
      <c r="AW116" s="753">
        <f>SUM(AS116:AV116)</f>
        <v>0</v>
      </c>
      <c r="AX116" s="761"/>
      <c r="AY116" s="757">
        <v>0</v>
      </c>
      <c r="AZ116" s="777">
        <v>0</v>
      </c>
      <c r="BA116" s="777">
        <v>0</v>
      </c>
      <c r="BB116" s="777">
        <v>0</v>
      </c>
      <c r="BC116" s="753">
        <f>SUM(AY116:BB116)</f>
        <v>0</v>
      </c>
      <c r="BD116" s="761"/>
      <c r="BE116" s="757">
        <v>0</v>
      </c>
      <c r="BF116" s="777">
        <v>0</v>
      </c>
      <c r="BG116" s="777">
        <v>0</v>
      </c>
      <c r="BH116" s="777">
        <v>0</v>
      </c>
      <c r="BI116" s="753">
        <f>SUM(BE116:BH116)</f>
        <v>0</v>
      </c>
      <c r="BJ116" s="761"/>
      <c r="BK116" s="757">
        <v>0</v>
      </c>
      <c r="BL116" s="777">
        <v>0</v>
      </c>
      <c r="BM116" s="777">
        <v>0</v>
      </c>
      <c r="BN116" s="777">
        <v>0</v>
      </c>
      <c r="BO116" s="753">
        <f>SUM(BK116:BN116)</f>
        <v>0</v>
      </c>
      <c r="BP116" s="761"/>
      <c r="BQ116" s="745">
        <f>-CFS!BQ31*BS!BQ131</f>
        <v>0</v>
      </c>
      <c r="BR116" s="745">
        <f>-CFS!BR31*BS!BR131</f>
        <v>0</v>
      </c>
      <c r="BS116" s="745">
        <f>-CFS!BS31*BS!BS131</f>
        <v>0</v>
      </c>
      <c r="BT116" s="745">
        <f>-CFS!BT31*BS!BT131</f>
        <v>0</v>
      </c>
      <c r="BU116" s="753">
        <f>SUM(BQ116:BT116)</f>
        <v>0</v>
      </c>
      <c r="BV116" s="97"/>
      <c r="BW116" s="745">
        <f>-CFS!BW31*BS!BW131</f>
        <v>0</v>
      </c>
      <c r="BX116" s="745">
        <f>-CFS!BX31*BS!BX131</f>
        <v>0</v>
      </c>
      <c r="BY116" s="745">
        <f>-CFS!BY31*BS!BY131</f>
        <v>0</v>
      </c>
      <c r="BZ116" s="745">
        <f>-CFS!BZ31*BS!BZ131</f>
        <v>0</v>
      </c>
      <c r="CA116" s="753">
        <f>SUM(BW116:BZ116)</f>
        <v>0</v>
      </c>
      <c r="CB116" s="97"/>
      <c r="CC116" s="745">
        <f>-CFS!CC31*BS!CC131</f>
        <v>0</v>
      </c>
      <c r="CD116" s="745">
        <f>-CFS!CD31*BS!CD131</f>
        <v>0</v>
      </c>
      <c r="CE116" s="745">
        <f>-CFS!CE31*BS!CE131</f>
        <v>0</v>
      </c>
      <c r="CF116" s="745">
        <f>-CFS!CF31*BS!CF131</f>
        <v>0</v>
      </c>
      <c r="CG116" s="753">
        <f>SUM(CC116:CF116)</f>
        <v>0</v>
      </c>
      <c r="CH116" s="97"/>
      <c r="CI116" s="745">
        <f>-CFS!CI31*BS!CI131</f>
        <v>0</v>
      </c>
      <c r="CJ116" s="745">
        <f>-CFS!CJ31*BS!CJ131</f>
        <v>0</v>
      </c>
      <c r="CK116" s="745">
        <f>-CFS!CK31*BS!CK131</f>
        <v>0</v>
      </c>
      <c r="CL116" s="745">
        <f>-CFS!CL31*BS!CL131</f>
        <v>0</v>
      </c>
      <c r="CM116" s="753">
        <f>SUM(CI116:CL116)</f>
        <v>0</v>
      </c>
      <c r="CN116" s="97"/>
      <c r="CO116" s="97"/>
      <c r="CP116"/>
      <c r="CQ116"/>
      <c r="CR116"/>
      <c r="CS116"/>
      <c r="CT116"/>
      <c r="CU116"/>
      <c r="CV116" s="97"/>
    </row>
    <row r="117" spans="1:100" s="24" customFormat="1" hidden="1" outlineLevel="1">
      <c r="A117" s="775" t="s">
        <v>196</v>
      </c>
      <c r="B117" s="775"/>
      <c r="C117" s="775"/>
      <c r="D117" s="775"/>
      <c r="E117" s="775"/>
      <c r="F117" s="745"/>
      <c r="G117" s="752">
        <f>-CFS!G14</f>
        <v>-25.85</v>
      </c>
      <c r="H117" s="745"/>
      <c r="I117" s="745">
        <f>-CFS!I14</f>
        <v>-6.633</v>
      </c>
      <c r="J117" s="745">
        <f>-CFS!J14</f>
        <v>-16.542999999999999</v>
      </c>
      <c r="K117" s="745">
        <f>-CFS!K14</f>
        <v>-7.2370000000000019</v>
      </c>
      <c r="L117" s="745">
        <f>-CFS!L14</f>
        <v>-5.7870000000000026</v>
      </c>
      <c r="M117" s="752">
        <f>SUM(I117:L117)</f>
        <v>-36.200000000000003</v>
      </c>
      <c r="N117" s="745"/>
      <c r="O117" s="745">
        <f>-CFS!O14</f>
        <v>-6.048</v>
      </c>
      <c r="P117" s="745">
        <f>-CFS!P14</f>
        <v>-6.5630000000000006</v>
      </c>
      <c r="Q117" s="745">
        <f>-CFS!Q14</f>
        <v>-6.1789999999999985</v>
      </c>
      <c r="R117" s="745">
        <f>-CFS!R14</f>
        <v>-6.6769999999999996</v>
      </c>
      <c r="S117" s="752">
        <f>SUM(O117:R117)</f>
        <v>-25.466999999999999</v>
      </c>
      <c r="T117" s="745"/>
      <c r="U117" s="745">
        <f>-CFS!U14</f>
        <v>-6.5439999999999996</v>
      </c>
      <c r="V117" s="745">
        <f>-CFS!V14</f>
        <v>-6.6239999999999997</v>
      </c>
      <c r="W117" s="745">
        <f>-CFS!W14</f>
        <v>-6.4529999999999985</v>
      </c>
      <c r="X117" s="745">
        <f>-CFS!X14</f>
        <v>-8.5160000000000018</v>
      </c>
      <c r="Y117" s="752">
        <f>SUM(U117:X117)</f>
        <v>-28.137</v>
      </c>
      <c r="Z117" s="745"/>
      <c r="AA117" s="745">
        <f>-CFS!AA14</f>
        <v>-7.52</v>
      </c>
      <c r="AB117" s="745">
        <f>-CFS!AB14</f>
        <v>-7.9860000000000007</v>
      </c>
      <c r="AC117" s="745">
        <f>-CFS!AC14</f>
        <v>-7.2719999999999985</v>
      </c>
      <c r="AD117" s="745">
        <f>-CFS!AD14</f>
        <v>-7.078000000000003</v>
      </c>
      <c r="AE117" s="753">
        <f>SUM(AA117:AD117)</f>
        <v>-29.856000000000002</v>
      </c>
      <c r="AF117" s="745"/>
      <c r="AG117" s="745">
        <f>-CFS!AG14</f>
        <v>-6.806</v>
      </c>
      <c r="AH117" s="745">
        <f>-CFS!AH14</f>
        <v>-6.6290000000000004</v>
      </c>
      <c r="AI117" s="745">
        <f>-CFS!AI14</f>
        <v>-10.688999999999998</v>
      </c>
      <c r="AJ117" s="745">
        <f>-CFS!AJ14</f>
        <v>-7.2850000000000001</v>
      </c>
      <c r="AK117" s="753">
        <f>SUM(AG117:AJ117)</f>
        <v>-31.408999999999999</v>
      </c>
      <c r="AL117" s="745"/>
      <c r="AM117" s="745">
        <f>-CFS!AM14</f>
        <v>-9.7750000000000004</v>
      </c>
      <c r="AN117" s="745">
        <f>-CFS!AN14</f>
        <v>-9.8179999999999996</v>
      </c>
      <c r="AO117" s="745">
        <f>-CFS!AO14</f>
        <v>-10.855000000000002</v>
      </c>
      <c r="AP117" s="745">
        <f>-CFS!AP14</f>
        <v>-11.082000000000001</v>
      </c>
      <c r="AQ117" s="753">
        <f>SUM(AM117:AP117)</f>
        <v>-41.53</v>
      </c>
      <c r="AR117" s="745"/>
      <c r="AS117" s="745">
        <f>-CFS!AS14</f>
        <v>-11.523</v>
      </c>
      <c r="AT117" s="745">
        <f>-CFS!AT14</f>
        <v>-12.277000000000001</v>
      </c>
      <c r="AU117" s="745">
        <f>-CFS!AU14</f>
        <v>-12.089000000000002</v>
      </c>
      <c r="AV117" s="745">
        <f>-CFS!AV14</f>
        <v>-11.948999999999998</v>
      </c>
      <c r="AW117" s="753">
        <f>SUM(AS117:AV117)</f>
        <v>-47.838000000000001</v>
      </c>
      <c r="AX117" s="745"/>
      <c r="AY117" s="745">
        <f>-CFS!AY14</f>
        <v>-11.103999999999999</v>
      </c>
      <c r="AZ117" s="745">
        <f>-CFS!AZ14</f>
        <v>-11.268000000000001</v>
      </c>
      <c r="BA117" s="745">
        <f>-CFS!BA14</f>
        <v>-11.320999999999998</v>
      </c>
      <c r="BB117" s="745">
        <f>-CFS!BB14</f>
        <v>-11.007000000000005</v>
      </c>
      <c r="BC117" s="753">
        <f>SUM(AY117:BB117)</f>
        <v>-44.7</v>
      </c>
      <c r="BD117" s="745"/>
      <c r="BE117" s="745">
        <f>-CFS!BE14</f>
        <v>-11.074999999999999</v>
      </c>
      <c r="BF117" s="745">
        <f>-CFS!BF14</f>
        <v>-10.946999999999999</v>
      </c>
      <c r="BG117" s="745">
        <f>-CFS!BG14</f>
        <v>-11.488</v>
      </c>
      <c r="BH117" s="745">
        <f>-CFS!BH14</f>
        <v>-11.255000000000003</v>
      </c>
      <c r="BI117" s="753">
        <f>SUM(BE117:BH117)</f>
        <v>-44.765000000000001</v>
      </c>
      <c r="BJ117" s="745"/>
      <c r="BK117" s="745">
        <f>-CFS!BK14</f>
        <v>-10.167</v>
      </c>
      <c r="BL117" s="745">
        <f>-CFS!BL14</f>
        <v>-11.442000000000002</v>
      </c>
      <c r="BM117" s="745">
        <f>-CFS!BM14</f>
        <v>-11.186</v>
      </c>
      <c r="BN117" s="745">
        <f>-CFS!BN14</f>
        <v>-11.756999999999998</v>
      </c>
      <c r="BO117" s="753">
        <f>SUM(BK117:BN117)</f>
        <v>-44.552</v>
      </c>
      <c r="BP117" s="745"/>
      <c r="BQ117" s="757">
        <v>-10</v>
      </c>
      <c r="BR117" s="757">
        <f>+BQ117</f>
        <v>-10</v>
      </c>
      <c r="BS117" s="757">
        <f>+BR117</f>
        <v>-10</v>
      </c>
      <c r="BT117" s="757">
        <f>+BS117</f>
        <v>-10</v>
      </c>
      <c r="BU117" s="753">
        <f>SUM(BQ117:BT117)</f>
        <v>-40</v>
      </c>
      <c r="BV117" s="97"/>
      <c r="BW117" s="757">
        <v>-10</v>
      </c>
      <c r="BX117" s="757">
        <f>+BW117</f>
        <v>-10</v>
      </c>
      <c r="BY117" s="757">
        <f>+BX117</f>
        <v>-10</v>
      </c>
      <c r="BZ117" s="757">
        <f>+BY117</f>
        <v>-10</v>
      </c>
      <c r="CA117" s="753">
        <f>SUM(BW117:BZ117)</f>
        <v>-40</v>
      </c>
      <c r="CB117" s="97"/>
      <c r="CC117" s="757">
        <v>-10</v>
      </c>
      <c r="CD117" s="757">
        <f>+CC117</f>
        <v>-10</v>
      </c>
      <c r="CE117" s="757">
        <f>+CD117</f>
        <v>-10</v>
      </c>
      <c r="CF117" s="757">
        <f>+CE117</f>
        <v>-10</v>
      </c>
      <c r="CG117" s="753">
        <f>SUM(CC117:CF117)</f>
        <v>-40</v>
      </c>
      <c r="CH117" s="97"/>
      <c r="CI117" s="757">
        <v>-10</v>
      </c>
      <c r="CJ117" s="757">
        <f>+CI117</f>
        <v>-10</v>
      </c>
      <c r="CK117" s="757">
        <f>+CJ117</f>
        <v>-10</v>
      </c>
      <c r="CL117" s="757">
        <f>+CK117</f>
        <v>-10</v>
      </c>
      <c r="CM117" s="753">
        <f>SUM(CI117:CL117)</f>
        <v>-40</v>
      </c>
      <c r="CN117" s="97"/>
      <c r="CO117" s="97"/>
      <c r="CP117"/>
      <c r="CQ117"/>
      <c r="CR117"/>
      <c r="CS117"/>
      <c r="CT117"/>
      <c r="CU117"/>
      <c r="CV117" s="97"/>
    </row>
    <row r="118" spans="1:100" s="24" customFormat="1" hidden="1" outlineLevel="1">
      <c r="A118" s="778" t="s">
        <v>160</v>
      </c>
      <c r="B118" s="778"/>
      <c r="C118" s="778"/>
      <c r="D118" s="778"/>
      <c r="E118" s="778"/>
      <c r="F118" s="628"/>
      <c r="G118" s="755">
        <f>-G117/G115</f>
        <v>0.19634949450449291</v>
      </c>
      <c r="H118" s="628"/>
      <c r="I118" s="628">
        <f>-I117*4/I115</f>
        <v>0.18716271982731256</v>
      </c>
      <c r="J118" s="628">
        <f>-J117*4/J115</f>
        <v>0.45940016662038324</v>
      </c>
      <c r="K118" s="628">
        <f>-K117*4/K115</f>
        <v>0.18810716676088926</v>
      </c>
      <c r="L118" s="628">
        <f>-L117*4/L115</f>
        <v>0.1556523844105544</v>
      </c>
      <c r="M118" s="755">
        <f>-M117/M115</f>
        <v>0.25536297519028778</v>
      </c>
      <c r="N118" s="628"/>
      <c r="O118" s="628">
        <f>-O117*4/O115</f>
        <v>0.16165503969208567</v>
      </c>
      <c r="P118" s="628">
        <f>-P117*4/P115</f>
        <v>0.15288835050405636</v>
      </c>
      <c r="Q118" s="628">
        <f>-Q117*4/Q115</f>
        <v>0.13931806523981574</v>
      </c>
      <c r="R118" s="628">
        <f>-R117*4/R115</f>
        <v>0.14680694348251486</v>
      </c>
      <c r="S118" s="755">
        <f>-S117/S115</f>
        <v>0.1701748055488734</v>
      </c>
      <c r="T118" s="628"/>
      <c r="U118" s="628">
        <f>-U117*4/U115</f>
        <v>0.14369390387835204</v>
      </c>
      <c r="V118" s="628">
        <f>-V117*4/V115</f>
        <v>0.14756316935569205</v>
      </c>
      <c r="W118" s="628">
        <f>-W117*4/W115</f>
        <v>0.14989285900942489</v>
      </c>
      <c r="X118" s="628">
        <f>-X117*4/X115</f>
        <v>0.18595713552641641</v>
      </c>
      <c r="Y118" s="755">
        <f>-Y117/Y115</f>
        <v>0.15445886970603576</v>
      </c>
      <c r="Z118" s="628"/>
      <c r="AA118" s="628">
        <f>-AA117*4/AA115</f>
        <v>0.16589821085839088</v>
      </c>
      <c r="AB118" s="628">
        <f>-AB117*4/AB115</f>
        <v>0.16686865309875049</v>
      </c>
      <c r="AC118" s="628">
        <f>-AC117*4/AC115</f>
        <v>0.14911264443236921</v>
      </c>
      <c r="AD118" s="628">
        <f>-AD117*4/AD115</f>
        <v>0.14422454853416883</v>
      </c>
      <c r="AE118" s="755">
        <f>-AE117/AE115</f>
        <v>0.16466279864987096</v>
      </c>
      <c r="AF118" s="628"/>
      <c r="AG118" s="628">
        <f>-AG117*4/AG115</f>
        <v>0.14179757489895414</v>
      </c>
      <c r="AH118" s="628">
        <f>-AH117*4/AH115</f>
        <v>0.12912273867205573</v>
      </c>
      <c r="AI118" s="628">
        <f>-AI117*4/AI115</f>
        <v>0.13937477589073247</v>
      </c>
      <c r="AJ118" s="628">
        <f>-AJ117*4/AJ115</f>
        <v>9.2136757001160405E-2</v>
      </c>
      <c r="AK118" s="755">
        <f>-AK117/AK115</f>
        <v>0.16359535813992249</v>
      </c>
      <c r="AL118" s="628"/>
      <c r="AM118" s="628">
        <f>-AM117*4/AM115</f>
        <v>0.17761021145154329</v>
      </c>
      <c r="AN118" s="628">
        <f>-AN117*4/AN115</f>
        <v>0.18266641239482215</v>
      </c>
      <c r="AO118" s="628">
        <f>-AO117*4/AO115</f>
        <v>0.19785557727622774</v>
      </c>
      <c r="AP118" s="628">
        <f>-AP117*4/AP115</f>
        <v>0.19208403026337456</v>
      </c>
      <c r="AQ118" s="755">
        <f>-AQ117/AQ115</f>
        <v>0.18864839083331442</v>
      </c>
      <c r="AR118" s="628"/>
      <c r="AS118" s="628">
        <f>-AS117*4/AS115</f>
        <v>0.19276322392853559</v>
      </c>
      <c r="AT118" s="628">
        <f>-AT117*4/AT115</f>
        <v>0.20611270135735213</v>
      </c>
      <c r="AU118" s="628">
        <f>-AU117*4/AU115</f>
        <v>0.20397867242601159</v>
      </c>
      <c r="AV118" s="628">
        <f>-AV117*4/AV115</f>
        <v>0.19778691848676203</v>
      </c>
      <c r="AW118" s="755">
        <f>-AW117/AW115</f>
        <v>0.20006524139315468</v>
      </c>
      <c r="AX118" s="628"/>
      <c r="AY118" s="628">
        <f>-AY117*4/AY115</f>
        <v>0.19114261246024675</v>
      </c>
      <c r="AZ118" s="628">
        <f>-AZ117*4/AZ115</f>
        <v>0.21149839517990879</v>
      </c>
      <c r="BA118" s="628">
        <f>-BA117*4/BA115</f>
        <v>0.20292167055027779</v>
      </c>
      <c r="BB118" s="628">
        <f>-BB117*4/BB115</f>
        <v>0.19760688670861654</v>
      </c>
      <c r="BC118" s="755">
        <f>-BC117/BC115</f>
        <v>0.19236479595130201</v>
      </c>
      <c r="BD118" s="628"/>
      <c r="BE118" s="628">
        <f>-BE117*4/BE115</f>
        <v>0.20319050371063471</v>
      </c>
      <c r="BF118" s="628">
        <f>-BF117*4/BF115</f>
        <v>0.19603875288766318</v>
      </c>
      <c r="BG118" s="628">
        <f>-BG117*4/BG115</f>
        <v>0.21137755125510019</v>
      </c>
      <c r="BH118" s="628">
        <f>-BH117*4/BH115</f>
        <v>0.20314142740469007</v>
      </c>
      <c r="BI118" s="755">
        <f>-BI117/BI115</f>
        <v>0.20532331599563347</v>
      </c>
      <c r="BJ118" s="628"/>
      <c r="BK118" s="628">
        <f>-BK117*4/BK115</f>
        <v>0.19641158146386226</v>
      </c>
      <c r="BL118" s="628">
        <f>-BL117*4/BL115</f>
        <v>0.21685959184833856</v>
      </c>
      <c r="BM118" s="628">
        <f>-BM117*4/BM115</f>
        <v>0.20422470925455971</v>
      </c>
      <c r="BN118" s="628">
        <f>-BN117*4/BN115</f>
        <v>0.20989395508265785</v>
      </c>
      <c r="BO118" s="755">
        <f>-BO117/BO115</f>
        <v>0.21516988239839654</v>
      </c>
      <c r="BP118" s="628"/>
      <c r="BQ118" s="628">
        <f>-BQ117*4/BQ115</f>
        <v>0.17513518246896823</v>
      </c>
      <c r="BR118" s="628">
        <f>-BR117*4/BR115</f>
        <v>0.1831543762448774</v>
      </c>
      <c r="BS118" s="628">
        <f>-BS117*4/BS115</f>
        <v>0.19194318481729408</v>
      </c>
      <c r="BT118" s="628">
        <f>-BT117*4/BT115</f>
        <v>0.20161798432420172</v>
      </c>
      <c r="BU118" s="755">
        <f>-BU117/BU115</f>
        <v>0.17513518246896823</v>
      </c>
      <c r="BV118" s="97"/>
      <c r="BW118" s="628">
        <f>-BW117*4/BW115</f>
        <v>0.21231985986889249</v>
      </c>
      <c r="BX118" s="628">
        <f>-BX117*4/BX115</f>
        <v>0.22422153087250202</v>
      </c>
      <c r="BY118" s="628">
        <f>-BY117*4/BY115</f>
        <v>0.23753674396508209</v>
      </c>
      <c r="BZ118" s="628">
        <f>-BZ117*4/BZ115</f>
        <v>0.25253322390226962</v>
      </c>
      <c r="CA118" s="755">
        <f>-CA117/CA115</f>
        <v>0.21231985986889249</v>
      </c>
      <c r="CB118" s="97"/>
      <c r="CC118" s="628">
        <f>-CC117*4/CC115</f>
        <v>0.2695508608780619</v>
      </c>
      <c r="CD118" s="628">
        <f>-CD117*4/CD115</f>
        <v>0.28902778279562119</v>
      </c>
      <c r="CE118" s="628">
        <f>-CE117*4/CE115</f>
        <v>0.31153861131664001</v>
      </c>
      <c r="CF118" s="628">
        <f>-CF117*4/CF115</f>
        <v>0.33785210524093073</v>
      </c>
      <c r="CG118" s="755">
        <f>-CG117/CG115</f>
        <v>0.2695508608780619</v>
      </c>
      <c r="CH118" s="97"/>
      <c r="CI118" s="628">
        <f>-CI117*4/CI115</f>
        <v>0.36902071128742098</v>
      </c>
      <c r="CJ118" s="628">
        <f>-CJ117*4/CJ115</f>
        <v>0.40652472178464349</v>
      </c>
      <c r="CK118" s="628">
        <f>-CK117*4/CK115</f>
        <v>0.45251428248204079</v>
      </c>
      <c r="CL118" s="628">
        <f>-CL117*4/CL115</f>
        <v>0.5102366222335607</v>
      </c>
      <c r="CM118" s="755">
        <f>-CM117/CM115</f>
        <v>0.36902071128742098</v>
      </c>
      <c r="CN118" s="97"/>
      <c r="CO118" s="97"/>
      <c r="CP118"/>
      <c r="CQ118"/>
      <c r="CR118"/>
      <c r="CS118"/>
      <c r="CT118"/>
      <c r="CU118"/>
      <c r="CV118" s="97"/>
    </row>
    <row r="119" spans="1:100" s="24" customFormat="1" hidden="1" outlineLevel="1">
      <c r="A119" s="775" t="s">
        <v>300</v>
      </c>
      <c r="B119" s="775"/>
      <c r="C119" s="775"/>
      <c r="D119" s="775"/>
      <c r="E119" s="775"/>
      <c r="F119" s="761"/>
      <c r="G119" s="762">
        <f>G120-G115-G116-G117</f>
        <v>31.555999999999997</v>
      </c>
      <c r="H119" s="761"/>
      <c r="I119" s="763">
        <f>I120-I115-I116-I117</f>
        <v>8.914000000000005</v>
      </c>
      <c r="J119" s="763">
        <f>J120-J115-J116-J117</f>
        <v>26.393999999999998</v>
      </c>
      <c r="K119" s="763">
        <f>K120-K115-K116-K117</f>
        <v>1.0620000000000189</v>
      </c>
      <c r="L119" s="763">
        <f>L120-L115-L116-L117</f>
        <v>3.7229999999999812</v>
      </c>
      <c r="M119" s="753">
        <f>SUM(I119:L119)</f>
        <v>40.093000000000004</v>
      </c>
      <c r="N119" s="761"/>
      <c r="O119" s="763">
        <f>O120-O115-O116-O117</f>
        <v>28.103000000000009</v>
      </c>
      <c r="P119" s="763">
        <f>P120-P115-P116-P117</f>
        <v>-11.736999999999982</v>
      </c>
      <c r="Q119" s="763">
        <f>Q120-Q115-Q116-Q117</f>
        <v>10.697999999999976</v>
      </c>
      <c r="R119" s="763">
        <f>R120-R115-R116-R117</f>
        <v>6.9160000000000039</v>
      </c>
      <c r="S119" s="753">
        <f>SUM(O119:R119)</f>
        <v>33.980000000000004</v>
      </c>
      <c r="T119" s="761"/>
      <c r="U119" s="763">
        <f>U120-U115-U116-U117</f>
        <v>3.9359999999999955</v>
      </c>
      <c r="V119" s="763">
        <f>V120-V115-V116-V117</f>
        <v>-0.72999999999998533</v>
      </c>
      <c r="W119" s="763">
        <f>W120-W115-W116-W117</f>
        <v>17.431999999999984</v>
      </c>
      <c r="X119" s="763">
        <f>X120-X115-X116-X117</f>
        <v>6.6500000000000163</v>
      </c>
      <c r="Y119" s="753">
        <f>SUM(U119:X119)</f>
        <v>27.288000000000011</v>
      </c>
      <c r="Z119" s="761"/>
      <c r="AA119" s="763">
        <f>AA120-AA115-AA116-AA117</f>
        <v>17.635999999999985</v>
      </c>
      <c r="AB119" s="763">
        <f>AB120-AB115-AB116-AB117</f>
        <v>11.628000000000025</v>
      </c>
      <c r="AC119" s="763">
        <f>AC120-AC115-AC116-AC117</f>
        <v>4.502999999999993</v>
      </c>
      <c r="AD119" s="763">
        <f>AD120-AD115-AD116-AD117</f>
        <v>2.7649999999999864</v>
      </c>
      <c r="AE119" s="753">
        <f>SUM(AA119:AD119)</f>
        <v>36.531999999999989</v>
      </c>
      <c r="AF119" s="761"/>
      <c r="AG119" s="763">
        <f>AG120-AG115-AG116-AG117</f>
        <v>20.169</v>
      </c>
      <c r="AH119" s="763">
        <f>AH120-AH115-AH116-AH117</f>
        <v>108.044</v>
      </c>
      <c r="AI119" s="763">
        <f>AI120-AI115-AI116-AI117</f>
        <v>16.188000000000024</v>
      </c>
      <c r="AJ119" s="763">
        <f>AJ120-AJ115-AJ116-AJ117</f>
        <v>-88.838999999999999</v>
      </c>
      <c r="AK119" s="753">
        <f>SUM(AG119:AJ119)</f>
        <v>55.562000000000012</v>
      </c>
      <c r="AL119" s="761"/>
      <c r="AM119" s="763">
        <f>AM120-AM115-AM116-AM117</f>
        <v>4.6229999999999851</v>
      </c>
      <c r="AN119" s="763">
        <f>AN120-AN115-AN116-AN117</f>
        <v>14.278000000000008</v>
      </c>
      <c r="AO119" s="763">
        <f>AO120-AO115-AO116-AO117</f>
        <v>22.176000000000002</v>
      </c>
      <c r="AP119" s="763">
        <f>AP120-AP115-AP116-AP117</f>
        <v>19.419999999999995</v>
      </c>
      <c r="AQ119" s="753">
        <f>SUM(AM119:AP119)</f>
        <v>60.496999999999993</v>
      </c>
      <c r="AR119" s="761"/>
      <c r="AS119" s="763">
        <f>AS120-AS115-AS116-AS117</f>
        <v>10.669000000000015</v>
      </c>
      <c r="AT119" s="763">
        <f>AT120-AT115-AT116-AT117</f>
        <v>11.082999999999984</v>
      </c>
      <c r="AU119" s="763">
        <f>AU120-AU115-AU116-AU117</f>
        <v>16.679000000000006</v>
      </c>
      <c r="AV119" s="763">
        <f>AV120-AV115-AV116-AV117</f>
        <v>2.666000000000011</v>
      </c>
      <c r="AW119" s="753">
        <f>SUM(AS119:AV119)</f>
        <v>41.097000000000016</v>
      </c>
      <c r="AX119" s="761"/>
      <c r="AY119" s="763">
        <f>AY120-AY115-AY116-AY117</f>
        <v>-8.159000000000006</v>
      </c>
      <c r="AZ119" s="763">
        <f>AZ120-AZ115-AZ116-AZ117</f>
        <v>21.319999999999993</v>
      </c>
      <c r="BA119" s="763">
        <f>BA120-BA115-BA116-BA117</f>
        <v>10.967000000000013</v>
      </c>
      <c r="BB119" s="763">
        <f>BB120-BB115-BB116-BB117</f>
        <v>6.2229999999999848</v>
      </c>
      <c r="BC119" s="753">
        <f>SUM(AY119:BB119)</f>
        <v>30.350999999999985</v>
      </c>
      <c r="BD119" s="761"/>
      <c r="BE119" s="763">
        <f>BE120-BE115-BE116-BE117</f>
        <v>16.417000000000012</v>
      </c>
      <c r="BF119" s="763">
        <f>BF120-BF115-BF116-BF117</f>
        <v>4.9759999999999955</v>
      </c>
      <c r="BG119" s="763">
        <f>BG120-BG115-BG116-BG117</f>
        <v>15.713999999999999</v>
      </c>
      <c r="BH119" s="763">
        <f>BH120-BH115-BH116-BH117</f>
        <v>-3.3089999999999904</v>
      </c>
      <c r="BI119" s="753">
        <f>SUM(BE119:BH119)</f>
        <v>33.798000000000016</v>
      </c>
      <c r="BJ119" s="761"/>
      <c r="BK119" s="763">
        <f>BK120-BK115-BK116-BK117</f>
        <v>14.161</v>
      </c>
      <c r="BL119" s="763">
        <f>BL120-BL115-BL116-BL117</f>
        <v>19.485000000000007</v>
      </c>
      <c r="BM119" s="763">
        <f>BM120-BM115-BM116-BM117</f>
        <v>16.149999999999999</v>
      </c>
      <c r="BN119" s="763">
        <f>BN120-BN115-BN116-BN117</f>
        <v>16.095999999999997</v>
      </c>
      <c r="BO119" s="753">
        <f>SUM(BK119:BN119)</f>
        <v>65.891999999999996</v>
      </c>
      <c r="BP119" s="761"/>
      <c r="BQ119" s="777">
        <v>0</v>
      </c>
      <c r="BR119" s="777">
        <v>0</v>
      </c>
      <c r="BS119" s="777">
        <v>0</v>
      </c>
      <c r="BT119" s="777">
        <v>0</v>
      </c>
      <c r="BU119" s="753">
        <f>SUM(BQ119:BT119)</f>
        <v>0</v>
      </c>
      <c r="BV119" s="97"/>
      <c r="BW119" s="777">
        <v>0</v>
      </c>
      <c r="BX119" s="777">
        <v>0</v>
      </c>
      <c r="BY119" s="777">
        <v>0</v>
      </c>
      <c r="BZ119" s="777">
        <v>0</v>
      </c>
      <c r="CA119" s="753">
        <f>SUM(BW119:BZ119)</f>
        <v>0</v>
      </c>
      <c r="CB119" s="97"/>
      <c r="CC119" s="777">
        <v>0</v>
      </c>
      <c r="CD119" s="777">
        <v>0</v>
      </c>
      <c r="CE119" s="777">
        <v>0</v>
      </c>
      <c r="CF119" s="777">
        <v>0</v>
      </c>
      <c r="CG119" s="753">
        <f>SUM(CC119:CF119)</f>
        <v>0</v>
      </c>
      <c r="CH119" s="97"/>
      <c r="CI119" s="777">
        <v>0</v>
      </c>
      <c r="CJ119" s="777">
        <v>0</v>
      </c>
      <c r="CK119" s="777">
        <v>0</v>
      </c>
      <c r="CL119" s="777">
        <v>0</v>
      </c>
      <c r="CM119" s="753">
        <f>SUM(CI119:CL119)</f>
        <v>0</v>
      </c>
      <c r="CN119" s="97"/>
      <c r="CO119" s="97"/>
      <c r="CP119"/>
      <c r="CQ119"/>
      <c r="CR119"/>
      <c r="CS119"/>
      <c r="CT119"/>
      <c r="CU119"/>
      <c r="CV119" s="97"/>
    </row>
    <row r="120" spans="1:100" s="24" customFormat="1" hidden="1" outlineLevel="1">
      <c r="A120" s="770" t="s">
        <v>161</v>
      </c>
      <c r="B120" s="770"/>
      <c r="C120" s="770"/>
      <c r="D120" s="770"/>
      <c r="E120" s="770"/>
      <c r="F120" s="761"/>
      <c r="G120" s="779">
        <f>G19</f>
        <v>141.75899999999999</v>
      </c>
      <c r="H120" s="769"/>
      <c r="I120" s="780">
        <f>I19</f>
        <v>144.04</v>
      </c>
      <c r="J120" s="780">
        <f>J19</f>
        <v>153.89099999999999</v>
      </c>
      <c r="K120" s="780">
        <f>K19</f>
        <v>148.71600000000001</v>
      </c>
      <c r="L120" s="780">
        <f>L19</f>
        <v>149.65199999999999</v>
      </c>
      <c r="M120" s="779">
        <f>M115+M117+M119+M116</f>
        <v>149.65199999999999</v>
      </c>
      <c r="N120" s="769"/>
      <c r="O120" s="780">
        <f>O19</f>
        <v>171.70699999999999</v>
      </c>
      <c r="P120" s="780">
        <f>P19</f>
        <v>177.40700000000001</v>
      </c>
      <c r="Q120" s="780">
        <f>Q19</f>
        <v>181.92599999999999</v>
      </c>
      <c r="R120" s="780">
        <f>R19</f>
        <v>182.16499999999999</v>
      </c>
      <c r="S120" s="779">
        <f>S115+S117+S119+S116</f>
        <v>182.16499999999999</v>
      </c>
      <c r="T120" s="769"/>
      <c r="U120" s="780">
        <f>U19</f>
        <v>179.55699999999999</v>
      </c>
      <c r="V120" s="780">
        <f>V19</f>
        <v>172.203</v>
      </c>
      <c r="W120" s="780">
        <f>W19</f>
        <v>183.18199999999999</v>
      </c>
      <c r="X120" s="780">
        <f>X19</f>
        <v>181.316</v>
      </c>
      <c r="Y120" s="779">
        <f>Y115+Y117+Y119+Y116</f>
        <v>181.316</v>
      </c>
      <c r="Z120" s="769"/>
      <c r="AA120" s="780">
        <f>AA19</f>
        <v>191.43199999999999</v>
      </c>
      <c r="AB120" s="780">
        <f>AB19</f>
        <v>195.07400000000001</v>
      </c>
      <c r="AC120" s="780">
        <f>AC19</f>
        <v>196.30500000000001</v>
      </c>
      <c r="AD120" s="780">
        <f>AD19</f>
        <v>191.99199999999999</v>
      </c>
      <c r="AE120" s="779">
        <f>AE115+AE117+AE119+AE116</f>
        <v>191.99199999999999</v>
      </c>
      <c r="AF120" s="769"/>
      <c r="AG120" s="780">
        <f>AG19</f>
        <v>205.35499999999999</v>
      </c>
      <c r="AH120" s="780">
        <f>AH19</f>
        <v>306.77</v>
      </c>
      <c r="AI120" s="780">
        <f>AI19</f>
        <v>316.26900000000001</v>
      </c>
      <c r="AJ120" s="780">
        <f>AJ19</f>
        <v>220.14500000000001</v>
      </c>
      <c r="AK120" s="779">
        <f>AK115+AK117+AK119+AK116</f>
        <v>220.14500000000001</v>
      </c>
      <c r="AL120" s="769"/>
      <c r="AM120" s="780">
        <f>AM19</f>
        <v>214.99299999999999</v>
      </c>
      <c r="AN120" s="780">
        <f>AN19</f>
        <v>219.453</v>
      </c>
      <c r="AO120" s="780">
        <f>AO19</f>
        <v>230.774</v>
      </c>
      <c r="AP120" s="780">
        <f>AP19</f>
        <v>239.11199999999999</v>
      </c>
      <c r="AQ120" s="779">
        <f>AQ115+AQ117+AQ119+AQ116</f>
        <v>239.11199999999999</v>
      </c>
      <c r="AR120" s="769"/>
      <c r="AS120" s="780">
        <f>AS19</f>
        <v>238.25800000000001</v>
      </c>
      <c r="AT120" s="780">
        <f>AT19</f>
        <v>237.06399999999999</v>
      </c>
      <c r="AU120" s="780">
        <f>AU19</f>
        <v>241.654</v>
      </c>
      <c r="AV120" s="780">
        <f>AV19</f>
        <v>232.37100000000001</v>
      </c>
      <c r="AW120" s="779">
        <f>AW115+AW117+AW119+AW116</f>
        <v>232.37100000000001</v>
      </c>
      <c r="AX120" s="769"/>
      <c r="AY120" s="780">
        <f>AY19</f>
        <v>213.108</v>
      </c>
      <c r="AZ120" s="780">
        <f>AZ19</f>
        <v>223.16</v>
      </c>
      <c r="BA120" s="780">
        <f>BA19</f>
        <v>222.80600000000001</v>
      </c>
      <c r="BB120" s="780">
        <f>BB19</f>
        <v>218.02199999999999</v>
      </c>
      <c r="BC120" s="779">
        <f>BC115+BC117+BC119+BC116</f>
        <v>218.02199999999999</v>
      </c>
      <c r="BD120" s="769"/>
      <c r="BE120" s="780">
        <f>BE19</f>
        <v>223.364</v>
      </c>
      <c r="BF120" s="780">
        <f>BF19</f>
        <v>217.393</v>
      </c>
      <c r="BG120" s="780">
        <f>BG19</f>
        <v>221.619</v>
      </c>
      <c r="BH120" s="780">
        <f>BH19</f>
        <v>207.05500000000001</v>
      </c>
      <c r="BI120" s="779">
        <f>BI115+BI117+BI119+BI116</f>
        <v>207.05500000000001</v>
      </c>
      <c r="BJ120" s="769"/>
      <c r="BK120" s="780">
        <f>BK19</f>
        <v>211.04900000000001</v>
      </c>
      <c r="BL120" s="780">
        <f>BL19</f>
        <v>219.09200000000001</v>
      </c>
      <c r="BM120" s="780">
        <f>BM19</f>
        <v>224.05600000000001</v>
      </c>
      <c r="BN120" s="780">
        <f>BN19</f>
        <v>228.39500000000001</v>
      </c>
      <c r="BO120" s="779">
        <f>BO115+BO117+BO119+BO116</f>
        <v>228.39500000000001</v>
      </c>
      <c r="BP120" s="769"/>
      <c r="BQ120" s="780">
        <f>BQ115+BQ116+BQ117+BQ119</f>
        <v>218.39500000000001</v>
      </c>
      <c r="BR120" s="780">
        <f>BR115+BR116+BR117+BR119</f>
        <v>208.39500000000001</v>
      </c>
      <c r="BS120" s="780">
        <f>BS115+BS116+BS117+BS119</f>
        <v>198.39500000000001</v>
      </c>
      <c r="BT120" s="780">
        <f>BT115+BT116+BT117+BT119</f>
        <v>188.39500000000001</v>
      </c>
      <c r="BU120" s="779">
        <f>BU115+BU117+BU119+BU116</f>
        <v>188.39500000000001</v>
      </c>
      <c r="BV120" s="97"/>
      <c r="BW120" s="780">
        <f>BW115+BW116+BW117+BW119</f>
        <v>178.39500000000001</v>
      </c>
      <c r="BX120" s="780">
        <f>BX115+BX116+BX117+BX119</f>
        <v>168.39500000000001</v>
      </c>
      <c r="BY120" s="780">
        <f>BY115+BY116+BY117+BY119</f>
        <v>158.39500000000001</v>
      </c>
      <c r="BZ120" s="780">
        <f>BZ115+BZ116+BZ117+BZ119</f>
        <v>148.39500000000001</v>
      </c>
      <c r="CA120" s="779">
        <f>CA115+CA117+CA119+CA116</f>
        <v>148.39500000000001</v>
      </c>
      <c r="CB120" s="97"/>
      <c r="CC120" s="780">
        <f>CC115+CC116+CC117+CC119</f>
        <v>138.39500000000001</v>
      </c>
      <c r="CD120" s="780">
        <f>CD115+CD116+CD117+CD119</f>
        <v>128.39500000000001</v>
      </c>
      <c r="CE120" s="780">
        <f>CE115+CE116+CE117+CE119</f>
        <v>118.39500000000001</v>
      </c>
      <c r="CF120" s="780">
        <f>CF115+CF116+CF117+CF119</f>
        <v>108.39500000000001</v>
      </c>
      <c r="CG120" s="779">
        <f>CG115+CG117+CG119+CG116</f>
        <v>108.39500000000001</v>
      </c>
      <c r="CH120" s="97"/>
      <c r="CI120" s="780">
        <f>CI115+CI116+CI117+CI119</f>
        <v>98.39500000000001</v>
      </c>
      <c r="CJ120" s="780">
        <f>CJ115+CJ116+CJ117+CJ119</f>
        <v>88.39500000000001</v>
      </c>
      <c r="CK120" s="780">
        <f>CK115+CK116+CK117+CK119</f>
        <v>78.39500000000001</v>
      </c>
      <c r="CL120" s="780">
        <f>CL115+CL116+CL117+CL119</f>
        <v>68.39500000000001</v>
      </c>
      <c r="CM120" s="779">
        <f>CM115+CM117+CM119+CM116</f>
        <v>68.39500000000001</v>
      </c>
      <c r="CN120" s="97"/>
      <c r="CO120" s="97"/>
      <c r="CP120"/>
      <c r="CQ120"/>
      <c r="CR120"/>
      <c r="CS120"/>
      <c r="CT120"/>
      <c r="CU120"/>
      <c r="CV120" s="97"/>
    </row>
    <row r="121" spans="1:100" s="24" customFormat="1" collapsed="1">
      <c r="A121" s="781"/>
      <c r="B121" s="781"/>
      <c r="C121" s="781"/>
      <c r="D121" s="781"/>
      <c r="E121" s="781"/>
      <c r="F121" s="761"/>
      <c r="G121" s="761"/>
      <c r="H121" s="761"/>
      <c r="I121" s="761"/>
      <c r="J121" s="761"/>
      <c r="K121" s="761"/>
      <c r="L121" s="761"/>
      <c r="M121" s="761"/>
      <c r="N121" s="761"/>
      <c r="O121" s="761"/>
      <c r="P121" s="761"/>
      <c r="Q121" s="761"/>
      <c r="R121" s="761"/>
      <c r="S121" s="761"/>
      <c r="T121" s="761"/>
      <c r="U121" s="761"/>
      <c r="V121" s="761"/>
      <c r="W121" s="761"/>
      <c r="X121" s="761"/>
      <c r="Y121" s="761"/>
      <c r="Z121" s="761"/>
      <c r="AA121" s="761"/>
      <c r="AB121" s="761"/>
      <c r="AC121" s="761"/>
      <c r="AD121" s="761"/>
      <c r="AE121" s="761"/>
      <c r="AF121" s="761"/>
      <c r="AG121" s="761"/>
      <c r="AH121" s="761"/>
      <c r="AI121" s="761"/>
      <c r="AJ121" s="761"/>
      <c r="AK121" s="761"/>
      <c r="AL121" s="761"/>
      <c r="AM121" s="761"/>
      <c r="AN121" s="761"/>
      <c r="AO121" s="761"/>
      <c r="AP121" s="761"/>
      <c r="AQ121" s="761"/>
      <c r="AR121" s="761"/>
      <c r="AS121" s="761"/>
      <c r="AT121" s="761"/>
      <c r="AU121" s="761"/>
      <c r="AV121" s="761"/>
      <c r="AW121" s="761"/>
      <c r="AX121" s="761"/>
      <c r="AY121" s="761"/>
      <c r="AZ121" s="761"/>
      <c r="BA121" s="761"/>
      <c r="BB121" s="761"/>
      <c r="BC121" s="761"/>
      <c r="BD121" s="761"/>
      <c r="BE121" s="761"/>
      <c r="BF121" s="761"/>
      <c r="BG121" s="761"/>
      <c r="BH121" s="761"/>
      <c r="BI121" s="761"/>
      <c r="BJ121" s="761"/>
      <c r="BK121" s="761"/>
      <c r="BL121" s="761"/>
      <c r="BM121" s="761"/>
      <c r="BN121" s="761"/>
      <c r="BO121" s="761"/>
      <c r="BP121" s="761"/>
      <c r="BQ121" s="761"/>
      <c r="BR121" s="761"/>
      <c r="BS121" s="761"/>
      <c r="BT121" s="761"/>
      <c r="BU121" s="761"/>
      <c r="BV121" s="97"/>
      <c r="BW121" s="761"/>
      <c r="BX121" s="761"/>
      <c r="BY121" s="761"/>
      <c r="BZ121" s="761"/>
      <c r="CA121" s="761"/>
      <c r="CB121" s="97"/>
      <c r="CC121" s="761"/>
      <c r="CD121" s="761"/>
      <c r="CE121" s="761"/>
      <c r="CF121" s="761"/>
      <c r="CG121" s="761"/>
      <c r="CH121" s="97"/>
      <c r="CI121" s="761"/>
      <c r="CJ121" s="761"/>
      <c r="CK121" s="761"/>
      <c r="CL121" s="761"/>
      <c r="CM121" s="761"/>
      <c r="CN121" s="97"/>
      <c r="CO121" s="97"/>
      <c r="CP121"/>
      <c r="CQ121"/>
      <c r="CR121"/>
      <c r="CS121"/>
      <c r="CT121"/>
      <c r="CU121"/>
      <c r="CV121" s="97"/>
    </row>
    <row r="122" spans="1:100" s="24" customFormat="1">
      <c r="A122" s="594" t="s">
        <v>316</v>
      </c>
      <c r="B122" s="594"/>
      <c r="C122" s="594"/>
      <c r="D122" s="594"/>
      <c r="E122" s="594"/>
      <c r="F122" s="761"/>
      <c r="G122" s="761"/>
      <c r="H122" s="761"/>
      <c r="I122" s="761"/>
      <c r="J122" s="761"/>
      <c r="K122" s="761"/>
      <c r="L122" s="761"/>
      <c r="M122" s="761"/>
      <c r="N122" s="761"/>
      <c r="O122" s="761"/>
      <c r="P122" s="761"/>
      <c r="Q122" s="761"/>
      <c r="R122" s="761"/>
      <c r="S122" s="761"/>
      <c r="T122" s="761"/>
      <c r="U122" s="761"/>
      <c r="V122" s="761"/>
      <c r="W122" s="761"/>
      <c r="X122" s="761"/>
      <c r="Y122" s="761"/>
      <c r="Z122" s="761"/>
      <c r="AA122" s="761"/>
      <c r="AB122" s="761"/>
      <c r="AC122" s="761"/>
      <c r="AD122" s="761"/>
      <c r="AE122" s="761"/>
      <c r="AF122" s="761"/>
      <c r="AG122" s="761"/>
      <c r="AH122" s="761"/>
      <c r="AI122" s="761"/>
      <c r="AJ122" s="761"/>
      <c r="AK122" s="761"/>
      <c r="AL122" s="761"/>
      <c r="AM122" s="761"/>
      <c r="AN122" s="761"/>
      <c r="AO122" s="761"/>
      <c r="AP122" s="761"/>
      <c r="AQ122" s="761"/>
      <c r="AR122" s="761"/>
      <c r="AS122" s="761"/>
      <c r="AT122" s="761"/>
      <c r="AU122" s="761"/>
      <c r="AV122" s="761"/>
      <c r="AW122" s="761"/>
      <c r="AX122" s="761"/>
      <c r="AY122" s="761"/>
      <c r="AZ122" s="761"/>
      <c r="BA122" s="761"/>
      <c r="BB122" s="761"/>
      <c r="BC122" s="761"/>
      <c r="BD122" s="761"/>
      <c r="BE122" s="761"/>
      <c r="BF122" s="761"/>
      <c r="BG122" s="761"/>
      <c r="BH122" s="761"/>
      <c r="BI122" s="761"/>
      <c r="BJ122" s="761"/>
      <c r="BK122" s="761"/>
      <c r="BL122" s="761"/>
      <c r="BM122" s="761"/>
      <c r="BN122" s="761"/>
      <c r="BO122" s="761"/>
      <c r="BP122" s="761"/>
      <c r="BQ122" s="761"/>
      <c r="BR122" s="761"/>
      <c r="BS122" s="761"/>
      <c r="BT122" s="761"/>
      <c r="BU122" s="761"/>
      <c r="BV122" s="97"/>
      <c r="BW122" s="761"/>
      <c r="BX122" s="761"/>
      <c r="BY122" s="761"/>
      <c r="BZ122" s="761"/>
      <c r="CA122" s="761"/>
      <c r="CB122" s="97"/>
      <c r="CC122" s="761"/>
      <c r="CD122" s="761"/>
      <c r="CE122" s="761"/>
      <c r="CF122" s="761"/>
      <c r="CG122" s="761"/>
      <c r="CH122" s="97"/>
      <c r="CI122" s="761"/>
      <c r="CJ122" s="761"/>
      <c r="CK122" s="761"/>
      <c r="CL122" s="761"/>
      <c r="CM122" s="761"/>
      <c r="CN122" s="97"/>
      <c r="CO122" s="97"/>
      <c r="CP122"/>
      <c r="CQ122"/>
      <c r="CR122"/>
      <c r="CS122"/>
      <c r="CT122"/>
      <c r="CU122"/>
      <c r="CV122" s="97"/>
    </row>
    <row r="123" spans="1:100" s="24" customFormat="1" hidden="1" outlineLevel="1">
      <c r="A123" s="606" t="s">
        <v>379</v>
      </c>
      <c r="B123" s="606"/>
      <c r="C123" s="606"/>
      <c r="D123" s="606"/>
      <c r="E123" s="606"/>
      <c r="F123" s="761"/>
      <c r="G123" s="771">
        <v>265.20699999999999</v>
      </c>
      <c r="H123" s="772"/>
      <c r="I123" s="773">
        <f>G126</f>
        <v>272.62599999999998</v>
      </c>
      <c r="J123" s="773">
        <f>I126</f>
        <v>274.30900000000003</v>
      </c>
      <c r="K123" s="773">
        <f>J126</f>
        <v>273.81400000000002</v>
      </c>
      <c r="L123" s="773">
        <f>K126</f>
        <v>272.077</v>
      </c>
      <c r="M123" s="774">
        <f>G126</f>
        <v>272.62599999999998</v>
      </c>
      <c r="N123" s="772"/>
      <c r="O123" s="773">
        <f>M126</f>
        <v>268.36399999999998</v>
      </c>
      <c r="P123" s="773">
        <f>O126</f>
        <v>289.66899999999998</v>
      </c>
      <c r="Q123" s="773">
        <f>P126</f>
        <v>292.31200000000001</v>
      </c>
      <c r="R123" s="773">
        <f>Q126</f>
        <v>292.95999999999998</v>
      </c>
      <c r="S123" s="774">
        <f>M126</f>
        <v>268.36399999999998</v>
      </c>
      <c r="T123" s="772"/>
      <c r="U123" s="773">
        <f>S126</f>
        <v>293.077</v>
      </c>
      <c r="V123" s="773">
        <f>U126</f>
        <v>291.73399999999998</v>
      </c>
      <c r="W123" s="773">
        <f>V126</f>
        <v>289.92899999999997</v>
      </c>
      <c r="X123" s="773">
        <f>W126</f>
        <v>292.42399999999998</v>
      </c>
      <c r="Y123" s="774">
        <f>S126</f>
        <v>293.077</v>
      </c>
      <c r="Z123" s="772"/>
      <c r="AA123" s="773">
        <f>Y126</f>
        <v>291.65699999999998</v>
      </c>
      <c r="AB123" s="773">
        <f>AA126</f>
        <v>293.517</v>
      </c>
      <c r="AC123" s="773">
        <f>AB126</f>
        <v>294.02</v>
      </c>
      <c r="AD123" s="773">
        <f>AC126</f>
        <v>298.29700000000003</v>
      </c>
      <c r="AE123" s="774">
        <f>Y126</f>
        <v>291.65699999999998</v>
      </c>
      <c r="AF123" s="772"/>
      <c r="AG123" s="773">
        <f>AE126</f>
        <v>297.07100000000003</v>
      </c>
      <c r="AH123" s="773">
        <f>AG126</f>
        <v>309.08800000000002</v>
      </c>
      <c r="AI123" s="773">
        <f>AH126</f>
        <v>199.01300000000001</v>
      </c>
      <c r="AJ123" s="773">
        <f>AI126</f>
        <v>212.87</v>
      </c>
      <c r="AK123" s="774">
        <f>AE126</f>
        <v>297.07100000000003</v>
      </c>
      <c r="AL123" s="772"/>
      <c r="AM123" s="773">
        <f>AK126</f>
        <v>316.834</v>
      </c>
      <c r="AN123" s="773">
        <f>AM126</f>
        <v>315.14499999999998</v>
      </c>
      <c r="AO123" s="773">
        <f>AN126</f>
        <v>315.21499999999997</v>
      </c>
      <c r="AP123" s="773">
        <f>AO126</f>
        <v>340.39299999999997</v>
      </c>
      <c r="AQ123" s="774">
        <f>AK126</f>
        <v>316.834</v>
      </c>
      <c r="AR123" s="772"/>
      <c r="AS123" s="773">
        <f>AQ126</f>
        <v>350.35</v>
      </c>
      <c r="AT123" s="773">
        <f>AS126</f>
        <v>353.46899999999999</v>
      </c>
      <c r="AU123" s="773">
        <f>AT126</f>
        <v>354.07900000000001</v>
      </c>
      <c r="AV123" s="773">
        <f>AU126</f>
        <v>358.464</v>
      </c>
      <c r="AW123" s="774">
        <f>AQ126</f>
        <v>350.35</v>
      </c>
      <c r="AX123" s="772"/>
      <c r="AY123" s="773">
        <f>AW126</f>
        <v>354.83800000000002</v>
      </c>
      <c r="AZ123" s="773">
        <f>AY126</f>
        <v>350.02100000000002</v>
      </c>
      <c r="BA123" s="773">
        <f>AZ126</f>
        <v>353.34</v>
      </c>
      <c r="BB123" s="773">
        <f>BA126</f>
        <v>352.15100000000001</v>
      </c>
      <c r="BC123" s="774">
        <f>AW126</f>
        <v>354.83800000000002</v>
      </c>
      <c r="BD123" s="772"/>
      <c r="BE123" s="773">
        <f>BC126</f>
        <v>356.86399999999998</v>
      </c>
      <c r="BF123" s="773">
        <f>BE126</f>
        <v>356.88</v>
      </c>
      <c r="BG123" s="773">
        <f>BF126</f>
        <v>352.98700000000002</v>
      </c>
      <c r="BH123" s="773">
        <f>BG126</f>
        <v>356.44600000000003</v>
      </c>
      <c r="BI123" s="774">
        <f>BC126</f>
        <v>356.86399999999998</v>
      </c>
      <c r="BJ123" s="772"/>
      <c r="BK123" s="773">
        <f>BI126</f>
        <v>352.08</v>
      </c>
      <c r="BL123" s="773">
        <f>BK126</f>
        <v>353.79599999999999</v>
      </c>
      <c r="BM123" s="773">
        <f>BL126</f>
        <v>357.12200000000001</v>
      </c>
      <c r="BN123" s="773">
        <f>BM126</f>
        <v>359.37599999999998</v>
      </c>
      <c r="BO123" s="774">
        <f>BI126</f>
        <v>352.08</v>
      </c>
      <c r="BP123" s="772"/>
      <c r="BQ123" s="773">
        <f>BO126</f>
        <v>359.81900000000002</v>
      </c>
      <c r="BR123" s="773">
        <f>BQ126</f>
        <v>359.81900000000002</v>
      </c>
      <c r="BS123" s="773">
        <f>BR126</f>
        <v>359.81900000000002</v>
      </c>
      <c r="BT123" s="773">
        <f>BS126</f>
        <v>359.81900000000002</v>
      </c>
      <c r="BU123" s="774">
        <f>BO126</f>
        <v>359.81900000000002</v>
      </c>
      <c r="BV123" s="97"/>
      <c r="BW123" s="773">
        <f>BU126</f>
        <v>359.81900000000002</v>
      </c>
      <c r="BX123" s="773">
        <f>BW126</f>
        <v>359.81900000000002</v>
      </c>
      <c r="BY123" s="773">
        <f>BX126</f>
        <v>359.81900000000002</v>
      </c>
      <c r="BZ123" s="773">
        <f>BY126</f>
        <v>359.81900000000002</v>
      </c>
      <c r="CA123" s="774">
        <f>BU126</f>
        <v>359.81900000000002</v>
      </c>
      <c r="CB123" s="97"/>
      <c r="CC123" s="773">
        <f>CA126</f>
        <v>359.81900000000002</v>
      </c>
      <c r="CD123" s="773">
        <f>CC126</f>
        <v>359.81900000000002</v>
      </c>
      <c r="CE123" s="773">
        <f>CD126</f>
        <v>359.81900000000002</v>
      </c>
      <c r="CF123" s="773">
        <f>CE126</f>
        <v>359.81900000000002</v>
      </c>
      <c r="CG123" s="774">
        <f>CA126</f>
        <v>359.81900000000002</v>
      </c>
      <c r="CH123" s="97"/>
      <c r="CI123" s="773">
        <f>CG126</f>
        <v>359.81900000000002</v>
      </c>
      <c r="CJ123" s="773">
        <f>CI126</f>
        <v>359.81900000000002</v>
      </c>
      <c r="CK123" s="773">
        <f>CJ126</f>
        <v>359.81900000000002</v>
      </c>
      <c r="CL123" s="773">
        <f>CK126</f>
        <v>359.81900000000002</v>
      </c>
      <c r="CM123" s="774">
        <f>CG126</f>
        <v>359.81900000000002</v>
      </c>
      <c r="CN123" s="97"/>
      <c r="CO123" s="97"/>
      <c r="CP123"/>
      <c r="CQ123"/>
      <c r="CR123"/>
      <c r="CS123"/>
      <c r="CT123"/>
      <c r="CU123"/>
      <c r="CV123" s="97"/>
    </row>
    <row r="124" spans="1:100" s="24" customFormat="1" hidden="1" outlineLevel="1">
      <c r="A124" s="610" t="s">
        <v>380</v>
      </c>
      <c r="B124" s="610"/>
      <c r="C124" s="610"/>
      <c r="D124" s="610"/>
      <c r="E124" s="610"/>
      <c r="F124" s="761"/>
      <c r="G124" s="776">
        <v>5.0999999999999996</v>
      </c>
      <c r="H124" s="761"/>
      <c r="I124" s="777">
        <v>0</v>
      </c>
      <c r="J124" s="777">
        <v>0</v>
      </c>
      <c r="K124" s="777">
        <f>2-I124-J124</f>
        <v>2</v>
      </c>
      <c r="L124" s="777">
        <f>1+2-I124-J124-K124</f>
        <v>1</v>
      </c>
      <c r="M124" s="762">
        <f>SUM(I124:L124)</f>
        <v>3</v>
      </c>
      <c r="N124" s="761"/>
      <c r="O124" s="777">
        <v>0</v>
      </c>
      <c r="P124" s="777">
        <f>22-O124</f>
        <v>22</v>
      </c>
      <c r="Q124" s="777">
        <f>22-O124-P124</f>
        <v>0</v>
      </c>
      <c r="R124" s="777">
        <f>22-O124-P124-Q124</f>
        <v>0</v>
      </c>
      <c r="S124" s="762">
        <f>SUM(O124:R124)</f>
        <v>22</v>
      </c>
      <c r="T124" s="761"/>
      <c r="U124" s="777">
        <v>0</v>
      </c>
      <c r="V124" s="777">
        <v>0</v>
      </c>
      <c r="W124" s="777">
        <v>0</v>
      </c>
      <c r="X124" s="777">
        <v>0</v>
      </c>
      <c r="Y124" s="762">
        <f>SUM(U124:X124)</f>
        <v>0</v>
      </c>
      <c r="Z124" s="761"/>
      <c r="AA124" s="777">
        <v>0</v>
      </c>
      <c r="AB124" s="777">
        <v>0</v>
      </c>
      <c r="AC124" s="777">
        <v>6</v>
      </c>
      <c r="AD124" s="757">
        <f>CFS!AD31*BS!AD130</f>
        <v>0</v>
      </c>
      <c r="AE124" s="762">
        <f>SUM(AA124:AD124)</f>
        <v>6</v>
      </c>
      <c r="AF124" s="761"/>
      <c r="AG124" s="757">
        <v>0</v>
      </c>
      <c r="AH124" s="777">
        <v>0</v>
      </c>
      <c r="AI124" s="777">
        <v>6</v>
      </c>
      <c r="AJ124" s="757">
        <v>0</v>
      </c>
      <c r="AK124" s="762">
        <f>SUM(AG124:AJ124)</f>
        <v>6</v>
      </c>
      <c r="AL124" s="761"/>
      <c r="AM124" s="757">
        <v>0</v>
      </c>
      <c r="AN124" s="777">
        <v>0</v>
      </c>
      <c r="AO124" s="777">
        <v>0</v>
      </c>
      <c r="AP124" s="777">
        <v>0</v>
      </c>
      <c r="AQ124" s="762">
        <f>SUM(AM124:AP124)</f>
        <v>0</v>
      </c>
      <c r="AR124" s="761"/>
      <c r="AS124" s="757">
        <v>0</v>
      </c>
      <c r="AT124" s="777">
        <v>0</v>
      </c>
      <c r="AU124" s="777">
        <v>0</v>
      </c>
      <c r="AV124" s="777">
        <v>0</v>
      </c>
      <c r="AW124" s="762">
        <f>SUM(AS124:AV124)</f>
        <v>0</v>
      </c>
      <c r="AX124" s="761"/>
      <c r="AY124" s="757">
        <v>0</v>
      </c>
      <c r="AZ124" s="777">
        <v>0</v>
      </c>
      <c r="BA124" s="777">
        <v>0</v>
      </c>
      <c r="BB124" s="777">
        <v>0</v>
      </c>
      <c r="BC124" s="762">
        <f>SUM(AY124:BB124)</f>
        <v>0</v>
      </c>
      <c r="BD124" s="761"/>
      <c r="BE124" s="757">
        <v>0</v>
      </c>
      <c r="BF124" s="777">
        <v>0</v>
      </c>
      <c r="BG124" s="777">
        <v>0</v>
      </c>
      <c r="BH124" s="777">
        <v>0</v>
      </c>
      <c r="BI124" s="762">
        <f>SUM(BE124:BH124)</f>
        <v>0</v>
      </c>
      <c r="BJ124" s="761"/>
      <c r="BK124" s="757">
        <v>0</v>
      </c>
      <c r="BL124" s="777">
        <v>0</v>
      </c>
      <c r="BM124" s="777">
        <v>0</v>
      </c>
      <c r="BN124" s="777">
        <v>0</v>
      </c>
      <c r="BO124" s="762">
        <f>SUM(BK124:BN124)</f>
        <v>0</v>
      </c>
      <c r="BP124" s="761"/>
      <c r="BQ124" s="757">
        <f>-CFS!BQ31*BS!BQ130</f>
        <v>0</v>
      </c>
      <c r="BR124" s="757">
        <f>-CFS!BR31*BS!BR130</f>
        <v>0</v>
      </c>
      <c r="BS124" s="757">
        <f>-CFS!BS31*BS!BS130</f>
        <v>0</v>
      </c>
      <c r="BT124" s="757">
        <f>-CFS!BT31*BS!BT130</f>
        <v>0</v>
      </c>
      <c r="BU124" s="762">
        <f>SUM(BQ124:BT124)</f>
        <v>0</v>
      </c>
      <c r="BV124" s="97"/>
      <c r="BW124" s="757">
        <f>-CFS!BW31*BS!BW130</f>
        <v>0</v>
      </c>
      <c r="BX124" s="757">
        <f>-CFS!BX31*BS!BX130</f>
        <v>0</v>
      </c>
      <c r="BY124" s="757">
        <f>-CFS!BY31*BS!BY130</f>
        <v>0</v>
      </c>
      <c r="BZ124" s="757">
        <f>-CFS!BZ31*BS!BZ130</f>
        <v>0</v>
      </c>
      <c r="CA124" s="762">
        <f>SUM(BW124:BZ124)</f>
        <v>0</v>
      </c>
      <c r="CB124" s="97"/>
      <c r="CC124" s="757">
        <f>-CFS!CC31*BS!CC130</f>
        <v>0</v>
      </c>
      <c r="CD124" s="757">
        <f>-CFS!CD31*BS!CD130</f>
        <v>0</v>
      </c>
      <c r="CE124" s="757">
        <f>-CFS!CE31*BS!CE130</f>
        <v>0</v>
      </c>
      <c r="CF124" s="757">
        <f>-CFS!CF31*BS!CF130</f>
        <v>0</v>
      </c>
      <c r="CG124" s="762">
        <f>SUM(CC124:CF124)</f>
        <v>0</v>
      </c>
      <c r="CH124" s="97"/>
      <c r="CI124" s="757">
        <f>-CFS!CI31*BS!CI130</f>
        <v>0</v>
      </c>
      <c r="CJ124" s="757">
        <f>-CFS!CJ31*BS!CJ130</f>
        <v>0</v>
      </c>
      <c r="CK124" s="757">
        <f>-CFS!CK31*BS!CK130</f>
        <v>0</v>
      </c>
      <c r="CL124" s="757">
        <f>-CFS!CL31*BS!CL130</f>
        <v>0</v>
      </c>
      <c r="CM124" s="762">
        <f>SUM(CI124:CL124)</f>
        <v>0</v>
      </c>
      <c r="CN124" s="97"/>
      <c r="CO124" s="97"/>
      <c r="CP124"/>
      <c r="CQ124"/>
      <c r="CR124"/>
      <c r="CS124"/>
      <c r="CT124"/>
      <c r="CU124"/>
      <c r="CV124" s="97"/>
    </row>
    <row r="125" spans="1:100" s="24" customFormat="1" hidden="1" outlineLevel="1">
      <c r="A125" s="775" t="s">
        <v>300</v>
      </c>
      <c r="B125" s="775"/>
      <c r="C125" s="775"/>
      <c r="D125" s="775"/>
      <c r="E125" s="775"/>
      <c r="F125" s="761"/>
      <c r="G125" s="762">
        <f>G126-G123-G124</f>
        <v>2.3189999999999831</v>
      </c>
      <c r="H125" s="761"/>
      <c r="I125" s="763">
        <f>I126-I123-I124</f>
        <v>1.6830000000000496</v>
      </c>
      <c r="J125" s="763">
        <f>J126-J123-J124</f>
        <v>-0.49500000000000455</v>
      </c>
      <c r="K125" s="763">
        <f>K126-K123-K124</f>
        <v>-3.7370000000000232</v>
      </c>
      <c r="L125" s="763">
        <f>L126-L123-L124</f>
        <v>-4.7130000000000223</v>
      </c>
      <c r="M125" s="762">
        <f>SUM(I125:L125)</f>
        <v>-7.2620000000000005</v>
      </c>
      <c r="N125" s="761"/>
      <c r="O125" s="763">
        <f>O126-O123-O124</f>
        <v>21.305000000000007</v>
      </c>
      <c r="P125" s="763">
        <f>P126-P123-P124</f>
        <v>-19.356999999999971</v>
      </c>
      <c r="Q125" s="763">
        <f>Q126-Q123-Q124</f>
        <v>0.64799999999996771</v>
      </c>
      <c r="R125" s="763">
        <f>R126-R123-R124</f>
        <v>0.11700000000001864</v>
      </c>
      <c r="S125" s="762">
        <f>SUM(O125:R125)</f>
        <v>2.7130000000000223</v>
      </c>
      <c r="T125" s="761"/>
      <c r="U125" s="763">
        <f>U126-U123-U124</f>
        <v>-1.3430000000000177</v>
      </c>
      <c r="V125" s="763">
        <f>V126-V123-V124</f>
        <v>-1.8050000000000068</v>
      </c>
      <c r="W125" s="763">
        <f>W126-W123-W124</f>
        <v>2.4950000000000045</v>
      </c>
      <c r="X125" s="763">
        <f>X126-X123-X124</f>
        <v>-0.76699999999999591</v>
      </c>
      <c r="Y125" s="762">
        <f>SUM(U125:X125)</f>
        <v>-1.4200000000000159</v>
      </c>
      <c r="Z125" s="761"/>
      <c r="AA125" s="763">
        <f>AA126-AA123-AA124</f>
        <v>1.8600000000000136</v>
      </c>
      <c r="AB125" s="763">
        <f>AB126-AB123-AB124</f>
        <v>0.5029999999999859</v>
      </c>
      <c r="AC125" s="763">
        <f>AC126-AC123-AC124</f>
        <v>-1.7229999999999563</v>
      </c>
      <c r="AD125" s="763">
        <f>AD126-AD123-AD124</f>
        <v>-1.2259999999999991</v>
      </c>
      <c r="AE125" s="762">
        <f>SUM(AA125:AD125)</f>
        <v>-0.58599999999995589</v>
      </c>
      <c r="AF125" s="761"/>
      <c r="AG125" s="763">
        <f>AG126-AG123-AG124</f>
        <v>12.016999999999996</v>
      </c>
      <c r="AH125" s="763">
        <f>AH126-AH123-AH124</f>
        <v>-110.07500000000002</v>
      </c>
      <c r="AI125" s="763">
        <f>AI126-AI123-AI124</f>
        <v>7.8569999999999993</v>
      </c>
      <c r="AJ125" s="763">
        <f>AJ126-AJ123-AJ124</f>
        <v>103.964</v>
      </c>
      <c r="AK125" s="762">
        <f>SUM(AG125:AJ125)</f>
        <v>13.762999999999977</v>
      </c>
      <c r="AL125" s="761"/>
      <c r="AM125" s="761">
        <f>AM126-AM123-AM124</f>
        <v>-1.6890000000000214</v>
      </c>
      <c r="AN125" s="763">
        <f>AN126-AN123-AN124</f>
        <v>6.9999999999993179E-2</v>
      </c>
      <c r="AO125" s="763">
        <f>AO126-AO123-AO124</f>
        <v>25.177999999999997</v>
      </c>
      <c r="AP125" s="763">
        <f>AP126-AP123-AP124</f>
        <v>9.9570000000000505</v>
      </c>
      <c r="AQ125" s="762">
        <f>SUM(AM125:AP125)</f>
        <v>33.51600000000002</v>
      </c>
      <c r="AR125" s="761"/>
      <c r="AS125" s="761">
        <f>AS126-AS123-AS124</f>
        <v>3.1189999999999714</v>
      </c>
      <c r="AT125" s="763">
        <f>AT126-AT123-AT124</f>
        <v>0.61000000000001364</v>
      </c>
      <c r="AU125" s="763">
        <f>AU126-AU123-AU124</f>
        <v>4.3849999999999909</v>
      </c>
      <c r="AV125" s="763">
        <f>AV126-AV123-AV124</f>
        <v>-3.6259999999999764</v>
      </c>
      <c r="AW125" s="762">
        <f>SUM(AS125:AV125)</f>
        <v>4.4879999999999995</v>
      </c>
      <c r="AX125" s="761"/>
      <c r="AY125" s="761">
        <f>AY126-AY123-AY124</f>
        <v>-4.8170000000000073</v>
      </c>
      <c r="AZ125" s="763">
        <f>AZ126-AZ123-AZ124</f>
        <v>3.31899999999996</v>
      </c>
      <c r="BA125" s="763">
        <f>BA126-BA123-BA124</f>
        <v>-1.1889999999999645</v>
      </c>
      <c r="BB125" s="763">
        <f>BB126-BB123-BB124</f>
        <v>4.7129999999999654</v>
      </c>
      <c r="BC125" s="762">
        <f>SUM(AY125:BB125)</f>
        <v>2.0259999999999536</v>
      </c>
      <c r="BD125" s="761"/>
      <c r="BE125" s="761">
        <f>BE126-BE123-BE124</f>
        <v>1.6000000000019554E-2</v>
      </c>
      <c r="BF125" s="763">
        <f>BF126-BF123-BF124</f>
        <v>-3.8929999999999723</v>
      </c>
      <c r="BG125" s="763">
        <f>BG126-BG123-BG124</f>
        <v>3.4590000000000032</v>
      </c>
      <c r="BH125" s="763">
        <f>BH126-BH123-BH124</f>
        <v>-4.3660000000000423</v>
      </c>
      <c r="BI125" s="762">
        <f>SUM(BE125:BH125)</f>
        <v>-4.7839999999999918</v>
      </c>
      <c r="BJ125" s="761"/>
      <c r="BK125" s="761">
        <f>BK126-BK123-BK124</f>
        <v>1.7160000000000082</v>
      </c>
      <c r="BL125" s="763">
        <f>BL126-BL123-BL124</f>
        <v>3.3260000000000218</v>
      </c>
      <c r="BM125" s="763">
        <f>BM126-BM123-BM124</f>
        <v>2.2539999999999623</v>
      </c>
      <c r="BN125" s="763">
        <f>BN126-BN123-BN124</f>
        <v>0.44300000000004047</v>
      </c>
      <c r="BO125" s="762">
        <f>SUM(BK125:BN125)</f>
        <v>7.7390000000000327</v>
      </c>
      <c r="BP125" s="761"/>
      <c r="BQ125" s="777">
        <v>0</v>
      </c>
      <c r="BR125" s="777">
        <v>0</v>
      </c>
      <c r="BS125" s="777">
        <v>0</v>
      </c>
      <c r="BT125" s="777">
        <v>0</v>
      </c>
      <c r="BU125" s="762">
        <f>SUM(BQ125:BT125)</f>
        <v>0</v>
      </c>
      <c r="BV125" s="97"/>
      <c r="BW125" s="777">
        <v>0</v>
      </c>
      <c r="BX125" s="777">
        <v>0</v>
      </c>
      <c r="BY125" s="777">
        <v>0</v>
      </c>
      <c r="BZ125" s="777">
        <v>0</v>
      </c>
      <c r="CA125" s="762">
        <f>SUM(BW125:BZ125)</f>
        <v>0</v>
      </c>
      <c r="CB125" s="97"/>
      <c r="CC125" s="777">
        <v>0</v>
      </c>
      <c r="CD125" s="777">
        <v>0</v>
      </c>
      <c r="CE125" s="777">
        <v>0</v>
      </c>
      <c r="CF125" s="777">
        <v>0</v>
      </c>
      <c r="CG125" s="762">
        <f>SUM(CC125:CF125)</f>
        <v>0</v>
      </c>
      <c r="CH125" s="97"/>
      <c r="CI125" s="777">
        <v>0</v>
      </c>
      <c r="CJ125" s="777">
        <v>0</v>
      </c>
      <c r="CK125" s="777">
        <v>0</v>
      </c>
      <c r="CL125" s="777">
        <v>0</v>
      </c>
      <c r="CM125" s="762">
        <f>SUM(CI125:CL125)</f>
        <v>0</v>
      </c>
      <c r="CN125" s="97"/>
      <c r="CO125" s="97"/>
      <c r="CP125"/>
      <c r="CQ125"/>
      <c r="CR125"/>
      <c r="CS125"/>
      <c r="CT125"/>
      <c r="CU125"/>
      <c r="CV125" s="97"/>
    </row>
    <row r="126" spans="1:100" s="24" customFormat="1" hidden="1" outlineLevel="1">
      <c r="A126" s="606" t="s">
        <v>381</v>
      </c>
      <c r="B126" s="606"/>
      <c r="C126" s="606"/>
      <c r="D126" s="606"/>
      <c r="E126" s="606"/>
      <c r="F126" s="761"/>
      <c r="G126" s="779">
        <f>G18</f>
        <v>272.62599999999998</v>
      </c>
      <c r="H126" s="769"/>
      <c r="I126" s="780">
        <f>I18</f>
        <v>274.30900000000003</v>
      </c>
      <c r="J126" s="780">
        <f>J18</f>
        <v>273.81400000000002</v>
      </c>
      <c r="K126" s="780">
        <f>K18</f>
        <v>272.077</v>
      </c>
      <c r="L126" s="780">
        <f>L18</f>
        <v>268.36399999999998</v>
      </c>
      <c r="M126" s="779">
        <f>M123+M124+M125</f>
        <v>268.36399999999998</v>
      </c>
      <c r="N126" s="769"/>
      <c r="O126" s="780">
        <f>O18</f>
        <v>289.66899999999998</v>
      </c>
      <c r="P126" s="780">
        <f>P18</f>
        <v>292.31200000000001</v>
      </c>
      <c r="Q126" s="780">
        <f>Q18</f>
        <v>292.95999999999998</v>
      </c>
      <c r="R126" s="780">
        <f>R18</f>
        <v>293.077</v>
      </c>
      <c r="S126" s="779">
        <f>S123+S124+S125</f>
        <v>293.077</v>
      </c>
      <c r="T126" s="769"/>
      <c r="U126" s="780">
        <f>U18</f>
        <v>291.73399999999998</v>
      </c>
      <c r="V126" s="780">
        <f>V18</f>
        <v>289.92899999999997</v>
      </c>
      <c r="W126" s="780">
        <f>W18</f>
        <v>292.42399999999998</v>
      </c>
      <c r="X126" s="780">
        <f>X18</f>
        <v>291.65699999999998</v>
      </c>
      <c r="Y126" s="779">
        <f>Y123+Y124+Y125</f>
        <v>291.65699999999998</v>
      </c>
      <c r="Z126" s="769"/>
      <c r="AA126" s="780">
        <f>AA18</f>
        <v>293.517</v>
      </c>
      <c r="AB126" s="780">
        <f>AB18</f>
        <v>294.02</v>
      </c>
      <c r="AC126" s="780">
        <f>AC18</f>
        <v>298.29700000000003</v>
      </c>
      <c r="AD126" s="780">
        <f>AD18</f>
        <v>297.07100000000003</v>
      </c>
      <c r="AE126" s="779">
        <f>AE123+AE124+AE125</f>
        <v>297.07100000000003</v>
      </c>
      <c r="AF126" s="769"/>
      <c r="AG126" s="780">
        <f>AG18</f>
        <v>309.08800000000002</v>
      </c>
      <c r="AH126" s="780">
        <f>AH18</f>
        <v>199.01300000000001</v>
      </c>
      <c r="AI126" s="780">
        <f>AI18</f>
        <v>212.87</v>
      </c>
      <c r="AJ126" s="780">
        <f>AJ18</f>
        <v>316.834</v>
      </c>
      <c r="AK126" s="779">
        <f>AK123+AK124+AK125</f>
        <v>316.834</v>
      </c>
      <c r="AL126" s="769"/>
      <c r="AM126" s="780">
        <f>AM18</f>
        <v>315.14499999999998</v>
      </c>
      <c r="AN126" s="780">
        <f>AN18</f>
        <v>315.21499999999997</v>
      </c>
      <c r="AO126" s="780">
        <f>AO18</f>
        <v>340.39299999999997</v>
      </c>
      <c r="AP126" s="780">
        <f>AP18</f>
        <v>350.35</v>
      </c>
      <c r="AQ126" s="779">
        <f>AQ123+AQ124+AQ125</f>
        <v>350.35</v>
      </c>
      <c r="AR126" s="769"/>
      <c r="AS126" s="780">
        <f>AS18</f>
        <v>353.46899999999999</v>
      </c>
      <c r="AT126" s="780">
        <f>AT18</f>
        <v>354.07900000000001</v>
      </c>
      <c r="AU126" s="780">
        <f>AU18</f>
        <v>358.464</v>
      </c>
      <c r="AV126" s="780">
        <f>AV18</f>
        <v>354.83800000000002</v>
      </c>
      <c r="AW126" s="779">
        <f>AW123+AW124+AW125</f>
        <v>354.83800000000002</v>
      </c>
      <c r="AX126" s="769"/>
      <c r="AY126" s="780">
        <f>AY18</f>
        <v>350.02100000000002</v>
      </c>
      <c r="AZ126" s="780">
        <f>AZ18</f>
        <v>353.34</v>
      </c>
      <c r="BA126" s="780">
        <f>BA18</f>
        <v>352.15100000000001</v>
      </c>
      <c r="BB126" s="780">
        <f>BB18</f>
        <v>356.86399999999998</v>
      </c>
      <c r="BC126" s="779">
        <f>BC123+BC124+BC125</f>
        <v>356.86399999999998</v>
      </c>
      <c r="BD126" s="769"/>
      <c r="BE126" s="780">
        <f>BE18</f>
        <v>356.88</v>
      </c>
      <c r="BF126" s="780">
        <f>BF18</f>
        <v>352.98700000000002</v>
      </c>
      <c r="BG126" s="780">
        <f>BG18</f>
        <v>356.44600000000003</v>
      </c>
      <c r="BH126" s="780">
        <f>BH18</f>
        <v>352.08</v>
      </c>
      <c r="BI126" s="779">
        <f>BI123+BI124+BI125</f>
        <v>352.08</v>
      </c>
      <c r="BJ126" s="769"/>
      <c r="BK126" s="780">
        <f>BK18</f>
        <v>353.79599999999999</v>
      </c>
      <c r="BL126" s="780">
        <f>BL18</f>
        <v>357.12200000000001</v>
      </c>
      <c r="BM126" s="780">
        <f>BM18</f>
        <v>359.37599999999998</v>
      </c>
      <c r="BN126" s="780">
        <f>BN18</f>
        <v>359.81900000000002</v>
      </c>
      <c r="BO126" s="779">
        <f>BO123+BO124+BO125</f>
        <v>359.81900000000002</v>
      </c>
      <c r="BP126" s="769"/>
      <c r="BQ126" s="780">
        <f>BQ123+BQ124+BQ125</f>
        <v>359.81900000000002</v>
      </c>
      <c r="BR126" s="780">
        <f>BR123+BR124+BR125</f>
        <v>359.81900000000002</v>
      </c>
      <c r="BS126" s="780">
        <f>BS123+BS124+BS125</f>
        <v>359.81900000000002</v>
      </c>
      <c r="BT126" s="780">
        <f>BT123+BT124+BT125</f>
        <v>359.81900000000002</v>
      </c>
      <c r="BU126" s="779">
        <f>BU123+BU124+BU125</f>
        <v>359.81900000000002</v>
      </c>
      <c r="BV126" s="97"/>
      <c r="BW126" s="780">
        <f>BW123+BW124+BW125</f>
        <v>359.81900000000002</v>
      </c>
      <c r="BX126" s="780">
        <f>BX123+BX124+BX125</f>
        <v>359.81900000000002</v>
      </c>
      <c r="BY126" s="780">
        <f>BY123+BY124+BY125</f>
        <v>359.81900000000002</v>
      </c>
      <c r="BZ126" s="780">
        <f>BZ123+BZ124+BZ125</f>
        <v>359.81900000000002</v>
      </c>
      <c r="CA126" s="779">
        <f>CA123+CA124+CA125</f>
        <v>359.81900000000002</v>
      </c>
      <c r="CB126" s="97"/>
      <c r="CC126" s="780">
        <f>CC123+CC124+CC125</f>
        <v>359.81900000000002</v>
      </c>
      <c r="CD126" s="780">
        <f>CD123+CD124+CD125</f>
        <v>359.81900000000002</v>
      </c>
      <c r="CE126" s="780">
        <f>CE123+CE124+CE125</f>
        <v>359.81900000000002</v>
      </c>
      <c r="CF126" s="780">
        <f>CF123+CF124+CF125</f>
        <v>359.81900000000002</v>
      </c>
      <c r="CG126" s="779">
        <f>CG123+CG124+CG125</f>
        <v>359.81900000000002</v>
      </c>
      <c r="CH126" s="97"/>
      <c r="CI126" s="780">
        <f>CI123+CI124+CI125</f>
        <v>359.81900000000002</v>
      </c>
      <c r="CJ126" s="780">
        <f>CJ123+CJ124+CJ125</f>
        <v>359.81900000000002</v>
      </c>
      <c r="CK126" s="780">
        <f>CK123+CK124+CK125</f>
        <v>359.81900000000002</v>
      </c>
      <c r="CL126" s="780">
        <f>CL123+CL124+CL125</f>
        <v>359.81900000000002</v>
      </c>
      <c r="CM126" s="779">
        <f>CM123+CM124+CM125</f>
        <v>359.81900000000002</v>
      </c>
      <c r="CN126" s="97"/>
      <c r="CO126" s="97"/>
      <c r="CP126"/>
      <c r="CQ126"/>
      <c r="CR126"/>
      <c r="CS126"/>
      <c r="CT126"/>
      <c r="CU126"/>
      <c r="CV126" s="97"/>
    </row>
    <row r="127" spans="1:100" s="24" customFormat="1" collapsed="1">
      <c r="A127" s="782"/>
      <c r="B127" s="782"/>
      <c r="C127" s="782"/>
      <c r="D127" s="782"/>
      <c r="E127" s="782"/>
      <c r="F127" s="783"/>
      <c r="G127" s="784"/>
      <c r="H127" s="784"/>
      <c r="I127" s="784"/>
      <c r="J127" s="784"/>
      <c r="K127" s="784"/>
      <c r="L127" s="784"/>
      <c r="M127" s="784"/>
      <c r="N127" s="784"/>
      <c r="O127" s="784"/>
      <c r="P127" s="784"/>
      <c r="Q127" s="784"/>
      <c r="R127" s="784"/>
      <c r="S127" s="784"/>
      <c r="T127" s="784"/>
      <c r="U127" s="784"/>
      <c r="V127" s="784"/>
      <c r="W127" s="784"/>
      <c r="X127" s="784"/>
      <c r="Y127" s="784"/>
      <c r="Z127" s="784"/>
      <c r="AA127" s="784"/>
      <c r="AB127" s="784"/>
      <c r="AC127" s="784"/>
      <c r="AD127" s="784"/>
      <c r="AE127" s="784"/>
      <c r="AF127" s="784"/>
      <c r="AG127" s="784"/>
      <c r="AH127" s="784"/>
      <c r="AI127" s="784"/>
      <c r="AJ127" s="784"/>
      <c r="AK127" s="784"/>
      <c r="AL127" s="784"/>
      <c r="AM127" s="784"/>
      <c r="AN127" s="784"/>
      <c r="AO127" s="784"/>
      <c r="AP127" s="784"/>
      <c r="AQ127" s="783"/>
      <c r="AR127" s="784"/>
      <c r="AS127" s="784"/>
      <c r="AT127" s="784"/>
      <c r="AU127" s="784"/>
      <c r="AV127" s="784"/>
      <c r="AW127" s="783"/>
      <c r="AX127" s="784"/>
      <c r="AY127" s="784"/>
      <c r="AZ127" s="784"/>
      <c r="BA127" s="784"/>
      <c r="BB127" s="784"/>
      <c r="BC127" s="783"/>
      <c r="BD127" s="784"/>
      <c r="BE127" s="784"/>
      <c r="BF127" s="784"/>
      <c r="BG127" s="784"/>
      <c r="BH127" s="784"/>
      <c r="BI127" s="783"/>
      <c r="BJ127" s="784"/>
      <c r="BK127" s="784"/>
      <c r="BL127" s="784"/>
      <c r="BM127" s="784"/>
      <c r="BN127" s="784"/>
      <c r="BO127" s="783"/>
      <c r="BP127" s="784"/>
      <c r="BQ127" s="784"/>
      <c r="BR127" s="784"/>
      <c r="BS127" s="784"/>
      <c r="BT127" s="784"/>
      <c r="BU127" s="783"/>
      <c r="BV127" s="97"/>
      <c r="BW127" s="784"/>
      <c r="BX127" s="784"/>
      <c r="BY127" s="784"/>
      <c r="BZ127" s="784"/>
      <c r="CA127" s="783"/>
      <c r="CB127" s="97"/>
      <c r="CC127" s="784"/>
      <c r="CD127" s="784"/>
      <c r="CE127" s="784"/>
      <c r="CF127" s="784"/>
      <c r="CG127" s="783"/>
      <c r="CH127" s="97"/>
      <c r="CI127" s="784"/>
      <c r="CJ127" s="784"/>
      <c r="CK127" s="784"/>
      <c r="CL127" s="784"/>
      <c r="CM127" s="783"/>
      <c r="CN127" s="97"/>
      <c r="CO127" s="97"/>
      <c r="CP127"/>
      <c r="CQ127"/>
      <c r="CR127"/>
      <c r="CS127"/>
      <c r="CT127"/>
      <c r="CU127"/>
      <c r="CV127" s="97"/>
    </row>
    <row r="128" spans="1:100" s="24" customFormat="1">
      <c r="A128" s="594" t="s">
        <v>162</v>
      </c>
      <c r="B128" s="594"/>
      <c r="C128" s="594"/>
      <c r="D128" s="594"/>
      <c r="E128" s="594"/>
      <c r="F128" s="785"/>
      <c r="G128" s="786"/>
      <c r="H128" s="786"/>
      <c r="I128" s="786"/>
      <c r="J128" s="786"/>
      <c r="K128" s="786"/>
      <c r="L128" s="786"/>
      <c r="M128" s="787"/>
      <c r="N128" s="786"/>
      <c r="O128" s="786"/>
      <c r="P128" s="786"/>
      <c r="Q128" s="786"/>
      <c r="R128" s="786"/>
      <c r="S128" s="786"/>
      <c r="T128" s="786"/>
      <c r="U128" s="786"/>
      <c r="V128" s="786"/>
      <c r="W128" s="786"/>
      <c r="X128" s="786"/>
      <c r="Y128" s="786"/>
      <c r="Z128" s="786"/>
      <c r="AA128" s="786"/>
      <c r="AB128" s="786"/>
      <c r="AC128" s="786"/>
      <c r="AD128" s="786"/>
      <c r="AE128" s="786"/>
      <c r="AF128" s="786"/>
      <c r="AG128" s="786"/>
      <c r="AH128" s="786"/>
      <c r="AI128" s="786"/>
      <c r="AJ128" s="786"/>
      <c r="AK128" s="786"/>
      <c r="AL128" s="786"/>
      <c r="AM128" s="786"/>
      <c r="AN128" s="786"/>
      <c r="AO128" s="786"/>
      <c r="AP128" s="786"/>
      <c r="AQ128" s="786"/>
      <c r="AR128" s="786"/>
      <c r="AS128" s="786"/>
      <c r="AT128" s="786"/>
      <c r="AU128" s="786"/>
      <c r="AV128" s="786"/>
      <c r="AW128" s="786"/>
      <c r="AX128" s="786"/>
      <c r="AY128" s="786"/>
      <c r="AZ128" s="786"/>
      <c r="BA128" s="786"/>
      <c r="BB128" s="786"/>
      <c r="BC128" s="786"/>
      <c r="BD128" s="786"/>
      <c r="BE128" s="786"/>
      <c r="BF128" s="786"/>
      <c r="BG128" s="786"/>
      <c r="BH128" s="786"/>
      <c r="BI128" s="786"/>
      <c r="BJ128" s="786"/>
      <c r="BK128" s="786"/>
      <c r="BL128" s="786"/>
      <c r="BM128" s="786"/>
      <c r="BN128" s="786"/>
      <c r="BO128" s="786"/>
      <c r="BP128" s="786"/>
      <c r="BQ128" s="786"/>
      <c r="BR128" s="786"/>
      <c r="BS128" s="786"/>
      <c r="BT128" s="786"/>
      <c r="BU128" s="786"/>
      <c r="BV128" s="97"/>
      <c r="BW128" s="786"/>
      <c r="BX128" s="786"/>
      <c r="BY128" s="786"/>
      <c r="BZ128" s="786"/>
      <c r="CA128" s="786"/>
      <c r="CB128" s="97"/>
      <c r="CC128" s="786"/>
      <c r="CD128" s="786"/>
      <c r="CE128" s="786"/>
      <c r="CF128" s="786"/>
      <c r="CG128" s="786"/>
      <c r="CH128" s="97"/>
      <c r="CI128" s="786"/>
      <c r="CJ128" s="786"/>
      <c r="CK128" s="786"/>
      <c r="CL128" s="786"/>
      <c r="CM128" s="786"/>
      <c r="CN128" s="97"/>
      <c r="CO128" s="97"/>
      <c r="CP128"/>
      <c r="CQ128"/>
      <c r="CR128"/>
      <c r="CS128"/>
      <c r="CT128"/>
      <c r="CU128"/>
      <c r="CV128" s="97"/>
    </row>
    <row r="129" spans="1:103" s="24" customFormat="1" hidden="1" outlineLevel="1">
      <c r="A129" s="606" t="s">
        <v>163</v>
      </c>
      <c r="B129" s="606"/>
      <c r="C129" s="606"/>
      <c r="D129" s="606"/>
      <c r="E129" s="606"/>
      <c r="F129" s="788"/>
      <c r="G129" s="789">
        <v>8.3520000000000003</v>
      </c>
      <c r="H129" s="790"/>
      <c r="I129" s="791">
        <v>0</v>
      </c>
      <c r="J129" s="791">
        <v>0</v>
      </c>
      <c r="K129" s="791">
        <v>2.9820000000000002</v>
      </c>
      <c r="L129" s="791">
        <v>4.8229999999999995</v>
      </c>
      <c r="M129" s="789">
        <v>7.8049999999999997</v>
      </c>
      <c r="N129" s="790"/>
      <c r="O129" s="791">
        <v>36.085999999999999</v>
      </c>
      <c r="P129" s="791">
        <v>0</v>
      </c>
      <c r="Q129" s="791">
        <v>0</v>
      </c>
      <c r="R129" s="791">
        <v>0</v>
      </c>
      <c r="S129" s="789">
        <v>36.085999999999999</v>
      </c>
      <c r="T129" s="790"/>
      <c r="U129" s="791">
        <v>0</v>
      </c>
      <c r="V129" s="791">
        <v>0</v>
      </c>
      <c r="W129" s="791">
        <v>0</v>
      </c>
      <c r="X129" s="791">
        <v>0</v>
      </c>
      <c r="Y129" s="789">
        <v>0</v>
      </c>
      <c r="Z129" s="790"/>
      <c r="AA129" s="791">
        <v>0</v>
      </c>
      <c r="AB129" s="791">
        <v>0</v>
      </c>
      <c r="AC129" s="791">
        <v>0</v>
      </c>
      <c r="AD129" s="791">
        <v>0</v>
      </c>
      <c r="AE129" s="789">
        <v>0</v>
      </c>
      <c r="AF129" s="790"/>
      <c r="AG129" s="791"/>
      <c r="AH129" s="791">
        <v>0</v>
      </c>
      <c r="AI129" s="791">
        <v>0</v>
      </c>
      <c r="AJ129" s="791">
        <v>0</v>
      </c>
      <c r="AK129" s="789">
        <v>0</v>
      </c>
      <c r="AL129" s="790"/>
      <c r="AM129" s="791">
        <v>0</v>
      </c>
      <c r="AN129" s="791">
        <v>0</v>
      </c>
      <c r="AO129" s="791">
        <v>0</v>
      </c>
      <c r="AP129" s="791">
        <v>0</v>
      </c>
      <c r="AQ129" s="789">
        <v>0</v>
      </c>
      <c r="AR129" s="790"/>
      <c r="AS129" s="791">
        <v>0</v>
      </c>
      <c r="AT129" s="791">
        <v>0</v>
      </c>
      <c r="AU129" s="791">
        <v>0</v>
      </c>
      <c r="AV129" s="791">
        <v>0</v>
      </c>
      <c r="AW129" s="789">
        <v>0</v>
      </c>
      <c r="AX129" s="790"/>
      <c r="AY129" s="791">
        <v>0</v>
      </c>
      <c r="AZ129" s="791">
        <v>0</v>
      </c>
      <c r="BA129" s="791">
        <v>0</v>
      </c>
      <c r="BB129" s="791">
        <v>0</v>
      </c>
      <c r="BC129" s="789">
        <v>0</v>
      </c>
      <c r="BD129" s="790"/>
      <c r="BE129" s="791">
        <v>0</v>
      </c>
      <c r="BF129" s="791">
        <v>0</v>
      </c>
      <c r="BG129" s="791">
        <v>0</v>
      </c>
      <c r="BH129" s="791">
        <v>0</v>
      </c>
      <c r="BI129" s="789">
        <v>0</v>
      </c>
      <c r="BJ129" s="790"/>
      <c r="BK129" s="791">
        <v>0</v>
      </c>
      <c r="BL129" s="791">
        <v>0</v>
      </c>
      <c r="BM129" s="791">
        <v>0</v>
      </c>
      <c r="BN129" s="791">
        <v>0</v>
      </c>
      <c r="BO129" s="789">
        <v>0</v>
      </c>
      <c r="BP129" s="790"/>
      <c r="BQ129" s="791">
        <v>0</v>
      </c>
      <c r="BR129" s="791">
        <v>0</v>
      </c>
      <c r="BS129" s="791">
        <v>0</v>
      </c>
      <c r="BT129" s="791">
        <v>0</v>
      </c>
      <c r="BU129" s="789">
        <v>0</v>
      </c>
      <c r="BV129" s="97"/>
      <c r="BW129" s="791">
        <v>0</v>
      </c>
      <c r="BX129" s="791">
        <v>0</v>
      </c>
      <c r="BY129" s="791">
        <v>0</v>
      </c>
      <c r="BZ129" s="791">
        <v>0</v>
      </c>
      <c r="CA129" s="789">
        <v>0</v>
      </c>
      <c r="CB129" s="97"/>
      <c r="CC129" s="791">
        <v>0</v>
      </c>
      <c r="CD129" s="791">
        <v>0</v>
      </c>
      <c r="CE129" s="791">
        <v>0</v>
      </c>
      <c r="CF129" s="791">
        <v>0</v>
      </c>
      <c r="CG129" s="789">
        <v>0</v>
      </c>
      <c r="CH129" s="97"/>
      <c r="CI129" s="791">
        <v>0</v>
      </c>
      <c r="CJ129" s="791">
        <v>0</v>
      </c>
      <c r="CK129" s="791">
        <v>0</v>
      </c>
      <c r="CL129" s="791">
        <v>0</v>
      </c>
      <c r="CM129" s="789">
        <v>0</v>
      </c>
      <c r="CN129" s="97"/>
      <c r="CO129" s="97"/>
      <c r="CP129"/>
      <c r="CQ129"/>
      <c r="CR129"/>
      <c r="CS129"/>
      <c r="CT129"/>
      <c r="CU129"/>
      <c r="CV129" s="97"/>
    </row>
    <row r="130" spans="1:103" s="24" customFormat="1" hidden="1" outlineLevel="1">
      <c r="A130" s="610" t="s">
        <v>316</v>
      </c>
      <c r="B130" s="610"/>
      <c r="C130" s="610"/>
      <c r="D130" s="610"/>
      <c r="E130" s="610"/>
      <c r="F130" s="783"/>
      <c r="G130" s="792"/>
      <c r="H130" s="783"/>
      <c r="I130" s="783"/>
      <c r="J130" s="783"/>
      <c r="K130" s="783"/>
      <c r="L130" s="783"/>
      <c r="M130" s="792"/>
      <c r="N130" s="783"/>
      <c r="O130" s="783"/>
      <c r="P130" s="783"/>
      <c r="Q130" s="783"/>
      <c r="R130" s="783"/>
      <c r="S130" s="793"/>
      <c r="T130" s="783"/>
      <c r="U130" s="783"/>
      <c r="V130" s="783"/>
      <c r="W130" s="783"/>
      <c r="X130" s="783"/>
      <c r="Y130" s="793"/>
      <c r="Z130" s="783"/>
      <c r="AA130" s="783"/>
      <c r="AB130" s="783"/>
      <c r="AC130" s="494"/>
      <c r="AD130" s="494"/>
      <c r="AE130" s="794"/>
      <c r="AF130" s="783"/>
      <c r="AG130" s="494"/>
      <c r="AH130" s="783"/>
      <c r="AI130" s="494"/>
      <c r="AJ130" s="494"/>
      <c r="AK130" s="794">
        <v>0.75</v>
      </c>
      <c r="AL130" s="783"/>
      <c r="AM130" s="494">
        <v>0.75</v>
      </c>
      <c r="AN130" s="494">
        <v>0.75</v>
      </c>
      <c r="AO130" s="494">
        <v>0.75</v>
      </c>
      <c r="AP130" s="494">
        <v>0.75</v>
      </c>
      <c r="AQ130" s="794">
        <v>0.75</v>
      </c>
      <c r="AR130" s="783"/>
      <c r="AS130" s="494">
        <v>0.75</v>
      </c>
      <c r="AT130" s="494">
        <v>0.75</v>
      </c>
      <c r="AU130" s="494">
        <v>0.75</v>
      </c>
      <c r="AV130" s="494">
        <v>0.75</v>
      </c>
      <c r="AW130" s="794">
        <v>0.75</v>
      </c>
      <c r="AX130" s="783"/>
      <c r="AY130" s="494">
        <v>0.75</v>
      </c>
      <c r="AZ130" s="494">
        <v>0.75</v>
      </c>
      <c r="BA130" s="494">
        <v>0.75</v>
      </c>
      <c r="BB130" s="494">
        <v>0.75</v>
      </c>
      <c r="BC130" s="794">
        <v>0.75</v>
      </c>
      <c r="BD130" s="783"/>
      <c r="BE130" s="494">
        <v>0.75</v>
      </c>
      <c r="BF130" s="494">
        <v>0.75</v>
      </c>
      <c r="BG130" s="494">
        <v>0.75</v>
      </c>
      <c r="BH130" s="494">
        <v>0.75</v>
      </c>
      <c r="BI130" s="794">
        <v>0.75</v>
      </c>
      <c r="BJ130" s="783"/>
      <c r="BK130" s="494">
        <v>0.75</v>
      </c>
      <c r="BL130" s="494">
        <v>0.75</v>
      </c>
      <c r="BM130" s="494">
        <v>0.75</v>
      </c>
      <c r="BN130" s="494">
        <v>0.75</v>
      </c>
      <c r="BO130" s="794">
        <v>0.75</v>
      </c>
      <c r="BP130" s="783"/>
      <c r="BQ130" s="494">
        <v>0.75</v>
      </c>
      <c r="BR130" s="494">
        <v>0.75</v>
      </c>
      <c r="BS130" s="494">
        <v>0.75</v>
      </c>
      <c r="BT130" s="494">
        <v>0.75</v>
      </c>
      <c r="BU130" s="794">
        <v>0.75</v>
      </c>
      <c r="BV130" s="97"/>
      <c r="BW130" s="494">
        <v>0.75</v>
      </c>
      <c r="BX130" s="494">
        <v>0.75</v>
      </c>
      <c r="BY130" s="494">
        <v>0.75</v>
      </c>
      <c r="BZ130" s="494">
        <v>0.75</v>
      </c>
      <c r="CA130" s="794">
        <v>0.75</v>
      </c>
      <c r="CB130" s="97"/>
      <c r="CC130" s="494">
        <v>0.75</v>
      </c>
      <c r="CD130" s="494">
        <v>0.75</v>
      </c>
      <c r="CE130" s="494">
        <v>0.75</v>
      </c>
      <c r="CF130" s="494">
        <v>0.75</v>
      </c>
      <c r="CG130" s="794">
        <v>0.75</v>
      </c>
      <c r="CH130" s="97"/>
      <c r="CI130" s="494">
        <v>0.75</v>
      </c>
      <c r="CJ130" s="494">
        <v>0.75</v>
      </c>
      <c r="CK130" s="494">
        <v>0.75</v>
      </c>
      <c r="CL130" s="494">
        <v>0.75</v>
      </c>
      <c r="CM130" s="794">
        <v>0.75</v>
      </c>
      <c r="CN130" s="97"/>
      <c r="CO130" s="97"/>
      <c r="CP130"/>
      <c r="CQ130"/>
      <c r="CR130"/>
      <c r="CS130"/>
      <c r="CT130"/>
      <c r="CU130"/>
      <c r="CV130" s="97"/>
    </row>
    <row r="131" spans="1:103" s="24" customFormat="1" hidden="1" outlineLevel="1">
      <c r="A131" s="610" t="s">
        <v>378</v>
      </c>
      <c r="B131" s="610"/>
      <c r="C131" s="610"/>
      <c r="D131" s="610"/>
      <c r="E131" s="610"/>
      <c r="F131" s="783"/>
      <c r="G131" s="792"/>
      <c r="H131" s="783"/>
      <c r="I131" s="783"/>
      <c r="J131" s="783"/>
      <c r="K131" s="783"/>
      <c r="L131" s="783"/>
      <c r="M131" s="792"/>
      <c r="N131" s="783"/>
      <c r="O131" s="783"/>
      <c r="P131" s="783"/>
      <c r="Q131" s="783"/>
      <c r="R131" s="783"/>
      <c r="S131" s="793"/>
      <c r="T131" s="783"/>
      <c r="U131" s="783"/>
      <c r="V131" s="783"/>
      <c r="W131" s="783"/>
      <c r="X131" s="783"/>
      <c r="Y131" s="793"/>
      <c r="Z131" s="783"/>
      <c r="AA131" s="783"/>
      <c r="AB131" s="783"/>
      <c r="AC131" s="494"/>
      <c r="AD131" s="494"/>
      <c r="AE131" s="794"/>
      <c r="AF131" s="783"/>
      <c r="AG131" s="494"/>
      <c r="AH131" s="783"/>
      <c r="AI131" s="494"/>
      <c r="AJ131" s="494"/>
      <c r="AK131" s="794">
        <v>0.15</v>
      </c>
      <c r="AL131" s="783"/>
      <c r="AM131" s="494">
        <v>0.15</v>
      </c>
      <c r="AN131" s="494">
        <v>0.15</v>
      </c>
      <c r="AO131" s="494">
        <v>0.15</v>
      </c>
      <c r="AP131" s="494">
        <v>0.15</v>
      </c>
      <c r="AQ131" s="794">
        <v>0.15</v>
      </c>
      <c r="AR131" s="783"/>
      <c r="AS131" s="494">
        <v>0.15</v>
      </c>
      <c r="AT131" s="494">
        <v>0.15</v>
      </c>
      <c r="AU131" s="494">
        <v>0.15</v>
      </c>
      <c r="AV131" s="494">
        <v>0.15</v>
      </c>
      <c r="AW131" s="794">
        <v>0.15</v>
      </c>
      <c r="AX131" s="783"/>
      <c r="AY131" s="494">
        <v>0.15</v>
      </c>
      <c r="AZ131" s="494">
        <v>0.15</v>
      </c>
      <c r="BA131" s="494">
        <v>0.15</v>
      </c>
      <c r="BB131" s="494">
        <v>0.15</v>
      </c>
      <c r="BC131" s="794">
        <v>0.15</v>
      </c>
      <c r="BD131" s="783"/>
      <c r="BE131" s="494">
        <v>0.15</v>
      </c>
      <c r="BF131" s="494">
        <v>0.15</v>
      </c>
      <c r="BG131" s="494">
        <v>0.15</v>
      </c>
      <c r="BH131" s="494">
        <v>0.15</v>
      </c>
      <c r="BI131" s="794">
        <v>0.15</v>
      </c>
      <c r="BJ131" s="783"/>
      <c r="BK131" s="494">
        <v>0.15</v>
      </c>
      <c r="BL131" s="494">
        <v>0.15</v>
      </c>
      <c r="BM131" s="494">
        <v>0.15</v>
      </c>
      <c r="BN131" s="494">
        <v>0.15</v>
      </c>
      <c r="BO131" s="794">
        <v>0.15</v>
      </c>
      <c r="BP131" s="783"/>
      <c r="BQ131" s="494">
        <v>0.15</v>
      </c>
      <c r="BR131" s="494">
        <v>0.15</v>
      </c>
      <c r="BS131" s="494">
        <v>0.15</v>
      </c>
      <c r="BT131" s="494">
        <v>0.15</v>
      </c>
      <c r="BU131" s="794">
        <v>0.15</v>
      </c>
      <c r="BV131" s="97"/>
      <c r="BW131" s="494">
        <v>0.15</v>
      </c>
      <c r="BX131" s="494">
        <v>0.15</v>
      </c>
      <c r="BY131" s="494">
        <v>0.15</v>
      </c>
      <c r="BZ131" s="494">
        <v>0.15</v>
      </c>
      <c r="CA131" s="794">
        <v>0.15</v>
      </c>
      <c r="CB131" s="97"/>
      <c r="CC131" s="494">
        <v>0.15</v>
      </c>
      <c r="CD131" s="494">
        <v>0.15</v>
      </c>
      <c r="CE131" s="494">
        <v>0.15</v>
      </c>
      <c r="CF131" s="494">
        <v>0.15</v>
      </c>
      <c r="CG131" s="794">
        <v>0.15</v>
      </c>
      <c r="CH131" s="97"/>
      <c r="CI131" s="494">
        <v>0.15</v>
      </c>
      <c r="CJ131" s="494">
        <v>0.15</v>
      </c>
      <c r="CK131" s="494">
        <v>0.15</v>
      </c>
      <c r="CL131" s="494">
        <v>0.15</v>
      </c>
      <c r="CM131" s="794">
        <v>0.15</v>
      </c>
      <c r="CN131" s="97"/>
      <c r="CO131" s="97"/>
      <c r="CP131"/>
      <c r="CQ131"/>
      <c r="CR131"/>
      <c r="CS131"/>
      <c r="CT131"/>
      <c r="CU131"/>
      <c r="CV131" s="97"/>
    </row>
    <row r="132" spans="1:103" s="24" customFormat="1" hidden="1" outlineLevel="1">
      <c r="A132" s="610" t="s">
        <v>164</v>
      </c>
      <c r="B132" s="610"/>
      <c r="C132" s="610"/>
      <c r="D132" s="610"/>
      <c r="E132" s="610"/>
      <c r="F132" s="783"/>
      <c r="G132" s="795"/>
      <c r="H132" s="796"/>
      <c r="I132" s="796"/>
      <c r="J132" s="796"/>
      <c r="K132" s="796"/>
      <c r="L132" s="796"/>
      <c r="M132" s="795"/>
      <c r="N132" s="796"/>
      <c r="O132" s="796"/>
      <c r="P132" s="796"/>
      <c r="Q132" s="796"/>
      <c r="R132" s="796"/>
      <c r="S132" s="795"/>
      <c r="T132" s="796"/>
      <c r="U132" s="796"/>
      <c r="V132" s="796"/>
      <c r="W132" s="796"/>
      <c r="X132" s="796"/>
      <c r="Y132" s="797"/>
      <c r="Z132" s="796"/>
      <c r="AA132" s="796"/>
      <c r="AB132" s="796"/>
      <c r="AC132" s="798"/>
      <c r="AD132" s="798"/>
      <c r="AE132" s="799"/>
      <c r="AF132" s="796"/>
      <c r="AG132" s="798"/>
      <c r="AH132" s="796"/>
      <c r="AI132" s="798"/>
      <c r="AJ132" s="798"/>
      <c r="AK132" s="799">
        <v>0.1</v>
      </c>
      <c r="AL132" s="796"/>
      <c r="AM132" s="798">
        <v>0.1</v>
      </c>
      <c r="AN132" s="798">
        <v>0.1</v>
      </c>
      <c r="AO132" s="798">
        <v>0.1</v>
      </c>
      <c r="AP132" s="798">
        <v>0.1</v>
      </c>
      <c r="AQ132" s="799">
        <v>0.1</v>
      </c>
      <c r="AR132" s="796"/>
      <c r="AS132" s="798">
        <v>0.1</v>
      </c>
      <c r="AT132" s="798">
        <v>0.1</v>
      </c>
      <c r="AU132" s="798">
        <v>0.1</v>
      </c>
      <c r="AV132" s="798">
        <v>0.1</v>
      </c>
      <c r="AW132" s="799">
        <v>0.1</v>
      </c>
      <c r="AX132" s="796"/>
      <c r="AY132" s="798">
        <v>0.1</v>
      </c>
      <c r="AZ132" s="798">
        <v>0.1</v>
      </c>
      <c r="BA132" s="798">
        <v>0.1</v>
      </c>
      <c r="BB132" s="798">
        <v>0.1</v>
      </c>
      <c r="BC132" s="799">
        <v>0.1</v>
      </c>
      <c r="BD132" s="796"/>
      <c r="BE132" s="798">
        <v>0.1</v>
      </c>
      <c r="BF132" s="798">
        <v>0.1</v>
      </c>
      <c r="BG132" s="798">
        <v>0.1</v>
      </c>
      <c r="BH132" s="798">
        <v>0.1</v>
      </c>
      <c r="BI132" s="799">
        <v>0.1</v>
      </c>
      <c r="BJ132" s="796"/>
      <c r="BK132" s="798">
        <v>0.1</v>
      </c>
      <c r="BL132" s="798">
        <v>0.1</v>
      </c>
      <c r="BM132" s="798">
        <v>0.1</v>
      </c>
      <c r="BN132" s="798">
        <v>0.1</v>
      </c>
      <c r="BO132" s="799">
        <v>0.1</v>
      </c>
      <c r="BP132" s="796"/>
      <c r="BQ132" s="798">
        <v>0.1</v>
      </c>
      <c r="BR132" s="798">
        <v>0.1</v>
      </c>
      <c r="BS132" s="798">
        <v>0.1</v>
      </c>
      <c r="BT132" s="798">
        <v>0.1</v>
      </c>
      <c r="BU132" s="799">
        <v>0.1</v>
      </c>
      <c r="BV132" s="97"/>
      <c r="BW132" s="798">
        <v>0.1</v>
      </c>
      <c r="BX132" s="798">
        <v>0.1</v>
      </c>
      <c r="BY132" s="798">
        <v>0.1</v>
      </c>
      <c r="BZ132" s="798">
        <v>0.1</v>
      </c>
      <c r="CA132" s="799">
        <v>0.1</v>
      </c>
      <c r="CB132" s="97"/>
      <c r="CC132" s="798">
        <v>0.1</v>
      </c>
      <c r="CD132" s="798">
        <v>0.1</v>
      </c>
      <c r="CE132" s="798">
        <v>0.1</v>
      </c>
      <c r="CF132" s="798">
        <v>0.1</v>
      </c>
      <c r="CG132" s="799">
        <v>0.1</v>
      </c>
      <c r="CH132" s="97"/>
      <c r="CI132" s="798">
        <v>0.1</v>
      </c>
      <c r="CJ132" s="798">
        <v>0.1</v>
      </c>
      <c r="CK132" s="798">
        <v>0.1</v>
      </c>
      <c r="CL132" s="798">
        <v>0.1</v>
      </c>
      <c r="CM132" s="799">
        <v>0.1</v>
      </c>
      <c r="CN132" s="97"/>
      <c r="CO132" s="97"/>
      <c r="CP132"/>
      <c r="CQ132"/>
      <c r="CR132"/>
      <c r="CS132"/>
      <c r="CT132"/>
      <c r="CU132"/>
      <c r="CV132" s="97"/>
    </row>
    <row r="133" spans="1:103" s="24" customFormat="1" collapsed="1">
      <c r="F133" s="71"/>
      <c r="BV133" s="97"/>
      <c r="CB133" s="97"/>
      <c r="CH133" s="97"/>
      <c r="CN133" s="97"/>
      <c r="CO133" s="97"/>
      <c r="CP133"/>
      <c r="CQ133"/>
      <c r="CR133"/>
      <c r="CS133"/>
      <c r="CT133"/>
      <c r="CU133"/>
      <c r="CV133" s="97"/>
    </row>
    <row r="134" spans="1:103" s="24" customFormat="1">
      <c r="A134" s="2096" t="s">
        <v>593</v>
      </c>
      <c r="B134" s="1919"/>
      <c r="C134" s="1919"/>
      <c r="D134" s="1919"/>
      <c r="E134" s="1919"/>
      <c r="F134" s="1923"/>
      <c r="G134" s="1919"/>
      <c r="H134" s="1919"/>
      <c r="I134" s="1919"/>
      <c r="J134" s="1919"/>
      <c r="K134" s="1919"/>
      <c r="L134" s="1919"/>
      <c r="M134" s="1919"/>
      <c r="N134" s="1919"/>
      <c r="O134" s="1919"/>
      <c r="P134" s="1919"/>
      <c r="Q134" s="1919"/>
      <c r="R134" s="1919"/>
      <c r="S134" s="1919"/>
      <c r="T134" s="1919"/>
      <c r="U134" s="1919"/>
      <c r="V134" s="1919"/>
      <c r="W134" s="1919"/>
      <c r="X134" s="1919"/>
      <c r="Y134" s="1919"/>
      <c r="Z134" s="1919"/>
      <c r="AA134" s="1919"/>
      <c r="AB134" s="1919"/>
      <c r="AC134" s="1919"/>
      <c r="AD134" s="1919"/>
      <c r="AE134" s="1919"/>
      <c r="AF134" s="1919"/>
      <c r="AG134" s="1919"/>
      <c r="AH134" s="1919"/>
      <c r="AI134" s="1919"/>
      <c r="AJ134" s="1919"/>
      <c r="AK134" s="1919"/>
      <c r="AL134" s="1919"/>
      <c r="AM134" s="1919"/>
      <c r="AN134" s="1919"/>
      <c r="AO134" s="1919"/>
      <c r="AP134" s="1919"/>
      <c r="AQ134" s="1919"/>
      <c r="AR134" s="1919"/>
      <c r="AS134" s="1919"/>
      <c r="AT134" s="1919"/>
      <c r="AU134" s="1919"/>
      <c r="AV134" s="1919"/>
      <c r="AW134" s="1919"/>
      <c r="AX134" s="1919"/>
      <c r="AY134" s="1919"/>
      <c r="AZ134" s="1919"/>
      <c r="BA134" s="1919"/>
      <c r="BB134" s="1919"/>
      <c r="BC134" s="1919"/>
      <c r="BD134" s="1919"/>
      <c r="BE134" s="1919"/>
      <c r="BF134" s="1919"/>
      <c r="BG134" s="1919"/>
      <c r="BH134" s="1919"/>
      <c r="BI134" s="1919"/>
      <c r="BJ134" s="1919"/>
      <c r="BK134" s="1919"/>
      <c r="BL134" s="1919"/>
      <c r="BM134" s="1919"/>
      <c r="BN134" s="1919"/>
      <c r="BO134" s="1919"/>
      <c r="BP134" s="1919"/>
      <c r="BQ134" s="1919"/>
      <c r="BR134" s="1919"/>
      <c r="BS134" s="1919"/>
      <c r="BT134" s="1919"/>
      <c r="BU134" s="1919"/>
      <c r="BV134" s="2101"/>
      <c r="BW134" s="1919"/>
      <c r="BX134" s="1919"/>
      <c r="BY134" s="1919"/>
      <c r="BZ134" s="1919"/>
      <c r="CA134" s="1919"/>
      <c r="CB134" s="2101"/>
      <c r="CC134" s="1919"/>
      <c r="CD134" s="1919"/>
      <c r="CE134" s="1919"/>
      <c r="CF134" s="1919"/>
      <c r="CG134" s="1919"/>
      <c r="CH134" s="2101"/>
      <c r="CI134" s="1919"/>
      <c r="CJ134" s="1919"/>
      <c r="CK134" s="1919"/>
      <c r="CL134" s="1919"/>
      <c r="CM134" s="1919"/>
      <c r="CN134" s="97"/>
      <c r="CO134" s="97"/>
      <c r="CP134"/>
      <c r="CQ134"/>
      <c r="CR134"/>
      <c r="CS134"/>
      <c r="CT134"/>
      <c r="CU134"/>
      <c r="CV134" s="97"/>
    </row>
    <row r="135" spans="1:103" s="339" customFormat="1" hidden="1" outlineLevel="1">
      <c r="A135" s="2095" t="s">
        <v>592</v>
      </c>
      <c r="B135" s="2095"/>
      <c r="C135" s="2095"/>
      <c r="D135" s="2095"/>
      <c r="E135" s="2095"/>
      <c r="F135" s="2097"/>
      <c r="G135" s="2098"/>
      <c r="H135" s="2085"/>
      <c r="I135" s="2099">
        <f>I141*I156</f>
        <v>0.379930802481729</v>
      </c>
      <c r="J135" s="2099">
        <f>J141*J156</f>
        <v>0.40291930341370702</v>
      </c>
      <c r="K135" s="2099">
        <f>K141*K156</f>
        <v>0.41110120891530455</v>
      </c>
      <c r="L135" s="2099">
        <f>L141*L156</f>
        <v>0.52824787716890231</v>
      </c>
      <c r="M135" s="2100">
        <f>M141*M156</f>
        <v>0.43485266563248354</v>
      </c>
      <c r="N135" s="72"/>
      <c r="O135" s="2099">
        <f>O141*O156</f>
        <v>0.35639906590862652</v>
      </c>
      <c r="P135" s="2099">
        <f>P141*P156</f>
        <v>0.35447265227979441</v>
      </c>
      <c r="Q135" s="2099">
        <f>Q141*Q156</f>
        <v>0.35417815120893564</v>
      </c>
      <c r="R135" s="2099">
        <f>R141*R156</f>
        <v>0.4751549536479282</v>
      </c>
      <c r="S135" s="2100">
        <f>S141*S156</f>
        <v>0.40994644179769879</v>
      </c>
      <c r="T135" s="72"/>
      <c r="U135" s="2099">
        <f>U141*U156</f>
        <v>0.36586550765640319</v>
      </c>
      <c r="V135" s="2099">
        <f>V141*V156</f>
        <v>0.42331098237928677</v>
      </c>
      <c r="W135" s="2099">
        <f>W141*W156</f>
        <v>0.43709796796270872</v>
      </c>
      <c r="X135" s="2099">
        <f>X141*X156</f>
        <v>0.56072303171214488</v>
      </c>
      <c r="Y135" s="2100">
        <f>Y141*Y156</f>
        <v>0.44445385170917689</v>
      </c>
      <c r="Z135" s="72"/>
      <c r="AA135" s="2099">
        <f>AA141*AA156</f>
        <v>0.4272652835775253</v>
      </c>
      <c r="AB135" s="2099">
        <f>AB141*AB156</f>
        <v>0.43651659874561871</v>
      </c>
      <c r="AC135" s="2099">
        <f>AC141*AC156</f>
        <v>0.4525528601973744</v>
      </c>
      <c r="AD135" s="2099">
        <f>AD141*AD156</f>
        <v>0.58263238186825217</v>
      </c>
      <c r="AE135" s="2100">
        <f>AE141*AE156</f>
        <v>0.47954006890747158</v>
      </c>
      <c r="AF135" s="72"/>
      <c r="AG135" s="2099">
        <f>AG141*AG156</f>
        <v>0.37078875513813891</v>
      </c>
      <c r="AH135" s="2099">
        <f>AH141*AH156</f>
        <v>0.42620279475200973</v>
      </c>
      <c r="AI135" s="2099">
        <f>AI141*AI156</f>
        <v>0.42218170033902686</v>
      </c>
      <c r="AJ135" s="2099">
        <f>AJ141*AJ156</f>
        <v>0.51505557171627792</v>
      </c>
      <c r="AK135" s="2100">
        <f>AK141*AK156</f>
        <v>0.44608541534512858</v>
      </c>
      <c r="AL135" s="72"/>
      <c r="AM135" s="2099">
        <f>AM141*AM156</f>
        <v>0.32686725047876053</v>
      </c>
      <c r="AN135" s="2099">
        <f>AN141*AN156</f>
        <v>0.32851035235827813</v>
      </c>
      <c r="AO135" s="2099">
        <f>AO141*AO156</f>
        <v>0.34958798442140099</v>
      </c>
      <c r="AP135" s="2099">
        <f>AP141*AP156</f>
        <v>0.46201932050061184</v>
      </c>
      <c r="AQ135" s="2100">
        <f>AQ141*AQ156</f>
        <v>0.38039690333310794</v>
      </c>
      <c r="AR135" s="72"/>
      <c r="AS135" s="2099">
        <f>AS141*AS156</f>
        <v>0.24656286456715115</v>
      </c>
      <c r="AT135" s="2099">
        <f>AT141*AT156</f>
        <v>0.31784302868436876</v>
      </c>
      <c r="AU135" s="2099">
        <f>AU141*AU156</f>
        <v>0.35713079519450686</v>
      </c>
      <c r="AV135" s="2099">
        <f>AV141*AV156</f>
        <v>0.50308630703066182</v>
      </c>
      <c r="AW135" s="2100">
        <f>AW141*AW156</f>
        <v>0.36106564758245863</v>
      </c>
      <c r="AX135" s="72"/>
      <c r="AY135" s="2099">
        <f>AY141*AY156</f>
        <v>0.30761589216545199</v>
      </c>
      <c r="AZ135" s="2099">
        <f>AZ141*AZ156</f>
        <v>0.3483835732199414</v>
      </c>
      <c r="BA135" s="2099">
        <f>BA141*BA156</f>
        <v>0.3591344255916375</v>
      </c>
      <c r="BB135" s="2099">
        <f>BB141*BB156</f>
        <v>0.48756144106491667</v>
      </c>
      <c r="BC135" s="2100">
        <f>BC141*BC156</f>
        <v>0.3678647164886566</v>
      </c>
      <c r="BD135" s="72"/>
      <c r="BE135" s="2099">
        <f>BE141*BE156</f>
        <v>0.30971077371271793</v>
      </c>
      <c r="BF135" s="2099">
        <f>BF141*BF156</f>
        <v>0.38751067995332178</v>
      </c>
      <c r="BG135" s="2099">
        <f>BG141*BG156</f>
        <v>0.38585949086601884</v>
      </c>
      <c r="BH135" s="2099">
        <f>BH141*BH156</f>
        <v>0.52758109297530764</v>
      </c>
      <c r="BI135" s="2100">
        <f>BI141*BI156</f>
        <v>0.3984948564560421</v>
      </c>
      <c r="BJ135" s="72"/>
      <c r="BK135" s="2099">
        <f>BK141*BK156</f>
        <v>0.3528376543690252</v>
      </c>
      <c r="BL135" s="2099">
        <f>BL141*BL156</f>
        <v>0.43049012033466905</v>
      </c>
      <c r="BM135" s="2099">
        <f>BM141*BM156</f>
        <v>0.42624650367058237</v>
      </c>
      <c r="BN135" s="2099">
        <f>BN141*BN156</f>
        <v>0.58647959913899428</v>
      </c>
      <c r="BO135" s="2100">
        <f>BO141*BO156</f>
        <v>0.4478804657299334</v>
      </c>
      <c r="BP135" s="72"/>
      <c r="BQ135" s="2099">
        <f>BQ141*BQ156</f>
        <v>0.55845787245925993</v>
      </c>
      <c r="BR135" s="2099">
        <f>BR141*BR156</f>
        <v>0.64190011579617345</v>
      </c>
      <c r="BS135" s="2099">
        <f>BS141*BS156</f>
        <v>0.62927540269617133</v>
      </c>
      <c r="BT135" s="2099">
        <f>BT141*BT156</f>
        <v>0.90210603842100689</v>
      </c>
      <c r="BU135" s="2100">
        <f>BU141*BU156</f>
        <v>0.72535563858697194</v>
      </c>
      <c r="BV135" s="1065"/>
      <c r="BW135" s="2099">
        <f>BW141*BW156</f>
        <v>0.5688228569160716</v>
      </c>
      <c r="BX135" s="2099">
        <f>BX141*BX156</f>
        <v>0.62792777728487925</v>
      </c>
      <c r="BY135" s="2099">
        <f>BY141*BY156</f>
        <v>0.60751445943578597</v>
      </c>
      <c r="BZ135" s="2099">
        <f>BZ141*BZ156</f>
        <v>0.85355633210806758</v>
      </c>
      <c r="CA135" s="2100">
        <f>CA141*CA156</f>
        <v>0.72679721850420098</v>
      </c>
      <c r="CB135" s="1065"/>
      <c r="CC135" s="2099">
        <f>CC141*CC156</f>
        <v>0.53485912252232304</v>
      </c>
      <c r="CD135" s="2099">
        <f>CD141*CD156</f>
        <v>0.59781553743998206</v>
      </c>
      <c r="CE135" s="2099">
        <f>CE141*CE156</f>
        <v>0.58029189692090533</v>
      </c>
      <c r="CF135" s="2099">
        <f>CF141*CF156</f>
        <v>0.80896908983175364</v>
      </c>
      <c r="CG135" s="2100">
        <f>CG141*CG156</f>
        <v>0.67724306973892745</v>
      </c>
      <c r="CH135" s="1065"/>
      <c r="CI135" s="2099">
        <f>CI141*CI156</f>
        <v>0.51647272816203138</v>
      </c>
      <c r="CJ135" s="2099">
        <f>CJ141*CJ156</f>
        <v>0.57810480462934533</v>
      </c>
      <c r="CK135" s="2099">
        <f>CK141*CK156</f>
        <v>0.56829593232919606</v>
      </c>
      <c r="CL135" s="2099">
        <f>CL141*CL156</f>
        <v>0.79382542663436584</v>
      </c>
      <c r="CM135" s="2100">
        <f>CM141*CM156</f>
        <v>0.64814733018970905</v>
      </c>
      <c r="CN135" s="1065"/>
      <c r="CO135" s="1065"/>
      <c r="CP135"/>
      <c r="CQ135"/>
      <c r="CR135"/>
      <c r="CS135"/>
      <c r="CT135"/>
      <c r="CU135"/>
      <c r="CV135" s="1065"/>
      <c r="CX135" s="1646"/>
      <c r="CY135" s="1646"/>
    </row>
    <row r="136" spans="1:103" s="24" customFormat="1" hidden="1" outlineLevel="1">
      <c r="A136" s="62" t="s">
        <v>383</v>
      </c>
      <c r="B136" s="130"/>
      <c r="C136" s="130"/>
      <c r="D136" s="130"/>
      <c r="E136" s="130"/>
      <c r="F136" s="60"/>
      <c r="G136" s="61">
        <f>IS!G9</f>
        <v>1473.0479999999998</v>
      </c>
      <c r="H136" s="61"/>
      <c r="I136" s="60">
        <f>IS!I9</f>
        <v>371.99800000000005</v>
      </c>
      <c r="J136" s="60">
        <f>IS!J9</f>
        <v>398.48500000000001</v>
      </c>
      <c r="K136" s="60">
        <f>IS!K9</f>
        <v>386.30999999999995</v>
      </c>
      <c r="L136" s="60">
        <f>IS!L9</f>
        <v>418.3309999999999</v>
      </c>
      <c r="M136" s="63">
        <f>IS!M9</f>
        <v>1575.124</v>
      </c>
      <c r="N136" s="60"/>
      <c r="O136" s="60">
        <f>IS!O9</f>
        <v>333.05200000000002</v>
      </c>
      <c r="P136" s="60">
        <f>IS!P9</f>
        <v>362.83699999999999</v>
      </c>
      <c r="Q136" s="60">
        <f>IS!Q9</f>
        <v>373.96300000000002</v>
      </c>
      <c r="R136" s="60">
        <f>IS!R9</f>
        <v>428.84800000000001</v>
      </c>
      <c r="S136" s="63">
        <f>IS!S9</f>
        <v>1498.7</v>
      </c>
      <c r="T136" s="60"/>
      <c r="U136" s="60">
        <f>IS!U9</f>
        <v>367.7</v>
      </c>
      <c r="V136" s="60">
        <f>IS!V9</f>
        <v>391.05500000000001</v>
      </c>
      <c r="W136" s="60">
        <f>IS!W9</f>
        <v>401.03800000000001</v>
      </c>
      <c r="X136" s="60">
        <f>IS!X9</f>
        <v>483.57799999999997</v>
      </c>
      <c r="Y136" s="63">
        <f>IS!Y9</f>
        <v>1643.3710000000001</v>
      </c>
      <c r="Z136" s="60"/>
      <c r="AA136" s="60">
        <f>IS!AA9</f>
        <v>427.60300000000001</v>
      </c>
      <c r="AB136" s="60">
        <f>IS!AB9</f>
        <v>447.62700000000007</v>
      </c>
      <c r="AC136" s="60">
        <f>IS!AC9</f>
        <v>454.53399999999999</v>
      </c>
      <c r="AD136" s="60">
        <f>IS!AD9</f>
        <v>521.41999999999996</v>
      </c>
      <c r="AE136" s="63">
        <f>IS!AE9</f>
        <v>1851.184</v>
      </c>
      <c r="AF136" s="60"/>
      <c r="AG136" s="60">
        <f>IS!AG9</f>
        <v>420.45800000000003</v>
      </c>
      <c r="AH136" s="60">
        <f>IS!AH9</f>
        <v>451.46499999999997</v>
      </c>
      <c r="AI136" s="60">
        <f>IS!AI9</f>
        <v>449.952</v>
      </c>
      <c r="AJ136" s="60">
        <f>IS!AJ9</f>
        <v>521.76599999999996</v>
      </c>
      <c r="AK136" s="63">
        <f>IS!AK9</f>
        <v>1843.6410000000001</v>
      </c>
      <c r="AL136" s="60"/>
      <c r="AM136" s="60">
        <f>IS!AM9</f>
        <v>430.33800000000002</v>
      </c>
      <c r="AN136" s="60">
        <f>IS!AN9</f>
        <v>451.11500000000001</v>
      </c>
      <c r="AO136" s="60">
        <f>IS!AO9</f>
        <v>457.31700000000001</v>
      </c>
      <c r="AP136" s="60">
        <f>IS!AP9</f>
        <v>565.44799999999998</v>
      </c>
      <c r="AQ136" s="63">
        <f>IS!AQ9</f>
        <v>1904.2179999999998</v>
      </c>
      <c r="AR136" s="60"/>
      <c r="AS136" s="60">
        <f>IS!AS9</f>
        <v>430.50799999999998</v>
      </c>
      <c r="AT136" s="60">
        <f>IS!AT9</f>
        <v>481.80099999999999</v>
      </c>
      <c r="AU136" s="60">
        <f>IS!AU9</f>
        <v>493.16500000000002</v>
      </c>
      <c r="AV136" s="60">
        <f>IS!AV9</f>
        <v>583.87</v>
      </c>
      <c r="AW136" s="63">
        <f>IS!AW9</f>
        <v>1989.3440000000001</v>
      </c>
      <c r="AX136" s="60"/>
      <c r="AY136" s="60">
        <f>IS!AY9</f>
        <v>460.404</v>
      </c>
      <c r="AZ136" s="60">
        <f>IS!AZ9</f>
        <v>494.74</v>
      </c>
      <c r="BA136" s="60">
        <f>IS!BA9</f>
        <v>500.57799999999997</v>
      </c>
      <c r="BB136" s="60">
        <f>IS!BB9</f>
        <v>586.61</v>
      </c>
      <c r="BC136" s="63">
        <f>IS!BC9</f>
        <v>2042.3319999999999</v>
      </c>
      <c r="BD136" s="60"/>
      <c r="BE136" s="60">
        <f>IS!BE9</f>
        <v>475.24599999999998</v>
      </c>
      <c r="BF136" s="60">
        <f>IS!BF9</f>
        <v>536.55999999999995</v>
      </c>
      <c r="BG136" s="60">
        <f>IS!BG9</f>
        <v>526.83000000000004</v>
      </c>
      <c r="BH136" s="60">
        <f>IS!BH9</f>
        <v>628.78700000000003</v>
      </c>
      <c r="BI136" s="63">
        <f>IS!BI9</f>
        <v>2167.4229999999998</v>
      </c>
      <c r="BJ136" s="60"/>
      <c r="BK136" s="60">
        <f>IS!BK9</f>
        <v>497.96899999999999</v>
      </c>
      <c r="BL136" s="60">
        <f>IS!BL9</f>
        <v>558.25</v>
      </c>
      <c r="BM136" s="60">
        <f>IS!BM9</f>
        <v>565.58399999999995</v>
      </c>
      <c r="BN136" s="60">
        <f>IS!BN9</f>
        <v>687.27499999999998</v>
      </c>
      <c r="BO136" s="63">
        <f>IS!BO9</f>
        <v>2309.078</v>
      </c>
      <c r="BP136" s="60"/>
      <c r="BQ136" s="60">
        <f>IS!BQ9</f>
        <v>541.1096557337778</v>
      </c>
      <c r="BR136" s="60">
        <f>IS!BR9</f>
        <v>607.36940357463959</v>
      </c>
      <c r="BS136" s="60">
        <f>IS!BS9</f>
        <v>601.56211985292123</v>
      </c>
      <c r="BT136" s="60">
        <f>IS!BT9</f>
        <v>732.05547214701062</v>
      </c>
      <c r="BU136" s="63">
        <f>IS!BU9</f>
        <v>2482.0966513083495</v>
      </c>
      <c r="BV136" s="97"/>
      <c r="BW136" s="60">
        <f>IS!BW9</f>
        <v>576.55947318761059</v>
      </c>
      <c r="BX136" s="60">
        <f>IS!BX9</f>
        <v>642.94287128261487</v>
      </c>
      <c r="BY136" s="60">
        <f>IS!BY9</f>
        <v>635.17739289131771</v>
      </c>
      <c r="BZ136" s="60">
        <f>IS!BZ9</f>
        <v>768.06896235218198</v>
      </c>
      <c r="CA136" s="63">
        <f>IS!CA9</f>
        <v>2622.7486997137253</v>
      </c>
      <c r="CB136" s="97"/>
      <c r="CC136" s="60">
        <f>IS!CC9</f>
        <v>609.76634303680248</v>
      </c>
      <c r="CD136" s="60">
        <f>IS!CD9</f>
        <v>675.47609966489892</v>
      </c>
      <c r="CE136" s="60">
        <f>IS!CE9</f>
        <v>666.42839152814736</v>
      </c>
      <c r="CF136" s="60">
        <f>IS!CF9</f>
        <v>800.644640098124</v>
      </c>
      <c r="CG136" s="63">
        <f>IS!CG9</f>
        <v>2752.3154743279729</v>
      </c>
      <c r="CH136" s="97"/>
      <c r="CI136" s="60">
        <f>IS!CI9</f>
        <v>644.90177492360704</v>
      </c>
      <c r="CJ136" s="60">
        <f>IS!CJ9</f>
        <v>709.71254217696151</v>
      </c>
      <c r="CK136" s="60">
        <f>IS!CK9</f>
        <v>699.251438459665</v>
      </c>
      <c r="CL136" s="60">
        <f>IS!CL9</f>
        <v>834.79537649334588</v>
      </c>
      <c r="CM136" s="63">
        <f>IS!CM9</f>
        <v>2888.6611320535794</v>
      </c>
      <c r="CN136" s="97"/>
      <c r="CO136" s="97"/>
      <c r="CP136"/>
      <c r="CQ136"/>
      <c r="CR136"/>
      <c r="CS136"/>
      <c r="CT136"/>
      <c r="CU136"/>
      <c r="CV136" s="97"/>
    </row>
    <row r="137" spans="1:103" s="24" customFormat="1" hidden="1" outlineLevel="1">
      <c r="A137" s="62" t="s">
        <v>227</v>
      </c>
      <c r="B137" s="130"/>
      <c r="C137" s="130"/>
      <c r="D137" s="130"/>
      <c r="E137" s="130"/>
      <c r="F137" s="60"/>
      <c r="G137" s="61">
        <f>IS!G22</f>
        <v>369.74099999999987</v>
      </c>
      <c r="H137" s="61"/>
      <c r="I137" s="60">
        <f>IS!I22</f>
        <v>90.924000000000049</v>
      </c>
      <c r="J137" s="60">
        <f>IS!J22</f>
        <v>97.79000000000002</v>
      </c>
      <c r="K137" s="60">
        <f>IS!K22</f>
        <v>101.58099999999996</v>
      </c>
      <c r="L137" s="60">
        <f>IS!L22</f>
        <v>125.97599999999993</v>
      </c>
      <c r="M137" s="63">
        <f>IS!M22</f>
        <v>416.27100000000007</v>
      </c>
      <c r="N137" s="60"/>
      <c r="O137" s="60">
        <f>IS!O22</f>
        <v>90.407000000000011</v>
      </c>
      <c r="P137" s="60">
        <f>IS!P22</f>
        <v>95.277999999999992</v>
      </c>
      <c r="Q137" s="60">
        <f>IS!Q22</f>
        <v>98.835000000000022</v>
      </c>
      <c r="R137" s="60">
        <f>IS!R22</f>
        <v>131.44099999999997</v>
      </c>
      <c r="S137" s="63">
        <f>IS!S22</f>
        <v>415.96100000000013</v>
      </c>
      <c r="T137" s="60"/>
      <c r="U137" s="60">
        <f>IS!U22</f>
        <v>96.998999999999995</v>
      </c>
      <c r="V137" s="60">
        <f>IS!V22</f>
        <v>110.176</v>
      </c>
      <c r="W137" s="60">
        <f>IS!W22</f>
        <v>111.223</v>
      </c>
      <c r="X137" s="60">
        <f>IS!X22</f>
        <v>152.94</v>
      </c>
      <c r="Y137" s="63">
        <f>IS!Y22</f>
        <v>471.33800000000008</v>
      </c>
      <c r="Z137" s="60"/>
      <c r="AA137" s="60">
        <f>IS!AA22</f>
        <v>118.39600000000002</v>
      </c>
      <c r="AB137" s="60">
        <f>IS!AB22</f>
        <v>123.07100000000005</v>
      </c>
      <c r="AC137" s="60">
        <f>IS!AC22</f>
        <v>132.63300000000001</v>
      </c>
      <c r="AD137" s="60">
        <f>IS!AD22</f>
        <v>169.23299999999998</v>
      </c>
      <c r="AE137" s="63">
        <f>IS!AE22</f>
        <v>543.33300000000008</v>
      </c>
      <c r="AF137" s="60"/>
      <c r="AG137" s="60">
        <f>IS!AG22</f>
        <v>113.21300000000002</v>
      </c>
      <c r="AH137" s="60">
        <f>IS!AH22</f>
        <v>130.226</v>
      </c>
      <c r="AI137" s="60">
        <f>IS!AI22</f>
        <v>130.12200000000001</v>
      </c>
      <c r="AJ137" s="60">
        <f>IS!AJ22</f>
        <v>168.01299999999992</v>
      </c>
      <c r="AK137" s="63">
        <f>IS!AK22</f>
        <v>541.57400000000007</v>
      </c>
      <c r="AL137" s="60"/>
      <c r="AM137" s="60">
        <f>IS!AM22</f>
        <v>112.87100000000004</v>
      </c>
      <c r="AN137" s="60">
        <f>IS!AN22</f>
        <v>117.98500000000001</v>
      </c>
      <c r="AO137" s="60">
        <f>IS!AO22</f>
        <v>124.43500000000003</v>
      </c>
      <c r="AP137" s="60">
        <f>IS!AP22</f>
        <v>181.51499999999993</v>
      </c>
      <c r="AQ137" s="63">
        <f>IS!AQ22</f>
        <v>536.80600000000004</v>
      </c>
      <c r="AR137" s="60"/>
      <c r="AS137" s="60">
        <f>IS!AS22</f>
        <v>99.725999999999971</v>
      </c>
      <c r="AT137" s="60">
        <f>IS!AT22</f>
        <v>127.08899999999997</v>
      </c>
      <c r="AU137" s="60">
        <f>IS!AU22</f>
        <v>141.62900000000005</v>
      </c>
      <c r="AV137" s="60">
        <f>IS!AV22</f>
        <v>193.25099999999998</v>
      </c>
      <c r="AW137" s="63">
        <f>IS!AW22</f>
        <v>561.69499999999994</v>
      </c>
      <c r="AX137" s="60"/>
      <c r="AY137" s="60">
        <f>IS!AY22</f>
        <v>123.72800000000004</v>
      </c>
      <c r="AZ137" s="60">
        <f>IS!AZ22</f>
        <v>134.834</v>
      </c>
      <c r="BA137" s="60">
        <f>IS!BA22</f>
        <v>140.14799999999994</v>
      </c>
      <c r="BB137" s="60">
        <f>IS!BB22</f>
        <v>194.113</v>
      </c>
      <c r="BC137" s="63">
        <f>IS!BC22</f>
        <v>592.82299999999987</v>
      </c>
      <c r="BD137" s="60"/>
      <c r="BE137" s="60">
        <f>IS!BE22</f>
        <v>125.99899999999997</v>
      </c>
      <c r="BF137" s="60">
        <f>IS!BF22</f>
        <v>156.00199999999992</v>
      </c>
      <c r="BG137" s="60">
        <f>IS!BG22</f>
        <v>155.17100000000005</v>
      </c>
      <c r="BH137" s="60">
        <f>IS!BH22</f>
        <v>214.52099999999996</v>
      </c>
      <c r="BI137" s="63">
        <f>IS!BI22</f>
        <v>651.69299999999976</v>
      </c>
      <c r="BJ137" s="60"/>
      <c r="BK137" s="60">
        <f>IS!BK22</f>
        <v>134.94600000000003</v>
      </c>
      <c r="BL137" s="60">
        <f>IS!BL22</f>
        <v>167.15899999999999</v>
      </c>
      <c r="BM137" s="60">
        <f>IS!BM22</f>
        <v>167.10099999999994</v>
      </c>
      <c r="BN137" s="60">
        <f>IS!BN22</f>
        <v>235.73599999999988</v>
      </c>
      <c r="BO137" s="63">
        <f>IS!BO22</f>
        <v>704.94200000000012</v>
      </c>
      <c r="BP137" s="60"/>
      <c r="BQ137" s="60">
        <f>IS!BQ22</f>
        <v>148.15746596153573</v>
      </c>
      <c r="BR137" s="60">
        <f>IS!BR22</f>
        <v>183.72073989574241</v>
      </c>
      <c r="BS137" s="60">
        <f>IS!BS22</f>
        <v>179.51801096041916</v>
      </c>
      <c r="BT137" s="60">
        <f>IS!BT22</f>
        <v>253.285085114314</v>
      </c>
      <c r="BU137" s="63">
        <f>IS!BU22</f>
        <v>764.68130193201148</v>
      </c>
      <c r="BV137" s="97"/>
      <c r="BW137" s="60">
        <f>IS!BW22</f>
        <v>159.23510132833547</v>
      </c>
      <c r="BX137" s="60">
        <f>IS!BX22</f>
        <v>195.98023641387536</v>
      </c>
      <c r="BY137" s="60">
        <f>IS!BY22</f>
        <v>191.03563790585858</v>
      </c>
      <c r="BZ137" s="60">
        <f>IS!BZ22</f>
        <v>267.58150190825859</v>
      </c>
      <c r="CA137" s="63">
        <f>IS!CA22</f>
        <v>813.83247755632806</v>
      </c>
      <c r="CB137" s="97"/>
      <c r="CC137" s="60">
        <f>IS!CC22</f>
        <v>169.79412169426482</v>
      </c>
      <c r="CD137" s="60">
        <f>IS!CD22</f>
        <v>207.39138047421636</v>
      </c>
      <c r="CE137" s="60">
        <f>IS!CE22</f>
        <v>201.98178699944248</v>
      </c>
      <c r="CF137" s="60">
        <f>IS!CF22</f>
        <v>280.81162757981889</v>
      </c>
      <c r="CG137" s="63">
        <f>IS!CG22</f>
        <v>859.9789167477428</v>
      </c>
      <c r="CH137" s="97"/>
      <c r="CI137" s="60">
        <f>IS!CI22</f>
        <v>181.04460739751306</v>
      </c>
      <c r="CJ137" s="60">
        <f>IS!CJ22</f>
        <v>219.46573280039999</v>
      </c>
      <c r="CK137" s="60">
        <f>IS!CK22</f>
        <v>213.55258383385649</v>
      </c>
      <c r="CL137" s="60">
        <f>IS!CL22</f>
        <v>294.74462789866487</v>
      </c>
      <c r="CM137" s="63">
        <f>IS!CM22</f>
        <v>908.80755193043456</v>
      </c>
      <c r="CN137" s="97"/>
      <c r="CO137" s="97"/>
      <c r="CP137"/>
      <c r="CQ137"/>
      <c r="CR137"/>
      <c r="CS137"/>
      <c r="CT137"/>
      <c r="CU137"/>
      <c r="CV137" s="97"/>
    </row>
    <row r="138" spans="1:103" s="24" customFormat="1" hidden="1" outlineLevel="1">
      <c r="A138" s="62" t="s">
        <v>384</v>
      </c>
      <c r="B138" s="130"/>
      <c r="C138" s="130"/>
      <c r="D138" s="130"/>
      <c r="E138" s="130"/>
      <c r="F138" s="64"/>
      <c r="G138" s="65">
        <f>IS!G77</f>
        <v>0.1696421941137157</v>
      </c>
      <c r="H138" s="65"/>
      <c r="I138" s="64">
        <f>IS!I77</f>
        <v>0.13337739661250103</v>
      </c>
      <c r="J138" s="64">
        <f>IS!J77</f>
        <v>0.13337739661250103</v>
      </c>
      <c r="K138" s="64">
        <f>IS!K77</f>
        <v>0.13337739661250103</v>
      </c>
      <c r="L138" s="64">
        <f>IS!L77</f>
        <v>0.13337739661250103</v>
      </c>
      <c r="M138" s="66">
        <f>IS!M77</f>
        <v>0.13337739661250103</v>
      </c>
      <c r="N138" s="64"/>
      <c r="O138" s="64">
        <f>IS!O77</f>
        <v>0.16660718165171784</v>
      </c>
      <c r="P138" s="64">
        <f>IS!P77</f>
        <v>0.16660718165171784</v>
      </c>
      <c r="Q138" s="64">
        <f>IS!Q77</f>
        <v>0.16660718165171784</v>
      </c>
      <c r="R138" s="64">
        <f>IS!R77</f>
        <v>0.16660718165171784</v>
      </c>
      <c r="S138" s="66">
        <f>IS!S77</f>
        <v>0.16660718165171784</v>
      </c>
      <c r="T138" s="64"/>
      <c r="U138" s="64">
        <f>IS!U77</f>
        <v>0.13293884160114014</v>
      </c>
      <c r="V138" s="64">
        <f>IS!V77</f>
        <v>0.13293884160114014</v>
      </c>
      <c r="W138" s="64">
        <f>IS!W77</f>
        <v>0.13293884160114014</v>
      </c>
      <c r="X138" s="64">
        <f>IS!X77</f>
        <v>0.13293884160114014</v>
      </c>
      <c r="Y138" s="66">
        <f>IS!Y77</f>
        <v>0.13293884160114014</v>
      </c>
      <c r="Z138" s="64"/>
      <c r="AA138" s="64">
        <f>IS!AA77</f>
        <v>0.13293884160114014</v>
      </c>
      <c r="AB138" s="64">
        <f>IS!AB77</f>
        <v>0.13293884160114014</v>
      </c>
      <c r="AC138" s="64">
        <f>IS!AC77</f>
        <v>0.13293884160114014</v>
      </c>
      <c r="AD138" s="64">
        <f>IS!AD77</f>
        <v>0.13207801766437685</v>
      </c>
      <c r="AE138" s="66">
        <f>IS!AE77</f>
        <v>0.15178106243499334</v>
      </c>
      <c r="AF138" s="64"/>
      <c r="AG138" s="64">
        <f>IS!AG77</f>
        <v>0.15744573964331893</v>
      </c>
      <c r="AH138" s="64">
        <f>IS!AH77</f>
        <v>0.13293884160114014</v>
      </c>
      <c r="AI138" s="64">
        <f>IS!AI77</f>
        <v>0.13293884160114014</v>
      </c>
      <c r="AJ138" s="64">
        <f>IS!AJ77</f>
        <v>0.13754639940608768</v>
      </c>
      <c r="AK138" s="66">
        <f>IS!AK77</f>
        <v>0.15240608140866779</v>
      </c>
      <c r="AL138" s="64"/>
      <c r="AM138" s="64">
        <f>IS!AM77</f>
        <v>0.12590644971133955</v>
      </c>
      <c r="AN138" s="64">
        <f>IS!AN77</f>
        <v>0.14966048232417348</v>
      </c>
      <c r="AO138" s="64">
        <f>IS!AO77</f>
        <v>0.12900027960651733</v>
      </c>
      <c r="AP138" s="64">
        <f>IS!AP77</f>
        <v>0.16293662653223642</v>
      </c>
      <c r="AQ138" s="66">
        <f>IS!AQ77</f>
        <v>0.14444392112534538</v>
      </c>
      <c r="AR138" s="64"/>
      <c r="AS138" s="64">
        <f>IS!AS77</f>
        <v>0.16088371844815633</v>
      </c>
      <c r="AT138" s="64">
        <f>IS!AT77</f>
        <v>0.14027711102650267</v>
      </c>
      <c r="AU138" s="64">
        <f>IS!AU77</f>
        <v>0.13055259847091838</v>
      </c>
      <c r="AV138" s="64">
        <f>IS!AV77</f>
        <v>9.9652637531303018E-2</v>
      </c>
      <c r="AW138" s="66">
        <f>IS!AW77</f>
        <v>0.12733313752158451</v>
      </c>
      <c r="AX138" s="64"/>
      <c r="AY138" s="64">
        <f>IS!AY77</f>
        <v>0.13619089100116999</v>
      </c>
      <c r="AZ138" s="64">
        <f>IS!AZ77</f>
        <v>0.14557090296832126</v>
      </c>
      <c r="BA138" s="64">
        <f>IS!BA77</f>
        <v>0.12417548761083769</v>
      </c>
      <c r="BB138" s="64">
        <f>IS!BB77</f>
        <v>0.14264822407640806</v>
      </c>
      <c r="BC138" s="66">
        <f>IS!BC77</f>
        <v>0.1376172017535974</v>
      </c>
      <c r="BD138" s="64"/>
      <c r="BE138" s="64">
        <f>IS!BE77</f>
        <v>0.1366209040819559</v>
      </c>
      <c r="BF138" s="64">
        <f>IS!BF77</f>
        <v>0.13910948573869178</v>
      </c>
      <c r="BG138" s="64">
        <f>IS!BG77</f>
        <v>0.14379071797971651</v>
      </c>
      <c r="BH138" s="64">
        <f>IS!BH77</f>
        <v>0.14253347064881569</v>
      </c>
      <c r="BI138" s="66">
        <f>IS!BI77</f>
        <v>0.14088367853021994</v>
      </c>
      <c r="BJ138" s="64"/>
      <c r="BK138" s="64">
        <f>IS!BK77</f>
        <v>9.2224692044086301E-2</v>
      </c>
      <c r="BL138" s="64">
        <f>IS!BL77</f>
        <v>0.11904289979311969</v>
      </c>
      <c r="BM138" s="64">
        <f>IS!BM77</f>
        <v>0.12153187493435974</v>
      </c>
      <c r="BN138" s="64">
        <f>IS!BN77</f>
        <v>0.1282554560232422</v>
      </c>
      <c r="BO138" s="66">
        <f>IS!BO77</f>
        <v>0.11766769319814491</v>
      </c>
      <c r="BP138" s="64"/>
      <c r="BQ138" s="64">
        <f>IS!BQ77</f>
        <v>0.14699999999999999</v>
      </c>
      <c r="BR138" s="64">
        <f>IS!BR77</f>
        <v>0.14000000000000001</v>
      </c>
      <c r="BS138" s="64">
        <f>IS!BS77</f>
        <v>0.14000000000000001</v>
      </c>
      <c r="BT138" s="64">
        <f>IS!BT77</f>
        <v>0.14000000000000001</v>
      </c>
      <c r="BU138" s="66">
        <f>IS!BU77</f>
        <v>0.14135693443552774</v>
      </c>
      <c r="BV138" s="97"/>
      <c r="BW138" s="64">
        <f>IS!BW77</f>
        <v>0.14000000000000001</v>
      </c>
      <c r="BX138" s="64">
        <f>IS!BX77</f>
        <v>0.14000000000000001</v>
      </c>
      <c r="BY138" s="64">
        <f>IS!BY77</f>
        <v>0.14000000000000001</v>
      </c>
      <c r="BZ138" s="64">
        <f>IS!BZ77</f>
        <v>0.14000000000000001</v>
      </c>
      <c r="CA138" s="66">
        <f>IS!CA77</f>
        <v>0.13999999999999999</v>
      </c>
      <c r="CB138" s="97"/>
      <c r="CC138" s="64">
        <f>IS!CC77</f>
        <v>0.14000000000000001</v>
      </c>
      <c r="CD138" s="64">
        <f>IS!CD77</f>
        <v>0.14000000000000001</v>
      </c>
      <c r="CE138" s="64">
        <f>IS!CE77</f>
        <v>0.14000000000000001</v>
      </c>
      <c r="CF138" s="64">
        <f>IS!CF77</f>
        <v>0.14000000000000001</v>
      </c>
      <c r="CG138" s="66">
        <f>IS!CG77</f>
        <v>0.13999999999999999</v>
      </c>
      <c r="CH138" s="97"/>
      <c r="CI138" s="64">
        <f>IS!CI77</f>
        <v>0.14000000000000001</v>
      </c>
      <c r="CJ138" s="64">
        <f>IS!CJ77</f>
        <v>0.14000000000000001</v>
      </c>
      <c r="CK138" s="64">
        <f>IS!CK77</f>
        <v>0.14000000000000001</v>
      </c>
      <c r="CL138" s="64">
        <f>IS!CL77</f>
        <v>0.14000000000000001</v>
      </c>
      <c r="CM138" s="66">
        <f>IS!CM77</f>
        <v>0.13999999999999999</v>
      </c>
      <c r="CN138" s="97"/>
      <c r="CO138" s="97"/>
      <c r="CP138"/>
      <c r="CQ138"/>
      <c r="CR138"/>
      <c r="CS138"/>
      <c r="CT138"/>
      <c r="CU138"/>
      <c r="CV138" s="97"/>
      <c r="CX138" s="1243"/>
      <c r="CY138" s="1243"/>
    </row>
    <row r="139" spans="1:103" s="24" customFormat="1" hidden="1" outlineLevel="1">
      <c r="A139" s="62" t="s">
        <v>385</v>
      </c>
      <c r="B139" s="130"/>
      <c r="C139" s="130"/>
      <c r="D139" s="130"/>
      <c r="E139" s="130"/>
      <c r="F139" s="60"/>
      <c r="G139" s="61">
        <f>G137*G138</f>
        <v>62.723674493799336</v>
      </c>
      <c r="H139" s="61"/>
      <c r="I139" s="60">
        <f>I137*I138</f>
        <v>12.12720640959505</v>
      </c>
      <c r="J139" s="60">
        <f>J137*J138</f>
        <v>13.042975614736479</v>
      </c>
      <c r="K139" s="60">
        <f>K137*K138</f>
        <v>13.548609325294462</v>
      </c>
      <c r="L139" s="60">
        <f>L137*L138</f>
        <v>16.802350915656419</v>
      </c>
      <c r="M139" s="63">
        <f>M137*M138</f>
        <v>55.521142265282428</v>
      </c>
      <c r="N139" s="60"/>
      <c r="O139" s="60">
        <f>O137*O138</f>
        <v>15.062455471586857</v>
      </c>
      <c r="P139" s="60">
        <f>P137*P138</f>
        <v>15.873999053412371</v>
      </c>
      <c r="Q139" s="60">
        <f>Q137*Q138</f>
        <v>16.466620798547538</v>
      </c>
      <c r="R139" s="60">
        <f>R137*R138</f>
        <v>21.899014563483441</v>
      </c>
      <c r="S139" s="63">
        <f>S137*S138</f>
        <v>69.30208988703022</v>
      </c>
      <c r="T139" s="60"/>
      <c r="U139" s="60">
        <f>U137*U138</f>
        <v>12.894934696468992</v>
      </c>
      <c r="V139" s="60">
        <f>V137*V138</f>
        <v>14.646669812247216</v>
      </c>
      <c r="W139" s="60">
        <f>W137*W138</f>
        <v>14.785856779403609</v>
      </c>
      <c r="X139" s="60">
        <f>X137*X138</f>
        <v>20.331666434478372</v>
      </c>
      <c r="Y139" s="63">
        <f>Y137*Y138</f>
        <v>62.6591277225982</v>
      </c>
      <c r="Z139" s="60"/>
      <c r="AA139" s="60">
        <f>AA137*AA138</f>
        <v>15.73942709020859</v>
      </c>
      <c r="AB139" s="60">
        <f>AB137*AB138</f>
        <v>16.360916174693926</v>
      </c>
      <c r="AC139" s="60">
        <f>AC137*AC138</f>
        <v>17.63207737808402</v>
      </c>
      <c r="AD139" s="60">
        <f>AD137*AD138</f>
        <v>22.351959163395485</v>
      </c>
      <c r="AE139" s="63">
        <f>AE137*AE138</f>
        <v>82.46765999599225</v>
      </c>
      <c r="AF139" s="60"/>
      <c r="AG139" s="60">
        <f>AG137*AG138</f>
        <v>17.82490452223907</v>
      </c>
      <c r="AH139" s="60">
        <f>AH137*AH138</f>
        <v>17.312093586350077</v>
      </c>
      <c r="AI139" s="60">
        <f>AI137*AI138</f>
        <v>17.298267946823557</v>
      </c>
      <c r="AJ139" s="60">
        <f>AJ137*AJ138</f>
        <v>23.109583203414999</v>
      </c>
      <c r="AK139" s="63">
        <f>AK137*AK138</f>
        <v>82.539171132817856</v>
      </c>
      <c r="AL139" s="60"/>
      <c r="AM139" s="60">
        <f>AM137*AM138</f>
        <v>14.21118688536861</v>
      </c>
      <c r="AN139" s="60">
        <f>AN137*AN138</f>
        <v>17.657692007017609</v>
      </c>
      <c r="AO139" s="60">
        <f>AO137*AO138</f>
        <v>16.052149792836989</v>
      </c>
      <c r="AP139" s="60">
        <f>AP137*AP138</f>
        <v>29.575441764998882</v>
      </c>
      <c r="AQ139" s="63">
        <f>AQ137*AQ138</f>
        <v>77.538363523612162</v>
      </c>
      <c r="AR139" s="60"/>
      <c r="AS139" s="60">
        <f>AS137*AS138</f>
        <v>16.044289705960832</v>
      </c>
      <c r="AT139" s="60">
        <f>AT137*AT138</f>
        <v>17.827677763247195</v>
      </c>
      <c r="AU139" s="60">
        <f>AU137*AU138</f>
        <v>18.490033968837704</v>
      </c>
      <c r="AV139" s="60">
        <f>AV137*AV138</f>
        <v>19.257971855561838</v>
      </c>
      <c r="AW139" s="63">
        <f>AW137*AW138</f>
        <v>71.522386680186401</v>
      </c>
      <c r="AX139" s="60"/>
      <c r="AY139" s="60">
        <f>AY137*AY138</f>
        <v>16.850626561792765</v>
      </c>
      <c r="AZ139" s="60">
        <f>AZ137*AZ138</f>
        <v>19.627907130830629</v>
      </c>
      <c r="BA139" s="60">
        <f>BA137*BA138</f>
        <v>17.402946237683672</v>
      </c>
      <c r="BB139" s="60">
        <f>BB137*BB138</f>
        <v>27.689874720143798</v>
      </c>
      <c r="BC139" s="63">
        <f>BC137*BC138</f>
        <v>81.582642395172854</v>
      </c>
      <c r="BD139" s="60"/>
      <c r="BE139" s="60">
        <f>BE137*BE138</f>
        <v>17.214097293422356</v>
      </c>
      <c r="BF139" s="60">
        <f>BF137*BF138</f>
        <v>21.701357994207385</v>
      </c>
      <c r="BG139" s="60">
        <f>BG137*BG138</f>
        <v>22.3121494996306</v>
      </c>
      <c r="BH139" s="60">
        <f>BH137*BH138</f>
        <v>30.576422657054586</v>
      </c>
      <c r="BI139" s="63">
        <f>BI137*BI138</f>
        <v>91.812907112394583</v>
      </c>
      <c r="BJ139" s="60"/>
      <c r="BK139" s="60">
        <f>BK137*BK138</f>
        <v>12.445353292581272</v>
      </c>
      <c r="BL139" s="60">
        <f>BL137*BL138</f>
        <v>19.899092086518092</v>
      </c>
      <c r="BM139" s="60">
        <f>BM137*BM138</f>
        <v>20.308097833406439</v>
      </c>
      <c r="BN139" s="60">
        <f>BN137*BN138</f>
        <v>30.234428181095009</v>
      </c>
      <c r="BO139" s="63">
        <f>BO137*BO138</f>
        <v>82.948898978486682</v>
      </c>
      <c r="BP139" s="60"/>
      <c r="BQ139" s="60">
        <f>BQ137*BQ138</f>
        <v>21.77914749634575</v>
      </c>
      <c r="BR139" s="60">
        <f>BR137*BR138</f>
        <v>25.720903585403939</v>
      </c>
      <c r="BS139" s="60">
        <f>BS137*BS138</f>
        <v>25.132521534458686</v>
      </c>
      <c r="BT139" s="60">
        <f>BT137*BT138</f>
        <v>35.459911916003961</v>
      </c>
      <c r="BU139" s="63">
        <f>BU137*BU138</f>
        <v>108.09300466127733</v>
      </c>
      <c r="BV139" s="97"/>
      <c r="BW139" s="60">
        <f>BW137*BW138</f>
        <v>22.292914185966968</v>
      </c>
      <c r="BX139" s="60">
        <f>BX137*BX138</f>
        <v>27.437233097942553</v>
      </c>
      <c r="BY139" s="60">
        <f>BY137*BY138</f>
        <v>26.744989306820205</v>
      </c>
      <c r="BZ139" s="60">
        <f>BZ137*BZ138</f>
        <v>37.461410267156204</v>
      </c>
      <c r="CA139" s="63">
        <f>CA137*CA138</f>
        <v>113.93654685788592</v>
      </c>
      <c r="CB139" s="97"/>
      <c r="CC139" s="60">
        <f>CC137*CC138</f>
        <v>23.771177037197077</v>
      </c>
      <c r="CD139" s="60">
        <f>CD137*CD138</f>
        <v>29.034793266390292</v>
      </c>
      <c r="CE139" s="60">
        <f>CE137*CE138</f>
        <v>28.277450179921949</v>
      </c>
      <c r="CF139" s="60">
        <f>CF137*CF138</f>
        <v>39.313627861174645</v>
      </c>
      <c r="CG139" s="63">
        <f>CG137*CG138</f>
        <v>120.39704834468398</v>
      </c>
      <c r="CH139" s="97"/>
      <c r="CI139" s="60">
        <f>CI137*CI138</f>
        <v>25.34624503565183</v>
      </c>
      <c r="CJ139" s="60">
        <f>CJ137*CJ138</f>
        <v>30.725202592056</v>
      </c>
      <c r="CK139" s="60">
        <f>CK137*CK138</f>
        <v>29.89736173673991</v>
      </c>
      <c r="CL139" s="60">
        <f>CL137*CL138</f>
        <v>41.264247905813086</v>
      </c>
      <c r="CM139" s="63">
        <f>CM137*CM138</f>
        <v>127.23305727026083</v>
      </c>
      <c r="CN139" s="97"/>
      <c r="CO139" s="97"/>
      <c r="CP139"/>
      <c r="CQ139"/>
      <c r="CR139"/>
      <c r="CS139"/>
      <c r="CT139"/>
      <c r="CU139"/>
      <c r="CV139" s="97"/>
      <c r="CX139" s="1247"/>
      <c r="CY139" s="1248"/>
    </row>
    <row r="140" spans="1:103" s="24" customFormat="1" hidden="1" outlineLevel="1">
      <c r="A140" s="62" t="s">
        <v>386</v>
      </c>
      <c r="B140" s="130"/>
      <c r="C140" s="130"/>
      <c r="D140" s="130"/>
      <c r="E140" s="130"/>
      <c r="F140" s="60"/>
      <c r="G140" s="800">
        <f>G137-G139</f>
        <v>307.01732550620056</v>
      </c>
      <c r="H140" s="61"/>
      <c r="I140" s="801">
        <f>I137-I139</f>
        <v>78.796793590405002</v>
      </c>
      <c r="J140" s="801">
        <f>J137-J139</f>
        <v>84.747024385263543</v>
      </c>
      <c r="K140" s="801">
        <f>K137-K139</f>
        <v>88.032390674705496</v>
      </c>
      <c r="L140" s="801">
        <f>L137-L139</f>
        <v>109.17364908434351</v>
      </c>
      <c r="M140" s="802">
        <f>M137-M139</f>
        <v>360.74985773471764</v>
      </c>
      <c r="N140" s="60"/>
      <c r="O140" s="801">
        <f>O137-O139</f>
        <v>75.344544528413152</v>
      </c>
      <c r="P140" s="801">
        <f>P137-P139</f>
        <v>79.404000946587615</v>
      </c>
      <c r="Q140" s="801">
        <f>Q137-Q139</f>
        <v>82.368379201452484</v>
      </c>
      <c r="R140" s="801">
        <f>R137-R139</f>
        <v>109.54198543651654</v>
      </c>
      <c r="S140" s="802">
        <f>S137-S139</f>
        <v>346.65891011296992</v>
      </c>
      <c r="T140" s="60"/>
      <c r="U140" s="801">
        <f>U137-U139</f>
        <v>84.104065303531002</v>
      </c>
      <c r="V140" s="801">
        <f>V137-V139</f>
        <v>95.529330187752791</v>
      </c>
      <c r="W140" s="801">
        <f>W137-W139</f>
        <v>96.437143220596397</v>
      </c>
      <c r="X140" s="801">
        <f>X137-X139</f>
        <v>132.60833356552163</v>
      </c>
      <c r="Y140" s="802">
        <f>Y137-Y139</f>
        <v>408.67887227740187</v>
      </c>
      <c r="Z140" s="60"/>
      <c r="AA140" s="801">
        <f>AA137-AA139</f>
        <v>102.65657290979142</v>
      </c>
      <c r="AB140" s="801">
        <f>AB137-AB139</f>
        <v>106.71008382530613</v>
      </c>
      <c r="AC140" s="801">
        <f>AC137-AC139</f>
        <v>115.00092262191599</v>
      </c>
      <c r="AD140" s="801">
        <f>AD137-AD139</f>
        <v>146.88104083660448</v>
      </c>
      <c r="AE140" s="802">
        <f>AE137-AE139</f>
        <v>460.86534000400786</v>
      </c>
      <c r="AF140" s="60"/>
      <c r="AG140" s="801">
        <f>AG137-AG139</f>
        <v>95.388095477760956</v>
      </c>
      <c r="AH140" s="801">
        <f>AH137-AH139</f>
        <v>112.91390641364993</v>
      </c>
      <c r="AI140" s="801">
        <f>AI137-AI139</f>
        <v>112.82373205317646</v>
      </c>
      <c r="AJ140" s="801">
        <f>AJ137-AJ139</f>
        <v>144.90341679658491</v>
      </c>
      <c r="AK140" s="802">
        <f>AK137-AK139</f>
        <v>459.03482886718223</v>
      </c>
      <c r="AL140" s="60"/>
      <c r="AM140" s="801">
        <f>AM137-AM139</f>
        <v>98.659813114631433</v>
      </c>
      <c r="AN140" s="801">
        <f>AN137-AN139</f>
        <v>100.32730799298241</v>
      </c>
      <c r="AO140" s="801">
        <f>AO137-AO139</f>
        <v>108.38285020716305</v>
      </c>
      <c r="AP140" s="801">
        <f>AP137-AP139</f>
        <v>151.93955823500104</v>
      </c>
      <c r="AQ140" s="802">
        <f>AQ137-AQ139</f>
        <v>459.26763647638791</v>
      </c>
      <c r="AR140" s="60"/>
      <c r="AS140" s="801">
        <f>AS137-AS139</f>
        <v>83.681710294039135</v>
      </c>
      <c r="AT140" s="801">
        <f>AT137-AT139</f>
        <v>109.26132223675278</v>
      </c>
      <c r="AU140" s="801">
        <f>AU137-AU139</f>
        <v>123.13896603116234</v>
      </c>
      <c r="AV140" s="801">
        <f>AV137-AV139</f>
        <v>173.99302814443814</v>
      </c>
      <c r="AW140" s="802">
        <f>AW137-AW139</f>
        <v>490.17261331981354</v>
      </c>
      <c r="AX140" s="60"/>
      <c r="AY140" s="801">
        <f>AY137-AY139</f>
        <v>106.87737343820727</v>
      </c>
      <c r="AZ140" s="801">
        <f>AZ137-AZ139</f>
        <v>115.20609286916937</v>
      </c>
      <c r="BA140" s="801">
        <f>BA137-BA139</f>
        <v>122.74505376231627</v>
      </c>
      <c r="BB140" s="801">
        <f>BB137-BB139</f>
        <v>166.42312527985621</v>
      </c>
      <c r="BC140" s="802">
        <f>BC137-BC139</f>
        <v>511.24035760482701</v>
      </c>
      <c r="BD140" s="60"/>
      <c r="BE140" s="801">
        <f>BE137-BE139</f>
        <v>108.78490270657761</v>
      </c>
      <c r="BF140" s="801">
        <f>BF137-BF139</f>
        <v>134.30064200579255</v>
      </c>
      <c r="BG140" s="801">
        <f>BG137-BG139</f>
        <v>132.85885050036944</v>
      </c>
      <c r="BH140" s="801">
        <f>BH137-BH139</f>
        <v>183.94457734294537</v>
      </c>
      <c r="BI140" s="802">
        <f>BI137-BI139</f>
        <v>559.8800928876052</v>
      </c>
      <c r="BJ140" s="60"/>
      <c r="BK140" s="801">
        <f>BK137-BK139</f>
        <v>122.50064670741875</v>
      </c>
      <c r="BL140" s="801">
        <f>BL137-BL139</f>
        <v>147.2599079134819</v>
      </c>
      <c r="BM140" s="801">
        <f>BM137-BM139</f>
        <v>146.79290216659351</v>
      </c>
      <c r="BN140" s="801">
        <f>BN137-BN139</f>
        <v>205.50157181890486</v>
      </c>
      <c r="BO140" s="802">
        <f>BO137-BO139</f>
        <v>621.99310102151344</v>
      </c>
      <c r="BP140" s="60"/>
      <c r="BQ140" s="801">
        <f>BQ137-BQ139</f>
        <v>126.37831846518998</v>
      </c>
      <c r="BR140" s="801">
        <f>BR137-BR139</f>
        <v>157.99983631033848</v>
      </c>
      <c r="BS140" s="801">
        <f>BS137-BS139</f>
        <v>154.38548942596049</v>
      </c>
      <c r="BT140" s="801">
        <f>BT137-BT139</f>
        <v>217.82517319831004</v>
      </c>
      <c r="BU140" s="802">
        <f>BU137-BU139</f>
        <v>656.58829727073419</v>
      </c>
      <c r="BV140" s="97"/>
      <c r="BW140" s="801">
        <f>BW137-BW139</f>
        <v>136.94218714236851</v>
      </c>
      <c r="BX140" s="801">
        <f>BX137-BX139</f>
        <v>168.54300331593282</v>
      </c>
      <c r="BY140" s="801">
        <f>BY137-BY139</f>
        <v>164.29064859903838</v>
      </c>
      <c r="BZ140" s="801">
        <f>BZ137-BZ139</f>
        <v>230.12009164110239</v>
      </c>
      <c r="CA140" s="802">
        <f>CA137-CA139</f>
        <v>699.89593069844216</v>
      </c>
      <c r="CB140" s="97"/>
      <c r="CC140" s="801">
        <f>CC137-CC139</f>
        <v>146.02294465706774</v>
      </c>
      <c r="CD140" s="801">
        <f>CD137-CD139</f>
        <v>178.35658720782607</v>
      </c>
      <c r="CE140" s="801">
        <f>CE137-CE139</f>
        <v>173.70433681952053</v>
      </c>
      <c r="CF140" s="801">
        <f>CF137-CF139</f>
        <v>241.49799971864425</v>
      </c>
      <c r="CG140" s="802">
        <f>CG137-CG139</f>
        <v>739.58186840305882</v>
      </c>
      <c r="CH140" s="97"/>
      <c r="CI140" s="801">
        <f>CI137-CI139</f>
        <v>155.69836236186123</v>
      </c>
      <c r="CJ140" s="801">
        <f>CJ137-CJ139</f>
        <v>188.74053020834398</v>
      </c>
      <c r="CK140" s="801">
        <f>CK137-CK139</f>
        <v>183.65522209711656</v>
      </c>
      <c r="CL140" s="801">
        <f>CL137-CL139</f>
        <v>253.48037999285179</v>
      </c>
      <c r="CM140" s="802">
        <f>CM137-CM139</f>
        <v>781.57449466017374</v>
      </c>
      <c r="CN140" s="97"/>
      <c r="CO140" s="97"/>
      <c r="CP140"/>
      <c r="CQ140"/>
      <c r="CR140"/>
      <c r="CS140"/>
      <c r="CT140"/>
      <c r="CU140"/>
      <c r="CV140" s="97"/>
      <c r="CX140" s="1249"/>
      <c r="CY140" s="1249"/>
    </row>
    <row r="141" spans="1:103" s="24" customFormat="1" hidden="1" outlineLevel="1">
      <c r="A141" s="803" t="s">
        <v>387</v>
      </c>
      <c r="B141" s="804"/>
      <c r="C141" s="804"/>
      <c r="D141" s="804"/>
      <c r="E141" s="804"/>
      <c r="F141" s="805"/>
      <c r="G141" s="806">
        <f>G140/G136</f>
        <v>0.2084231644224768</v>
      </c>
      <c r="H141" s="807"/>
      <c r="I141" s="808">
        <f>I140/I136</f>
        <v>0.21182047642838131</v>
      </c>
      <c r="J141" s="808">
        <f>J140/J136</f>
        <v>0.21267306017858525</v>
      </c>
      <c r="K141" s="808">
        <f>K140/K136</f>
        <v>0.22788017570009969</v>
      </c>
      <c r="L141" s="808">
        <f>L140/L136</f>
        <v>0.26097432197074455</v>
      </c>
      <c r="M141" s="809">
        <f>M140/M136</f>
        <v>0.22902949719178783</v>
      </c>
      <c r="N141" s="452"/>
      <c r="O141" s="808">
        <f>O140/O136</f>
        <v>0.22622456711988864</v>
      </c>
      <c r="P141" s="808">
        <f>P140/P136</f>
        <v>0.2188420721883039</v>
      </c>
      <c r="Q141" s="808">
        <f>Q140/Q136</f>
        <v>0.22025809826494194</v>
      </c>
      <c r="R141" s="808">
        <f>R140/R136</f>
        <v>0.25543312650756572</v>
      </c>
      <c r="S141" s="809">
        <f>S140/S136</f>
        <v>0.23130640562685656</v>
      </c>
      <c r="T141" s="452"/>
      <c r="U141" s="808">
        <f>U140/U136</f>
        <v>0.22873012048825403</v>
      </c>
      <c r="V141" s="808">
        <f>V140/V136</f>
        <v>0.24428617505914205</v>
      </c>
      <c r="W141" s="808">
        <f>W140/W136</f>
        <v>0.24046884140803712</v>
      </c>
      <c r="X141" s="808">
        <f>X140/X136</f>
        <v>0.27422325574265505</v>
      </c>
      <c r="Y141" s="809">
        <f>Y140/Y136</f>
        <v>0.24868326888901035</v>
      </c>
      <c r="Z141" s="452"/>
      <c r="AA141" s="808">
        <f>AA140/AA136</f>
        <v>0.24007449178277845</v>
      </c>
      <c r="AB141" s="808">
        <f>AB140/AB136</f>
        <v>0.23839063288252521</v>
      </c>
      <c r="AC141" s="808">
        <f>AC140/AC136</f>
        <v>0.25300840558003579</v>
      </c>
      <c r="AD141" s="808">
        <f>AD140/AD136</f>
        <v>0.2816942979490708</v>
      </c>
      <c r="AE141" s="809">
        <f>AE140/AE136</f>
        <v>0.24895706747897986</v>
      </c>
      <c r="AF141" s="452"/>
      <c r="AG141" s="808">
        <f>AG140/AG136</f>
        <v>0.22686711984968999</v>
      </c>
      <c r="AH141" s="808">
        <f>AH140/AH136</f>
        <v>0.25010555948667101</v>
      </c>
      <c r="AI141" s="808">
        <f>AI140/AI136</f>
        <v>0.25074615081870166</v>
      </c>
      <c r="AJ141" s="808">
        <f>AJ140/AJ136</f>
        <v>0.27771724642193035</v>
      </c>
      <c r="AK141" s="809">
        <f>AK140/AK136</f>
        <v>0.24898276229872421</v>
      </c>
      <c r="AL141" s="452"/>
      <c r="AM141" s="808">
        <f>AM140/AM136</f>
        <v>0.22926121586899467</v>
      </c>
      <c r="AN141" s="808">
        <f>AN140/AN136</f>
        <v>0.22239851920903186</v>
      </c>
      <c r="AO141" s="808">
        <f>AO140/AO136</f>
        <v>0.23699720370588245</v>
      </c>
      <c r="AP141" s="808">
        <f>AP140/AP136</f>
        <v>0.26870650923692552</v>
      </c>
      <c r="AQ141" s="809">
        <f>AQ140/AQ136</f>
        <v>0.24118437934962694</v>
      </c>
      <c r="AR141" s="452"/>
      <c r="AS141" s="808">
        <f>AS140/AS136</f>
        <v>0.19437899015590684</v>
      </c>
      <c r="AT141" s="808">
        <f>AT140/AT136</f>
        <v>0.22677686894953056</v>
      </c>
      <c r="AU141" s="808">
        <f>AU140/AU136</f>
        <v>0.24969121091554011</v>
      </c>
      <c r="AV141" s="808">
        <f>AV140/AV136</f>
        <v>0.29799960289865579</v>
      </c>
      <c r="AW141" s="809">
        <f>AW140/AW136</f>
        <v>0.2463991211775407</v>
      </c>
      <c r="AX141" s="452"/>
      <c r="AY141" s="808">
        <f>AY140/AY136</f>
        <v>0.23213823823904065</v>
      </c>
      <c r="AZ141" s="808">
        <f>AZ140/AZ136</f>
        <v>0.23286189285113265</v>
      </c>
      <c r="BA141" s="808">
        <f>BA140/BA136</f>
        <v>0.24520664863880609</v>
      </c>
      <c r="BB141" s="808">
        <f>BB140/BB136</f>
        <v>0.28370318487556673</v>
      </c>
      <c r="BC141" s="809">
        <f>BC140/BC136</f>
        <v>0.25032186618278862</v>
      </c>
      <c r="BD141" s="452"/>
      <c r="BE141" s="808">
        <f>BE140/BE136</f>
        <v>0.22890230050663785</v>
      </c>
      <c r="BF141" s="808">
        <f>BF140/BF136</f>
        <v>0.25029939243661953</v>
      </c>
      <c r="BG141" s="808">
        <f>BG140/BG136</f>
        <v>0.25218543078482514</v>
      </c>
      <c r="BH141" s="808">
        <f>BH140/BH136</f>
        <v>0.29253877281646307</v>
      </c>
      <c r="BI141" s="809">
        <f>BI140/BI136</f>
        <v>0.2583160245543234</v>
      </c>
      <c r="BJ141" s="452"/>
      <c r="BK141" s="808">
        <f>BK140/BK136</f>
        <v>0.24600054763934853</v>
      </c>
      <c r="BL141" s="808">
        <f>BL140/BL136</f>
        <v>0.26378846021223806</v>
      </c>
      <c r="BM141" s="808">
        <f>BM140/BM136</f>
        <v>0.25954217616939929</v>
      </c>
      <c r="BN141" s="808">
        <f>BN140/BN136</f>
        <v>0.29900923475887364</v>
      </c>
      <c r="BO141" s="809">
        <f>BO140/BO136</f>
        <v>0.26936859691249643</v>
      </c>
      <c r="BP141" s="452"/>
      <c r="BQ141" s="808">
        <f>BQ140/BQ136</f>
        <v>0.23355398878220579</v>
      </c>
      <c r="BR141" s="808">
        <f>BR140/BR136</f>
        <v>0.26013795785635402</v>
      </c>
      <c r="BS141" s="808">
        <f>BS140/BS136</f>
        <v>0.25664097577105904</v>
      </c>
      <c r="BT141" s="808">
        <f>BT140/BT136</f>
        <v>0.29755282418620677</v>
      </c>
      <c r="BU141" s="809">
        <f>BU140/BU136</f>
        <v>0.26452970593414921</v>
      </c>
      <c r="BV141" s="97"/>
      <c r="BW141" s="808">
        <f>BW140/BW136</f>
        <v>0.23751615143058791</v>
      </c>
      <c r="BX141" s="808">
        <f>BX140/BX136</f>
        <v>0.26214304698596974</v>
      </c>
      <c r="BY141" s="808">
        <f>BY140/BY136</f>
        <v>0.2586531738026599</v>
      </c>
      <c r="BZ141" s="808">
        <f>BZ140/BZ136</f>
        <v>0.29960863271491711</v>
      </c>
      <c r="CA141" s="809">
        <f>CA140/CA136</f>
        <v>0.26685588702220547</v>
      </c>
      <c r="CB141" s="97"/>
      <c r="CC141" s="808">
        <f>CC140/CC136</f>
        <v>0.23947360546309215</v>
      </c>
      <c r="CD141" s="808">
        <f>CD140/CD136</f>
        <v>0.26404574091712213</v>
      </c>
      <c r="CE141" s="808">
        <f>CE140/CE136</f>
        <v>0.26064966473173423</v>
      </c>
      <c r="CF141" s="808">
        <f>CF140/CF136</f>
        <v>0.30162944660323604</v>
      </c>
      <c r="CG141" s="809">
        <f>CG140/CG136</f>
        <v>0.26871260773027517</v>
      </c>
      <c r="CH141" s="97"/>
      <c r="CI141" s="808">
        <f>CI140/CI136</f>
        <v>0.24142957643480628</v>
      </c>
      <c r="CJ141" s="808">
        <f>CJ140/CJ136</f>
        <v>0.26593940362023777</v>
      </c>
      <c r="CK141" s="808">
        <f>CK140/CK136</f>
        <v>0.26264546913436254</v>
      </c>
      <c r="CL141" s="808">
        <f>CL140/CL136</f>
        <v>0.30364372770920861</v>
      </c>
      <c r="CM141" s="809">
        <f>CM140/CM136</f>
        <v>0.27056634853688921</v>
      </c>
      <c r="CN141" s="97"/>
      <c r="CO141" s="97"/>
      <c r="CP141"/>
      <c r="CQ141"/>
      <c r="CR141"/>
      <c r="CS141"/>
      <c r="CT141"/>
      <c r="CU141"/>
      <c r="CV141" s="97"/>
      <c r="CX141" s="1249"/>
      <c r="CY141" s="1249"/>
    </row>
    <row r="142" spans="1:103" s="24" customFormat="1" hidden="1" outlineLevel="1">
      <c r="A142" s="62" t="s">
        <v>388</v>
      </c>
      <c r="B142" s="130"/>
      <c r="C142" s="130"/>
      <c r="D142" s="130"/>
      <c r="E142" s="130"/>
      <c r="F142" s="810"/>
      <c r="G142" s="811">
        <f>G13</f>
        <v>317.79199999999997</v>
      </c>
      <c r="H142" s="304"/>
      <c r="I142" s="812">
        <f t="shared" ref="I142:M144" si="34">I13</f>
        <v>317.00900000000001</v>
      </c>
      <c r="J142" s="812">
        <f t="shared" si="34"/>
        <v>304.79000000000002</v>
      </c>
      <c r="K142" s="812">
        <f t="shared" si="34"/>
        <v>289.27100000000002</v>
      </c>
      <c r="L142" s="812">
        <f t="shared" si="34"/>
        <v>291.76299999999998</v>
      </c>
      <c r="M142" s="813">
        <f t="shared" si="34"/>
        <v>291.76299999999998</v>
      </c>
      <c r="N142" s="149"/>
      <c r="O142" s="812">
        <f t="shared" ref="O142:S144" si="35">O13</f>
        <v>279.34500000000003</v>
      </c>
      <c r="P142" s="812">
        <f t="shared" si="35"/>
        <v>294.93599999999998</v>
      </c>
      <c r="Q142" s="812">
        <f t="shared" si="35"/>
        <v>289.64999999999998</v>
      </c>
      <c r="R142" s="812">
        <f t="shared" si="35"/>
        <v>314.24700000000001</v>
      </c>
      <c r="S142" s="813">
        <f t="shared" si="35"/>
        <v>314.24700000000001</v>
      </c>
      <c r="T142" s="149"/>
      <c r="U142" s="812">
        <f t="shared" ref="U142:Y144" si="36">U13</f>
        <v>313.95100000000002</v>
      </c>
      <c r="V142" s="812">
        <f t="shared" si="36"/>
        <v>314.17399999999998</v>
      </c>
      <c r="W142" s="812">
        <f t="shared" si="36"/>
        <v>337.56200000000001</v>
      </c>
      <c r="X142" s="812">
        <f t="shared" si="36"/>
        <v>358.23700000000002</v>
      </c>
      <c r="Y142" s="813">
        <f t="shared" si="36"/>
        <v>358.23700000000002</v>
      </c>
      <c r="Z142" s="149"/>
      <c r="AA142" s="812">
        <f t="shared" ref="AA142:AE144" si="37">AA13</f>
        <v>349.39699999999999</v>
      </c>
      <c r="AB142" s="812">
        <f t="shared" si="37"/>
        <v>365.33100000000002</v>
      </c>
      <c r="AC142" s="812">
        <f t="shared" si="37"/>
        <v>354.44499999999999</v>
      </c>
      <c r="AD142" s="812">
        <f t="shared" si="37"/>
        <v>367.08499999999998</v>
      </c>
      <c r="AE142" s="813">
        <f t="shared" si="37"/>
        <v>367.08499999999998</v>
      </c>
      <c r="AF142" s="149"/>
      <c r="AG142" s="812">
        <f t="shared" ref="AG142:AK144" si="38">AG13</f>
        <v>353.74599999999998</v>
      </c>
      <c r="AH142" s="812">
        <f t="shared" si="38"/>
        <v>355.14400000000001</v>
      </c>
      <c r="AI142" s="812">
        <f t="shared" si="38"/>
        <v>362.37099999999998</v>
      </c>
      <c r="AJ142" s="812">
        <f t="shared" si="38"/>
        <v>404.55599999999998</v>
      </c>
      <c r="AK142" s="813">
        <f t="shared" si="38"/>
        <v>404.55599999999998</v>
      </c>
      <c r="AL142" s="149"/>
      <c r="AM142" s="812">
        <f t="shared" ref="AM142:AQ144" si="39">AM13</f>
        <v>377.41199999999998</v>
      </c>
      <c r="AN142" s="812">
        <f t="shared" si="39"/>
        <v>365.22199999999998</v>
      </c>
      <c r="AO142" s="812">
        <f t="shared" si="39"/>
        <v>373.84399999999999</v>
      </c>
      <c r="AP142" s="812">
        <f t="shared" si="39"/>
        <v>430.98500000000001</v>
      </c>
      <c r="AQ142" s="813">
        <f t="shared" si="39"/>
        <v>430.98500000000001</v>
      </c>
      <c r="AR142" s="149"/>
      <c r="AS142" s="812">
        <f t="shared" ref="AS142:AW144" si="40">AS13</f>
        <v>401.40600000000001</v>
      </c>
      <c r="AT142" s="812">
        <f t="shared" si="40"/>
        <v>401.91899999999998</v>
      </c>
      <c r="AU142" s="812">
        <f t="shared" si="40"/>
        <v>393.16899999999998</v>
      </c>
      <c r="AV142" s="812">
        <f t="shared" si="40"/>
        <v>433.61599999999999</v>
      </c>
      <c r="AW142" s="813">
        <f t="shared" si="40"/>
        <v>433.61599999999999</v>
      </c>
      <c r="AX142" s="149"/>
      <c r="AY142" s="812">
        <f t="shared" ref="AY142:BC144" si="41">AY13</f>
        <v>394.37</v>
      </c>
      <c r="AZ142" s="812">
        <f t="shared" si="41"/>
        <v>406.58300000000003</v>
      </c>
      <c r="BA142" s="812">
        <f t="shared" si="41"/>
        <v>416.31099999999998</v>
      </c>
      <c r="BB142" s="812">
        <f t="shared" si="41"/>
        <v>468.315</v>
      </c>
      <c r="BC142" s="813">
        <f t="shared" si="41"/>
        <v>468.315</v>
      </c>
      <c r="BD142" s="149"/>
      <c r="BE142" s="812">
        <f t="shared" ref="BE142:BI144" si="42">BE13</f>
        <v>439.57799999999997</v>
      </c>
      <c r="BF142" s="812">
        <f t="shared" si="42"/>
        <v>445.95299999999997</v>
      </c>
      <c r="BG142" s="812">
        <f t="shared" si="42"/>
        <v>441.76799999999997</v>
      </c>
      <c r="BH142" s="812">
        <f t="shared" si="42"/>
        <v>489.34</v>
      </c>
      <c r="BI142" s="813">
        <f t="shared" si="42"/>
        <v>489.34</v>
      </c>
      <c r="BJ142" s="149"/>
      <c r="BK142" s="812">
        <f t="shared" ref="BK142:BO144" si="43">BK13</f>
        <v>461.755</v>
      </c>
      <c r="BL142" s="812">
        <f t="shared" si="43"/>
        <v>462.81099999999998</v>
      </c>
      <c r="BM142" s="812">
        <f t="shared" si="43"/>
        <v>456.334</v>
      </c>
      <c r="BN142" s="812">
        <f t="shared" si="43"/>
        <v>533.82500000000005</v>
      </c>
      <c r="BO142" s="813">
        <f t="shared" si="43"/>
        <v>533.82500000000005</v>
      </c>
      <c r="BP142" s="149"/>
      <c r="BQ142" s="812">
        <f t="shared" ref="BQ142:BU144" si="44">BQ13</f>
        <v>501.75832046442758</v>
      </c>
      <c r="BR142" s="812">
        <f t="shared" si="44"/>
        <v>503.5328993063726</v>
      </c>
      <c r="BS142" s="812">
        <f t="shared" si="44"/>
        <v>485.36247206597602</v>
      </c>
      <c r="BT142" s="812">
        <f t="shared" si="44"/>
        <v>568.60719860154666</v>
      </c>
      <c r="BU142" s="813">
        <f t="shared" si="44"/>
        <v>568.60719860154666</v>
      </c>
      <c r="BV142" s="97"/>
      <c r="BW142" s="812">
        <f t="shared" ref="BW142:CA144" si="45">BW13</f>
        <v>547.26702653667996</v>
      </c>
      <c r="BX142" s="812">
        <f t="shared" si="45"/>
        <v>547.11658856420559</v>
      </c>
      <c r="BY142" s="812">
        <f t="shared" si="45"/>
        <v>526.40620858782427</v>
      </c>
      <c r="BZ142" s="812">
        <f t="shared" si="45"/>
        <v>613.41423446038721</v>
      </c>
      <c r="CA142" s="813">
        <f t="shared" si="45"/>
        <v>613.41423446038721</v>
      </c>
      <c r="CB142" s="97"/>
      <c r="CC142" s="812">
        <f t="shared" ref="CC142:CG144" si="46">CC13</f>
        <v>585.46917251287471</v>
      </c>
      <c r="CD142" s="812">
        <f t="shared" si="46"/>
        <v>582.20343728647811</v>
      </c>
      <c r="CE142" s="812">
        <f t="shared" si="46"/>
        <v>559.60894340409118</v>
      </c>
      <c r="CF142" s="812">
        <f t="shared" si="46"/>
        <v>648.20481588413395</v>
      </c>
      <c r="CG142" s="813">
        <f t="shared" si="46"/>
        <v>648.20481588413395</v>
      </c>
      <c r="CH142" s="97"/>
      <c r="CI142" s="812">
        <f t="shared" ref="CI142:CM144" si="47">CI13</f>
        <v>626.27199044412237</v>
      </c>
      <c r="CJ142" s="812">
        <f t="shared" si="47"/>
        <v>619.49003538306795</v>
      </c>
      <c r="CK142" s="812">
        <f t="shared" si="47"/>
        <v>594.83392977928884</v>
      </c>
      <c r="CL142" s="812">
        <f t="shared" si="47"/>
        <v>685.00181889949931</v>
      </c>
      <c r="CM142" s="813">
        <f t="shared" si="47"/>
        <v>685.00181889949931</v>
      </c>
      <c r="CN142" s="97"/>
      <c r="CO142" s="97"/>
      <c r="CP142"/>
      <c r="CQ142"/>
      <c r="CR142"/>
      <c r="CS142"/>
      <c r="CT142"/>
      <c r="CU142"/>
      <c r="CV142" s="97"/>
      <c r="CX142" s="1250"/>
      <c r="CY142" s="1250"/>
    </row>
    <row r="143" spans="1:103" s="24" customFormat="1" hidden="1" outlineLevel="1">
      <c r="A143" s="62" t="s">
        <v>389</v>
      </c>
      <c r="B143" s="130"/>
      <c r="C143" s="130"/>
      <c r="D143" s="130"/>
      <c r="E143" s="130"/>
      <c r="F143" s="810"/>
      <c r="G143" s="811">
        <f>G14</f>
        <v>175.88800000000001</v>
      </c>
      <c r="H143" s="304"/>
      <c r="I143" s="812">
        <f t="shared" si="34"/>
        <v>196.83099999999999</v>
      </c>
      <c r="J143" s="812">
        <f t="shared" si="34"/>
        <v>206.87299999999999</v>
      </c>
      <c r="K143" s="812">
        <f t="shared" si="34"/>
        <v>206.23099999999999</v>
      </c>
      <c r="L143" s="812">
        <f t="shared" si="34"/>
        <v>173.05099999999999</v>
      </c>
      <c r="M143" s="813">
        <f t="shared" si="34"/>
        <v>173.05099999999999</v>
      </c>
      <c r="N143" s="149"/>
      <c r="O143" s="812">
        <f t="shared" si="35"/>
        <v>190.92699999999999</v>
      </c>
      <c r="P143" s="812">
        <f t="shared" si="35"/>
        <v>196.316</v>
      </c>
      <c r="Q143" s="812">
        <f t="shared" si="35"/>
        <v>197.08799999999999</v>
      </c>
      <c r="R143" s="812">
        <f t="shared" si="35"/>
        <v>178.666</v>
      </c>
      <c r="S143" s="813">
        <f t="shared" si="35"/>
        <v>178.666</v>
      </c>
      <c r="T143" s="149"/>
      <c r="U143" s="812">
        <f t="shared" si="36"/>
        <v>189.221</v>
      </c>
      <c r="V143" s="812">
        <f t="shared" si="36"/>
        <v>191.78200000000001</v>
      </c>
      <c r="W143" s="812">
        <f t="shared" si="36"/>
        <v>208.339</v>
      </c>
      <c r="X143" s="812">
        <f t="shared" si="36"/>
        <v>204.3</v>
      </c>
      <c r="Y143" s="813">
        <f t="shared" si="36"/>
        <v>204.3</v>
      </c>
      <c r="Z143" s="149"/>
      <c r="AA143" s="812">
        <f t="shared" si="37"/>
        <v>223.88200000000001</v>
      </c>
      <c r="AB143" s="812">
        <f t="shared" si="37"/>
        <v>243.18</v>
      </c>
      <c r="AC143" s="812">
        <f t="shared" si="37"/>
        <v>246.25800000000001</v>
      </c>
      <c r="AD143" s="812">
        <f t="shared" si="37"/>
        <v>212.864</v>
      </c>
      <c r="AE143" s="813">
        <f t="shared" si="37"/>
        <v>212.864</v>
      </c>
      <c r="AF143" s="149"/>
      <c r="AG143" s="812">
        <f t="shared" si="38"/>
        <v>233.36199999999999</v>
      </c>
      <c r="AH143" s="812">
        <f t="shared" si="38"/>
        <v>236.76300000000001</v>
      </c>
      <c r="AI143" s="812">
        <f t="shared" si="38"/>
        <v>246.994</v>
      </c>
      <c r="AJ143" s="812">
        <f t="shared" si="38"/>
        <v>229.565</v>
      </c>
      <c r="AK143" s="813">
        <f t="shared" si="38"/>
        <v>229.565</v>
      </c>
      <c r="AL143" s="149"/>
      <c r="AM143" s="812">
        <f t="shared" si="39"/>
        <v>235.88300000000001</v>
      </c>
      <c r="AN143" s="812">
        <f t="shared" si="39"/>
        <v>242.64099999999999</v>
      </c>
      <c r="AO143" s="812">
        <f t="shared" si="39"/>
        <v>256.98</v>
      </c>
      <c r="AP143" s="812">
        <f t="shared" si="39"/>
        <v>242.8</v>
      </c>
      <c r="AQ143" s="813">
        <f t="shared" si="39"/>
        <v>242.8</v>
      </c>
      <c r="AR143" s="149"/>
      <c r="AS143" s="812">
        <f t="shared" si="40"/>
        <v>266.62900000000002</v>
      </c>
      <c r="AT143" s="812">
        <f t="shared" si="40"/>
        <v>272.76400000000001</v>
      </c>
      <c r="AU143" s="812">
        <f t="shared" si="40"/>
        <v>269.09500000000003</v>
      </c>
      <c r="AV143" s="812">
        <f t="shared" si="40"/>
        <v>246.43</v>
      </c>
      <c r="AW143" s="813">
        <f t="shared" si="40"/>
        <v>246.43</v>
      </c>
      <c r="AX143" s="149"/>
      <c r="AY143" s="812">
        <f t="shared" si="41"/>
        <v>257.52999999999997</v>
      </c>
      <c r="AZ143" s="812">
        <f t="shared" si="41"/>
        <v>272.93200000000002</v>
      </c>
      <c r="BA143" s="812">
        <f t="shared" si="41"/>
        <v>281.786</v>
      </c>
      <c r="BB143" s="812">
        <f t="shared" si="41"/>
        <v>263.41500000000002</v>
      </c>
      <c r="BC143" s="813">
        <f t="shared" si="41"/>
        <v>263.41500000000002</v>
      </c>
      <c r="BD143" s="149"/>
      <c r="BE143" s="812">
        <f t="shared" si="42"/>
        <v>287.048</v>
      </c>
      <c r="BF143" s="812">
        <f t="shared" si="42"/>
        <v>286.447</v>
      </c>
      <c r="BG143" s="812">
        <f t="shared" si="42"/>
        <v>303.18299999999999</v>
      </c>
      <c r="BH143" s="812">
        <f t="shared" si="42"/>
        <v>262.68200000000002</v>
      </c>
      <c r="BI143" s="813">
        <f t="shared" si="42"/>
        <v>262.68200000000002</v>
      </c>
      <c r="BJ143" s="149"/>
      <c r="BK143" s="812">
        <f t="shared" si="43"/>
        <v>279.976</v>
      </c>
      <c r="BL143" s="812">
        <f t="shared" si="43"/>
        <v>287.13900000000001</v>
      </c>
      <c r="BM143" s="812">
        <f t="shared" si="43"/>
        <v>297.85399999999998</v>
      </c>
      <c r="BN143" s="812">
        <f t="shared" si="43"/>
        <v>270.29399999999998</v>
      </c>
      <c r="BO143" s="813">
        <f t="shared" si="43"/>
        <v>270.29399999999998</v>
      </c>
      <c r="BP143" s="149"/>
      <c r="BQ143" s="812">
        <f t="shared" si="44"/>
        <v>304.36739129306346</v>
      </c>
      <c r="BR143" s="812">
        <f t="shared" si="44"/>
        <v>312.36430600273235</v>
      </c>
      <c r="BS143" s="812">
        <f t="shared" si="44"/>
        <v>316.82310951498948</v>
      </c>
      <c r="BT143" s="812">
        <f t="shared" si="44"/>
        <v>287.91224941096982</v>
      </c>
      <c r="BU143" s="813">
        <f t="shared" si="44"/>
        <v>287.91224941096982</v>
      </c>
      <c r="BV143" s="97"/>
      <c r="BW143" s="812">
        <f t="shared" si="45"/>
        <v>327.81790061201093</v>
      </c>
      <c r="BX143" s="812">
        <f t="shared" si="45"/>
        <v>334.54782216721844</v>
      </c>
      <c r="BY143" s="812">
        <f t="shared" si="45"/>
        <v>338.42488224754743</v>
      </c>
      <c r="BZ143" s="812">
        <f t="shared" si="45"/>
        <v>306.82562918288153</v>
      </c>
      <c r="CA143" s="813">
        <f t="shared" si="45"/>
        <v>306.82562918288153</v>
      </c>
      <c r="CB143" s="97"/>
      <c r="CC143" s="812">
        <f t="shared" si="46"/>
        <v>347.63024246398362</v>
      </c>
      <c r="CD143" s="812">
        <f t="shared" si="46"/>
        <v>352.58547588115476</v>
      </c>
      <c r="CE143" s="812">
        <f t="shared" si="46"/>
        <v>356.10034091844528</v>
      </c>
      <c r="CF143" s="812">
        <f t="shared" si="46"/>
        <v>321.32864603997837</v>
      </c>
      <c r="CG143" s="813">
        <f t="shared" si="46"/>
        <v>321.32864603997837</v>
      </c>
      <c r="CH143" s="97"/>
      <c r="CI143" s="812">
        <f t="shared" si="47"/>
        <v>368.61584236193937</v>
      </c>
      <c r="CJ143" s="812">
        <f t="shared" si="47"/>
        <v>371.59706479303759</v>
      </c>
      <c r="CK143" s="812">
        <f t="shared" si="47"/>
        <v>374.67949086603147</v>
      </c>
      <c r="CL143" s="812">
        <f t="shared" si="47"/>
        <v>336.55157539391496</v>
      </c>
      <c r="CM143" s="813">
        <f t="shared" si="47"/>
        <v>336.55157539391496</v>
      </c>
      <c r="CN143" s="97"/>
      <c r="CO143" s="97"/>
      <c r="CP143"/>
      <c r="CQ143"/>
      <c r="CR143"/>
      <c r="CS143"/>
      <c r="CT143"/>
      <c r="CU143"/>
      <c r="CV143" s="97"/>
    </row>
    <row r="144" spans="1:103" s="24" customFormat="1" hidden="1" outlineLevel="1">
      <c r="A144" s="62" t="s">
        <v>390</v>
      </c>
      <c r="B144" s="130"/>
      <c r="C144" s="130"/>
      <c r="D144" s="130"/>
      <c r="E144" s="130"/>
      <c r="F144" s="810"/>
      <c r="G144" s="811">
        <f>G15</f>
        <v>50.368000000000002</v>
      </c>
      <c r="H144" s="304"/>
      <c r="I144" s="812">
        <f t="shared" si="34"/>
        <v>49.33</v>
      </c>
      <c r="J144" s="812">
        <f t="shared" si="34"/>
        <v>47.957000000000001</v>
      </c>
      <c r="K144" s="812">
        <f t="shared" si="34"/>
        <v>45.94</v>
      </c>
      <c r="L144" s="812">
        <f t="shared" si="34"/>
        <v>62.966000000000001</v>
      </c>
      <c r="M144" s="813">
        <f t="shared" si="34"/>
        <v>62.966000000000001</v>
      </c>
      <c r="N144" s="149"/>
      <c r="O144" s="812">
        <f t="shared" si="35"/>
        <v>61.442999999999998</v>
      </c>
      <c r="P144" s="812">
        <f t="shared" si="35"/>
        <v>61.323999999999998</v>
      </c>
      <c r="Q144" s="812">
        <f t="shared" si="35"/>
        <v>56.960999999999999</v>
      </c>
      <c r="R144" s="812">
        <f t="shared" si="35"/>
        <v>49.206000000000003</v>
      </c>
      <c r="S144" s="813">
        <f t="shared" si="35"/>
        <v>49.206000000000003</v>
      </c>
      <c r="T144" s="149"/>
      <c r="U144" s="812">
        <f t="shared" si="36"/>
        <v>53.865000000000002</v>
      </c>
      <c r="V144" s="812">
        <f t="shared" si="36"/>
        <v>51.429000000000002</v>
      </c>
      <c r="W144" s="812">
        <f t="shared" si="36"/>
        <v>55.328000000000003</v>
      </c>
      <c r="X144" s="812">
        <f t="shared" si="36"/>
        <v>77.685000000000002</v>
      </c>
      <c r="Y144" s="813">
        <f t="shared" si="36"/>
        <v>77.685000000000002</v>
      </c>
      <c r="Z144" s="149"/>
      <c r="AA144" s="812">
        <f t="shared" si="37"/>
        <v>71.006</v>
      </c>
      <c r="AB144" s="812">
        <f t="shared" si="37"/>
        <v>69.819999999999993</v>
      </c>
      <c r="AC144" s="812">
        <f t="shared" si="37"/>
        <v>68.438999999999993</v>
      </c>
      <c r="AD144" s="812">
        <f t="shared" si="37"/>
        <v>80.804000000000002</v>
      </c>
      <c r="AE144" s="813">
        <f t="shared" si="37"/>
        <v>80.804000000000002</v>
      </c>
      <c r="AF144" s="149"/>
      <c r="AG144" s="812">
        <f t="shared" si="38"/>
        <v>82.817999999999998</v>
      </c>
      <c r="AH144" s="812">
        <f t="shared" si="38"/>
        <v>81.248000000000005</v>
      </c>
      <c r="AI144" s="812">
        <f t="shared" si="38"/>
        <v>79.691999999999993</v>
      </c>
      <c r="AJ144" s="812">
        <f t="shared" si="38"/>
        <v>84.58</v>
      </c>
      <c r="AK144" s="813">
        <f t="shared" si="38"/>
        <v>84.58</v>
      </c>
      <c r="AL144" s="149"/>
      <c r="AM144" s="812">
        <f t="shared" si="39"/>
        <v>84.531999999999996</v>
      </c>
      <c r="AN144" s="812">
        <f t="shared" si="39"/>
        <v>86.692999999999998</v>
      </c>
      <c r="AO144" s="812">
        <f t="shared" si="39"/>
        <v>99.150999999999996</v>
      </c>
      <c r="AP144" s="812">
        <f t="shared" si="39"/>
        <v>78.8</v>
      </c>
      <c r="AQ144" s="813">
        <f t="shared" si="39"/>
        <v>78.8</v>
      </c>
      <c r="AR144" s="149"/>
      <c r="AS144" s="812">
        <f t="shared" si="40"/>
        <v>86.478999999999999</v>
      </c>
      <c r="AT144" s="812">
        <f t="shared" si="40"/>
        <v>88.363</v>
      </c>
      <c r="AU144" s="812">
        <f t="shared" si="40"/>
        <v>90.789000000000001</v>
      </c>
      <c r="AV144" s="812">
        <f t="shared" si="40"/>
        <v>118.30200000000001</v>
      </c>
      <c r="AW144" s="813">
        <f t="shared" si="40"/>
        <v>118.30200000000001</v>
      </c>
      <c r="AX144" s="149"/>
      <c r="AY144" s="812">
        <f t="shared" si="41"/>
        <v>115.02800000000001</v>
      </c>
      <c r="AZ144" s="812">
        <f t="shared" si="41"/>
        <v>118.54900000000001</v>
      </c>
      <c r="BA144" s="812">
        <f t="shared" si="41"/>
        <v>85.016000000000005</v>
      </c>
      <c r="BB144" s="812">
        <f t="shared" si="41"/>
        <v>82.54</v>
      </c>
      <c r="BC144" s="813">
        <f t="shared" si="41"/>
        <v>82.54</v>
      </c>
      <c r="BD144" s="149"/>
      <c r="BE144" s="812">
        <f t="shared" si="42"/>
        <v>78.825000000000003</v>
      </c>
      <c r="BF144" s="812">
        <f t="shared" si="42"/>
        <v>73.75</v>
      </c>
      <c r="BG144" s="812">
        <f t="shared" si="42"/>
        <v>76.403999999999996</v>
      </c>
      <c r="BH144" s="812">
        <f t="shared" si="42"/>
        <v>70.391000000000005</v>
      </c>
      <c r="BI144" s="813">
        <f t="shared" si="42"/>
        <v>70.391000000000005</v>
      </c>
      <c r="BJ144" s="149"/>
      <c r="BK144" s="812">
        <f t="shared" si="43"/>
        <v>70.23</v>
      </c>
      <c r="BL144" s="812">
        <f t="shared" si="43"/>
        <v>71.338999999999999</v>
      </c>
      <c r="BM144" s="812">
        <f t="shared" si="43"/>
        <v>69.38</v>
      </c>
      <c r="BN144" s="812">
        <f t="shared" si="43"/>
        <v>72.313999999999993</v>
      </c>
      <c r="BO144" s="813">
        <f t="shared" si="43"/>
        <v>72.313999999999993</v>
      </c>
      <c r="BP144" s="149"/>
      <c r="BQ144" s="812">
        <f t="shared" si="44"/>
        <v>78.478689353770207</v>
      </c>
      <c r="BR144" s="812">
        <f t="shared" si="44"/>
        <v>80.04546665435447</v>
      </c>
      <c r="BS144" s="812">
        <f t="shared" si="44"/>
        <v>76.199672401226437</v>
      </c>
      <c r="BT144" s="812">
        <f t="shared" si="44"/>
        <v>79.953953092020328</v>
      </c>
      <c r="BU144" s="813">
        <f t="shared" si="44"/>
        <v>79.953953092020328</v>
      </c>
      <c r="BV144" s="97"/>
      <c r="BW144" s="812">
        <f t="shared" si="45"/>
        <v>85.926316209233889</v>
      </c>
      <c r="BX144" s="812">
        <f t="shared" si="45"/>
        <v>87.305480264359375</v>
      </c>
      <c r="BY144" s="812">
        <f t="shared" si="45"/>
        <v>82.998417358779548</v>
      </c>
      <c r="BZ144" s="812">
        <f t="shared" si="45"/>
        <v>86.959565984999387</v>
      </c>
      <c r="CA144" s="813">
        <f t="shared" si="45"/>
        <v>86.959565984999387</v>
      </c>
      <c r="CB144" s="97"/>
      <c r="CC144" s="812">
        <f t="shared" si="46"/>
        <v>93.314296882703474</v>
      </c>
      <c r="CD144" s="812">
        <f t="shared" si="46"/>
        <v>94.4250852944906</v>
      </c>
      <c r="CE144" s="812">
        <f t="shared" si="46"/>
        <v>89.747688458215819</v>
      </c>
      <c r="CF144" s="812">
        <f t="shared" si="46"/>
        <v>93.850311802898403</v>
      </c>
      <c r="CG144" s="813">
        <f t="shared" si="46"/>
        <v>93.850311802898403</v>
      </c>
      <c r="CH144" s="97"/>
      <c r="CI144" s="812">
        <f t="shared" si="47"/>
        <v>101.27078015739106</v>
      </c>
      <c r="CJ144" s="812">
        <f t="shared" si="47"/>
        <v>102.04986202075571</v>
      </c>
      <c r="CK144" s="812">
        <f t="shared" si="47"/>
        <v>96.964962957664824</v>
      </c>
      <c r="CL144" s="812">
        <f t="shared" si="47"/>
        <v>101.19258918745953</v>
      </c>
      <c r="CM144" s="813">
        <f t="shared" si="47"/>
        <v>101.19258918745953</v>
      </c>
      <c r="CN144" s="97"/>
      <c r="CO144" s="97"/>
      <c r="CP144"/>
      <c r="CQ144"/>
      <c r="CR144"/>
      <c r="CS144"/>
      <c r="CT144"/>
      <c r="CU144"/>
      <c r="CV144" s="97"/>
    </row>
    <row r="145" spans="1:100" s="24" customFormat="1" hidden="1" outlineLevel="1">
      <c r="A145" s="62" t="s">
        <v>391</v>
      </c>
      <c r="B145" s="130"/>
      <c r="C145" s="130"/>
      <c r="D145" s="130"/>
      <c r="E145" s="130"/>
      <c r="F145" s="810"/>
      <c r="G145" s="811">
        <f>G17</f>
        <v>160.85599999999999</v>
      </c>
      <c r="H145" s="304"/>
      <c r="I145" s="812">
        <f>I17</f>
        <v>163.87200000000001</v>
      </c>
      <c r="J145" s="812">
        <f>J17</f>
        <v>165.929</v>
      </c>
      <c r="K145" s="812">
        <f>K17</f>
        <v>166.56899999999999</v>
      </c>
      <c r="L145" s="812">
        <f>L17</f>
        <v>171.58799999999999</v>
      </c>
      <c r="M145" s="813">
        <f>M17</f>
        <v>171.58799999999999</v>
      </c>
      <c r="N145" s="149"/>
      <c r="O145" s="812">
        <f>O17</f>
        <v>183.82300000000001</v>
      </c>
      <c r="P145" s="812">
        <f>P17</f>
        <v>203.29300000000001</v>
      </c>
      <c r="Q145" s="812">
        <f>Q17</f>
        <v>209.172</v>
      </c>
      <c r="R145" s="812">
        <f>R17</f>
        <v>210.92599999999999</v>
      </c>
      <c r="S145" s="813">
        <f>S17</f>
        <v>210.92599999999999</v>
      </c>
      <c r="T145" s="149"/>
      <c r="U145" s="812">
        <f>U17</f>
        <v>208.95699999999999</v>
      </c>
      <c r="V145" s="812">
        <f>V17</f>
        <v>210.649</v>
      </c>
      <c r="W145" s="812">
        <f>W17</f>
        <v>214.773</v>
      </c>
      <c r="X145" s="812">
        <f>X17</f>
        <v>215.06</v>
      </c>
      <c r="Y145" s="813">
        <f>Y17</f>
        <v>215.06</v>
      </c>
      <c r="Z145" s="149"/>
      <c r="AA145" s="812">
        <f>AA17</f>
        <v>216.989</v>
      </c>
      <c r="AB145" s="812">
        <f>AB17</f>
        <v>218.637</v>
      </c>
      <c r="AC145" s="812">
        <f>AC17</f>
        <v>221.059</v>
      </c>
      <c r="AD145" s="812">
        <f>AD17</f>
        <v>237.095</v>
      </c>
      <c r="AE145" s="813">
        <f>AE17</f>
        <v>237.095</v>
      </c>
      <c r="AF145" s="149"/>
      <c r="AG145" s="812">
        <f>AG17</f>
        <v>238.95500000000001</v>
      </c>
      <c r="AH145" s="812">
        <f>AH17</f>
        <v>251.357</v>
      </c>
      <c r="AI145" s="812">
        <f>AI17</f>
        <v>261.11500000000001</v>
      </c>
      <c r="AJ145" s="812">
        <f>AJ17</f>
        <v>273.279</v>
      </c>
      <c r="AK145" s="813">
        <f>AK17</f>
        <v>273.279</v>
      </c>
      <c r="AL145" s="149"/>
      <c r="AM145" s="812">
        <f>AM17</f>
        <v>282.71600000000001</v>
      </c>
      <c r="AN145" s="812">
        <f>AN17</f>
        <v>295.74099999999999</v>
      </c>
      <c r="AO145" s="812">
        <f>AO17</f>
        <v>313.66699999999997</v>
      </c>
      <c r="AP145" s="812">
        <f>AP17</f>
        <v>324.93200000000002</v>
      </c>
      <c r="AQ145" s="813">
        <f>AQ17</f>
        <v>324.93200000000002</v>
      </c>
      <c r="AR145" s="149"/>
      <c r="AS145" s="812">
        <f>AS17</f>
        <v>329.88</v>
      </c>
      <c r="AT145" s="812">
        <f>AT17</f>
        <v>328.59800000000001</v>
      </c>
      <c r="AU145" s="812">
        <f>AU17</f>
        <v>322.92399999999998</v>
      </c>
      <c r="AV145" s="812">
        <f>AV17</f>
        <v>321.58300000000003</v>
      </c>
      <c r="AW145" s="813">
        <f>AW17</f>
        <v>321.58300000000003</v>
      </c>
      <c r="AX145" s="149"/>
      <c r="AY145" s="812">
        <f>AY17</f>
        <v>316.81400000000002</v>
      </c>
      <c r="AZ145" s="812">
        <f>AZ17</f>
        <v>324.89600000000002</v>
      </c>
      <c r="BA145" s="812">
        <f>BA17</f>
        <v>325.55399999999997</v>
      </c>
      <c r="BB145" s="812">
        <f>BB17</f>
        <v>333.35500000000002</v>
      </c>
      <c r="BC145" s="813">
        <f>BC17</f>
        <v>333.35500000000002</v>
      </c>
      <c r="BD145" s="149"/>
      <c r="BE145" s="812">
        <f>BE17</f>
        <v>336.798</v>
      </c>
      <c r="BF145" s="812">
        <f>BF17</f>
        <v>330.23500000000001</v>
      </c>
      <c r="BG145" s="812">
        <f>BG17</f>
        <v>329.721</v>
      </c>
      <c r="BH145" s="812">
        <f>BH17</f>
        <v>337.11799999999999</v>
      </c>
      <c r="BI145" s="813">
        <f>BI17</f>
        <v>337.11799999999999</v>
      </c>
      <c r="BJ145" s="149"/>
      <c r="BK145" s="812">
        <f>BK17</f>
        <v>334.38200000000001</v>
      </c>
      <c r="BL145" s="812">
        <f>BL17</f>
        <v>338.86</v>
      </c>
      <c r="BM145" s="812">
        <f>BM17</f>
        <v>342.83199999999999</v>
      </c>
      <c r="BN145" s="812">
        <f>BN17</f>
        <v>349.27800000000002</v>
      </c>
      <c r="BO145" s="813">
        <f>BO17</f>
        <v>349.27800000000002</v>
      </c>
      <c r="BP145" s="149"/>
      <c r="BQ145" s="812">
        <f>BQ17</f>
        <v>361.06039559802804</v>
      </c>
      <c r="BR145" s="812">
        <f>BR17</f>
        <v>375.45450994623309</v>
      </c>
      <c r="BS145" s="812">
        <f>BS17</f>
        <v>389.17086059519647</v>
      </c>
      <c r="BT145" s="812">
        <f>BT17</f>
        <v>408.348933417843</v>
      </c>
      <c r="BU145" s="813">
        <f>BU17</f>
        <v>408.348933417843</v>
      </c>
      <c r="BV145" s="97"/>
      <c r="BW145" s="812">
        <f>BW17</f>
        <v>432.79150719304175</v>
      </c>
      <c r="BX145" s="812">
        <f>BX17</f>
        <v>461.03191458682181</v>
      </c>
      <c r="BY145" s="812">
        <f>BY17</f>
        <v>488.18337692272723</v>
      </c>
      <c r="BZ145" s="812">
        <f>BZ17</f>
        <v>523.40866025971525</v>
      </c>
      <c r="CA145" s="813">
        <f>CA17</f>
        <v>523.40866025971525</v>
      </c>
      <c r="CB145" s="97"/>
      <c r="CC145" s="812">
        <f>CC17</f>
        <v>548.18581238219178</v>
      </c>
      <c r="CD145" s="812">
        <f>CD17</f>
        <v>576.65664120182578</v>
      </c>
      <c r="CE145" s="812">
        <f>CE17</f>
        <v>604.00658495596986</v>
      </c>
      <c r="CF145" s="812">
        <f>CF17</f>
        <v>639.36795700179823</v>
      </c>
      <c r="CG145" s="813">
        <f>CG17</f>
        <v>639.36795700179823</v>
      </c>
      <c r="CH145" s="97"/>
      <c r="CI145" s="812">
        <f>CI17</f>
        <v>653.02728085538138</v>
      </c>
      <c r="CJ145" s="812">
        <f>CJ17</f>
        <v>669.20970136019605</v>
      </c>
      <c r="CK145" s="812">
        <f>CK17</f>
        <v>684.57837276645228</v>
      </c>
      <c r="CL145" s="812">
        <f>CL17</f>
        <v>705.54821473084564</v>
      </c>
      <c r="CM145" s="813">
        <f>CM17</f>
        <v>705.54821473084564</v>
      </c>
      <c r="CN145" s="97"/>
      <c r="CO145" s="97"/>
      <c r="CP145"/>
      <c r="CQ145"/>
      <c r="CR145"/>
      <c r="CS145"/>
      <c r="CT145"/>
      <c r="CU145"/>
      <c r="CV145" s="97"/>
    </row>
    <row r="146" spans="1:100" s="24" customFormat="1" hidden="1" outlineLevel="1">
      <c r="A146" s="62" t="s">
        <v>392</v>
      </c>
      <c r="B146" s="130"/>
      <c r="C146" s="130"/>
      <c r="D146" s="130"/>
      <c r="E146" s="130"/>
      <c r="F146" s="810"/>
      <c r="G146" s="811">
        <f>G20</f>
        <v>68.751999999999995</v>
      </c>
      <c r="H146" s="304"/>
      <c r="I146" s="812">
        <f>I20</f>
        <v>70.429000000000002</v>
      </c>
      <c r="J146" s="812">
        <f>J20</f>
        <v>80.423000000000002</v>
      </c>
      <c r="K146" s="812">
        <f>K20</f>
        <v>82.378</v>
      </c>
      <c r="L146" s="812">
        <f>L20</f>
        <v>76.992000000000004</v>
      </c>
      <c r="M146" s="813">
        <f>M20</f>
        <v>76.992000000000004</v>
      </c>
      <c r="N146" s="149"/>
      <c r="O146" s="812">
        <f>O20</f>
        <v>66.349000000000004</v>
      </c>
      <c r="P146" s="812">
        <f>P20</f>
        <v>71.347999999999999</v>
      </c>
      <c r="Q146" s="812">
        <f>Q20</f>
        <v>79.656000000000006</v>
      </c>
      <c r="R146" s="812">
        <f>R20</f>
        <v>49.387</v>
      </c>
      <c r="S146" s="813">
        <f>S20</f>
        <v>49.387</v>
      </c>
      <c r="T146" s="149"/>
      <c r="U146" s="812">
        <f>U20</f>
        <v>51.777000000000001</v>
      </c>
      <c r="V146" s="812">
        <f>V20</f>
        <v>51.76</v>
      </c>
      <c r="W146" s="812">
        <f>W20</f>
        <v>76.94</v>
      </c>
      <c r="X146" s="812">
        <f>X20</f>
        <v>52.996000000000002</v>
      </c>
      <c r="Y146" s="813">
        <f>Y20</f>
        <v>52.996000000000002</v>
      </c>
      <c r="Z146" s="149"/>
      <c r="AA146" s="812">
        <f>AA20</f>
        <v>61.89</v>
      </c>
      <c r="AB146" s="812">
        <f>AB20</f>
        <v>64.117000000000004</v>
      </c>
      <c r="AC146" s="812">
        <f>AC20</f>
        <v>60.594999999999999</v>
      </c>
      <c r="AD146" s="812">
        <f>AD20</f>
        <v>54.972000000000001</v>
      </c>
      <c r="AE146" s="813">
        <f>AE20</f>
        <v>54.972000000000001</v>
      </c>
      <c r="AF146" s="149"/>
      <c r="AG146" s="812">
        <f>AG20</f>
        <v>62.539000000000001</v>
      </c>
      <c r="AH146" s="812">
        <f>AH20</f>
        <v>61.124000000000002</v>
      </c>
      <c r="AI146" s="812">
        <f>AI20</f>
        <v>69.388000000000005</v>
      </c>
      <c r="AJ146" s="812">
        <f>AJ20</f>
        <v>100.166</v>
      </c>
      <c r="AK146" s="813">
        <f>AK20</f>
        <v>100.166</v>
      </c>
      <c r="AL146" s="149"/>
      <c r="AM146" s="812">
        <f>AM20</f>
        <v>106.782</v>
      </c>
      <c r="AN146" s="812">
        <f>AN20</f>
        <v>110.842</v>
      </c>
      <c r="AO146" s="812">
        <f>AO20</f>
        <v>111.40300000000001</v>
      </c>
      <c r="AP146" s="812">
        <f>AP20</f>
        <v>111.98</v>
      </c>
      <c r="AQ146" s="813">
        <f>AQ20</f>
        <v>111.98</v>
      </c>
      <c r="AR146" s="149"/>
      <c r="AS146" s="812">
        <f>AS20</f>
        <v>120.419</v>
      </c>
      <c r="AT146" s="812">
        <f>AT20</f>
        <v>127.18300000000001</v>
      </c>
      <c r="AU146" s="812">
        <f>AU20</f>
        <v>129.22399999999999</v>
      </c>
      <c r="AV146" s="812">
        <f>AV20</f>
        <v>115.40600000000001</v>
      </c>
      <c r="AW146" s="813">
        <f>AW20</f>
        <v>115.40600000000001</v>
      </c>
      <c r="AX146" s="149"/>
      <c r="AY146" s="812">
        <f>AY20</f>
        <v>116.81</v>
      </c>
      <c r="AZ146" s="812">
        <f>AZ20</f>
        <v>120.491</v>
      </c>
      <c r="BA146" s="812">
        <f>BA20</f>
        <v>126.886</v>
      </c>
      <c r="BB146" s="812">
        <f>BB20</f>
        <v>146.90299999999999</v>
      </c>
      <c r="BC146" s="813">
        <f>BC20</f>
        <v>146.90299999999999</v>
      </c>
      <c r="BD146" s="149"/>
      <c r="BE146" s="812">
        <f>BE20</f>
        <v>140.73400000000001</v>
      </c>
      <c r="BF146" s="812">
        <f>BF20</f>
        <v>141.52199999999999</v>
      </c>
      <c r="BG146" s="812">
        <f>BG20</f>
        <v>134.626</v>
      </c>
      <c r="BH146" s="812">
        <f>BH20</f>
        <v>130.36099999999999</v>
      </c>
      <c r="BI146" s="813">
        <f>BI20</f>
        <v>130.36099999999999</v>
      </c>
      <c r="BJ146" s="149"/>
      <c r="BK146" s="812">
        <f>BK20</f>
        <v>133.05199999999999</v>
      </c>
      <c r="BL146" s="812">
        <f>BL20</f>
        <v>134.43600000000001</v>
      </c>
      <c r="BM146" s="812">
        <f>BM20</f>
        <v>158.196</v>
      </c>
      <c r="BN146" s="812">
        <f>BN20</f>
        <v>116.72799999999999</v>
      </c>
      <c r="BO146" s="813">
        <f>BO20</f>
        <v>116.72799999999999</v>
      </c>
      <c r="BP146" s="149"/>
      <c r="BQ146" s="812">
        <f>BQ20</f>
        <v>116.72799999999999</v>
      </c>
      <c r="BR146" s="812">
        <f>BR20</f>
        <v>116.72799999999999</v>
      </c>
      <c r="BS146" s="812">
        <f>BS20</f>
        <v>116.72799999999999</v>
      </c>
      <c r="BT146" s="812">
        <f>BT20</f>
        <v>116.72799999999999</v>
      </c>
      <c r="BU146" s="813">
        <f>BU20</f>
        <v>116.72799999999999</v>
      </c>
      <c r="BV146" s="97"/>
      <c r="BW146" s="812">
        <f>BW20</f>
        <v>116.72799999999999</v>
      </c>
      <c r="BX146" s="812">
        <f>BX20</f>
        <v>116.72799999999999</v>
      </c>
      <c r="BY146" s="812">
        <f>BY20</f>
        <v>116.72799999999999</v>
      </c>
      <c r="BZ146" s="812">
        <f>BZ20</f>
        <v>116.72799999999999</v>
      </c>
      <c r="CA146" s="813">
        <f>CA20</f>
        <v>116.72799999999999</v>
      </c>
      <c r="CB146" s="97"/>
      <c r="CC146" s="812">
        <f>CC20</f>
        <v>116.72799999999999</v>
      </c>
      <c r="CD146" s="812">
        <f>CD20</f>
        <v>116.72799999999999</v>
      </c>
      <c r="CE146" s="812">
        <f>CE20</f>
        <v>116.72799999999999</v>
      </c>
      <c r="CF146" s="812">
        <f>CF20</f>
        <v>116.72799999999999</v>
      </c>
      <c r="CG146" s="813">
        <f>CG20</f>
        <v>116.72799999999999</v>
      </c>
      <c r="CH146" s="97"/>
      <c r="CI146" s="812">
        <f>CI20</f>
        <v>116.72799999999999</v>
      </c>
      <c r="CJ146" s="812">
        <f>CJ20</f>
        <v>116.72799999999999</v>
      </c>
      <c r="CK146" s="812">
        <f>CK20</f>
        <v>116.72799999999999</v>
      </c>
      <c r="CL146" s="812">
        <f>CL20</f>
        <v>116.72799999999999</v>
      </c>
      <c r="CM146" s="813">
        <f>CM20</f>
        <v>116.72799999999999</v>
      </c>
      <c r="CN146" s="97"/>
      <c r="CO146" s="97"/>
      <c r="CP146"/>
      <c r="CQ146"/>
      <c r="CR146"/>
      <c r="CS146"/>
      <c r="CT146"/>
      <c r="CU146"/>
      <c r="CV146" s="97"/>
    </row>
    <row r="147" spans="1:100" s="24" customFormat="1" hidden="1" outlineLevel="1">
      <c r="A147" s="62" t="s">
        <v>393</v>
      </c>
      <c r="B147" s="130"/>
      <c r="C147" s="130"/>
      <c r="D147" s="130"/>
      <c r="E147" s="130"/>
      <c r="F147" s="810"/>
      <c r="G147" s="811">
        <f>G18+G19</f>
        <v>414.38499999999999</v>
      </c>
      <c r="H147" s="304"/>
      <c r="I147" s="812">
        <f>I18+I19</f>
        <v>418.34900000000005</v>
      </c>
      <c r="J147" s="812">
        <f>J18+J19</f>
        <v>427.70500000000004</v>
      </c>
      <c r="K147" s="812">
        <f>K18+K19</f>
        <v>420.79300000000001</v>
      </c>
      <c r="L147" s="812">
        <f>L18+L19</f>
        <v>418.01599999999996</v>
      </c>
      <c r="M147" s="813">
        <f>M18+M19</f>
        <v>418.01599999999996</v>
      </c>
      <c r="N147" s="149"/>
      <c r="O147" s="812">
        <f>O18+O19</f>
        <v>461.37599999999998</v>
      </c>
      <c r="P147" s="812">
        <f>P18+P19</f>
        <v>469.71900000000005</v>
      </c>
      <c r="Q147" s="812">
        <f>Q18+Q19</f>
        <v>474.88599999999997</v>
      </c>
      <c r="R147" s="812">
        <f>R18+R19</f>
        <v>475.24199999999996</v>
      </c>
      <c r="S147" s="813">
        <f>S18+S19</f>
        <v>475.24199999999996</v>
      </c>
      <c r="T147" s="149"/>
      <c r="U147" s="812">
        <f>U18+U19</f>
        <v>471.29099999999994</v>
      </c>
      <c r="V147" s="812">
        <f>V18+V19</f>
        <v>462.13199999999995</v>
      </c>
      <c r="W147" s="812">
        <f>W18+W19</f>
        <v>475.60599999999999</v>
      </c>
      <c r="X147" s="812">
        <f>X18+X19</f>
        <v>472.97299999999996</v>
      </c>
      <c r="Y147" s="813">
        <f>Y18+Y19</f>
        <v>472.97299999999996</v>
      </c>
      <c r="Z147" s="149"/>
      <c r="AA147" s="812">
        <f>AA18+AA19</f>
        <v>484.94899999999996</v>
      </c>
      <c r="AB147" s="812">
        <f>AB18+AB19</f>
        <v>489.09399999999999</v>
      </c>
      <c r="AC147" s="812">
        <f>AC19+AC18</f>
        <v>494.60200000000003</v>
      </c>
      <c r="AD147" s="812">
        <f>AD18+AD19</f>
        <v>489.06299999999999</v>
      </c>
      <c r="AE147" s="813">
        <f>AE18+AE19</f>
        <v>489.06299999999999</v>
      </c>
      <c r="AF147" s="149"/>
      <c r="AG147" s="812">
        <f>AG18+AG19</f>
        <v>514.44299999999998</v>
      </c>
      <c r="AH147" s="812">
        <f>AH18+AH19</f>
        <v>505.78300000000002</v>
      </c>
      <c r="AI147" s="812">
        <f>AI19+AI18</f>
        <v>529.13900000000001</v>
      </c>
      <c r="AJ147" s="812">
        <f>AJ18+AJ19</f>
        <v>536.97900000000004</v>
      </c>
      <c r="AK147" s="813">
        <f>AK18+AK19</f>
        <v>536.97900000000004</v>
      </c>
      <c r="AL147" s="149"/>
      <c r="AM147" s="812">
        <f>AM18+AM19</f>
        <v>530.13799999999992</v>
      </c>
      <c r="AN147" s="812">
        <f>AN18+AN19</f>
        <v>534.66800000000001</v>
      </c>
      <c r="AO147" s="812">
        <f>AO18+AO19</f>
        <v>571.16699999999992</v>
      </c>
      <c r="AP147" s="812">
        <f>AP18+AP19</f>
        <v>589.46199999999999</v>
      </c>
      <c r="AQ147" s="813">
        <f>AQ18+AQ19</f>
        <v>589.46199999999999</v>
      </c>
      <c r="AR147" s="149"/>
      <c r="AS147" s="812">
        <f>AS18+AS19</f>
        <v>591.72699999999998</v>
      </c>
      <c r="AT147" s="812">
        <f>AT18+AT19</f>
        <v>591.14300000000003</v>
      </c>
      <c r="AU147" s="812">
        <f>AU18+AU19</f>
        <v>600.11799999999994</v>
      </c>
      <c r="AV147" s="812">
        <f>AV18+AV19</f>
        <v>587.20900000000006</v>
      </c>
      <c r="AW147" s="813">
        <f>AW18+AW19</f>
        <v>587.20900000000006</v>
      </c>
      <c r="AX147" s="149"/>
      <c r="AY147" s="812">
        <f>AY18+AY19</f>
        <v>563.12900000000002</v>
      </c>
      <c r="AZ147" s="812">
        <f>AZ18+AZ19</f>
        <v>576.5</v>
      </c>
      <c r="BA147" s="812">
        <f>BA18+BA19</f>
        <v>574.95699999999999</v>
      </c>
      <c r="BB147" s="812">
        <f>BB18+BB19</f>
        <v>574.88599999999997</v>
      </c>
      <c r="BC147" s="813">
        <f>BC18+BC19</f>
        <v>574.88599999999997</v>
      </c>
      <c r="BD147" s="149"/>
      <c r="BE147" s="812">
        <f>BE18+BE19</f>
        <v>580.24400000000003</v>
      </c>
      <c r="BF147" s="812">
        <f>BF18+BF19</f>
        <v>570.38</v>
      </c>
      <c r="BG147" s="812">
        <f>BG18+BG19</f>
        <v>578.06500000000005</v>
      </c>
      <c r="BH147" s="812">
        <f>BH18+BH19</f>
        <v>559.13499999999999</v>
      </c>
      <c r="BI147" s="813">
        <f>BI18+BI19</f>
        <v>559.13499999999999</v>
      </c>
      <c r="BJ147" s="149"/>
      <c r="BK147" s="812">
        <f>BK18+BK19</f>
        <v>564.84500000000003</v>
      </c>
      <c r="BL147" s="812">
        <f>BL18+BL19</f>
        <v>576.21400000000006</v>
      </c>
      <c r="BM147" s="812">
        <f>BM18+BM19</f>
        <v>583.43200000000002</v>
      </c>
      <c r="BN147" s="812">
        <f>BN18+BN19</f>
        <v>588.21400000000006</v>
      </c>
      <c r="BO147" s="813">
        <f>BO18+BO19</f>
        <v>588.21400000000006</v>
      </c>
      <c r="BP147" s="149"/>
      <c r="BQ147" s="812">
        <f>BQ18+BQ19</f>
        <v>578.21400000000006</v>
      </c>
      <c r="BR147" s="812">
        <f>BR18+BR19</f>
        <v>568.21400000000006</v>
      </c>
      <c r="BS147" s="812">
        <f>BS18+BS19</f>
        <v>558.21400000000006</v>
      </c>
      <c r="BT147" s="812">
        <f>BT18+BT19</f>
        <v>548.21400000000006</v>
      </c>
      <c r="BU147" s="813">
        <f>BU18+BU19</f>
        <v>548.21400000000006</v>
      </c>
      <c r="BV147" s="97"/>
      <c r="BW147" s="812">
        <f>BW18+BW19</f>
        <v>538.21400000000006</v>
      </c>
      <c r="BX147" s="812">
        <f>BX18+BX19</f>
        <v>528.21400000000006</v>
      </c>
      <c r="BY147" s="812">
        <f>BY18+BY19</f>
        <v>518.21400000000006</v>
      </c>
      <c r="BZ147" s="812">
        <f>BZ18+BZ19</f>
        <v>508.21400000000006</v>
      </c>
      <c r="CA147" s="813">
        <f>CA18+CA19</f>
        <v>508.21400000000006</v>
      </c>
      <c r="CB147" s="97"/>
      <c r="CC147" s="812">
        <f>CC18+CC19</f>
        <v>498.21400000000006</v>
      </c>
      <c r="CD147" s="812">
        <f>CD18+CD19</f>
        <v>488.21400000000006</v>
      </c>
      <c r="CE147" s="812">
        <f>CE18+CE19</f>
        <v>478.21400000000006</v>
      </c>
      <c r="CF147" s="812">
        <f>CF18+CF19</f>
        <v>468.21400000000006</v>
      </c>
      <c r="CG147" s="813">
        <f>CG18+CG19</f>
        <v>468.21400000000006</v>
      </c>
      <c r="CH147" s="97"/>
      <c r="CI147" s="812">
        <f>CI18+CI19</f>
        <v>458.21400000000006</v>
      </c>
      <c r="CJ147" s="812">
        <f>CJ18+CJ19</f>
        <v>448.21400000000006</v>
      </c>
      <c r="CK147" s="812">
        <f>CK18+CK19</f>
        <v>438.21400000000006</v>
      </c>
      <c r="CL147" s="812">
        <f>CL18+CL19</f>
        <v>428.21400000000006</v>
      </c>
      <c r="CM147" s="813">
        <f>CM18+CM19</f>
        <v>428.21400000000006</v>
      </c>
      <c r="CN147" s="97"/>
      <c r="CO147" s="97"/>
      <c r="CP147"/>
      <c r="CQ147"/>
      <c r="CR147"/>
      <c r="CS147"/>
      <c r="CT147"/>
      <c r="CU147"/>
      <c r="CV147" s="97"/>
    </row>
    <row r="148" spans="1:100" s="24" customFormat="1" hidden="1" outlineLevel="1">
      <c r="A148" s="814" t="s">
        <v>394</v>
      </c>
      <c r="B148" s="815"/>
      <c r="C148" s="815"/>
      <c r="D148" s="815"/>
      <c r="E148" s="815"/>
      <c r="F148" s="816"/>
      <c r="G148" s="817">
        <f>SUM(G142:G147)</f>
        <v>1188.0409999999999</v>
      </c>
      <c r="H148" s="304"/>
      <c r="I148" s="818">
        <f>SUM(I142:I147)</f>
        <v>1215.8200000000002</v>
      </c>
      <c r="J148" s="818">
        <f>SUM(J142:J147)</f>
        <v>1233.6770000000001</v>
      </c>
      <c r="K148" s="818">
        <f>SUM(K142:K147)</f>
        <v>1211.182</v>
      </c>
      <c r="L148" s="818">
        <f>SUM(L142:L147)</f>
        <v>1194.3759999999997</v>
      </c>
      <c r="M148" s="819">
        <f>SUM(M142:M147)</f>
        <v>1194.3759999999997</v>
      </c>
      <c r="N148" s="149"/>
      <c r="O148" s="818">
        <f>SUM(O142:O147)</f>
        <v>1243.2629999999999</v>
      </c>
      <c r="P148" s="818">
        <f>SUM(P142:P147)</f>
        <v>1296.9359999999999</v>
      </c>
      <c r="Q148" s="818">
        <f>SUM(Q142:Q147)</f>
        <v>1307.413</v>
      </c>
      <c r="R148" s="818">
        <f>SUM(R142:R147)</f>
        <v>1277.674</v>
      </c>
      <c r="S148" s="819">
        <f>SUM(S142:S147)</f>
        <v>1277.674</v>
      </c>
      <c r="T148" s="149"/>
      <c r="U148" s="818">
        <f>SUM(U142:U147)</f>
        <v>1289.0619999999999</v>
      </c>
      <c r="V148" s="818">
        <f>SUM(V142:V147)</f>
        <v>1281.9259999999999</v>
      </c>
      <c r="W148" s="818">
        <f>SUM(W142:W147)</f>
        <v>1368.548</v>
      </c>
      <c r="X148" s="818">
        <f>SUM(X142:X147)</f>
        <v>1381.2509999999997</v>
      </c>
      <c r="Y148" s="819">
        <f>SUM(Y142:Y147)</f>
        <v>1381.2509999999997</v>
      </c>
      <c r="Z148" s="149"/>
      <c r="AA148" s="818">
        <f>SUM(AA142:AA147)</f>
        <v>1408.1129999999998</v>
      </c>
      <c r="AB148" s="818">
        <f>SUM(AB142:AB147)</f>
        <v>1450.1789999999999</v>
      </c>
      <c r="AC148" s="818">
        <f>SUM(AC142:AC147)</f>
        <v>1445.3979999999999</v>
      </c>
      <c r="AD148" s="818">
        <f>SUM(AD142:AD147)</f>
        <v>1441.8829999999998</v>
      </c>
      <c r="AE148" s="819">
        <f>SUM(AE142:AE147)</f>
        <v>1441.8829999999998</v>
      </c>
      <c r="AF148" s="149"/>
      <c r="AG148" s="818">
        <f>SUM(AG142:AG147)</f>
        <v>1485.8629999999998</v>
      </c>
      <c r="AH148" s="818">
        <f>SUM(AH142:AH147)</f>
        <v>1491.4190000000001</v>
      </c>
      <c r="AI148" s="818">
        <f>SUM(AI142:AI147)</f>
        <v>1548.6990000000001</v>
      </c>
      <c r="AJ148" s="818">
        <f>SUM(AJ142:AJ147)</f>
        <v>1629.125</v>
      </c>
      <c r="AK148" s="819">
        <f>SUM(AK142:AK147)</f>
        <v>1629.125</v>
      </c>
      <c r="AL148" s="149"/>
      <c r="AM148" s="818">
        <f>SUM(AM142:AM147)</f>
        <v>1617.463</v>
      </c>
      <c r="AN148" s="818">
        <f>SUM(AN142:AN147)</f>
        <v>1635.8069999999998</v>
      </c>
      <c r="AO148" s="818">
        <f>SUM(AO142:AO147)</f>
        <v>1726.212</v>
      </c>
      <c r="AP148" s="818">
        <f>SUM(AP142:AP147)</f>
        <v>1778.9590000000001</v>
      </c>
      <c r="AQ148" s="819">
        <f>SUM(AQ142:AQ147)</f>
        <v>1778.9590000000001</v>
      </c>
      <c r="AR148" s="149"/>
      <c r="AS148" s="818">
        <f>SUM(AS142:AS147)</f>
        <v>1796.5400000000004</v>
      </c>
      <c r="AT148" s="818">
        <f>SUM(AT142:AT147)</f>
        <v>1809.97</v>
      </c>
      <c r="AU148" s="818">
        <f>SUM(AU142:AU147)</f>
        <v>1805.3189999999997</v>
      </c>
      <c r="AV148" s="818">
        <f>SUM(AV142:AV147)</f>
        <v>1822.546</v>
      </c>
      <c r="AW148" s="819">
        <f>SUM(AW142:AW147)</f>
        <v>1822.546</v>
      </c>
      <c r="AX148" s="149"/>
      <c r="AY148" s="818">
        <f>SUM(AY142:AY147)</f>
        <v>1763.681</v>
      </c>
      <c r="AZ148" s="818">
        <f>SUM(AZ142:AZ147)</f>
        <v>1819.951</v>
      </c>
      <c r="BA148" s="818">
        <f>SUM(BA142:BA147)</f>
        <v>1810.5099999999998</v>
      </c>
      <c r="BB148" s="818">
        <f>SUM(BB142:BB147)</f>
        <v>1869.414</v>
      </c>
      <c r="BC148" s="819">
        <f>SUM(BC142:BC147)</f>
        <v>1869.414</v>
      </c>
      <c r="BD148" s="149"/>
      <c r="BE148" s="818">
        <f>SUM(BE142:BE147)</f>
        <v>1863.2269999999999</v>
      </c>
      <c r="BF148" s="818">
        <f>SUM(BF142:BF147)</f>
        <v>1848.2869999999998</v>
      </c>
      <c r="BG148" s="818">
        <f>SUM(BG142:BG147)</f>
        <v>1863.7670000000001</v>
      </c>
      <c r="BH148" s="818">
        <f>SUM(BH142:BH147)</f>
        <v>1849.0269999999998</v>
      </c>
      <c r="BI148" s="819">
        <f>SUM(BI142:BI147)</f>
        <v>1849.0269999999998</v>
      </c>
      <c r="BJ148" s="149"/>
      <c r="BK148" s="818">
        <f>SUM(BK142:BK147)</f>
        <v>1844.24</v>
      </c>
      <c r="BL148" s="818">
        <f>SUM(BL142:BL147)</f>
        <v>1870.799</v>
      </c>
      <c r="BM148" s="818">
        <f>SUM(BM142:BM147)</f>
        <v>1908.028</v>
      </c>
      <c r="BN148" s="818">
        <f>SUM(BN142:BN147)</f>
        <v>1930.6530000000002</v>
      </c>
      <c r="BO148" s="819">
        <f>SUM(BO142:BO147)</f>
        <v>1930.6530000000002</v>
      </c>
      <c r="BP148" s="149"/>
      <c r="BQ148" s="818">
        <f>SUM(BQ142:BQ147)</f>
        <v>1940.6067967092895</v>
      </c>
      <c r="BR148" s="818">
        <f>SUM(BR142:BR147)</f>
        <v>1956.3391819096923</v>
      </c>
      <c r="BS148" s="818">
        <f>SUM(BS142:BS147)</f>
        <v>1942.4981145773886</v>
      </c>
      <c r="BT148" s="818">
        <f>SUM(BT142:BT147)</f>
        <v>2009.7643345223801</v>
      </c>
      <c r="BU148" s="819">
        <f>SUM(BU142:BU147)</f>
        <v>2009.7643345223801</v>
      </c>
      <c r="BV148" s="97"/>
      <c r="BW148" s="818">
        <f>SUM(BW142:BW147)</f>
        <v>2048.7447505509667</v>
      </c>
      <c r="BX148" s="818">
        <f>SUM(BX142:BX147)</f>
        <v>2074.9438055826054</v>
      </c>
      <c r="BY148" s="818">
        <f>SUM(BY142:BY147)</f>
        <v>2070.9548851168784</v>
      </c>
      <c r="BZ148" s="818">
        <f>SUM(BZ142:BZ147)</f>
        <v>2155.5500898879836</v>
      </c>
      <c r="CA148" s="819">
        <f>SUM(CA142:CA147)</f>
        <v>2155.5500898879836</v>
      </c>
      <c r="CB148" s="97"/>
      <c r="CC148" s="818">
        <f>SUM(CC142:CC147)</f>
        <v>2189.5415242417535</v>
      </c>
      <c r="CD148" s="818">
        <f>SUM(CD142:CD147)</f>
        <v>2210.8126396639495</v>
      </c>
      <c r="CE148" s="818">
        <f>SUM(CE142:CE147)</f>
        <v>2204.4055577367221</v>
      </c>
      <c r="CF148" s="818">
        <f>SUM(CF142:CF147)</f>
        <v>2287.693730728809</v>
      </c>
      <c r="CG148" s="819">
        <f>SUM(CG142:CG147)</f>
        <v>2287.693730728809</v>
      </c>
      <c r="CH148" s="97"/>
      <c r="CI148" s="818">
        <f>SUM(CI142:CI147)</f>
        <v>2324.1278938188343</v>
      </c>
      <c r="CJ148" s="818">
        <f>SUM(CJ142:CJ147)</f>
        <v>2327.2886635570576</v>
      </c>
      <c r="CK148" s="818">
        <f>SUM(CK142:CK147)</f>
        <v>2305.9987563694376</v>
      </c>
      <c r="CL148" s="818">
        <f>SUM(CL142:CL147)</f>
        <v>2373.2361982117195</v>
      </c>
      <c r="CM148" s="819">
        <f>SUM(CM142:CM147)</f>
        <v>2373.2361982117195</v>
      </c>
      <c r="CN148" s="97"/>
      <c r="CO148" s="97"/>
      <c r="CP148"/>
      <c r="CQ148"/>
      <c r="CR148"/>
      <c r="CS148"/>
      <c r="CT148"/>
      <c r="CU148"/>
      <c r="CV148" s="97"/>
    </row>
    <row r="149" spans="1:100" s="24" customFormat="1" hidden="1" outlineLevel="1">
      <c r="A149" s="62"/>
      <c r="B149" s="130"/>
      <c r="C149" s="130"/>
      <c r="D149" s="130"/>
      <c r="E149" s="130"/>
      <c r="F149" s="149"/>
      <c r="G149" s="304"/>
      <c r="H149" s="304"/>
      <c r="I149" s="149"/>
      <c r="J149" s="149"/>
      <c r="K149" s="149"/>
      <c r="L149" s="149"/>
      <c r="M149" s="820"/>
      <c r="N149" s="149"/>
      <c r="O149" s="149"/>
      <c r="P149" s="149"/>
      <c r="Q149" s="149"/>
      <c r="R149" s="149"/>
      <c r="S149" s="820"/>
      <c r="T149" s="149"/>
      <c r="U149" s="149"/>
      <c r="V149" s="149"/>
      <c r="W149" s="149"/>
      <c r="X149" s="149"/>
      <c r="Y149" s="820"/>
      <c r="Z149" s="149"/>
      <c r="AA149" s="149"/>
      <c r="AB149" s="149"/>
      <c r="AC149" s="149"/>
      <c r="AD149" s="149"/>
      <c r="AE149" s="820"/>
      <c r="AF149" s="149"/>
      <c r="AG149" s="149"/>
      <c r="AH149" s="149"/>
      <c r="AI149" s="149"/>
      <c r="AJ149" s="149"/>
      <c r="AK149" s="820"/>
      <c r="AL149" s="149"/>
      <c r="AM149" s="149"/>
      <c r="AN149" s="149"/>
      <c r="AO149" s="149"/>
      <c r="AP149" s="149"/>
      <c r="AQ149" s="1246">
        <f>+AQ140/AK140-1</f>
        <v>5.0716763645186624E-4</v>
      </c>
      <c r="AR149" s="149"/>
      <c r="AS149" s="149"/>
      <c r="AT149" s="149"/>
      <c r="AU149" s="149"/>
      <c r="AV149" s="149"/>
      <c r="AW149" s="1246">
        <f>+AW140/AQ140-1</f>
        <v>6.7291867287963214E-2</v>
      </c>
      <c r="AX149" s="149"/>
      <c r="AY149" s="149"/>
      <c r="AZ149" s="149"/>
      <c r="BA149" s="149"/>
      <c r="BB149" s="149"/>
      <c r="BC149" s="1246">
        <f>+BC140/AW140-1</f>
        <v>4.2980255755879604E-2</v>
      </c>
      <c r="BD149" s="149"/>
      <c r="BE149" s="149"/>
      <c r="BF149" s="149"/>
      <c r="BG149" s="149"/>
      <c r="BH149" s="149"/>
      <c r="BI149" s="1246">
        <f>+BI140/BC140-1</f>
        <v>9.5140640912342089E-2</v>
      </c>
      <c r="BJ149" s="149"/>
      <c r="BK149" s="149"/>
      <c r="BL149" s="149"/>
      <c r="BM149" s="149"/>
      <c r="BN149" s="149"/>
      <c r="BO149" s="1246">
        <f>+BO140/BI140-1</f>
        <v>0.1109398403746733</v>
      </c>
      <c r="BP149" s="149"/>
      <c r="BQ149" s="149"/>
      <c r="BR149" s="149"/>
      <c r="BS149" s="149"/>
      <c r="BT149" s="149"/>
      <c r="BU149" s="1246">
        <f>+BU140/BO140-1</f>
        <v>5.5619903488325351E-2</v>
      </c>
      <c r="BV149" s="97"/>
      <c r="BW149" s="149"/>
      <c r="BX149" s="149"/>
      <c r="BY149" s="149"/>
      <c r="BZ149" s="149"/>
      <c r="CA149" s="1246">
        <f>+CA140/BU140-1</f>
        <v>6.5958582581697733E-2</v>
      </c>
      <c r="CB149" s="97"/>
      <c r="CC149" s="149"/>
      <c r="CD149" s="149"/>
      <c r="CE149" s="149"/>
      <c r="CF149" s="149"/>
      <c r="CG149" s="1246">
        <f>+CG140/CA140-1</f>
        <v>5.6702626724823402E-2</v>
      </c>
      <c r="CH149" s="97"/>
      <c r="CI149" s="149"/>
      <c r="CJ149" s="149"/>
      <c r="CK149" s="149"/>
      <c r="CL149" s="149"/>
      <c r="CM149" s="1246">
        <f>+CM140/CG140-1</f>
        <v>5.6778874727942519E-2</v>
      </c>
      <c r="CN149" s="97"/>
      <c r="CO149" s="97"/>
      <c r="CP149"/>
      <c r="CQ149"/>
      <c r="CR149"/>
      <c r="CS149"/>
      <c r="CT149"/>
      <c r="CU149"/>
      <c r="CV149" s="97"/>
    </row>
    <row r="150" spans="1:100" s="24" customFormat="1" hidden="1" outlineLevel="1">
      <c r="A150" s="62" t="s">
        <v>321</v>
      </c>
      <c r="B150" s="130"/>
      <c r="C150" s="130"/>
      <c r="D150" s="130"/>
      <c r="E150" s="130"/>
      <c r="F150" s="810"/>
      <c r="G150" s="811">
        <f>G24</f>
        <v>47.451000000000001</v>
      </c>
      <c r="H150" s="304"/>
      <c r="I150" s="812">
        <f>I24</f>
        <v>57.959000000000003</v>
      </c>
      <c r="J150" s="812">
        <f>J24</f>
        <v>58.33</v>
      </c>
      <c r="K150" s="812">
        <f>K24</f>
        <v>55.011000000000003</v>
      </c>
      <c r="L150" s="812">
        <f>L24</f>
        <v>47.24</v>
      </c>
      <c r="M150" s="813">
        <f>M24</f>
        <v>47.24</v>
      </c>
      <c r="N150" s="149"/>
      <c r="O150" s="812">
        <f>O24</f>
        <v>47.591999999999999</v>
      </c>
      <c r="P150" s="812">
        <f>P24</f>
        <v>51.296999999999997</v>
      </c>
      <c r="Q150" s="812">
        <f>Q24</f>
        <v>50.354999999999997</v>
      </c>
      <c r="R150" s="812">
        <f>R24</f>
        <v>49.573</v>
      </c>
      <c r="S150" s="813">
        <f>S24</f>
        <v>49.573</v>
      </c>
      <c r="T150" s="149"/>
      <c r="U150" s="812">
        <f>U24</f>
        <v>57.823</v>
      </c>
      <c r="V150" s="812">
        <f>V24</f>
        <v>59.32</v>
      </c>
      <c r="W150" s="812">
        <f>W24</f>
        <v>63.332000000000001</v>
      </c>
      <c r="X150" s="812">
        <f>X24</f>
        <v>64.406000000000006</v>
      </c>
      <c r="Y150" s="813">
        <f>Y24</f>
        <v>64.406000000000006</v>
      </c>
      <c r="Z150" s="149"/>
      <c r="AA150" s="812">
        <f>AA24</f>
        <v>67.403999999999996</v>
      </c>
      <c r="AB150" s="812">
        <f>AB24</f>
        <v>67.966999999999999</v>
      </c>
      <c r="AC150" s="812">
        <f>AC24</f>
        <v>64.393000000000001</v>
      </c>
      <c r="AD150" s="812">
        <f>AD24</f>
        <v>55.317</v>
      </c>
      <c r="AE150" s="813">
        <f>AE24</f>
        <v>55.317</v>
      </c>
      <c r="AF150" s="149"/>
      <c r="AG150" s="812">
        <f>AG24</f>
        <v>61.468000000000004</v>
      </c>
      <c r="AH150" s="812">
        <f>AH24</f>
        <v>62.792000000000002</v>
      </c>
      <c r="AI150" s="812">
        <f>AI24</f>
        <v>60.258000000000003</v>
      </c>
      <c r="AJ150" s="812">
        <f>AJ24</f>
        <v>54.723999999999997</v>
      </c>
      <c r="AK150" s="813">
        <f>AK24</f>
        <v>54.723999999999997</v>
      </c>
      <c r="AL150" s="149"/>
      <c r="AM150" s="812">
        <f>AM24</f>
        <v>59.789000000000001</v>
      </c>
      <c r="AN150" s="812">
        <f>AN24</f>
        <v>56.368000000000002</v>
      </c>
      <c r="AO150" s="812">
        <f>AO24</f>
        <v>62.753999999999998</v>
      </c>
      <c r="AP150" s="812">
        <f>AP24</f>
        <v>64.960999999999999</v>
      </c>
      <c r="AQ150" s="813">
        <f>AQ24</f>
        <v>64.960999999999999</v>
      </c>
      <c r="AR150" s="149"/>
      <c r="AS150" s="812">
        <f>AS24</f>
        <v>73.180000000000007</v>
      </c>
      <c r="AT150" s="812">
        <f>AT24</f>
        <v>65.085999999999999</v>
      </c>
      <c r="AU150" s="812">
        <f>AU24</f>
        <v>60.268999999999998</v>
      </c>
      <c r="AV150" s="812">
        <f>AV24</f>
        <v>65.703999999999994</v>
      </c>
      <c r="AW150" s="813">
        <f>AW24</f>
        <v>65.703999999999994</v>
      </c>
      <c r="AX150" s="149"/>
      <c r="AY150" s="812">
        <f>AY24</f>
        <v>63.954000000000001</v>
      </c>
      <c r="AZ150" s="812">
        <f>AZ24</f>
        <v>65.007000000000005</v>
      </c>
      <c r="BA150" s="812">
        <f>BA24</f>
        <v>61.71</v>
      </c>
      <c r="BB150" s="812">
        <f>BB24</f>
        <v>70.572999999999993</v>
      </c>
      <c r="BC150" s="813">
        <f>BC24</f>
        <v>70.572999999999993</v>
      </c>
      <c r="BD150" s="149"/>
      <c r="BE150" s="812">
        <f>BE24</f>
        <v>73.290000000000006</v>
      </c>
      <c r="BF150" s="812">
        <f>BF24</f>
        <v>66.114999999999995</v>
      </c>
      <c r="BG150" s="812">
        <f>BG24</f>
        <v>67.765000000000001</v>
      </c>
      <c r="BH150" s="812">
        <f>BH24</f>
        <v>67.739999999999995</v>
      </c>
      <c r="BI150" s="813">
        <f>BI24</f>
        <v>67.739999999999995</v>
      </c>
      <c r="BJ150" s="149"/>
      <c r="BK150" s="812">
        <f>BK24</f>
        <v>66.929000000000002</v>
      </c>
      <c r="BL150" s="812">
        <f>BL24</f>
        <v>71.055000000000007</v>
      </c>
      <c r="BM150" s="812">
        <f>BM24</f>
        <v>66.754000000000005</v>
      </c>
      <c r="BN150" s="812">
        <f>BN24</f>
        <v>64.537000000000006</v>
      </c>
      <c r="BO150" s="813">
        <f>BO24</f>
        <v>64.537000000000006</v>
      </c>
      <c r="BP150" s="149"/>
      <c r="BQ150" s="812">
        <f>BQ24</f>
        <v>67.730006969349162</v>
      </c>
      <c r="BR150" s="812">
        <f>BR24</f>
        <v>71.822152438012083</v>
      </c>
      <c r="BS150" s="812">
        <f>BS24</f>
        <v>65.505783798903025</v>
      </c>
      <c r="BT150" s="812">
        <f>BT24</f>
        <v>62.42952026531529</v>
      </c>
      <c r="BU150" s="813">
        <f>BU24</f>
        <v>62.42952026531529</v>
      </c>
      <c r="BV150" s="97"/>
      <c r="BW150" s="812">
        <f>BW24</f>
        <v>66.433190632434417</v>
      </c>
      <c r="BX150" s="812">
        <f>BX24</f>
        <v>69.8348775231877</v>
      </c>
      <c r="BY150" s="812">
        <f>BY24</f>
        <v>63.004009535224931</v>
      </c>
      <c r="BZ150" s="812">
        <f>BZ24</f>
        <v>58.518357555879597</v>
      </c>
      <c r="CA150" s="813">
        <f>CA24</f>
        <v>58.518357555879597</v>
      </c>
      <c r="CB150" s="97"/>
      <c r="CC150" s="812">
        <f>CC24</f>
        <v>67.077299680022662</v>
      </c>
      <c r="CD150" s="812">
        <f>CD24</f>
        <v>69.96076402829388</v>
      </c>
      <c r="CE150" s="812">
        <f>CE24</f>
        <v>62.721625757732355</v>
      </c>
      <c r="CF150" s="812">
        <f>CF24</f>
        <v>57.222533204472768</v>
      </c>
      <c r="CG150" s="813">
        <f>CG24</f>
        <v>57.222533204472768</v>
      </c>
      <c r="CH150" s="97"/>
      <c r="CI150" s="812">
        <f>CI24</f>
        <v>67.60936356138852</v>
      </c>
      <c r="CJ150" s="812">
        <f>CJ24</f>
        <v>69.962433496503991</v>
      </c>
      <c r="CK150" s="812">
        <f>CK24</f>
        <v>62.297713879136218</v>
      </c>
      <c r="CL150" s="812">
        <f>CL24</f>
        <v>55.76852983586808</v>
      </c>
      <c r="CM150" s="813">
        <f>CM24</f>
        <v>55.76852983586808</v>
      </c>
      <c r="CN150" s="97"/>
      <c r="CO150" s="97"/>
      <c r="CP150"/>
      <c r="CQ150"/>
      <c r="CR150"/>
      <c r="CS150"/>
      <c r="CT150"/>
      <c r="CU150"/>
      <c r="CV150" s="97"/>
    </row>
    <row r="151" spans="1:100" s="24" customFormat="1" hidden="1" outlineLevel="1">
      <c r="A151" s="62" t="s">
        <v>395</v>
      </c>
      <c r="B151" s="130"/>
      <c r="C151" s="130"/>
      <c r="D151" s="130"/>
      <c r="E151" s="130"/>
      <c r="F151" s="810"/>
      <c r="G151" s="811">
        <f>G25+G26+G27</f>
        <v>226.80699999999999</v>
      </c>
      <c r="H151" s="304"/>
      <c r="I151" s="812">
        <f>I25+I26+I27</f>
        <v>226.42000000000002</v>
      </c>
      <c r="J151" s="812">
        <f>J25+J26+J27</f>
        <v>228.51900000000001</v>
      </c>
      <c r="K151" s="812">
        <f>K25+K26+K27</f>
        <v>233.69899999999998</v>
      </c>
      <c r="L151" s="812">
        <f>L25+L26+L27</f>
        <v>206.14600000000002</v>
      </c>
      <c r="M151" s="813">
        <f>M25+M26+M27</f>
        <v>206.14600000000002</v>
      </c>
      <c r="N151" s="149"/>
      <c r="O151" s="812">
        <f>O25+O26+O27</f>
        <v>207.88400000000004</v>
      </c>
      <c r="P151" s="812">
        <f>P25+P26+P27</f>
        <v>218.042</v>
      </c>
      <c r="Q151" s="812">
        <f>Q25+Q26+Q27</f>
        <v>237.209</v>
      </c>
      <c r="R151" s="812">
        <f>R25+R26+R27</f>
        <v>213.22300000000001</v>
      </c>
      <c r="S151" s="813">
        <f>S25+S26+S27</f>
        <v>213.22300000000001</v>
      </c>
      <c r="T151" s="149"/>
      <c r="U151" s="812">
        <f>U25+U26+U27</f>
        <v>234.999</v>
      </c>
      <c r="V151" s="812">
        <f>V25+V26+V27</f>
        <v>246.393</v>
      </c>
      <c r="W151" s="812">
        <f>W25+W26+W27</f>
        <v>261.83500000000004</v>
      </c>
      <c r="X151" s="812">
        <f>X25+X26+X27</f>
        <v>255.38900000000001</v>
      </c>
      <c r="Y151" s="813">
        <f>Y25+Y26+Y27</f>
        <v>255.38900000000001</v>
      </c>
      <c r="Z151" s="149"/>
      <c r="AA151" s="812">
        <f>AA25+AA26+AA27</f>
        <v>258.47900000000004</v>
      </c>
      <c r="AB151" s="812">
        <f>AB25+AB26+AB27</f>
        <v>263.154</v>
      </c>
      <c r="AC151" s="812">
        <f>AC25+AC26+AC27</f>
        <v>269.60799999999995</v>
      </c>
      <c r="AD151" s="812">
        <f>AD25+AD26+AD27</f>
        <v>255.714</v>
      </c>
      <c r="AE151" s="813">
        <f>AE25+AE26+AE27</f>
        <v>255.714</v>
      </c>
      <c r="AF151" s="149"/>
      <c r="AG151" s="812">
        <f>AG25+AG26+AG27</f>
        <v>263.19900000000001</v>
      </c>
      <c r="AH151" s="812">
        <f>AH25+AH26+AH27</f>
        <v>257.51100000000002</v>
      </c>
      <c r="AI151" s="812">
        <f>AI25+AI26+AI27</f>
        <v>259.601</v>
      </c>
      <c r="AJ151" s="812">
        <f>AJ25+AJ26+AJ27</f>
        <v>316.73700000000002</v>
      </c>
      <c r="AK151" s="813">
        <f>AK25+AK26+AK27</f>
        <v>316.73700000000002</v>
      </c>
      <c r="AL151" s="149"/>
      <c r="AM151" s="812">
        <f>AM25+AM26+AM27</f>
        <v>283.84499999999997</v>
      </c>
      <c r="AN151" s="812">
        <f>AN25+AN26+AN27</f>
        <v>285.67599999999999</v>
      </c>
      <c r="AO151" s="812">
        <f>AO25+AO26+AO27</f>
        <v>296.38900000000001</v>
      </c>
      <c r="AP151" s="812">
        <f>AP25+AP26+AP27</f>
        <v>289.22500000000002</v>
      </c>
      <c r="AQ151" s="813">
        <f>AQ25+AQ26+AQ27</f>
        <v>289.22500000000002</v>
      </c>
      <c r="AR151" s="149"/>
      <c r="AS151" s="812">
        <f>AS25+AS26+AS27</f>
        <v>279.16400000000004</v>
      </c>
      <c r="AT151" s="812">
        <f>AT25+AT26+AT27</f>
        <v>296.101</v>
      </c>
      <c r="AU151" s="812">
        <f>AU25+AU26+AU27</f>
        <v>289.20399999999995</v>
      </c>
      <c r="AV151" s="812">
        <f>AV25+AV26+AV27</f>
        <v>290.64799999999997</v>
      </c>
      <c r="AW151" s="813">
        <f>AW25+AW26+AW27</f>
        <v>290.64799999999997</v>
      </c>
      <c r="AX151" s="149"/>
      <c r="AY151" s="812">
        <f>AY25+AY26+AY27</f>
        <v>299.20099999999996</v>
      </c>
      <c r="AZ151" s="812">
        <f>AZ25+AZ26+AZ27</f>
        <v>306.39</v>
      </c>
      <c r="BA151" s="812">
        <f>BA25+BA26+BA27</f>
        <v>299.06799999999998</v>
      </c>
      <c r="BB151" s="812">
        <f>BB25+BB26+BB27</f>
        <v>318.19400000000002</v>
      </c>
      <c r="BC151" s="813">
        <f>BC25+BC26+BC27</f>
        <v>318.19400000000002</v>
      </c>
      <c r="BD151" s="149"/>
      <c r="BE151" s="812">
        <f>BE25+BE26+BE27</f>
        <v>325.24099999999999</v>
      </c>
      <c r="BF151" s="812">
        <f>BF25+BF26+BF27</f>
        <v>331.22900000000004</v>
      </c>
      <c r="BG151" s="812">
        <f>BG25+BG26+BG27</f>
        <v>326.56</v>
      </c>
      <c r="BH151" s="812">
        <f>BH25+BH26+BH27</f>
        <v>327.28399999999999</v>
      </c>
      <c r="BI151" s="813">
        <f>BI25+BI26+BI27</f>
        <v>327.28399999999999</v>
      </c>
      <c r="BJ151" s="149"/>
      <c r="BK151" s="812">
        <f>BK25+BK26+BK27</f>
        <v>339.99700000000001</v>
      </c>
      <c r="BL151" s="812">
        <f>BL25+BL26+BL27</f>
        <v>357.00099999999998</v>
      </c>
      <c r="BM151" s="812">
        <f>BM25+BM26+BM27</f>
        <v>369.97200000000004</v>
      </c>
      <c r="BN151" s="812">
        <f>BN25+BN26+BN27</f>
        <v>441.34700000000004</v>
      </c>
      <c r="BO151" s="813">
        <f>BO25+BO26+BO27</f>
        <v>441.34700000000004</v>
      </c>
      <c r="BP151" s="149"/>
      <c r="BQ151" s="812">
        <f>BQ25+BQ26+BQ27</f>
        <v>368.72695046397945</v>
      </c>
      <c r="BR151" s="812">
        <f>BR25+BR26+BR27</f>
        <v>383.58899106823509</v>
      </c>
      <c r="BS151" s="812">
        <f>BS25+BS26+BS27</f>
        <v>391.56658421628168</v>
      </c>
      <c r="BT151" s="812">
        <f>BT25+BT26+BT27</f>
        <v>464.77428530628464</v>
      </c>
      <c r="BU151" s="813">
        <f>BU25+BU26+BU27</f>
        <v>464.77428530628464</v>
      </c>
      <c r="BV151" s="97"/>
      <c r="BW151" s="812">
        <f>BW25+BW26+BW27</f>
        <v>389.09177189684414</v>
      </c>
      <c r="BX151" s="812">
        <f>BX25+BX26+BX27</f>
        <v>403.8115481641027</v>
      </c>
      <c r="BY151" s="812">
        <f>BY25+BY26+BY27</f>
        <v>409.97076231311638</v>
      </c>
      <c r="BZ151" s="812">
        <f>BZ25+BZ26+BZ27</f>
        <v>485.40983778788558</v>
      </c>
      <c r="CA151" s="813">
        <f>CA25+CA26+CA27</f>
        <v>485.40983778788558</v>
      </c>
      <c r="CB151" s="97"/>
      <c r="CC151" s="812">
        <f>CC25+CC26+CC27</f>
        <v>409.501454697366</v>
      </c>
      <c r="CD151" s="812">
        <f>CD25+CD26+CD27</f>
        <v>423.91952725122718</v>
      </c>
      <c r="CE151" s="812">
        <f>CE25+CE26+CE27</f>
        <v>428.00744893420455</v>
      </c>
      <c r="CF151" s="812">
        <f>CF25+CF26+CF27</f>
        <v>505.03788397688805</v>
      </c>
      <c r="CG151" s="813">
        <f>CG25+CG26+CG27</f>
        <v>505.03788397688805</v>
      </c>
      <c r="CH151" s="97"/>
      <c r="CI151" s="812">
        <f>CI25+CI26+CI27</f>
        <v>431.018485727469</v>
      </c>
      <c r="CJ151" s="812">
        <f>CJ25+CJ26+CJ27</f>
        <v>445.07908813328834</v>
      </c>
      <c r="CK151" s="812">
        <f>CK25+CK26+CK27</f>
        <v>446.86697251471838</v>
      </c>
      <c r="CL151" s="812">
        <f>CL25+CL26+CL27</f>
        <v>525.54892818163171</v>
      </c>
      <c r="CM151" s="813">
        <f>CM25+CM26+CM27</f>
        <v>525.54892818163171</v>
      </c>
      <c r="CN151" s="97"/>
      <c r="CO151" s="97"/>
      <c r="CP151"/>
      <c r="CQ151"/>
      <c r="CR151"/>
      <c r="CS151"/>
      <c r="CT151"/>
      <c r="CU151"/>
      <c r="CV151" s="97"/>
    </row>
    <row r="152" spans="1:100" s="24" customFormat="1" hidden="1" outlineLevel="1">
      <c r="A152" s="62" t="s">
        <v>396</v>
      </c>
      <c r="B152" s="130"/>
      <c r="C152" s="130"/>
      <c r="D152" s="130"/>
      <c r="E152" s="130"/>
      <c r="F152" s="810"/>
      <c r="G152" s="811">
        <f>G31+G32</f>
        <v>84.191999999999993</v>
      </c>
      <c r="H152" s="304"/>
      <c r="I152" s="812">
        <f>I31+I32</f>
        <v>90.111000000000004</v>
      </c>
      <c r="J152" s="812">
        <f>J31+J32</f>
        <v>90.27600000000001</v>
      </c>
      <c r="K152" s="812">
        <f>K31+K32</f>
        <v>95.787000000000006</v>
      </c>
      <c r="L152" s="812">
        <f>L31+L32</f>
        <v>95.37</v>
      </c>
      <c r="M152" s="813">
        <f>M31+M32</f>
        <v>95.37</v>
      </c>
      <c r="N152" s="149"/>
      <c r="O152" s="812">
        <f>O31+O32</f>
        <v>91.763000000000005</v>
      </c>
      <c r="P152" s="812">
        <f>P31+P32</f>
        <v>97.349000000000004</v>
      </c>
      <c r="Q152" s="812">
        <f>Q31+Q32</f>
        <v>97.691000000000003</v>
      </c>
      <c r="R152" s="812">
        <f>R31+R32</f>
        <v>95.37</v>
      </c>
      <c r="S152" s="813">
        <f>S31+S32</f>
        <v>95.37</v>
      </c>
      <c r="T152" s="149"/>
      <c r="U152" s="812">
        <f>U31+U32</f>
        <v>93.552999999999997</v>
      </c>
      <c r="V152" s="812">
        <f>V31+V32</f>
        <v>93.691000000000003</v>
      </c>
      <c r="W152" s="812">
        <f>W31+W32</f>
        <v>97.399999999999991</v>
      </c>
      <c r="X152" s="812">
        <f>X31+X32</f>
        <v>100.399</v>
      </c>
      <c r="Y152" s="813">
        <f>Y31+Y32</f>
        <v>100.399</v>
      </c>
      <c r="Z152" s="149"/>
      <c r="AA152" s="812">
        <f>AA31+AA32</f>
        <v>104.39700000000001</v>
      </c>
      <c r="AB152" s="812">
        <f>AB31+AB32</f>
        <v>102.59399999999999</v>
      </c>
      <c r="AC152" s="812">
        <f>AC31+AC32</f>
        <v>103.001</v>
      </c>
      <c r="AD152" s="812">
        <f>AD31+AD32</f>
        <v>101.82300000000001</v>
      </c>
      <c r="AE152" s="813">
        <f>AE31+AE32</f>
        <v>101.82300000000001</v>
      </c>
      <c r="AF152" s="149"/>
      <c r="AG152" s="812">
        <f>AG31+AG32</f>
        <v>101.476</v>
      </c>
      <c r="AH152" s="812">
        <f>AH31+AH32</f>
        <v>102.157</v>
      </c>
      <c r="AI152" s="812">
        <f>AI31+AI32</f>
        <v>103.498</v>
      </c>
      <c r="AJ152" s="812">
        <f>AJ31+AJ32</f>
        <v>50.325999999999993</v>
      </c>
      <c r="AK152" s="813">
        <f>AK31+AK32</f>
        <v>50.325999999999993</v>
      </c>
      <c r="AL152" s="149"/>
      <c r="AM152" s="812">
        <f>AM31+AM32</f>
        <v>52.225999999999999</v>
      </c>
      <c r="AN152" s="812">
        <f>AN31+AN32</f>
        <v>53.642000000000003</v>
      </c>
      <c r="AO152" s="812">
        <f>AO31+AO32</f>
        <v>51.63</v>
      </c>
      <c r="AP152" s="812">
        <f>AP31+AP32</f>
        <v>67.200999999999993</v>
      </c>
      <c r="AQ152" s="813">
        <f>AQ31+AQ32</f>
        <v>67.200999999999993</v>
      </c>
      <c r="AR152" s="149"/>
      <c r="AS152" s="812">
        <f>AS31+AS32</f>
        <v>69.161000000000001</v>
      </c>
      <c r="AT152" s="812">
        <f>AT31+AT32</f>
        <v>69.58</v>
      </c>
      <c r="AU152" s="812">
        <f>AU31+AU32</f>
        <v>72.441000000000003</v>
      </c>
      <c r="AV152" s="812">
        <f>AV31+AV32</f>
        <v>76.442999999999998</v>
      </c>
      <c r="AW152" s="813">
        <f>AW31+AW32</f>
        <v>76.442999999999998</v>
      </c>
      <c r="AX152" s="149"/>
      <c r="AY152" s="812">
        <f>AY31+AY32</f>
        <v>77.775999999999996</v>
      </c>
      <c r="AZ152" s="812">
        <f>AZ31+AZ32</f>
        <v>81.433000000000007</v>
      </c>
      <c r="BA152" s="812">
        <f>BA31+BA32</f>
        <v>84.381</v>
      </c>
      <c r="BB152" s="812">
        <f>BB31+BB32</f>
        <v>75.66</v>
      </c>
      <c r="BC152" s="813">
        <f>BC31+BC32</f>
        <v>75.66</v>
      </c>
      <c r="BD152" s="149"/>
      <c r="BE152" s="812">
        <f>BE31+BE32</f>
        <v>78.405000000000001</v>
      </c>
      <c r="BF152" s="812">
        <f>BF31+BF32</f>
        <v>73.665999999999997</v>
      </c>
      <c r="BG152" s="812">
        <f>BG31+BG32</f>
        <v>74.816000000000003</v>
      </c>
      <c r="BH152" s="812">
        <f>BH31+BH32</f>
        <v>65.254999999999995</v>
      </c>
      <c r="BI152" s="813">
        <f>BI31+BI32</f>
        <v>65.254999999999995</v>
      </c>
      <c r="BJ152" s="149"/>
      <c r="BK152" s="812">
        <f>BK31+BK32</f>
        <v>69.013999999999996</v>
      </c>
      <c r="BL152" s="812">
        <f>BL31+BL32</f>
        <v>65.203000000000003</v>
      </c>
      <c r="BM152" s="812">
        <f>BM31+BM32</f>
        <v>69.707999999999998</v>
      </c>
      <c r="BN152" s="812">
        <f>BN31+BN32</f>
        <v>519.57400000000007</v>
      </c>
      <c r="BO152" s="813">
        <f>BO31+BO32</f>
        <v>519.57400000000007</v>
      </c>
      <c r="BP152" s="149"/>
      <c r="BQ152" s="812">
        <f>BQ31+BQ32</f>
        <v>519.57400000000007</v>
      </c>
      <c r="BR152" s="812">
        <f>BR31+BR32</f>
        <v>519.57400000000007</v>
      </c>
      <c r="BS152" s="812">
        <f>BS31+BS32</f>
        <v>519.57400000000007</v>
      </c>
      <c r="BT152" s="812">
        <f>BT31+BT32</f>
        <v>519.57400000000007</v>
      </c>
      <c r="BU152" s="813">
        <f>BU31+BU32</f>
        <v>519.57400000000007</v>
      </c>
      <c r="BV152" s="97"/>
      <c r="BW152" s="812">
        <f>BW31+BW32</f>
        <v>519.57400000000007</v>
      </c>
      <c r="BX152" s="812">
        <f>BX31+BX32</f>
        <v>519.57400000000007</v>
      </c>
      <c r="BY152" s="812">
        <f>BY31+BY32</f>
        <v>519.57400000000007</v>
      </c>
      <c r="BZ152" s="812">
        <f>BZ31+BZ32</f>
        <v>519.57400000000007</v>
      </c>
      <c r="CA152" s="813">
        <f>CA31+CA32</f>
        <v>519.57400000000007</v>
      </c>
      <c r="CB152" s="97"/>
      <c r="CC152" s="812">
        <f>CC31+CC32</f>
        <v>519.57400000000007</v>
      </c>
      <c r="CD152" s="812">
        <f>CD31+CD32</f>
        <v>519.57400000000007</v>
      </c>
      <c r="CE152" s="812">
        <f>CE31+CE32</f>
        <v>519.57400000000007</v>
      </c>
      <c r="CF152" s="812">
        <f>CF31+CF32</f>
        <v>519.57400000000007</v>
      </c>
      <c r="CG152" s="813">
        <f>CG31+CG32</f>
        <v>519.57400000000007</v>
      </c>
      <c r="CH152" s="97"/>
      <c r="CI152" s="812">
        <f>CI31+CI32</f>
        <v>519.57400000000007</v>
      </c>
      <c r="CJ152" s="812">
        <f>CJ31+CJ32</f>
        <v>519.57400000000007</v>
      </c>
      <c r="CK152" s="812">
        <f>CK31+CK32</f>
        <v>519.57400000000007</v>
      </c>
      <c r="CL152" s="812">
        <f>CL31+CL32</f>
        <v>519.57400000000007</v>
      </c>
      <c r="CM152" s="813">
        <f>CM31+CM32</f>
        <v>519.57400000000007</v>
      </c>
      <c r="CN152" s="97"/>
      <c r="CO152" s="97"/>
      <c r="CP152"/>
      <c r="CQ152"/>
      <c r="CR152"/>
      <c r="CS152"/>
      <c r="CT152"/>
      <c r="CU152"/>
      <c r="CV152" s="97"/>
    </row>
    <row r="153" spans="1:100" s="24" customFormat="1" hidden="1" outlineLevel="1">
      <c r="A153" s="814" t="s">
        <v>397</v>
      </c>
      <c r="B153" s="815"/>
      <c r="C153" s="815"/>
      <c r="D153" s="815"/>
      <c r="E153" s="815"/>
      <c r="F153" s="816"/>
      <c r="G153" s="817">
        <f>SUM(G150:G152)</f>
        <v>358.45</v>
      </c>
      <c r="H153" s="304"/>
      <c r="I153" s="818">
        <f>SUM(I150:I152)</f>
        <v>374.49</v>
      </c>
      <c r="J153" s="818">
        <f>SUM(J150:J152)</f>
        <v>377.125</v>
      </c>
      <c r="K153" s="818">
        <f>SUM(K150:K152)</f>
        <v>384.49699999999996</v>
      </c>
      <c r="L153" s="818">
        <f>SUM(L150:L152)</f>
        <v>348.75600000000003</v>
      </c>
      <c r="M153" s="819">
        <f>SUM(M150:M152)</f>
        <v>348.75600000000003</v>
      </c>
      <c r="N153" s="149"/>
      <c r="O153" s="818">
        <f>SUM(O150:O152)</f>
        <v>347.23900000000003</v>
      </c>
      <c r="P153" s="818">
        <f>SUM(P150:P152)</f>
        <v>366.68799999999999</v>
      </c>
      <c r="Q153" s="818">
        <f>SUM(Q150:Q152)</f>
        <v>385.255</v>
      </c>
      <c r="R153" s="818">
        <f>SUM(R150:R152)</f>
        <v>358.166</v>
      </c>
      <c r="S153" s="819">
        <f>SUM(S150:S152)</f>
        <v>358.166</v>
      </c>
      <c r="T153" s="149"/>
      <c r="U153" s="818">
        <f>SUM(U150:U152)</f>
        <v>386.375</v>
      </c>
      <c r="V153" s="818">
        <f>SUM(V150:V152)</f>
        <v>399.404</v>
      </c>
      <c r="W153" s="818">
        <f>SUM(W150:W152)</f>
        <v>422.56700000000001</v>
      </c>
      <c r="X153" s="818">
        <f>SUM(X150:X152)</f>
        <v>420.19400000000002</v>
      </c>
      <c r="Y153" s="819">
        <f>SUM(Y150:Y152)</f>
        <v>420.19400000000002</v>
      </c>
      <c r="Z153" s="149"/>
      <c r="AA153" s="818">
        <f>SUM(AA150:AA152)</f>
        <v>430.28000000000003</v>
      </c>
      <c r="AB153" s="818">
        <f>SUM(AB150:AB152)</f>
        <v>433.71499999999997</v>
      </c>
      <c r="AC153" s="818">
        <f>SUM(AC150:AC152)</f>
        <v>437.00199999999995</v>
      </c>
      <c r="AD153" s="818">
        <f>SUM(AD150:AD152)</f>
        <v>412.85400000000004</v>
      </c>
      <c r="AE153" s="819">
        <f>SUM(AE150:AE152)</f>
        <v>412.85400000000004</v>
      </c>
      <c r="AF153" s="149"/>
      <c r="AG153" s="818">
        <f>SUM(AG150:AG152)</f>
        <v>426.14300000000003</v>
      </c>
      <c r="AH153" s="818">
        <f>SUM(AH150:AH152)</f>
        <v>422.46</v>
      </c>
      <c r="AI153" s="818">
        <f>SUM(AI150:AI152)</f>
        <v>423.35699999999997</v>
      </c>
      <c r="AJ153" s="818">
        <f>SUM(AJ150:AJ152)</f>
        <v>421.78700000000003</v>
      </c>
      <c r="AK153" s="819">
        <f>SUM(AK150:AK152)</f>
        <v>421.78700000000003</v>
      </c>
      <c r="AL153" s="149"/>
      <c r="AM153" s="818">
        <f>SUM(AM150:AM152)</f>
        <v>395.85999999999996</v>
      </c>
      <c r="AN153" s="818">
        <f>SUM(AN150:AN152)</f>
        <v>395.68599999999998</v>
      </c>
      <c r="AO153" s="818">
        <f>SUM(AO150:AO152)</f>
        <v>410.77300000000002</v>
      </c>
      <c r="AP153" s="818">
        <f>SUM(AP150:AP152)</f>
        <v>421.38700000000006</v>
      </c>
      <c r="AQ153" s="819">
        <f>SUM(AQ150:AQ152)</f>
        <v>421.38700000000006</v>
      </c>
      <c r="AR153" s="149"/>
      <c r="AS153" s="818">
        <f>SUM(AS150:AS152)</f>
        <v>421.50500000000005</v>
      </c>
      <c r="AT153" s="818">
        <f>SUM(AT150:AT152)</f>
        <v>430.767</v>
      </c>
      <c r="AU153" s="818">
        <f>SUM(AU150:AU152)</f>
        <v>421.91399999999999</v>
      </c>
      <c r="AV153" s="818">
        <f>SUM(AV150:AV152)</f>
        <v>432.79499999999996</v>
      </c>
      <c r="AW153" s="819">
        <f>SUM(AW150:AW152)</f>
        <v>432.79499999999996</v>
      </c>
      <c r="AX153" s="149"/>
      <c r="AY153" s="818">
        <f>SUM(AY150:AY152)</f>
        <v>440.93099999999998</v>
      </c>
      <c r="AZ153" s="818">
        <f>SUM(AZ150:AZ152)</f>
        <v>452.83</v>
      </c>
      <c r="BA153" s="818">
        <f>SUM(BA150:BA152)</f>
        <v>445.15899999999999</v>
      </c>
      <c r="BB153" s="818">
        <f>SUM(BB150:BB152)</f>
        <v>464.42700000000002</v>
      </c>
      <c r="BC153" s="819">
        <f>SUM(BC150:BC152)</f>
        <v>464.42700000000002</v>
      </c>
      <c r="BD153" s="149"/>
      <c r="BE153" s="818">
        <f>SUM(BE150:BE152)</f>
        <v>476.93600000000004</v>
      </c>
      <c r="BF153" s="818">
        <f>SUM(BF150:BF152)</f>
        <v>471.01000000000005</v>
      </c>
      <c r="BG153" s="818">
        <f>SUM(BG150:BG152)</f>
        <v>469.14099999999996</v>
      </c>
      <c r="BH153" s="818">
        <f>SUM(BH150:BH152)</f>
        <v>460.279</v>
      </c>
      <c r="BI153" s="819">
        <f>SUM(BI150:BI152)</f>
        <v>460.279</v>
      </c>
      <c r="BJ153" s="149"/>
      <c r="BK153" s="818">
        <f>SUM(BK150:BK152)</f>
        <v>475.94000000000005</v>
      </c>
      <c r="BL153" s="818">
        <f>SUM(BL150:BL152)</f>
        <v>493.25900000000001</v>
      </c>
      <c r="BM153" s="818">
        <f>SUM(BM150:BM152)</f>
        <v>506.43400000000008</v>
      </c>
      <c r="BN153" s="818">
        <f>SUM(BN150:BN152)</f>
        <v>1025.4580000000001</v>
      </c>
      <c r="BO153" s="819">
        <f>SUM(BO150:BO152)</f>
        <v>1025.4580000000001</v>
      </c>
      <c r="BP153" s="149"/>
      <c r="BQ153" s="818">
        <f>SUM(BQ150:BQ152)</f>
        <v>956.03095743332869</v>
      </c>
      <c r="BR153" s="818">
        <f>SUM(BR150:BR152)</f>
        <v>974.98514350624725</v>
      </c>
      <c r="BS153" s="818">
        <f>SUM(BS150:BS152)</f>
        <v>976.64636801518475</v>
      </c>
      <c r="BT153" s="818">
        <f>SUM(BT150:BT152)</f>
        <v>1046.7778055715999</v>
      </c>
      <c r="BU153" s="819">
        <f>SUM(BU150:BU152)</f>
        <v>1046.7778055715999</v>
      </c>
      <c r="BV153" s="97"/>
      <c r="BW153" s="818">
        <f>SUM(BW150:BW152)</f>
        <v>975.09896252927865</v>
      </c>
      <c r="BX153" s="818">
        <f>SUM(BX150:BX152)</f>
        <v>993.22042568729046</v>
      </c>
      <c r="BY153" s="818">
        <f>SUM(BY150:BY152)</f>
        <v>992.5487718483414</v>
      </c>
      <c r="BZ153" s="818">
        <f>SUM(BZ150:BZ152)</f>
        <v>1063.5021953437654</v>
      </c>
      <c r="CA153" s="819">
        <f>SUM(CA150:CA152)</f>
        <v>1063.5021953437654</v>
      </c>
      <c r="CB153" s="97"/>
      <c r="CC153" s="818">
        <f>SUM(CC150:CC152)</f>
        <v>996.15275437738876</v>
      </c>
      <c r="CD153" s="818">
        <f>SUM(CD150:CD152)</f>
        <v>1013.4542912795212</v>
      </c>
      <c r="CE153" s="818">
        <f>SUM(CE150:CE152)</f>
        <v>1010.3030746919369</v>
      </c>
      <c r="CF153" s="818">
        <f>SUM(CF150:CF152)</f>
        <v>1081.834417181361</v>
      </c>
      <c r="CG153" s="819">
        <f>SUM(CG150:CG152)</f>
        <v>1081.834417181361</v>
      </c>
      <c r="CH153" s="97"/>
      <c r="CI153" s="818">
        <f>SUM(CI150:CI152)</f>
        <v>1018.2018492888576</v>
      </c>
      <c r="CJ153" s="818">
        <f>SUM(CJ150:CJ152)</f>
        <v>1034.6155216297925</v>
      </c>
      <c r="CK153" s="818">
        <f>SUM(CK150:CK152)</f>
        <v>1028.7386863938546</v>
      </c>
      <c r="CL153" s="818">
        <f>SUM(CL150:CL152)</f>
        <v>1100.8914580174999</v>
      </c>
      <c r="CM153" s="819">
        <f>SUM(CM150:CM152)</f>
        <v>1100.8914580174999</v>
      </c>
      <c r="CN153" s="97"/>
      <c r="CO153" s="97"/>
      <c r="CP153"/>
      <c r="CQ153"/>
      <c r="CR153"/>
      <c r="CS153"/>
      <c r="CT153"/>
      <c r="CU153"/>
      <c r="CV153" s="97"/>
    </row>
    <row r="154" spans="1:100" s="24" customFormat="1" hidden="1" outlineLevel="1">
      <c r="A154" s="814"/>
      <c r="B154" s="815"/>
      <c r="C154" s="815"/>
      <c r="D154" s="815"/>
      <c r="E154" s="815"/>
      <c r="F154" s="149"/>
      <c r="G154" s="304"/>
      <c r="H154" s="304"/>
      <c r="I154" s="149"/>
      <c r="J154" s="149"/>
      <c r="K154" s="149"/>
      <c r="L154" s="149"/>
      <c r="M154" s="820"/>
      <c r="N154" s="149"/>
      <c r="O154" s="149"/>
      <c r="P154" s="149"/>
      <c r="Q154" s="149"/>
      <c r="R154" s="149"/>
      <c r="S154" s="820"/>
      <c r="T154" s="149"/>
      <c r="U154" s="149"/>
      <c r="V154" s="149"/>
      <c r="W154" s="149"/>
      <c r="X154" s="149"/>
      <c r="Y154" s="820"/>
      <c r="Z154" s="149"/>
      <c r="AA154" s="149"/>
      <c r="AB154" s="149"/>
      <c r="AC154" s="149"/>
      <c r="AD154" s="149"/>
      <c r="AE154" s="820"/>
      <c r="AF154" s="149"/>
      <c r="AG154" s="149"/>
      <c r="AH154" s="149"/>
      <c r="AI154" s="149"/>
      <c r="AJ154" s="149"/>
      <c r="AK154" s="820"/>
      <c r="AL154" s="149"/>
      <c r="AM154" s="149"/>
      <c r="AN154" s="149"/>
      <c r="AO154" s="149"/>
      <c r="AP154" s="149"/>
      <c r="AQ154" s="820"/>
      <c r="AR154" s="149"/>
      <c r="AS154" s="149"/>
      <c r="AT154" s="149"/>
      <c r="AU154" s="149"/>
      <c r="AV154" s="149"/>
      <c r="AW154" s="820"/>
      <c r="AX154" s="149"/>
      <c r="AY154" s="149"/>
      <c r="AZ154" s="149"/>
      <c r="BA154" s="149"/>
      <c r="BB154" s="149"/>
      <c r="BC154" s="820"/>
      <c r="BD154" s="149"/>
      <c r="BE154" s="149"/>
      <c r="BF154" s="149"/>
      <c r="BG154" s="149"/>
      <c r="BH154" s="149"/>
      <c r="BI154" s="820"/>
      <c r="BJ154" s="149"/>
      <c r="BK154" s="149"/>
      <c r="BL154" s="149"/>
      <c r="BM154" s="149"/>
      <c r="BN154" s="149"/>
      <c r="BO154" s="820"/>
      <c r="BP154" s="149"/>
      <c r="BQ154" s="149"/>
      <c r="BR154" s="149"/>
      <c r="BS154" s="149"/>
      <c r="BT154" s="149"/>
      <c r="BU154" s="820"/>
      <c r="BV154" s="97"/>
      <c r="BW154" s="149"/>
      <c r="BX154" s="149"/>
      <c r="BY154" s="149"/>
      <c r="BZ154" s="149"/>
      <c r="CA154" s="820"/>
      <c r="CB154" s="97"/>
      <c r="CC154" s="149"/>
      <c r="CD154" s="149"/>
      <c r="CE154" s="149"/>
      <c r="CF154" s="149"/>
      <c r="CG154" s="820"/>
      <c r="CH154" s="97"/>
      <c r="CI154" s="149"/>
      <c r="CJ154" s="149"/>
      <c r="CK154" s="149"/>
      <c r="CL154" s="149"/>
      <c r="CM154" s="820"/>
      <c r="CN154" s="97"/>
      <c r="CO154" s="97"/>
      <c r="CP154"/>
      <c r="CQ154"/>
      <c r="CR154"/>
      <c r="CS154"/>
      <c r="CT154"/>
      <c r="CU154"/>
      <c r="CV154" s="97"/>
    </row>
    <row r="155" spans="1:100" s="24" customFormat="1" hidden="1" outlineLevel="1">
      <c r="A155" s="62" t="s">
        <v>398</v>
      </c>
      <c r="B155" s="130"/>
      <c r="C155" s="130"/>
      <c r="D155" s="130"/>
      <c r="E155" s="130"/>
      <c r="F155" s="810"/>
      <c r="G155" s="811">
        <f>G148-G153</f>
        <v>829.59099999999989</v>
      </c>
      <c r="H155" s="304"/>
      <c r="I155" s="812">
        <f>I148-I153</f>
        <v>841.33000000000015</v>
      </c>
      <c r="J155" s="812">
        <f>J148-J153</f>
        <v>856.55200000000013</v>
      </c>
      <c r="K155" s="812">
        <f>K148-K153</f>
        <v>826.68500000000006</v>
      </c>
      <c r="L155" s="812">
        <f>L148-L153</f>
        <v>845.61999999999966</v>
      </c>
      <c r="M155" s="813">
        <f>M148-M153</f>
        <v>845.61999999999966</v>
      </c>
      <c r="N155" s="149"/>
      <c r="O155" s="812">
        <f>O148-O153</f>
        <v>896.02399999999989</v>
      </c>
      <c r="P155" s="812">
        <f>P148-P153</f>
        <v>930.24799999999993</v>
      </c>
      <c r="Q155" s="812">
        <f>Q148-Q153</f>
        <v>922.15800000000002</v>
      </c>
      <c r="R155" s="812">
        <f>R148-R153</f>
        <v>919.50800000000004</v>
      </c>
      <c r="S155" s="813">
        <f>S148-S153</f>
        <v>919.50800000000004</v>
      </c>
      <c r="T155" s="149"/>
      <c r="U155" s="812">
        <f>U148-U153</f>
        <v>902.6869999999999</v>
      </c>
      <c r="V155" s="812">
        <f>V148-V153</f>
        <v>882.52199999999993</v>
      </c>
      <c r="W155" s="812">
        <f>W148-W153</f>
        <v>945.98099999999999</v>
      </c>
      <c r="X155" s="812">
        <f>X148-X153</f>
        <v>961.05699999999979</v>
      </c>
      <c r="Y155" s="813">
        <f>Y148-Y153</f>
        <v>961.05699999999979</v>
      </c>
      <c r="Z155" s="149"/>
      <c r="AA155" s="812">
        <f>AA148-AA153</f>
        <v>977.83299999999986</v>
      </c>
      <c r="AB155" s="812">
        <f>AB148-AB153</f>
        <v>1016.4639999999999</v>
      </c>
      <c r="AC155" s="812">
        <f>AC148-AC153</f>
        <v>1008.396</v>
      </c>
      <c r="AD155" s="812">
        <f>AD148-AD153</f>
        <v>1029.0289999999998</v>
      </c>
      <c r="AE155" s="813">
        <f>AE148-AE153</f>
        <v>1029.0289999999998</v>
      </c>
      <c r="AF155" s="149"/>
      <c r="AG155" s="812">
        <f>AG148-AG153</f>
        <v>1059.7199999999998</v>
      </c>
      <c r="AH155" s="812">
        <f>AH148-AH153</f>
        <v>1068.9590000000001</v>
      </c>
      <c r="AI155" s="812">
        <f>AI148-AI153</f>
        <v>1125.3420000000001</v>
      </c>
      <c r="AJ155" s="812">
        <f>AJ148-AJ153</f>
        <v>1207.338</v>
      </c>
      <c r="AK155" s="813">
        <f>AK148-AK153</f>
        <v>1207.338</v>
      </c>
      <c r="AL155" s="149"/>
      <c r="AM155" s="812">
        <f>AM148-AM153</f>
        <v>1221.6030000000001</v>
      </c>
      <c r="AN155" s="812">
        <f>AN148-AN153</f>
        <v>1240.1209999999999</v>
      </c>
      <c r="AO155" s="812">
        <f>AO148-AO153</f>
        <v>1315.4389999999999</v>
      </c>
      <c r="AP155" s="812">
        <f>AP148-AP153</f>
        <v>1357.5720000000001</v>
      </c>
      <c r="AQ155" s="813">
        <f>AQ148-AQ153</f>
        <v>1357.5720000000001</v>
      </c>
      <c r="AR155" s="149"/>
      <c r="AS155" s="812">
        <f>AS148-AS153</f>
        <v>1375.0350000000003</v>
      </c>
      <c r="AT155" s="812">
        <f>AT148-AT153</f>
        <v>1379.203</v>
      </c>
      <c r="AU155" s="812">
        <f>AU148-AU153</f>
        <v>1383.4049999999997</v>
      </c>
      <c r="AV155" s="812">
        <f>AV148-AV153</f>
        <v>1389.7510000000002</v>
      </c>
      <c r="AW155" s="813">
        <f>AW148-AW153</f>
        <v>1389.7510000000002</v>
      </c>
      <c r="AX155" s="149"/>
      <c r="AY155" s="812">
        <f>AY148-AY153</f>
        <v>1322.75</v>
      </c>
      <c r="AZ155" s="812">
        <f>AZ148-AZ153</f>
        <v>1367.1210000000001</v>
      </c>
      <c r="BA155" s="812">
        <f>BA148-BA153</f>
        <v>1365.3509999999997</v>
      </c>
      <c r="BB155" s="812">
        <f>BB148-BB153</f>
        <v>1404.9870000000001</v>
      </c>
      <c r="BC155" s="813">
        <f>BC148-BC153</f>
        <v>1404.9870000000001</v>
      </c>
      <c r="BD155" s="149"/>
      <c r="BE155" s="812">
        <f>BE148-BE153</f>
        <v>1386.2909999999997</v>
      </c>
      <c r="BF155" s="812">
        <f>BF148-BF153</f>
        <v>1377.2769999999998</v>
      </c>
      <c r="BG155" s="812">
        <f>BG148-BG153</f>
        <v>1394.6260000000002</v>
      </c>
      <c r="BH155" s="812">
        <f>BH148-BH153</f>
        <v>1388.7479999999998</v>
      </c>
      <c r="BI155" s="813">
        <f>BI148-BI153</f>
        <v>1388.7479999999998</v>
      </c>
      <c r="BJ155" s="149"/>
      <c r="BK155" s="812">
        <f>BK148-BK153</f>
        <v>1368.3</v>
      </c>
      <c r="BL155" s="812">
        <f>BL148-BL153</f>
        <v>1377.54</v>
      </c>
      <c r="BM155" s="812">
        <f>BM148-BM153</f>
        <v>1401.5940000000001</v>
      </c>
      <c r="BN155" s="812">
        <f>BN148-BN153</f>
        <v>905.19500000000016</v>
      </c>
      <c r="BO155" s="813">
        <f>BO148-BO153</f>
        <v>905.19500000000016</v>
      </c>
      <c r="BP155" s="149"/>
      <c r="BQ155" s="812">
        <f>BQ148-BQ153</f>
        <v>984.57583927596079</v>
      </c>
      <c r="BR155" s="812">
        <f>BR148-BR153</f>
        <v>981.35403840344509</v>
      </c>
      <c r="BS155" s="812">
        <f>BS148-BS153</f>
        <v>965.85174656220386</v>
      </c>
      <c r="BT155" s="812">
        <f>BT148-BT153</f>
        <v>962.98652895078021</v>
      </c>
      <c r="BU155" s="813">
        <f>BU148-BU153</f>
        <v>962.98652895078021</v>
      </c>
      <c r="BV155" s="97"/>
      <c r="BW155" s="812">
        <f>BW148-BW153</f>
        <v>1073.6457880216881</v>
      </c>
      <c r="BX155" s="812">
        <f>BX148-BX153</f>
        <v>1081.7233798953148</v>
      </c>
      <c r="BY155" s="812">
        <f>BY148-BY153</f>
        <v>1078.406113268537</v>
      </c>
      <c r="BZ155" s="812">
        <f>BZ148-BZ153</f>
        <v>1092.0478945442183</v>
      </c>
      <c r="CA155" s="813">
        <f>CA148-CA153</f>
        <v>1092.0478945442183</v>
      </c>
      <c r="CB155" s="97"/>
      <c r="CC155" s="812">
        <f>CC148-CC153</f>
        <v>1193.3887698643648</v>
      </c>
      <c r="CD155" s="812">
        <f>CD148-CD153</f>
        <v>1197.3583483844284</v>
      </c>
      <c r="CE155" s="812">
        <f>CE148-CE153</f>
        <v>1194.1024830447852</v>
      </c>
      <c r="CF155" s="812">
        <f>CF148-CF153</f>
        <v>1205.859313547448</v>
      </c>
      <c r="CG155" s="813">
        <f>CG148-CG153</f>
        <v>1205.859313547448</v>
      </c>
      <c r="CH155" s="97"/>
      <c r="CI155" s="812">
        <f>CI148-CI153</f>
        <v>1305.9260445299767</v>
      </c>
      <c r="CJ155" s="812">
        <f>CJ148-CJ153</f>
        <v>1292.6731419272651</v>
      </c>
      <c r="CK155" s="812">
        <f>CK148-CK153</f>
        <v>1277.2600699755831</v>
      </c>
      <c r="CL155" s="812">
        <f>CL148-CL153</f>
        <v>1272.3447401942196</v>
      </c>
      <c r="CM155" s="813">
        <f>CM148-CM153</f>
        <v>1272.3447401942196</v>
      </c>
      <c r="CN155" s="97"/>
      <c r="CO155" s="97"/>
      <c r="CP155"/>
      <c r="CQ155"/>
      <c r="CR155"/>
      <c r="CS155"/>
      <c r="CT155"/>
      <c r="CU155"/>
      <c r="CV155" s="97"/>
    </row>
    <row r="156" spans="1:100" s="24" customFormat="1" hidden="1" outlineLevel="1">
      <c r="A156" s="821" t="s">
        <v>399</v>
      </c>
      <c r="B156" s="130"/>
      <c r="C156" s="130"/>
      <c r="D156" s="130"/>
      <c r="E156" s="130"/>
      <c r="F156" s="149"/>
      <c r="G156" s="822"/>
      <c r="H156" s="823"/>
      <c r="I156" s="824">
        <f>I136/G155*4</f>
        <v>1.7936453023236756</v>
      </c>
      <c r="J156" s="824">
        <f>J136/I155*4</f>
        <v>1.8945479181771716</v>
      </c>
      <c r="K156" s="824">
        <f>K136/J155*4</f>
        <v>1.8040235735833896</v>
      </c>
      <c r="L156" s="824">
        <f>L136/K155*4</f>
        <v>2.0241373679212753</v>
      </c>
      <c r="M156" s="825">
        <f>M136/G155</f>
        <v>1.8986753713576934</v>
      </c>
      <c r="N156" s="826"/>
      <c r="O156" s="824">
        <f>O136/M155*4</f>
        <v>1.5754215841631001</v>
      </c>
      <c r="P156" s="824">
        <f>P136/O155*4</f>
        <v>1.6197646491611832</v>
      </c>
      <c r="Q156" s="824">
        <f>Q136/P155*4</f>
        <v>1.6080142069641645</v>
      </c>
      <c r="R156" s="824">
        <f>R136/Q155*4</f>
        <v>1.8601931556197528</v>
      </c>
      <c r="S156" s="825">
        <f>S136/M155</f>
        <v>1.7723090749982269</v>
      </c>
      <c r="T156" s="826"/>
      <c r="U156" s="824">
        <f>U136/S155*4</f>
        <v>1.5995510642648023</v>
      </c>
      <c r="V156" s="824">
        <f>V136/U155*4</f>
        <v>1.732848706140667</v>
      </c>
      <c r="W156" s="824">
        <f>W136/V155*4</f>
        <v>1.8176906638021491</v>
      </c>
      <c r="X156" s="824">
        <f>X136/W155*4</f>
        <v>2.0447683410131914</v>
      </c>
      <c r="Y156" s="825">
        <f>Y136/S155</f>
        <v>1.7872286048626005</v>
      </c>
      <c r="Z156" s="826"/>
      <c r="AA156" s="824">
        <f>AA136/Y155*4</f>
        <v>1.7797196212087321</v>
      </c>
      <c r="AB156" s="824">
        <f>AB136/AA155*4</f>
        <v>1.8310979482181524</v>
      </c>
      <c r="AC156" s="824">
        <f>AC136/AB155*4</f>
        <v>1.7886870563049946</v>
      </c>
      <c r="AD156" s="824">
        <f>AD136/AC155*4</f>
        <v>2.068314432028687</v>
      </c>
      <c r="AE156" s="825">
        <f>AE136/Y155</f>
        <v>1.9261958447834002</v>
      </c>
      <c r="AF156" s="826"/>
      <c r="AG156" s="824">
        <f>AG136/AE155*4</f>
        <v>1.6343873690634574</v>
      </c>
      <c r="AH156" s="824">
        <f>AH136/AG155*4</f>
        <v>1.7040916468501115</v>
      </c>
      <c r="AI156" s="824">
        <f>AI136/AH155*4</f>
        <v>1.6837016199872961</v>
      </c>
      <c r="AJ156" s="824">
        <f>AJ136/AI155*4</f>
        <v>1.8546042003231016</v>
      </c>
      <c r="AK156" s="825">
        <f>AK136/AE155</f>
        <v>1.7916317227211289</v>
      </c>
      <c r="AL156" s="826"/>
      <c r="AM156" s="824">
        <f>AM136/AK155*4</f>
        <v>1.4257415901760735</v>
      </c>
      <c r="AN156" s="824">
        <f>AN136/AM155*4</f>
        <v>1.4771247287375686</v>
      </c>
      <c r="AO156" s="824">
        <f>AO136/AN155*4</f>
        <v>1.4750721905362463</v>
      </c>
      <c r="AP156" s="824">
        <f>AP136/AO155*4</f>
        <v>1.7194199046858123</v>
      </c>
      <c r="AQ156" s="825">
        <f>AQ136/AK155</f>
        <v>1.5772037325090404</v>
      </c>
      <c r="AR156" s="826"/>
      <c r="AS156" s="824">
        <f>AS136/AQ155*4</f>
        <v>1.268464582357326</v>
      </c>
      <c r="AT156" s="824">
        <f>AT136/AS155*4</f>
        <v>1.4015672328340729</v>
      </c>
      <c r="AU156" s="824">
        <f>AU136/AT155*4</f>
        <v>1.4302898123046428</v>
      </c>
      <c r="AV156" s="824">
        <f>AV136/AU155*4</f>
        <v>1.6882113336297038</v>
      </c>
      <c r="AW156" s="825">
        <f>AW136/AQ155</f>
        <v>1.4653690559322083</v>
      </c>
      <c r="AX156" s="826"/>
      <c r="AY156" s="824">
        <f>AY136/AW155*4</f>
        <v>1.3251409784918304</v>
      </c>
      <c r="AZ156" s="824">
        <f>AZ136/AY155*4</f>
        <v>1.4960952560952561</v>
      </c>
      <c r="BA156" s="824">
        <f>BA136/AZ155*4</f>
        <v>1.4646194448040808</v>
      </c>
      <c r="BB156" s="824">
        <f>BB136/BA155*4</f>
        <v>1.7185617471258312</v>
      </c>
      <c r="BC156" s="825">
        <f>BC136/AW155</f>
        <v>1.4695668504645794</v>
      </c>
      <c r="BD156" s="826"/>
      <c r="BE156" s="824">
        <f>BE136/BC155*4</f>
        <v>1.3530260422338427</v>
      </c>
      <c r="BF156" s="824">
        <f>BF136/BE155*4</f>
        <v>1.5481886559171201</v>
      </c>
      <c r="BG156" s="824">
        <f>BG136/BF155*4</f>
        <v>1.5300625800038776</v>
      </c>
      <c r="BH156" s="824">
        <f>BH136/BG155*4</f>
        <v>1.8034569841663641</v>
      </c>
      <c r="BI156" s="825">
        <f>BI136/BC155</f>
        <v>1.542664095824374</v>
      </c>
      <c r="BJ156" s="826"/>
      <c r="BK156" s="824">
        <f>BK136/BI155*4</f>
        <v>1.4342962150080505</v>
      </c>
      <c r="BL156" s="824">
        <f>BL136/BK155*4</f>
        <v>1.6319520572973765</v>
      </c>
      <c r="BM156" s="824">
        <f>BM136/BL155*4</f>
        <v>1.6423014939675071</v>
      </c>
      <c r="BN156" s="824">
        <f>BN136/BM155*4</f>
        <v>1.9614096521531912</v>
      </c>
      <c r="BO156" s="825">
        <f>BO136/BI155</f>
        <v>1.6627048247774256</v>
      </c>
      <c r="BP156" s="826"/>
      <c r="BQ156" s="824">
        <f>BQ136/BO155*4</f>
        <v>2.391129671435559</v>
      </c>
      <c r="BR156" s="824">
        <f>BR136/BQ155*4</f>
        <v>2.4675373063035471</v>
      </c>
      <c r="BS156" s="824">
        <f>BS136/BR155*4</f>
        <v>2.4519677764065517</v>
      </c>
      <c r="BT156" s="824">
        <f>BT136/BS155*4</f>
        <v>3.0317508862106259</v>
      </c>
      <c r="BU156" s="825">
        <f>BU136/BO155</f>
        <v>2.742057403441633</v>
      </c>
      <c r="BV156" s="97"/>
      <c r="BW156" s="824">
        <f>BW136/BU155*4</f>
        <v>2.3948807417515994</v>
      </c>
      <c r="BX156" s="824">
        <f>BX136/BW155*4</f>
        <v>2.3953630832653241</v>
      </c>
      <c r="BY156" s="824">
        <f>BY136/BX155*4</f>
        <v>2.348760892836717</v>
      </c>
      <c r="BZ156" s="824">
        <f>BZ136/BY155*4</f>
        <v>2.8489043335418223</v>
      </c>
      <c r="CA156" s="825">
        <f>CA136/BU155</f>
        <v>2.7235569978027994</v>
      </c>
      <c r="CB156" s="97"/>
      <c r="CC156" s="824">
        <f>CC136/CA155*4</f>
        <v>2.2334783889356689</v>
      </c>
      <c r="CD156" s="824">
        <f>CD136/CC155*4</f>
        <v>2.2640605198310038</v>
      </c>
      <c r="CE156" s="824">
        <f>CE136/CD155*4</f>
        <v>2.2263289596714162</v>
      </c>
      <c r="CF156" s="824">
        <f>CF136/CE155*4</f>
        <v>2.6819963996945999</v>
      </c>
      <c r="CG156" s="825">
        <f>CG136/CA155</f>
        <v>2.5203248759310974</v>
      </c>
      <c r="CH156" s="97"/>
      <c r="CI156" s="824">
        <f>CI136/CG155*4</f>
        <v>2.1392272470870841</v>
      </c>
      <c r="CJ156" s="824">
        <f>CJ136/CI155*4</f>
        <v>2.1738215426506735</v>
      </c>
      <c r="CK156" s="824">
        <f>CK136/CJ155*4</f>
        <v>2.1637378105253768</v>
      </c>
      <c r="CL156" s="824">
        <f>CL136/CK155*4</f>
        <v>2.6143317124422571</v>
      </c>
      <c r="CM156" s="825">
        <f>CM136/CG155</f>
        <v>2.3955208535526369</v>
      </c>
      <c r="CN156" s="97"/>
      <c r="CO156" s="97"/>
      <c r="CP156"/>
      <c r="CQ156"/>
      <c r="CR156"/>
      <c r="CS156"/>
      <c r="CT156"/>
      <c r="CU156"/>
      <c r="CV156" s="97"/>
    </row>
    <row r="157" spans="1:100" s="24" customFormat="1" collapsed="1">
      <c r="F157" s="71"/>
      <c r="BV157" s="97"/>
      <c r="CB157" s="97"/>
      <c r="CH157" s="97"/>
      <c r="CN157" s="97"/>
      <c r="CO157" s="97"/>
      <c r="CP157"/>
      <c r="CQ157"/>
      <c r="CR157"/>
      <c r="CS157"/>
      <c r="CT157"/>
      <c r="CU157"/>
      <c r="CV157" s="97"/>
    </row>
    <row r="158" spans="1:100" s="24" customFormat="1">
      <c r="A158" s="97" t="s">
        <v>149</v>
      </c>
      <c r="B158" s="97"/>
      <c r="C158" s="97"/>
      <c r="D158" s="97"/>
      <c r="E158" s="97"/>
      <c r="F158" s="149"/>
      <c r="G158" s="97">
        <v>0</v>
      </c>
      <c r="H158" s="97"/>
      <c r="I158" s="97">
        <v>0</v>
      </c>
      <c r="J158" s="97">
        <v>0</v>
      </c>
      <c r="K158" s="97">
        <v>0</v>
      </c>
      <c r="L158" s="97">
        <v>0</v>
      </c>
      <c r="M158" s="97">
        <v>0</v>
      </c>
      <c r="N158" s="97"/>
      <c r="O158" s="97">
        <v>0</v>
      </c>
      <c r="P158" s="97">
        <v>0</v>
      </c>
      <c r="Q158" s="97">
        <v>0</v>
      </c>
      <c r="R158" s="97">
        <v>0</v>
      </c>
      <c r="S158" s="97">
        <v>0</v>
      </c>
      <c r="T158" s="97"/>
      <c r="U158" s="97">
        <v>0</v>
      </c>
      <c r="V158" s="97">
        <v>0</v>
      </c>
      <c r="W158" s="97">
        <v>0</v>
      </c>
      <c r="X158" s="97">
        <v>0</v>
      </c>
      <c r="Y158" s="97">
        <v>0</v>
      </c>
      <c r="Z158" s="97"/>
      <c r="AA158" s="97">
        <v>0</v>
      </c>
      <c r="AB158" s="97">
        <v>0</v>
      </c>
      <c r="AC158" s="97">
        <v>0</v>
      </c>
      <c r="AD158" s="97">
        <v>0</v>
      </c>
      <c r="AE158" s="97">
        <v>0</v>
      </c>
      <c r="AF158" s="97"/>
      <c r="AG158" s="97">
        <v>0</v>
      </c>
      <c r="AH158" s="97">
        <v>0</v>
      </c>
      <c r="AI158" s="97">
        <v>0</v>
      </c>
      <c r="AJ158" s="97">
        <v>0</v>
      </c>
      <c r="AK158" s="97">
        <v>0</v>
      </c>
      <c r="AL158" s="97"/>
      <c r="AM158" s="97">
        <v>0</v>
      </c>
      <c r="AN158" s="97">
        <v>0</v>
      </c>
      <c r="AO158" s="97">
        <v>0</v>
      </c>
      <c r="AP158" s="97">
        <v>0</v>
      </c>
      <c r="AQ158" s="97">
        <v>0</v>
      </c>
      <c r="AR158" s="97"/>
      <c r="AS158" s="97">
        <v>0</v>
      </c>
      <c r="AT158" s="97">
        <v>0</v>
      </c>
      <c r="AU158" s="97">
        <v>0</v>
      </c>
      <c r="AV158" s="97">
        <v>0</v>
      </c>
      <c r="AW158" s="97">
        <v>0</v>
      </c>
      <c r="AX158" s="97"/>
      <c r="AY158" s="97">
        <v>0</v>
      </c>
      <c r="AZ158" s="97">
        <v>0</v>
      </c>
      <c r="BA158" s="97">
        <v>0</v>
      </c>
      <c r="BB158" s="97">
        <v>0</v>
      </c>
      <c r="BC158" s="97">
        <v>0</v>
      </c>
      <c r="BD158" s="97"/>
      <c r="BE158" s="97">
        <v>0</v>
      </c>
      <c r="BF158" s="97">
        <v>0</v>
      </c>
      <c r="BG158" s="97">
        <v>0</v>
      </c>
      <c r="BH158" s="97">
        <v>0</v>
      </c>
      <c r="BI158" s="97">
        <v>0</v>
      </c>
      <c r="BJ158" s="97"/>
      <c r="BK158" s="97">
        <v>0</v>
      </c>
      <c r="BL158" s="97">
        <v>0</v>
      </c>
      <c r="BM158" s="97">
        <v>0</v>
      </c>
      <c r="BN158" s="97">
        <v>0</v>
      </c>
      <c r="BO158" s="97">
        <v>0</v>
      </c>
      <c r="BP158" s="97"/>
      <c r="BQ158" s="97">
        <v>0</v>
      </c>
      <c r="BR158" s="97">
        <v>0</v>
      </c>
      <c r="BS158" s="97">
        <v>0</v>
      </c>
      <c r="BT158" s="97">
        <v>0</v>
      </c>
      <c r="BU158" s="97">
        <v>0</v>
      </c>
      <c r="BV158" s="97"/>
      <c r="BW158" s="97">
        <v>0</v>
      </c>
      <c r="BX158" s="97">
        <v>0</v>
      </c>
      <c r="BY158" s="97">
        <v>0</v>
      </c>
      <c r="BZ158" s="97">
        <v>0</v>
      </c>
      <c r="CA158" s="97">
        <v>0</v>
      </c>
      <c r="CB158" s="97"/>
      <c r="CC158" s="97">
        <v>0</v>
      </c>
      <c r="CD158" s="97">
        <v>0</v>
      </c>
      <c r="CE158" s="97">
        <v>0</v>
      </c>
      <c r="CF158" s="97">
        <v>0</v>
      </c>
      <c r="CG158" s="97">
        <v>0</v>
      </c>
      <c r="CH158" s="97"/>
      <c r="CI158" s="97">
        <v>0</v>
      </c>
      <c r="CJ158" s="97">
        <v>0</v>
      </c>
      <c r="CK158" s="97">
        <v>0</v>
      </c>
      <c r="CL158" s="97">
        <v>0</v>
      </c>
      <c r="CM158" s="97">
        <v>0</v>
      </c>
      <c r="CN158" s="97"/>
      <c r="CO158" s="97"/>
      <c r="CP158"/>
      <c r="CQ158"/>
      <c r="CR158"/>
      <c r="CS158"/>
      <c r="CT158"/>
      <c r="CU158"/>
      <c r="CV158" s="97"/>
    </row>
    <row r="159" spans="1:100" s="24" customFormat="1">
      <c r="F159" s="71"/>
      <c r="BV159" s="97"/>
      <c r="CB159" s="97"/>
      <c r="CH159" s="97"/>
      <c r="CN159" s="97"/>
      <c r="CO159" s="97"/>
      <c r="CP159"/>
      <c r="CQ159"/>
      <c r="CR159"/>
      <c r="CS159"/>
      <c r="CT159"/>
      <c r="CU159"/>
      <c r="CV159" s="97"/>
    </row>
    <row r="160" spans="1:100" s="73" customFormat="1">
      <c r="A160" s="2061" t="s">
        <v>346</v>
      </c>
      <c r="B160" s="2062"/>
      <c r="C160" s="2062"/>
      <c r="D160" s="2062"/>
      <c r="E160" s="2062"/>
      <c r="F160" s="2062"/>
      <c r="G160" s="2063"/>
      <c r="H160" s="2062"/>
      <c r="I160" s="2062"/>
      <c r="J160" s="2062"/>
      <c r="K160" s="2062"/>
      <c r="L160" s="2062"/>
      <c r="M160" s="2062"/>
      <c r="N160" s="2062"/>
      <c r="O160" s="2062"/>
      <c r="P160" s="2062"/>
      <c r="Q160" s="2062"/>
      <c r="R160" s="2062"/>
      <c r="S160" s="2062"/>
      <c r="T160" s="2062"/>
      <c r="U160" s="2062"/>
      <c r="V160" s="2062"/>
      <c r="W160" s="2062"/>
      <c r="X160" s="2062"/>
      <c r="Y160" s="2062"/>
      <c r="Z160" s="2062"/>
      <c r="AA160" s="2062"/>
      <c r="AB160" s="2062"/>
      <c r="AC160" s="2062"/>
      <c r="AD160" s="2062"/>
      <c r="AE160" s="2062"/>
      <c r="AF160" s="2062"/>
      <c r="AG160" s="2062"/>
      <c r="AH160" s="2062"/>
      <c r="AI160" s="2062"/>
      <c r="AJ160" s="2062"/>
      <c r="AK160" s="2062"/>
      <c r="AL160" s="2062"/>
      <c r="AM160" s="2062"/>
      <c r="AN160" s="2062"/>
      <c r="AO160" s="2062"/>
      <c r="AP160" s="2062"/>
      <c r="AQ160" s="2062"/>
      <c r="AR160" s="2062"/>
      <c r="AS160" s="2062"/>
      <c r="AT160" s="2062"/>
      <c r="AU160" s="2062"/>
      <c r="AV160" s="2062"/>
      <c r="AW160" s="2062"/>
      <c r="AX160" s="2062"/>
      <c r="AY160" s="2062"/>
      <c r="AZ160" s="2062"/>
      <c r="BA160" s="2062"/>
      <c r="BB160" s="2062"/>
      <c r="BC160" s="2062"/>
      <c r="BD160" s="2062"/>
      <c r="BE160" s="2062"/>
      <c r="BF160" s="2062"/>
      <c r="BG160" s="2062"/>
      <c r="BH160" s="2062"/>
      <c r="BI160" s="2062"/>
      <c r="BJ160" s="2062"/>
      <c r="BK160" s="2062"/>
      <c r="BL160" s="2062"/>
      <c r="BM160" s="2062"/>
      <c r="BN160" s="2062"/>
      <c r="BO160" s="2062"/>
      <c r="BP160" s="2062"/>
      <c r="BQ160" s="2062"/>
      <c r="BR160" s="2062"/>
      <c r="BS160" s="2062"/>
      <c r="BT160" s="2062"/>
      <c r="BU160" s="2062"/>
      <c r="BV160" s="2062"/>
      <c r="BW160" s="2062"/>
      <c r="BX160" s="2062"/>
      <c r="BY160" s="2062"/>
      <c r="BZ160" s="2062"/>
      <c r="CA160" s="2062"/>
      <c r="CB160" s="2062"/>
      <c r="CC160" s="2062"/>
      <c r="CD160" s="2062"/>
      <c r="CE160" s="2062"/>
      <c r="CF160" s="2062"/>
      <c r="CG160" s="2062"/>
      <c r="CH160" s="2062"/>
      <c r="CI160" s="2062"/>
      <c r="CJ160" s="2062"/>
      <c r="CK160" s="2062"/>
      <c r="CL160" s="2062"/>
      <c r="CM160" s="2062"/>
      <c r="CP160"/>
      <c r="CQ160"/>
      <c r="CR160"/>
      <c r="CS160"/>
      <c r="CT160"/>
      <c r="CU160"/>
    </row>
    <row r="161" spans="1:99" s="73" customFormat="1">
      <c r="A161" s="73" t="s">
        <v>383</v>
      </c>
      <c r="C161" s="2065"/>
      <c r="D161" s="2065"/>
      <c r="E161" s="2065"/>
      <c r="F161" s="2065"/>
      <c r="G161" s="2066">
        <v>1473.0479999999998</v>
      </c>
      <c r="H161" s="2066"/>
      <c r="I161" s="2064">
        <v>371.99800000000005</v>
      </c>
      <c r="J161" s="2065">
        <v>398.48500000000001</v>
      </c>
      <c r="K161" s="2065">
        <v>386.30999999999995</v>
      </c>
      <c r="L161" s="2065">
        <v>418.3309999999999</v>
      </c>
      <c r="M161" s="2066">
        <v>1575.124</v>
      </c>
      <c r="N161" s="2066"/>
      <c r="O161" s="2064">
        <v>333.05200000000002</v>
      </c>
      <c r="P161" s="2065">
        <v>362.83699999999999</v>
      </c>
      <c r="Q161" s="2065">
        <v>373.96300000000002</v>
      </c>
      <c r="R161" s="2065">
        <v>428.84800000000001</v>
      </c>
      <c r="S161" s="2066">
        <v>1498.7</v>
      </c>
      <c r="T161" s="2066"/>
      <c r="U161" s="2064">
        <v>367.7</v>
      </c>
      <c r="V161" s="2065">
        <v>391.05500000000001</v>
      </c>
      <c r="W161" s="2065">
        <v>401.03800000000001</v>
      </c>
      <c r="X161" s="2065">
        <v>483.57799999999997</v>
      </c>
      <c r="Y161" s="2066">
        <v>1643.3710000000001</v>
      </c>
      <c r="Z161" s="2066"/>
      <c r="AA161" s="2064">
        <v>427.60300000000001</v>
      </c>
      <c r="AB161" s="2065">
        <v>447.62700000000007</v>
      </c>
      <c r="AC161" s="2065">
        <v>454.53399999999999</v>
      </c>
      <c r="AD161" s="2065">
        <v>521.41999999999996</v>
      </c>
      <c r="AE161" s="2066">
        <v>1851.184</v>
      </c>
      <c r="AF161" s="2066"/>
      <c r="AG161" s="2064">
        <v>420.45800000000003</v>
      </c>
      <c r="AH161" s="2065">
        <v>451.46499999999997</v>
      </c>
      <c r="AI161" s="2065">
        <v>449.952</v>
      </c>
      <c r="AJ161" s="2065">
        <v>521.76599999999996</v>
      </c>
      <c r="AK161" s="2066">
        <v>1843.6410000000001</v>
      </c>
      <c r="AL161" s="2066"/>
      <c r="AM161" s="2064">
        <v>430.33800000000002</v>
      </c>
      <c r="AN161" s="2065">
        <v>451.11500000000001</v>
      </c>
      <c r="AO161" s="2065">
        <v>457.31700000000001</v>
      </c>
      <c r="AP161" s="2065">
        <v>565.44799999999998</v>
      </c>
      <c r="AQ161" s="2066">
        <v>1904.2179999999998</v>
      </c>
      <c r="AR161" s="2066"/>
      <c r="AS161" s="2064">
        <v>430.50799999999998</v>
      </c>
      <c r="AT161" s="2065">
        <v>481.80099999999999</v>
      </c>
      <c r="AU161" s="2065">
        <v>493.16500000000002</v>
      </c>
      <c r="AV161" s="2065">
        <v>583.87</v>
      </c>
      <c r="AW161" s="2066">
        <v>1989.3440000000001</v>
      </c>
      <c r="AX161" s="2066"/>
      <c r="AY161" s="2064">
        <v>460.404</v>
      </c>
      <c r="AZ161" s="2065">
        <v>494.74</v>
      </c>
      <c r="BA161" s="2065">
        <v>500.57799999999997</v>
      </c>
      <c r="BB161" s="2065">
        <v>586.61</v>
      </c>
      <c r="BC161" s="2066">
        <v>2042.3319999999999</v>
      </c>
      <c r="BD161" s="2066"/>
      <c r="BE161" s="2064">
        <v>475.24599999999998</v>
      </c>
      <c r="BF161" s="2065">
        <v>536.55999999999995</v>
      </c>
      <c r="BG161" s="2065">
        <v>526.83000000000004</v>
      </c>
      <c r="BH161" s="2065">
        <v>628.78700000000003</v>
      </c>
      <c r="BI161" s="2066">
        <v>2167.4229999999998</v>
      </c>
      <c r="BJ161" s="2066"/>
      <c r="BK161" s="2064">
        <v>497.96899999999999</v>
      </c>
      <c r="BL161" s="2065">
        <v>558.25</v>
      </c>
      <c r="BM161" s="2065">
        <v>565.58399999999995</v>
      </c>
      <c r="BN161" s="2065">
        <v>687.27499999999998</v>
      </c>
      <c r="BO161" s="2066">
        <v>2309.078</v>
      </c>
      <c r="BP161" s="2066"/>
      <c r="BQ161" s="2064">
        <v>541.1096557337778</v>
      </c>
      <c r="BR161" s="2065">
        <v>607.36940357463959</v>
      </c>
      <c r="BS161" s="2065">
        <v>601.56211985292123</v>
      </c>
      <c r="BT161" s="2065">
        <v>732.05547214701062</v>
      </c>
      <c r="BU161" s="2066">
        <v>2482.0966513083495</v>
      </c>
      <c r="BV161" s="2066"/>
      <c r="BW161" s="2064">
        <v>576.55947318761059</v>
      </c>
      <c r="BX161" s="2065">
        <v>642.94287128261487</v>
      </c>
      <c r="BY161" s="2065">
        <v>635.17739289131771</v>
      </c>
      <c r="BZ161" s="2065">
        <v>768.06896235218198</v>
      </c>
      <c r="CA161" s="2066">
        <v>2622.7486997137253</v>
      </c>
      <c r="CB161" s="2066"/>
      <c r="CC161" s="2064">
        <v>609.76634303680248</v>
      </c>
      <c r="CD161" s="2065">
        <v>675.47609966489892</v>
      </c>
      <c r="CE161" s="2065">
        <v>666.42839152814736</v>
      </c>
      <c r="CF161" s="2065">
        <v>800.644640098124</v>
      </c>
      <c r="CG161" s="2066">
        <v>2752.3154743279729</v>
      </c>
      <c r="CH161" s="2066"/>
      <c r="CI161" s="2064">
        <v>644.90177492360704</v>
      </c>
      <c r="CJ161" s="2065">
        <v>709.71254217696151</v>
      </c>
      <c r="CK161" s="2065">
        <v>699.251438459665</v>
      </c>
      <c r="CL161" s="2065">
        <v>834.79537649334588</v>
      </c>
      <c r="CM161" s="2066">
        <v>2888.6611320535794</v>
      </c>
      <c r="CP161"/>
      <c r="CQ161"/>
      <c r="CR161"/>
      <c r="CS161"/>
      <c r="CT161"/>
      <c r="CU161"/>
    </row>
    <row r="162" spans="1:99" s="73" customFormat="1">
      <c r="A162" s="73" t="s">
        <v>571</v>
      </c>
      <c r="C162" s="2065"/>
      <c r="D162" s="2065"/>
      <c r="E162" s="2065"/>
      <c r="F162" s="2065"/>
      <c r="G162" s="2066">
        <v>369.74099999999987</v>
      </c>
      <c r="H162" s="2066"/>
      <c r="I162" s="2064">
        <v>90.924000000000049</v>
      </c>
      <c r="J162" s="2065">
        <v>97.79000000000002</v>
      </c>
      <c r="K162" s="2065">
        <v>101.58099999999996</v>
      </c>
      <c r="L162" s="2065">
        <v>125.97599999999993</v>
      </c>
      <c r="M162" s="2066">
        <v>416.27100000000007</v>
      </c>
      <c r="N162" s="2066"/>
      <c r="O162" s="2064">
        <v>90.407000000000011</v>
      </c>
      <c r="P162" s="2065">
        <v>95.277999999999992</v>
      </c>
      <c r="Q162" s="2065">
        <v>98.835000000000022</v>
      </c>
      <c r="R162" s="2065">
        <v>131.44099999999997</v>
      </c>
      <c r="S162" s="2066">
        <v>415.96100000000013</v>
      </c>
      <c r="T162" s="2066"/>
      <c r="U162" s="2064">
        <v>96.998999999999995</v>
      </c>
      <c r="V162" s="2065">
        <v>110.176</v>
      </c>
      <c r="W162" s="2065">
        <v>111.223</v>
      </c>
      <c r="X162" s="2065">
        <v>152.94</v>
      </c>
      <c r="Y162" s="2066">
        <v>471.33800000000008</v>
      </c>
      <c r="Z162" s="2066"/>
      <c r="AA162" s="2064">
        <v>118.39600000000002</v>
      </c>
      <c r="AB162" s="2065">
        <v>123.07100000000005</v>
      </c>
      <c r="AC162" s="2065">
        <v>132.63300000000001</v>
      </c>
      <c r="AD162" s="2065">
        <v>169.23299999999998</v>
      </c>
      <c r="AE162" s="2066">
        <v>543.33300000000008</v>
      </c>
      <c r="AF162" s="2066"/>
      <c r="AG162" s="2064">
        <v>113.21300000000002</v>
      </c>
      <c r="AH162" s="2065">
        <v>130.226</v>
      </c>
      <c r="AI162" s="2065">
        <v>130.12200000000001</v>
      </c>
      <c r="AJ162" s="2065">
        <v>168.01299999999992</v>
      </c>
      <c r="AK162" s="2066">
        <v>541.57400000000007</v>
      </c>
      <c r="AL162" s="2066"/>
      <c r="AM162" s="2064">
        <v>112.87100000000004</v>
      </c>
      <c r="AN162" s="2065">
        <v>117.98500000000001</v>
      </c>
      <c r="AO162" s="2065">
        <v>124.43500000000003</v>
      </c>
      <c r="AP162" s="2065">
        <v>181.51499999999993</v>
      </c>
      <c r="AQ162" s="2066">
        <v>536.80600000000004</v>
      </c>
      <c r="AR162" s="2066"/>
      <c r="AS162" s="2064">
        <v>99.725999999999971</v>
      </c>
      <c r="AT162" s="2065">
        <v>127.08899999999997</v>
      </c>
      <c r="AU162" s="2065">
        <v>141.62900000000005</v>
      </c>
      <c r="AV162" s="2065">
        <v>193.25099999999998</v>
      </c>
      <c r="AW162" s="2066">
        <v>561.69499999999994</v>
      </c>
      <c r="AX162" s="2066"/>
      <c r="AY162" s="2064">
        <v>123.72800000000004</v>
      </c>
      <c r="AZ162" s="2065">
        <v>134.834</v>
      </c>
      <c r="BA162" s="2065">
        <v>140.14799999999994</v>
      </c>
      <c r="BB162" s="2065">
        <v>194.113</v>
      </c>
      <c r="BC162" s="2066">
        <v>592.82299999999987</v>
      </c>
      <c r="BD162" s="2066"/>
      <c r="BE162" s="2064">
        <v>125.99899999999997</v>
      </c>
      <c r="BF162" s="2065">
        <v>156.00199999999992</v>
      </c>
      <c r="BG162" s="2065">
        <v>155.17100000000005</v>
      </c>
      <c r="BH162" s="2065">
        <v>214.52099999999996</v>
      </c>
      <c r="BI162" s="2066">
        <v>651.69299999999976</v>
      </c>
      <c r="BJ162" s="2066"/>
      <c r="BK162" s="2064">
        <v>134.94600000000003</v>
      </c>
      <c r="BL162" s="2065">
        <v>167.15899999999999</v>
      </c>
      <c r="BM162" s="2065">
        <v>167.10099999999994</v>
      </c>
      <c r="BN162" s="2065">
        <v>235.73599999999988</v>
      </c>
      <c r="BO162" s="2066">
        <v>704.94200000000012</v>
      </c>
      <c r="BP162" s="2066"/>
      <c r="BQ162" s="2064">
        <v>148.15746596153573</v>
      </c>
      <c r="BR162" s="2065">
        <v>183.72073989574241</v>
      </c>
      <c r="BS162" s="2065">
        <v>179.51801096041916</v>
      </c>
      <c r="BT162" s="2065">
        <v>253.285085114314</v>
      </c>
      <c r="BU162" s="2066">
        <v>764.68130193201148</v>
      </c>
      <c r="BV162" s="2066"/>
      <c r="BW162" s="2064">
        <v>159.23510132833547</v>
      </c>
      <c r="BX162" s="2065">
        <v>195.98023641387536</v>
      </c>
      <c r="BY162" s="2065">
        <v>191.03563790585858</v>
      </c>
      <c r="BZ162" s="2065">
        <v>267.58150190825859</v>
      </c>
      <c r="CA162" s="2066">
        <v>813.83247755632806</v>
      </c>
      <c r="CB162" s="2066"/>
      <c r="CC162" s="2064">
        <v>169.79412169426482</v>
      </c>
      <c r="CD162" s="2065">
        <v>207.39138047421636</v>
      </c>
      <c r="CE162" s="2065">
        <v>201.98178699944248</v>
      </c>
      <c r="CF162" s="2065">
        <v>280.81162757981889</v>
      </c>
      <c r="CG162" s="2066">
        <v>859.9789167477428</v>
      </c>
      <c r="CH162" s="2066"/>
      <c r="CI162" s="2064">
        <v>181.04460739751306</v>
      </c>
      <c r="CJ162" s="2065">
        <v>219.46573280039999</v>
      </c>
      <c r="CK162" s="2065">
        <v>213.55258383385649</v>
      </c>
      <c r="CL162" s="2065">
        <v>294.74462789866487</v>
      </c>
      <c r="CM162" s="2066">
        <v>908.80755193043456</v>
      </c>
      <c r="CP162"/>
      <c r="CQ162"/>
      <c r="CR162"/>
      <c r="CS162"/>
      <c r="CT162"/>
      <c r="CU162"/>
    </row>
    <row r="163" spans="1:99" s="73" customFormat="1">
      <c r="A163" s="73" t="s">
        <v>117</v>
      </c>
      <c r="C163" s="2068"/>
      <c r="D163" s="2068"/>
      <c r="E163" s="2068"/>
      <c r="F163" s="2068"/>
      <c r="G163" s="2069">
        <f>+IS!G77</f>
        <v>0.1696421941137157</v>
      </c>
      <c r="H163" s="2069"/>
      <c r="I163" s="2067">
        <f>+IS!I77</f>
        <v>0.13337739661250103</v>
      </c>
      <c r="J163" s="2068">
        <f>+IS!J77</f>
        <v>0.13337739661250103</v>
      </c>
      <c r="K163" s="2068">
        <f>+IS!K77</f>
        <v>0.13337739661250103</v>
      </c>
      <c r="L163" s="2068">
        <f>+IS!L77</f>
        <v>0.13337739661250103</v>
      </c>
      <c r="M163" s="2069">
        <f>+IS!M77</f>
        <v>0.13337739661250103</v>
      </c>
      <c r="N163" s="2069"/>
      <c r="O163" s="2067">
        <f>+IS!O77</f>
        <v>0.16660718165171784</v>
      </c>
      <c r="P163" s="2068">
        <f>+IS!P77</f>
        <v>0.16660718165171784</v>
      </c>
      <c r="Q163" s="2068">
        <f>+IS!Q77</f>
        <v>0.16660718165171784</v>
      </c>
      <c r="R163" s="2068">
        <f>+IS!R77</f>
        <v>0.16660718165171784</v>
      </c>
      <c r="S163" s="2069">
        <f>+IS!S77</f>
        <v>0.16660718165171784</v>
      </c>
      <c r="T163" s="2069"/>
      <c r="U163" s="2067">
        <f>+IS!U77</f>
        <v>0.13293884160114014</v>
      </c>
      <c r="V163" s="2068">
        <f>+IS!V77</f>
        <v>0.13293884160114014</v>
      </c>
      <c r="W163" s="2068">
        <f>+IS!W77</f>
        <v>0.13293884160114014</v>
      </c>
      <c r="X163" s="2068">
        <f>+IS!X77</f>
        <v>0.13293884160114014</v>
      </c>
      <c r="Y163" s="2069">
        <f>+IS!Y77</f>
        <v>0.13293884160114014</v>
      </c>
      <c r="Z163" s="2069"/>
      <c r="AA163" s="2067">
        <f>+IS!AA77</f>
        <v>0.13293884160114014</v>
      </c>
      <c r="AB163" s="2068">
        <f>+IS!AB77</f>
        <v>0.13293884160114014</v>
      </c>
      <c r="AC163" s="2068">
        <f>+IS!AC77</f>
        <v>0.13293884160114014</v>
      </c>
      <c r="AD163" s="2068">
        <f>+IS!AD77</f>
        <v>0.13207801766437685</v>
      </c>
      <c r="AE163" s="2069">
        <f>+IS!AE77</f>
        <v>0.15178106243499334</v>
      </c>
      <c r="AF163" s="2069"/>
      <c r="AG163" s="2067">
        <f>+IS!AG77</f>
        <v>0.15744573964331893</v>
      </c>
      <c r="AH163" s="2068">
        <f>+IS!AH77</f>
        <v>0.13293884160114014</v>
      </c>
      <c r="AI163" s="2068">
        <f>+IS!AI77</f>
        <v>0.13293884160114014</v>
      </c>
      <c r="AJ163" s="2068">
        <f>+IS!AJ77</f>
        <v>0.13754639940608768</v>
      </c>
      <c r="AK163" s="2069">
        <f>+IS!AK77</f>
        <v>0.15240608140866779</v>
      </c>
      <c r="AL163" s="2069"/>
      <c r="AM163" s="2067">
        <f>+IS!AM77</f>
        <v>0.12590644971133955</v>
      </c>
      <c r="AN163" s="2068">
        <f>+IS!AN77</f>
        <v>0.14966048232417348</v>
      </c>
      <c r="AO163" s="2068">
        <f>+IS!AO77</f>
        <v>0.12900027960651733</v>
      </c>
      <c r="AP163" s="2068">
        <f>+IS!AP77</f>
        <v>0.16293662653223642</v>
      </c>
      <c r="AQ163" s="2069">
        <f>+IS!AQ77</f>
        <v>0.14444392112534538</v>
      </c>
      <c r="AR163" s="2069"/>
      <c r="AS163" s="2067">
        <f>+IS!AS77</f>
        <v>0.16088371844815633</v>
      </c>
      <c r="AT163" s="2068">
        <f>+IS!AT77</f>
        <v>0.14027711102650267</v>
      </c>
      <c r="AU163" s="2068">
        <f>+IS!AU77</f>
        <v>0.13055259847091838</v>
      </c>
      <c r="AV163" s="2068">
        <f>+IS!AV77</f>
        <v>9.9652637531303018E-2</v>
      </c>
      <c r="AW163" s="2069">
        <f>+IS!AW77</f>
        <v>0.12733313752158451</v>
      </c>
      <c r="AX163" s="2069"/>
      <c r="AY163" s="2067">
        <f>+IS!AY77</f>
        <v>0.13619089100116999</v>
      </c>
      <c r="AZ163" s="2068">
        <f>+IS!AZ77</f>
        <v>0.14557090296832126</v>
      </c>
      <c r="BA163" s="2068">
        <f>+IS!BA77</f>
        <v>0.12417548761083769</v>
      </c>
      <c r="BB163" s="2068">
        <f>+IS!BB77</f>
        <v>0.14264822407640806</v>
      </c>
      <c r="BC163" s="2069">
        <f>+IS!BC77</f>
        <v>0.1376172017535974</v>
      </c>
      <c r="BD163" s="2069"/>
      <c r="BE163" s="2067">
        <f>+IS!BE77</f>
        <v>0.1366209040819559</v>
      </c>
      <c r="BF163" s="2068">
        <f>+IS!BF77</f>
        <v>0.13910948573869178</v>
      </c>
      <c r="BG163" s="2068">
        <f>+IS!BG77</f>
        <v>0.14379071797971651</v>
      </c>
      <c r="BH163" s="2068">
        <f>+IS!BH77</f>
        <v>0.14253347064881569</v>
      </c>
      <c r="BI163" s="2069">
        <f>+IS!BI77</f>
        <v>0.14088367853021994</v>
      </c>
      <c r="BJ163" s="2069"/>
      <c r="BK163" s="2067">
        <f>+IS!BK77</f>
        <v>9.2224692044086301E-2</v>
      </c>
      <c r="BL163" s="2068">
        <f>+IS!BL77</f>
        <v>0.11904289979311969</v>
      </c>
      <c r="BM163" s="2068">
        <f>+IS!BM77</f>
        <v>0.12153187493435974</v>
      </c>
      <c r="BN163" s="2068">
        <f>+IS!BN77</f>
        <v>0.1282554560232422</v>
      </c>
      <c r="BO163" s="2069">
        <f>+IS!BO77</f>
        <v>0.11766769319814491</v>
      </c>
      <c r="BP163" s="2069"/>
      <c r="BQ163" s="2067">
        <f>+IS!BQ77</f>
        <v>0.14699999999999999</v>
      </c>
      <c r="BR163" s="2068">
        <f>+IS!BR77</f>
        <v>0.14000000000000001</v>
      </c>
      <c r="BS163" s="2068">
        <f>+IS!BS77</f>
        <v>0.14000000000000001</v>
      </c>
      <c r="BT163" s="2068">
        <f>+IS!BT77</f>
        <v>0.14000000000000001</v>
      </c>
      <c r="BU163" s="2069">
        <f>+IS!BU77</f>
        <v>0.14135693443552774</v>
      </c>
      <c r="BV163" s="2069"/>
      <c r="BW163" s="2067">
        <f>+IS!BW77</f>
        <v>0.14000000000000001</v>
      </c>
      <c r="BX163" s="2068">
        <f>+IS!BX77</f>
        <v>0.14000000000000001</v>
      </c>
      <c r="BY163" s="2068">
        <f>+IS!BY77</f>
        <v>0.14000000000000001</v>
      </c>
      <c r="BZ163" s="2068">
        <f>+IS!BZ77</f>
        <v>0.14000000000000001</v>
      </c>
      <c r="CA163" s="2069">
        <f>+IS!CA77</f>
        <v>0.13999999999999999</v>
      </c>
      <c r="CB163" s="2069"/>
      <c r="CC163" s="2067">
        <f>+IS!CC77</f>
        <v>0.14000000000000001</v>
      </c>
      <c r="CD163" s="2068">
        <f>+IS!CD77</f>
        <v>0.14000000000000001</v>
      </c>
      <c r="CE163" s="2068">
        <f>+IS!CE77</f>
        <v>0.14000000000000001</v>
      </c>
      <c r="CF163" s="2068">
        <f>+IS!CF77</f>
        <v>0.14000000000000001</v>
      </c>
      <c r="CG163" s="2069">
        <f>+IS!CG77</f>
        <v>0.13999999999999999</v>
      </c>
      <c r="CH163" s="2069"/>
      <c r="CI163" s="2067">
        <f>+IS!CI77</f>
        <v>0.14000000000000001</v>
      </c>
      <c r="CJ163" s="2068">
        <f>+IS!CJ77</f>
        <v>0.14000000000000001</v>
      </c>
      <c r="CK163" s="2068">
        <f>+IS!CK77</f>
        <v>0.14000000000000001</v>
      </c>
      <c r="CL163" s="2068">
        <f>+IS!CL77</f>
        <v>0.14000000000000001</v>
      </c>
      <c r="CM163" s="2069">
        <f>+IS!CM77</f>
        <v>0.13999999999999999</v>
      </c>
      <c r="CP163"/>
      <c r="CQ163"/>
      <c r="CR163"/>
      <c r="CS163"/>
      <c r="CT163"/>
      <c r="CU163"/>
    </row>
    <row r="164" spans="1:99" s="73" customFormat="1">
      <c r="A164" s="73" t="s">
        <v>572</v>
      </c>
      <c r="C164" s="2071"/>
      <c r="D164" s="2071"/>
      <c r="E164" s="2071"/>
      <c r="F164" s="2071"/>
      <c r="G164" s="2072">
        <f>G162*G163</f>
        <v>62.723674493799336</v>
      </c>
      <c r="I164" s="2070">
        <f>I162*I163</f>
        <v>12.12720640959505</v>
      </c>
      <c r="J164" s="2071">
        <f t="shared" ref="J164:M164" si="48">J162*J163</f>
        <v>13.042975614736479</v>
      </c>
      <c r="K164" s="2071">
        <f t="shared" si="48"/>
        <v>13.548609325294462</v>
      </c>
      <c r="L164" s="2071">
        <f t="shared" si="48"/>
        <v>16.802350915656419</v>
      </c>
      <c r="M164" s="2072">
        <f t="shared" si="48"/>
        <v>55.521142265282428</v>
      </c>
      <c r="O164" s="2070">
        <f>O162*O163</f>
        <v>15.062455471586857</v>
      </c>
      <c r="P164" s="2071">
        <f t="shared" ref="P164:S164" si="49">P162*P163</f>
        <v>15.873999053412371</v>
      </c>
      <c r="Q164" s="2071">
        <f t="shared" si="49"/>
        <v>16.466620798547538</v>
      </c>
      <c r="R164" s="2071">
        <f t="shared" si="49"/>
        <v>21.899014563483441</v>
      </c>
      <c r="S164" s="2072">
        <f t="shared" si="49"/>
        <v>69.30208988703022</v>
      </c>
      <c r="U164" s="2070">
        <f>U162*U163</f>
        <v>12.894934696468992</v>
      </c>
      <c r="V164" s="2071">
        <f t="shared" ref="V164:Y164" si="50">V162*V163</f>
        <v>14.646669812247216</v>
      </c>
      <c r="W164" s="2071">
        <f t="shared" si="50"/>
        <v>14.785856779403609</v>
      </c>
      <c r="X164" s="2071">
        <f t="shared" si="50"/>
        <v>20.331666434478372</v>
      </c>
      <c r="Y164" s="2072">
        <f t="shared" si="50"/>
        <v>62.6591277225982</v>
      </c>
      <c r="AA164" s="2070">
        <f>AA162*AA163</f>
        <v>15.73942709020859</v>
      </c>
      <c r="AB164" s="2071">
        <f t="shared" ref="AB164:AE164" si="51">AB162*AB163</f>
        <v>16.360916174693926</v>
      </c>
      <c r="AC164" s="2071">
        <f t="shared" si="51"/>
        <v>17.63207737808402</v>
      </c>
      <c r="AD164" s="2071">
        <f t="shared" si="51"/>
        <v>22.351959163395485</v>
      </c>
      <c r="AE164" s="2072">
        <f t="shared" si="51"/>
        <v>82.46765999599225</v>
      </c>
      <c r="AG164" s="2070">
        <f>AG162*AG163</f>
        <v>17.82490452223907</v>
      </c>
      <c r="AH164" s="2071">
        <f t="shared" ref="AH164:AK164" si="52">AH162*AH163</f>
        <v>17.312093586350077</v>
      </c>
      <c r="AI164" s="2071">
        <f t="shared" si="52"/>
        <v>17.298267946823557</v>
      </c>
      <c r="AJ164" s="2071">
        <f t="shared" si="52"/>
        <v>23.109583203414999</v>
      </c>
      <c r="AK164" s="2072">
        <f t="shared" si="52"/>
        <v>82.539171132817856</v>
      </c>
      <c r="AM164" s="2070">
        <f>AM162*AM163</f>
        <v>14.21118688536861</v>
      </c>
      <c r="AN164" s="2071">
        <f t="shared" ref="AN164:AQ164" si="53">AN162*AN163</f>
        <v>17.657692007017609</v>
      </c>
      <c r="AO164" s="2071">
        <f t="shared" si="53"/>
        <v>16.052149792836989</v>
      </c>
      <c r="AP164" s="2071">
        <f t="shared" si="53"/>
        <v>29.575441764998882</v>
      </c>
      <c r="AQ164" s="2072">
        <f t="shared" si="53"/>
        <v>77.538363523612162</v>
      </c>
      <c r="AS164" s="2070">
        <f>AS162*AS163</f>
        <v>16.044289705960832</v>
      </c>
      <c r="AT164" s="2071">
        <f t="shared" ref="AT164:AW164" si="54">AT162*AT163</f>
        <v>17.827677763247195</v>
      </c>
      <c r="AU164" s="2071">
        <f t="shared" si="54"/>
        <v>18.490033968837704</v>
      </c>
      <c r="AV164" s="2071">
        <f t="shared" si="54"/>
        <v>19.257971855561838</v>
      </c>
      <c r="AW164" s="2072">
        <f t="shared" si="54"/>
        <v>71.522386680186401</v>
      </c>
      <c r="AY164" s="2070">
        <f>AY162*AY163</f>
        <v>16.850626561792765</v>
      </c>
      <c r="AZ164" s="2071">
        <f t="shared" ref="AZ164:BC164" si="55">AZ162*AZ163</f>
        <v>19.627907130830629</v>
      </c>
      <c r="BA164" s="2071">
        <f t="shared" si="55"/>
        <v>17.402946237683672</v>
      </c>
      <c r="BB164" s="2071">
        <f t="shared" si="55"/>
        <v>27.689874720143798</v>
      </c>
      <c r="BC164" s="2072">
        <f t="shared" si="55"/>
        <v>81.582642395172854</v>
      </c>
      <c r="BE164" s="2070">
        <f>BE162*BE163</f>
        <v>17.214097293422356</v>
      </c>
      <c r="BF164" s="2071">
        <f t="shared" ref="BF164:BI164" si="56">BF162*BF163</f>
        <v>21.701357994207385</v>
      </c>
      <c r="BG164" s="2071">
        <f t="shared" si="56"/>
        <v>22.3121494996306</v>
      </c>
      <c r="BH164" s="2071">
        <f t="shared" si="56"/>
        <v>30.576422657054586</v>
      </c>
      <c r="BI164" s="2072">
        <f t="shared" si="56"/>
        <v>91.812907112394583</v>
      </c>
      <c r="BK164" s="2070">
        <f>BK162*BK163</f>
        <v>12.445353292581272</v>
      </c>
      <c r="BL164" s="2071">
        <f t="shared" ref="BL164:BO164" si="57">BL162*BL163</f>
        <v>19.899092086518092</v>
      </c>
      <c r="BM164" s="2071">
        <f t="shared" si="57"/>
        <v>20.308097833406439</v>
      </c>
      <c r="BN164" s="2071">
        <f t="shared" si="57"/>
        <v>30.234428181095009</v>
      </c>
      <c r="BO164" s="2072">
        <f t="shared" si="57"/>
        <v>82.948898978486682</v>
      </c>
      <c r="BQ164" s="2070">
        <f>BQ162*BQ163</f>
        <v>21.77914749634575</v>
      </c>
      <c r="BR164" s="2071">
        <f t="shared" ref="BR164:BU164" si="58">BR162*BR163</f>
        <v>25.720903585403939</v>
      </c>
      <c r="BS164" s="2071">
        <f t="shared" si="58"/>
        <v>25.132521534458686</v>
      </c>
      <c r="BT164" s="2071">
        <f t="shared" si="58"/>
        <v>35.459911916003961</v>
      </c>
      <c r="BU164" s="2072">
        <f t="shared" si="58"/>
        <v>108.09300466127733</v>
      </c>
      <c r="BW164" s="2070">
        <f>BW162*BW163</f>
        <v>22.292914185966968</v>
      </c>
      <c r="BX164" s="2071">
        <f t="shared" ref="BX164:CA164" si="59">BX162*BX163</f>
        <v>27.437233097942553</v>
      </c>
      <c r="BY164" s="2071">
        <f t="shared" si="59"/>
        <v>26.744989306820205</v>
      </c>
      <c r="BZ164" s="2071">
        <f t="shared" si="59"/>
        <v>37.461410267156204</v>
      </c>
      <c r="CA164" s="2072">
        <f t="shared" si="59"/>
        <v>113.93654685788592</v>
      </c>
      <c r="CC164" s="2070">
        <f>CC162*CC163</f>
        <v>23.771177037197077</v>
      </c>
      <c r="CD164" s="2071">
        <f t="shared" ref="CD164:CG164" si="60">CD162*CD163</f>
        <v>29.034793266390292</v>
      </c>
      <c r="CE164" s="2071">
        <f t="shared" si="60"/>
        <v>28.277450179921949</v>
      </c>
      <c r="CF164" s="2071">
        <f t="shared" si="60"/>
        <v>39.313627861174645</v>
      </c>
      <c r="CG164" s="2072">
        <f t="shared" si="60"/>
        <v>120.39704834468398</v>
      </c>
      <c r="CI164" s="2070">
        <f>CI162*CI163</f>
        <v>25.34624503565183</v>
      </c>
      <c r="CJ164" s="2071">
        <f t="shared" ref="CJ164:CM164" si="61">CJ162*CJ163</f>
        <v>30.725202592056</v>
      </c>
      <c r="CK164" s="2071">
        <f t="shared" si="61"/>
        <v>29.89736173673991</v>
      </c>
      <c r="CL164" s="2071">
        <f t="shared" si="61"/>
        <v>41.264247905813086</v>
      </c>
      <c r="CM164" s="2072">
        <f t="shared" si="61"/>
        <v>127.23305727026083</v>
      </c>
      <c r="CP164"/>
      <c r="CQ164"/>
      <c r="CR164"/>
      <c r="CS164"/>
      <c r="CT164"/>
      <c r="CU164"/>
    </row>
    <row r="165" spans="1:99" s="73" customFormat="1">
      <c r="A165" s="1065" t="s">
        <v>573</v>
      </c>
      <c r="B165" s="1065"/>
      <c r="C165" s="2074"/>
      <c r="D165" s="2074"/>
      <c r="E165" s="2074"/>
      <c r="F165" s="2074"/>
      <c r="G165" s="2075">
        <f t="shared" ref="G165" si="62">G162-G164</f>
        <v>307.01732550620056</v>
      </c>
      <c r="H165" s="1065"/>
      <c r="I165" s="2073">
        <f>I162-I164</f>
        <v>78.796793590405002</v>
      </c>
      <c r="J165" s="2074">
        <f t="shared" ref="J165:M165" si="63">J162-J164</f>
        <v>84.747024385263543</v>
      </c>
      <c r="K165" s="2074">
        <f t="shared" si="63"/>
        <v>88.032390674705496</v>
      </c>
      <c r="L165" s="2074">
        <f t="shared" si="63"/>
        <v>109.17364908434351</v>
      </c>
      <c r="M165" s="2075">
        <f t="shared" si="63"/>
        <v>360.74985773471764</v>
      </c>
      <c r="N165" s="1065"/>
      <c r="O165" s="2073">
        <f>O162-O164</f>
        <v>75.344544528413152</v>
      </c>
      <c r="P165" s="2074">
        <f t="shared" ref="P165:S165" si="64">P162-P164</f>
        <v>79.404000946587615</v>
      </c>
      <c r="Q165" s="2074">
        <f t="shared" si="64"/>
        <v>82.368379201452484</v>
      </c>
      <c r="R165" s="2074">
        <f t="shared" si="64"/>
        <v>109.54198543651654</v>
      </c>
      <c r="S165" s="2075">
        <f t="shared" si="64"/>
        <v>346.65891011296992</v>
      </c>
      <c r="T165" s="1065"/>
      <c r="U165" s="2073">
        <f>U162-U164</f>
        <v>84.104065303531002</v>
      </c>
      <c r="V165" s="2074">
        <f t="shared" ref="V165:Y165" si="65">V162-V164</f>
        <v>95.529330187752791</v>
      </c>
      <c r="W165" s="2074">
        <f t="shared" si="65"/>
        <v>96.437143220596397</v>
      </c>
      <c r="X165" s="2074">
        <f t="shared" si="65"/>
        <v>132.60833356552163</v>
      </c>
      <c r="Y165" s="2075">
        <f t="shared" si="65"/>
        <v>408.67887227740187</v>
      </c>
      <c r="Z165" s="1065"/>
      <c r="AA165" s="2073">
        <f>AA162-AA164</f>
        <v>102.65657290979142</v>
      </c>
      <c r="AB165" s="2074">
        <f t="shared" ref="AB165:AE165" si="66">AB162-AB164</f>
        <v>106.71008382530613</v>
      </c>
      <c r="AC165" s="2074">
        <f t="shared" si="66"/>
        <v>115.00092262191599</v>
      </c>
      <c r="AD165" s="2074">
        <f t="shared" si="66"/>
        <v>146.88104083660448</v>
      </c>
      <c r="AE165" s="2075">
        <f t="shared" si="66"/>
        <v>460.86534000400786</v>
      </c>
      <c r="AF165" s="1065"/>
      <c r="AG165" s="2073">
        <f>AG162-AG164</f>
        <v>95.388095477760956</v>
      </c>
      <c r="AH165" s="2074">
        <f t="shared" ref="AH165:AK165" si="67">AH162-AH164</f>
        <v>112.91390641364993</v>
      </c>
      <c r="AI165" s="2074">
        <f t="shared" si="67"/>
        <v>112.82373205317646</v>
      </c>
      <c r="AJ165" s="2074">
        <f t="shared" si="67"/>
        <v>144.90341679658491</v>
      </c>
      <c r="AK165" s="2075">
        <f t="shared" si="67"/>
        <v>459.03482886718223</v>
      </c>
      <c r="AL165" s="1065"/>
      <c r="AM165" s="2073">
        <f>AM162-AM164</f>
        <v>98.659813114631433</v>
      </c>
      <c r="AN165" s="2074">
        <f t="shared" ref="AN165:AQ165" si="68">AN162-AN164</f>
        <v>100.32730799298241</v>
      </c>
      <c r="AO165" s="2074">
        <f t="shared" si="68"/>
        <v>108.38285020716305</v>
      </c>
      <c r="AP165" s="2074">
        <f t="shared" si="68"/>
        <v>151.93955823500104</v>
      </c>
      <c r="AQ165" s="2075">
        <f t="shared" si="68"/>
        <v>459.26763647638791</v>
      </c>
      <c r="AR165" s="1065"/>
      <c r="AS165" s="2073">
        <f>AS162-AS164</f>
        <v>83.681710294039135</v>
      </c>
      <c r="AT165" s="2074">
        <f t="shared" ref="AT165:AW165" si="69">AT162-AT164</f>
        <v>109.26132223675278</v>
      </c>
      <c r="AU165" s="2074">
        <f t="shared" si="69"/>
        <v>123.13896603116234</v>
      </c>
      <c r="AV165" s="2074">
        <f t="shared" si="69"/>
        <v>173.99302814443814</v>
      </c>
      <c r="AW165" s="2075">
        <f t="shared" si="69"/>
        <v>490.17261331981354</v>
      </c>
      <c r="AX165" s="1065"/>
      <c r="AY165" s="2073">
        <f>AY162-AY164</f>
        <v>106.87737343820727</v>
      </c>
      <c r="AZ165" s="2074">
        <f t="shared" ref="AZ165:BC165" si="70">AZ162-AZ164</f>
        <v>115.20609286916937</v>
      </c>
      <c r="BA165" s="2074">
        <f t="shared" si="70"/>
        <v>122.74505376231627</v>
      </c>
      <c r="BB165" s="2074">
        <f t="shared" si="70"/>
        <v>166.42312527985621</v>
      </c>
      <c r="BC165" s="2075">
        <f t="shared" si="70"/>
        <v>511.24035760482701</v>
      </c>
      <c r="BD165" s="1065"/>
      <c r="BE165" s="2073">
        <f>BE162-BE164</f>
        <v>108.78490270657761</v>
      </c>
      <c r="BF165" s="2074">
        <f t="shared" ref="BF165:BI165" si="71">BF162-BF164</f>
        <v>134.30064200579255</v>
      </c>
      <c r="BG165" s="2074">
        <f t="shared" si="71"/>
        <v>132.85885050036944</v>
      </c>
      <c r="BH165" s="2074">
        <f t="shared" si="71"/>
        <v>183.94457734294537</v>
      </c>
      <c r="BI165" s="2075">
        <f t="shared" si="71"/>
        <v>559.8800928876052</v>
      </c>
      <c r="BJ165" s="1065"/>
      <c r="BK165" s="2073">
        <f>BK162-BK164</f>
        <v>122.50064670741875</v>
      </c>
      <c r="BL165" s="2074">
        <f t="shared" ref="BL165:BO165" si="72">BL162-BL164</f>
        <v>147.2599079134819</v>
      </c>
      <c r="BM165" s="2074">
        <f t="shared" si="72"/>
        <v>146.79290216659351</v>
      </c>
      <c r="BN165" s="2074">
        <f t="shared" si="72"/>
        <v>205.50157181890486</v>
      </c>
      <c r="BO165" s="2075">
        <f t="shared" si="72"/>
        <v>621.99310102151344</v>
      </c>
      <c r="BP165" s="1065"/>
      <c r="BQ165" s="2073">
        <f>BQ162-BQ164</f>
        <v>126.37831846518998</v>
      </c>
      <c r="BR165" s="2074">
        <f t="shared" ref="BR165:BU165" si="73">BR162-BR164</f>
        <v>157.99983631033848</v>
      </c>
      <c r="BS165" s="2074">
        <f t="shared" si="73"/>
        <v>154.38548942596049</v>
      </c>
      <c r="BT165" s="2074">
        <f t="shared" si="73"/>
        <v>217.82517319831004</v>
      </c>
      <c r="BU165" s="2075">
        <f t="shared" si="73"/>
        <v>656.58829727073419</v>
      </c>
      <c r="BV165" s="1065"/>
      <c r="BW165" s="2073">
        <f>BW162-BW164</f>
        <v>136.94218714236851</v>
      </c>
      <c r="BX165" s="2074">
        <f t="shared" ref="BX165:CA165" si="74">BX162-BX164</f>
        <v>168.54300331593282</v>
      </c>
      <c r="BY165" s="2074">
        <f t="shared" si="74"/>
        <v>164.29064859903838</v>
      </c>
      <c r="BZ165" s="2074">
        <f t="shared" si="74"/>
        <v>230.12009164110239</v>
      </c>
      <c r="CA165" s="2075">
        <f t="shared" si="74"/>
        <v>699.89593069844216</v>
      </c>
      <c r="CB165" s="1065"/>
      <c r="CC165" s="2073">
        <f>CC162-CC164</f>
        <v>146.02294465706774</v>
      </c>
      <c r="CD165" s="2074">
        <f t="shared" ref="CD165:CG165" si="75">CD162-CD164</f>
        <v>178.35658720782607</v>
      </c>
      <c r="CE165" s="2074">
        <f t="shared" si="75"/>
        <v>173.70433681952053</v>
      </c>
      <c r="CF165" s="2074">
        <f t="shared" si="75"/>
        <v>241.49799971864425</v>
      </c>
      <c r="CG165" s="2075">
        <f t="shared" si="75"/>
        <v>739.58186840305882</v>
      </c>
      <c r="CH165" s="1065"/>
      <c r="CI165" s="2073">
        <f>CI162-CI164</f>
        <v>155.69836236186123</v>
      </c>
      <c r="CJ165" s="2074">
        <f t="shared" ref="CJ165:CM165" si="76">CJ162-CJ164</f>
        <v>188.74053020834398</v>
      </c>
      <c r="CK165" s="2074">
        <f t="shared" si="76"/>
        <v>183.65522209711656</v>
      </c>
      <c r="CL165" s="2074">
        <f t="shared" si="76"/>
        <v>253.48037999285179</v>
      </c>
      <c r="CM165" s="2075">
        <f t="shared" si="76"/>
        <v>781.57449466017374</v>
      </c>
      <c r="CP165"/>
      <c r="CQ165"/>
      <c r="CR165"/>
      <c r="CS165"/>
      <c r="CT165"/>
      <c r="CU165"/>
    </row>
    <row r="166" spans="1:99" s="73" customFormat="1">
      <c r="A166" s="1065" t="s">
        <v>574</v>
      </c>
      <c r="B166" s="1065"/>
      <c r="C166" s="2077"/>
      <c r="D166" s="2077"/>
      <c r="E166" s="2077"/>
      <c r="F166" s="2077"/>
      <c r="G166" s="2078">
        <f t="shared" ref="G166" si="77">G165/G161</f>
        <v>0.2084231644224768</v>
      </c>
      <c r="H166" s="1065"/>
      <c r="I166" s="2076">
        <f>I165/I161</f>
        <v>0.21182047642838131</v>
      </c>
      <c r="J166" s="2077">
        <f t="shared" ref="J166:M166" si="78">J165/J161</f>
        <v>0.21267306017858525</v>
      </c>
      <c r="K166" s="2077">
        <f t="shared" si="78"/>
        <v>0.22788017570009969</v>
      </c>
      <c r="L166" s="2077">
        <f t="shared" si="78"/>
        <v>0.26097432197074455</v>
      </c>
      <c r="M166" s="2078">
        <f t="shared" si="78"/>
        <v>0.22902949719178783</v>
      </c>
      <c r="N166" s="1065"/>
      <c r="O166" s="2076">
        <f>O165/O161</f>
        <v>0.22622456711988864</v>
      </c>
      <c r="P166" s="2077">
        <f t="shared" ref="P166:S166" si="79">P165/P161</f>
        <v>0.2188420721883039</v>
      </c>
      <c r="Q166" s="2077">
        <f t="shared" si="79"/>
        <v>0.22025809826494194</v>
      </c>
      <c r="R166" s="2077">
        <f t="shared" si="79"/>
        <v>0.25543312650756572</v>
      </c>
      <c r="S166" s="2078">
        <f t="shared" si="79"/>
        <v>0.23130640562685656</v>
      </c>
      <c r="T166" s="1065"/>
      <c r="U166" s="2076">
        <f>U165/U161</f>
        <v>0.22873012048825403</v>
      </c>
      <c r="V166" s="2077">
        <f t="shared" ref="V166:Y166" si="80">V165/V161</f>
        <v>0.24428617505914205</v>
      </c>
      <c r="W166" s="2077">
        <f t="shared" si="80"/>
        <v>0.24046884140803712</v>
      </c>
      <c r="X166" s="2077">
        <f t="shared" si="80"/>
        <v>0.27422325574265505</v>
      </c>
      <c r="Y166" s="2078">
        <f t="shared" si="80"/>
        <v>0.24868326888901035</v>
      </c>
      <c r="Z166" s="1065"/>
      <c r="AA166" s="2076">
        <f>AA165/AA161</f>
        <v>0.24007449178277845</v>
      </c>
      <c r="AB166" s="2077">
        <f t="shared" ref="AB166:AE166" si="81">AB165/AB161</f>
        <v>0.23839063288252521</v>
      </c>
      <c r="AC166" s="2077">
        <f t="shared" si="81"/>
        <v>0.25300840558003579</v>
      </c>
      <c r="AD166" s="2077">
        <f t="shared" si="81"/>
        <v>0.2816942979490708</v>
      </c>
      <c r="AE166" s="2078">
        <f t="shared" si="81"/>
        <v>0.24895706747897986</v>
      </c>
      <c r="AF166" s="1065"/>
      <c r="AG166" s="2076">
        <f>AG165/AG161</f>
        <v>0.22686711984968999</v>
      </c>
      <c r="AH166" s="2077">
        <f t="shared" ref="AH166:AK166" si="82">AH165/AH161</f>
        <v>0.25010555948667101</v>
      </c>
      <c r="AI166" s="2077">
        <f t="shared" si="82"/>
        <v>0.25074615081870166</v>
      </c>
      <c r="AJ166" s="2077">
        <f t="shared" si="82"/>
        <v>0.27771724642193035</v>
      </c>
      <c r="AK166" s="2078">
        <f t="shared" si="82"/>
        <v>0.24898276229872421</v>
      </c>
      <c r="AL166" s="1065"/>
      <c r="AM166" s="2076">
        <f>AM165/AM161</f>
        <v>0.22926121586899467</v>
      </c>
      <c r="AN166" s="2077">
        <f t="shared" ref="AN166:AQ166" si="83">AN165/AN161</f>
        <v>0.22239851920903186</v>
      </c>
      <c r="AO166" s="2077">
        <f t="shared" si="83"/>
        <v>0.23699720370588245</v>
      </c>
      <c r="AP166" s="2077">
        <f t="shared" si="83"/>
        <v>0.26870650923692552</v>
      </c>
      <c r="AQ166" s="2078">
        <f t="shared" si="83"/>
        <v>0.24118437934962694</v>
      </c>
      <c r="AR166" s="1065"/>
      <c r="AS166" s="2076">
        <f>AS165/AS161</f>
        <v>0.19437899015590684</v>
      </c>
      <c r="AT166" s="2077">
        <f t="shared" ref="AT166:AW166" si="84">AT165/AT161</f>
        <v>0.22677686894953056</v>
      </c>
      <c r="AU166" s="2077">
        <f t="shared" si="84"/>
        <v>0.24969121091554011</v>
      </c>
      <c r="AV166" s="2077">
        <f t="shared" si="84"/>
        <v>0.29799960289865579</v>
      </c>
      <c r="AW166" s="2078">
        <f t="shared" si="84"/>
        <v>0.2463991211775407</v>
      </c>
      <c r="AX166" s="1065"/>
      <c r="AY166" s="2076">
        <f>AY165/AY161</f>
        <v>0.23213823823904065</v>
      </c>
      <c r="AZ166" s="2077">
        <f t="shared" ref="AZ166:BC166" si="85">AZ165/AZ161</f>
        <v>0.23286189285113265</v>
      </c>
      <c r="BA166" s="2077">
        <f t="shared" si="85"/>
        <v>0.24520664863880609</v>
      </c>
      <c r="BB166" s="2077">
        <f t="shared" si="85"/>
        <v>0.28370318487556673</v>
      </c>
      <c r="BC166" s="2078">
        <f t="shared" si="85"/>
        <v>0.25032186618278862</v>
      </c>
      <c r="BD166" s="1065"/>
      <c r="BE166" s="2076">
        <f>BE165/BE161</f>
        <v>0.22890230050663785</v>
      </c>
      <c r="BF166" s="2077">
        <f t="shared" ref="BF166:BI166" si="86">BF165/BF161</f>
        <v>0.25029939243661953</v>
      </c>
      <c r="BG166" s="2077">
        <f t="shared" si="86"/>
        <v>0.25218543078482514</v>
      </c>
      <c r="BH166" s="2077">
        <f t="shared" si="86"/>
        <v>0.29253877281646307</v>
      </c>
      <c r="BI166" s="2078">
        <f t="shared" si="86"/>
        <v>0.2583160245543234</v>
      </c>
      <c r="BJ166" s="1065"/>
      <c r="BK166" s="2076">
        <f>BK165/BK161</f>
        <v>0.24600054763934853</v>
      </c>
      <c r="BL166" s="2077">
        <f t="shared" ref="BL166:BO166" si="87">BL165/BL161</f>
        <v>0.26378846021223806</v>
      </c>
      <c r="BM166" s="2077">
        <f t="shared" si="87"/>
        <v>0.25954217616939929</v>
      </c>
      <c r="BN166" s="2077">
        <f t="shared" si="87"/>
        <v>0.29900923475887364</v>
      </c>
      <c r="BO166" s="2078">
        <f t="shared" si="87"/>
        <v>0.26936859691249643</v>
      </c>
      <c r="BP166" s="1065"/>
      <c r="BQ166" s="2076">
        <f>BQ165/BQ161</f>
        <v>0.23355398878220579</v>
      </c>
      <c r="BR166" s="2077">
        <f t="shared" ref="BR166:BU166" si="88">BR165/BR161</f>
        <v>0.26013795785635402</v>
      </c>
      <c r="BS166" s="2077">
        <f t="shared" si="88"/>
        <v>0.25664097577105904</v>
      </c>
      <c r="BT166" s="2077">
        <f t="shared" si="88"/>
        <v>0.29755282418620677</v>
      </c>
      <c r="BU166" s="2078">
        <f t="shared" si="88"/>
        <v>0.26452970593414921</v>
      </c>
      <c r="BV166" s="1065"/>
      <c r="BW166" s="2076">
        <f>BW165/BW161</f>
        <v>0.23751615143058791</v>
      </c>
      <c r="BX166" s="2077">
        <f t="shared" ref="BX166:CA166" si="89">BX165/BX161</f>
        <v>0.26214304698596974</v>
      </c>
      <c r="BY166" s="2077">
        <f t="shared" si="89"/>
        <v>0.2586531738026599</v>
      </c>
      <c r="BZ166" s="2077">
        <f t="shared" si="89"/>
        <v>0.29960863271491711</v>
      </c>
      <c r="CA166" s="2078">
        <f t="shared" si="89"/>
        <v>0.26685588702220547</v>
      </c>
      <c r="CB166" s="1065"/>
      <c r="CC166" s="2076">
        <f>CC165/CC161</f>
        <v>0.23947360546309215</v>
      </c>
      <c r="CD166" s="2077">
        <f t="shared" ref="CD166:CG166" si="90">CD165/CD161</f>
        <v>0.26404574091712213</v>
      </c>
      <c r="CE166" s="2077">
        <f t="shared" si="90"/>
        <v>0.26064966473173423</v>
      </c>
      <c r="CF166" s="2077">
        <f t="shared" si="90"/>
        <v>0.30162944660323604</v>
      </c>
      <c r="CG166" s="2078">
        <f t="shared" si="90"/>
        <v>0.26871260773027517</v>
      </c>
      <c r="CH166" s="1065"/>
      <c r="CI166" s="2076">
        <f>CI165/CI161</f>
        <v>0.24142957643480628</v>
      </c>
      <c r="CJ166" s="2077">
        <f t="shared" ref="CJ166:CM166" si="91">CJ165/CJ161</f>
        <v>0.26593940362023777</v>
      </c>
      <c r="CK166" s="2077">
        <f t="shared" si="91"/>
        <v>0.26264546913436254</v>
      </c>
      <c r="CL166" s="2077">
        <f t="shared" si="91"/>
        <v>0.30364372770920861</v>
      </c>
      <c r="CM166" s="2078">
        <f t="shared" si="91"/>
        <v>0.27056634853688921</v>
      </c>
      <c r="CP166"/>
      <c r="CQ166"/>
      <c r="CR166"/>
      <c r="CS166"/>
      <c r="CT166"/>
      <c r="CU166"/>
    </row>
    <row r="167" spans="1:99" s="73" customFormat="1">
      <c r="C167" s="70"/>
      <c r="D167" s="70"/>
      <c r="E167" s="70"/>
      <c r="F167" s="70"/>
      <c r="G167" s="1097"/>
      <c r="I167" s="1098"/>
      <c r="J167" s="70"/>
      <c r="K167" s="70"/>
      <c r="L167" s="70"/>
      <c r="M167" s="1097"/>
      <c r="O167" s="1098"/>
      <c r="P167" s="70"/>
      <c r="Q167" s="70"/>
      <c r="R167" s="70"/>
      <c r="S167" s="1097"/>
      <c r="U167" s="1098"/>
      <c r="V167" s="70"/>
      <c r="W167" s="70"/>
      <c r="X167" s="70"/>
      <c r="Y167" s="1097"/>
      <c r="AA167" s="1098"/>
      <c r="AB167" s="70"/>
      <c r="AC167" s="70"/>
      <c r="AD167" s="70"/>
      <c r="AE167" s="1097"/>
      <c r="AG167" s="1098"/>
      <c r="AH167" s="70"/>
      <c r="AI167" s="70"/>
      <c r="AJ167" s="70"/>
      <c r="AK167" s="1097"/>
      <c r="AM167" s="1098"/>
      <c r="AN167" s="70"/>
      <c r="AO167" s="70"/>
      <c r="AP167" s="70"/>
      <c r="AQ167" s="1097"/>
      <c r="AS167" s="1098"/>
      <c r="AT167" s="70"/>
      <c r="AU167" s="70"/>
      <c r="AV167" s="70"/>
      <c r="AW167" s="1097"/>
      <c r="AY167" s="1098"/>
      <c r="AZ167" s="70"/>
      <c r="BA167" s="70"/>
      <c r="BB167" s="70"/>
      <c r="BC167" s="1097"/>
      <c r="BE167" s="1098"/>
      <c r="BF167" s="70"/>
      <c r="BG167" s="70"/>
      <c r="BH167" s="70"/>
      <c r="BI167" s="1097"/>
      <c r="BK167" s="1098"/>
      <c r="BL167" s="70"/>
      <c r="BM167" s="70"/>
      <c r="BN167" s="70"/>
      <c r="BO167" s="1097"/>
      <c r="BQ167" s="1098"/>
      <c r="BR167" s="70"/>
      <c r="BS167" s="70"/>
      <c r="BT167" s="70"/>
      <c r="BU167" s="1097"/>
      <c r="BW167" s="1098"/>
      <c r="BX167" s="70"/>
      <c r="BY167" s="70"/>
      <c r="BZ167" s="70"/>
      <c r="CA167" s="1097"/>
      <c r="CC167" s="1098"/>
      <c r="CD167" s="70"/>
      <c r="CE167" s="70"/>
      <c r="CF167" s="70"/>
      <c r="CG167" s="1097"/>
      <c r="CI167" s="1098"/>
      <c r="CJ167" s="70"/>
      <c r="CK167" s="70"/>
      <c r="CL167" s="70"/>
      <c r="CM167" s="1097"/>
      <c r="CP167"/>
      <c r="CQ167"/>
      <c r="CR167"/>
      <c r="CS167"/>
      <c r="CT167"/>
      <c r="CU167"/>
    </row>
    <row r="168" spans="1:99" s="73" customFormat="1">
      <c r="A168" s="1065" t="s">
        <v>575</v>
      </c>
      <c r="C168" s="70"/>
      <c r="D168" s="70"/>
      <c r="E168" s="70"/>
      <c r="F168" s="70"/>
      <c r="G168" s="1097"/>
      <c r="I168" s="1098"/>
      <c r="J168" s="70"/>
      <c r="K168" s="70"/>
      <c r="L168" s="70"/>
      <c r="M168" s="1097"/>
      <c r="O168" s="1098"/>
      <c r="P168" s="70"/>
      <c r="Q168" s="70"/>
      <c r="R168" s="70"/>
      <c r="S168" s="1097"/>
      <c r="U168" s="1098"/>
      <c r="V168" s="70"/>
      <c r="W168" s="70"/>
      <c r="X168" s="70"/>
      <c r="Y168" s="1097"/>
      <c r="AA168" s="1098"/>
      <c r="AB168" s="70"/>
      <c r="AC168" s="70"/>
      <c r="AD168" s="70"/>
      <c r="AE168" s="1097"/>
      <c r="AG168" s="1098"/>
      <c r="AH168" s="70"/>
      <c r="AI168" s="70"/>
      <c r="AJ168" s="70"/>
      <c r="AK168" s="1097"/>
      <c r="AM168" s="1098"/>
      <c r="AN168" s="70"/>
      <c r="AO168" s="70"/>
      <c r="AP168" s="70"/>
      <c r="AQ168" s="1097"/>
      <c r="AS168" s="1098"/>
      <c r="AT168" s="70"/>
      <c r="AU168" s="70"/>
      <c r="AV168" s="70"/>
      <c r="AW168" s="1097"/>
      <c r="AY168" s="1098"/>
      <c r="AZ168" s="70"/>
      <c r="BA168" s="70"/>
      <c r="BB168" s="70"/>
      <c r="BC168" s="1097"/>
      <c r="BE168" s="1098"/>
      <c r="BF168" s="70"/>
      <c r="BG168" s="70"/>
      <c r="BH168" s="70"/>
      <c r="BI168" s="1097"/>
      <c r="BK168" s="1098"/>
      <c r="BL168" s="70"/>
      <c r="BM168" s="70"/>
      <c r="BN168" s="70"/>
      <c r="BO168" s="1097"/>
      <c r="BQ168" s="1098"/>
      <c r="BR168" s="70"/>
      <c r="BS168" s="70"/>
      <c r="BT168" s="70"/>
      <c r="BU168" s="1097"/>
      <c r="BW168" s="1098"/>
      <c r="BX168" s="70"/>
      <c r="BY168" s="70"/>
      <c r="BZ168" s="70"/>
      <c r="CA168" s="1097"/>
      <c r="CC168" s="1098"/>
      <c r="CD168" s="70"/>
      <c r="CE168" s="70"/>
      <c r="CF168" s="70"/>
      <c r="CG168" s="1097"/>
      <c r="CI168" s="1098"/>
      <c r="CJ168" s="70"/>
      <c r="CK168" s="70"/>
      <c r="CL168" s="70"/>
      <c r="CM168" s="1097"/>
      <c r="CP168"/>
      <c r="CQ168"/>
      <c r="CR168"/>
      <c r="CS168"/>
      <c r="CT168"/>
      <c r="CU168"/>
    </row>
    <row r="169" spans="1:99" s="73" customFormat="1">
      <c r="A169" s="73" t="s">
        <v>235</v>
      </c>
      <c r="C169" s="341"/>
      <c r="D169" s="341"/>
      <c r="E169" s="341"/>
      <c r="F169" s="341"/>
      <c r="G169" s="1526">
        <f>+G23+G29</f>
        <v>884.17599999999993</v>
      </c>
      <c r="I169" s="2079">
        <f>+I23+I29</f>
        <v>929.30099999999993</v>
      </c>
      <c r="J169" s="341">
        <f>+J23+J29</f>
        <v>984.02</v>
      </c>
      <c r="K169" s="341">
        <f>+K23+K29</f>
        <v>1027.4880000000001</v>
      </c>
      <c r="L169" s="341">
        <f>+L23+L29</f>
        <v>536.12</v>
      </c>
      <c r="M169" s="1526">
        <f>+M23+M29</f>
        <v>536.12</v>
      </c>
      <c r="O169" s="2079">
        <f>+O23+O29</f>
        <v>588.05899999999997</v>
      </c>
      <c r="P169" s="341">
        <f>+P23+P29</f>
        <v>630.75700000000006</v>
      </c>
      <c r="Q169" s="341">
        <f>+Q23+Q29</f>
        <v>644.65</v>
      </c>
      <c r="R169" s="341">
        <f>+R23+R29</f>
        <v>631.77199999999993</v>
      </c>
      <c r="S169" s="1526">
        <f>+S23+S29</f>
        <v>631.77199999999993</v>
      </c>
      <c r="U169" s="2079">
        <f>+U23+U29</f>
        <v>712.38199999999995</v>
      </c>
      <c r="V169" s="341">
        <f>+V23+V29</f>
        <v>756.85799999999995</v>
      </c>
      <c r="W169" s="341">
        <f>+W23+W29</f>
        <v>792.24299999999994</v>
      </c>
      <c r="X169" s="341">
        <f>+X23+X29</f>
        <v>766.05500000000006</v>
      </c>
      <c r="Y169" s="1526">
        <f>+Y23+Y29</f>
        <v>766.05500000000006</v>
      </c>
      <c r="AA169" s="2079">
        <f>+AA23+AA29</f>
        <v>790.346</v>
      </c>
      <c r="AB169" s="341">
        <f>+AB23+AB29</f>
        <v>836.17599999999993</v>
      </c>
      <c r="AC169" s="341">
        <f>+AC23+AC29</f>
        <v>971.57799999999997</v>
      </c>
      <c r="AD169" s="341">
        <f>+AD23+AD29</f>
        <v>990.83199999999999</v>
      </c>
      <c r="AE169" s="1526">
        <f>+AE23+AE29</f>
        <v>990.83199999999999</v>
      </c>
      <c r="AG169" s="2079">
        <f>+AG23+AG29</f>
        <v>1023.616</v>
      </c>
      <c r="AH169" s="341">
        <f>+AH23+AH29</f>
        <v>1101.354</v>
      </c>
      <c r="AI169" s="341">
        <f>+AI23+AI29</f>
        <v>1147.703</v>
      </c>
      <c r="AJ169" s="341">
        <f>+AJ23+AJ29</f>
        <v>1177.7809999999999</v>
      </c>
      <c r="AK169" s="1526">
        <f>+AK23+AK29</f>
        <v>1177.7809999999999</v>
      </c>
      <c r="AM169" s="2079">
        <f>+AM23+AM29</f>
        <v>1233.232</v>
      </c>
      <c r="AN169" s="341">
        <f>+AN23+AN29</f>
        <v>1267.9090000000001</v>
      </c>
      <c r="AO169" s="341">
        <f>+AO23+AO29</f>
        <v>1293.761</v>
      </c>
      <c r="AP169" s="341">
        <f>+AP23+AP29</f>
        <v>1323.346</v>
      </c>
      <c r="AQ169" s="1526">
        <f>+AQ23+AQ29</f>
        <v>1323.346</v>
      </c>
      <c r="AS169" s="2079">
        <f>+AS23+AS29</f>
        <v>1332.104</v>
      </c>
      <c r="AT169" s="341">
        <f>+AT23+AT29</f>
        <v>1393.403</v>
      </c>
      <c r="AU169" s="341">
        <f>+AU23+AU29</f>
        <v>1430.0060000000001</v>
      </c>
      <c r="AV169" s="341">
        <f>+AV23+AV29</f>
        <v>1465.2429999999999</v>
      </c>
      <c r="AW169" s="1526">
        <f>+AW23+AW29</f>
        <v>1465.2429999999999</v>
      </c>
      <c r="AY169" s="2079">
        <f>+AY23+AY29</f>
        <v>1485.316</v>
      </c>
      <c r="AZ169" s="341">
        <f>+AZ23+AZ29</f>
        <v>1560.297</v>
      </c>
      <c r="BA169" s="341">
        <f>+BA23+BA29</f>
        <v>1630.1759999999999</v>
      </c>
      <c r="BB169" s="341">
        <f>+BB23+BB29</f>
        <v>1668.336</v>
      </c>
      <c r="BC169" s="1526">
        <f>+BC23+BC29</f>
        <v>1668.336</v>
      </c>
      <c r="BE169" s="2079">
        <f>+BE23+BE29</f>
        <v>1718.8</v>
      </c>
      <c r="BF169" s="341">
        <f>+BF23+BF29</f>
        <v>1756.9580000000001</v>
      </c>
      <c r="BG169" s="341">
        <f>+BG23+BG29</f>
        <v>1782.008</v>
      </c>
      <c r="BH169" s="341">
        <f>+BH23+BH29</f>
        <v>1827.2629999999999</v>
      </c>
      <c r="BI169" s="1526">
        <f>+BI23+BI29</f>
        <v>1827.2629999999999</v>
      </c>
      <c r="BK169" s="2079">
        <f>+BK23+BK29</f>
        <v>1867.384</v>
      </c>
      <c r="BL169" s="341">
        <f>+BL23+BL29</f>
        <v>1912.4659999999999</v>
      </c>
      <c r="BM169" s="341">
        <f>+BM23+BM29</f>
        <v>1957.79</v>
      </c>
      <c r="BN169" s="341">
        <f>+BN23+BN29</f>
        <v>1997.7739999999999</v>
      </c>
      <c r="BO169" s="1526">
        <f>+BO23+BO29</f>
        <v>1997.7739999999999</v>
      </c>
      <c r="BQ169" s="2079">
        <f>+BQ23+BQ29</f>
        <v>1897.7739999999999</v>
      </c>
      <c r="BR169" s="341">
        <f>+BR23+BR29</f>
        <v>1897.7739999999999</v>
      </c>
      <c r="BS169" s="341">
        <f>+BS23+BS29</f>
        <v>1897.7739999999999</v>
      </c>
      <c r="BT169" s="341">
        <f>+BT23+BT29</f>
        <v>1897.7739999999999</v>
      </c>
      <c r="BU169" s="1526">
        <f>+BU23+BU29</f>
        <v>1897.7739999999999</v>
      </c>
      <c r="BW169" s="2079">
        <f>+BW23+BW29</f>
        <v>1797.7739999999999</v>
      </c>
      <c r="BX169" s="341">
        <f>+BX23+BX29</f>
        <v>1797.7739999999999</v>
      </c>
      <c r="BY169" s="341">
        <f>+BY23+BY29</f>
        <v>1797.7739999999999</v>
      </c>
      <c r="BZ169" s="341">
        <f>+BZ23+BZ29</f>
        <v>1797.7739999999999</v>
      </c>
      <c r="CA169" s="1526">
        <f>+CA23+CA29</f>
        <v>1797.7739999999999</v>
      </c>
      <c r="CC169" s="2079">
        <f>+CC23+CC29</f>
        <v>1797.7739999999999</v>
      </c>
      <c r="CD169" s="341">
        <f>+CD23+CD29</f>
        <v>1797.7739999999999</v>
      </c>
      <c r="CE169" s="341">
        <f>+CE23+CE29</f>
        <v>1797.7739999999999</v>
      </c>
      <c r="CF169" s="341">
        <f>+CF23+CF29</f>
        <v>1797.7739999999999</v>
      </c>
      <c r="CG169" s="1526">
        <f>+CG23+CG29</f>
        <v>1797.7739999999999</v>
      </c>
      <c r="CI169" s="2079">
        <f>+CI23+CI29</f>
        <v>1797.7739999999999</v>
      </c>
      <c r="CJ169" s="341">
        <f>+CJ23+CJ29</f>
        <v>1797.7739999999999</v>
      </c>
      <c r="CK169" s="341">
        <f>+CK23+CK29</f>
        <v>1797.7739999999999</v>
      </c>
      <c r="CL169" s="341">
        <f>+CL23+CL29</f>
        <v>1797.7739999999999</v>
      </c>
      <c r="CM169" s="1526">
        <f>+CM23+CM29</f>
        <v>1797.7739999999999</v>
      </c>
      <c r="CP169"/>
      <c r="CQ169"/>
      <c r="CR169"/>
      <c r="CS169"/>
      <c r="CT169"/>
      <c r="CU169"/>
    </row>
    <row r="170" spans="1:99" s="73" customFormat="1">
      <c r="A170" s="73" t="s">
        <v>576</v>
      </c>
      <c r="C170" s="341"/>
      <c r="D170" s="341"/>
      <c r="E170" s="341"/>
      <c r="F170" s="341"/>
      <c r="G170" s="2092">
        <f>G31</f>
        <v>70.078999999999994</v>
      </c>
      <c r="I170" s="2079">
        <f>I31</f>
        <v>71.408000000000001</v>
      </c>
      <c r="J170" s="341">
        <f t="shared" ref="J170:M170" si="92">J31</f>
        <v>72.799000000000007</v>
      </c>
      <c r="K170" s="341">
        <f t="shared" si="92"/>
        <v>78.814999999999998</v>
      </c>
      <c r="L170" s="341">
        <f t="shared" si="92"/>
        <v>80.31</v>
      </c>
      <c r="M170" s="1526">
        <f t="shared" si="92"/>
        <v>80.31</v>
      </c>
      <c r="O170" s="2079">
        <f>O31</f>
        <v>77.11</v>
      </c>
      <c r="P170" s="341">
        <f t="shared" ref="P170:S170" si="93">P31</f>
        <v>78.741</v>
      </c>
      <c r="Q170" s="341">
        <f t="shared" si="93"/>
        <v>80.215999999999994</v>
      </c>
      <c r="R170" s="341">
        <f t="shared" si="93"/>
        <v>72.603999999999999</v>
      </c>
      <c r="S170" s="1526">
        <f t="shared" si="93"/>
        <v>72.603999999999999</v>
      </c>
      <c r="U170" s="2079">
        <f>U31</f>
        <v>72.478999999999999</v>
      </c>
      <c r="V170" s="341">
        <f t="shared" ref="V170:Y170" si="94">V31</f>
        <v>74.037000000000006</v>
      </c>
      <c r="W170" s="341">
        <f t="shared" si="94"/>
        <v>75.638999999999996</v>
      </c>
      <c r="X170" s="341">
        <f t="shared" si="94"/>
        <v>77.763999999999996</v>
      </c>
      <c r="Y170" s="1526">
        <f t="shared" si="94"/>
        <v>77.763999999999996</v>
      </c>
      <c r="AA170" s="2079">
        <f>AA31</f>
        <v>78.855000000000004</v>
      </c>
      <c r="AB170" s="341">
        <f t="shared" ref="AB170:AE170" si="95">AB31</f>
        <v>77.593999999999994</v>
      </c>
      <c r="AC170" s="341">
        <f t="shared" si="95"/>
        <v>77.537000000000006</v>
      </c>
      <c r="AD170" s="341">
        <f t="shared" si="95"/>
        <v>72.613</v>
      </c>
      <c r="AE170" s="1526">
        <f t="shared" si="95"/>
        <v>72.613</v>
      </c>
      <c r="AG170" s="2079">
        <f>AG31</f>
        <v>72.03</v>
      </c>
      <c r="AH170" s="341">
        <f t="shared" ref="AH170:AK170" si="96">AH31</f>
        <v>71.013999999999996</v>
      </c>
      <c r="AI170" s="341">
        <f t="shared" si="96"/>
        <v>70.343000000000004</v>
      </c>
      <c r="AJ170" s="341">
        <f t="shared" si="96"/>
        <v>24.771999999999998</v>
      </c>
      <c r="AK170" s="1526">
        <f t="shared" si="96"/>
        <v>24.771999999999998</v>
      </c>
      <c r="AM170" s="2079">
        <f>AM31</f>
        <v>22.556000000000001</v>
      </c>
      <c r="AN170" s="341">
        <f t="shared" ref="AN170:AQ170" si="97">AN31</f>
        <v>21.625</v>
      </c>
      <c r="AO170" s="341">
        <f t="shared" si="97"/>
        <v>19.048999999999999</v>
      </c>
      <c r="AP170" s="341">
        <f t="shared" si="97"/>
        <v>25.436</v>
      </c>
      <c r="AQ170" s="1526">
        <f t="shared" si="97"/>
        <v>25.436</v>
      </c>
      <c r="AS170" s="2079">
        <f>AS31</f>
        <v>24.591999999999999</v>
      </c>
      <c r="AT170" s="341">
        <f t="shared" ref="AT170:AW170" si="98">AT31</f>
        <v>23.407</v>
      </c>
      <c r="AU170" s="341">
        <f t="shared" si="98"/>
        <v>22.039000000000001</v>
      </c>
      <c r="AV170" s="341">
        <f t="shared" si="98"/>
        <v>20.396999999999998</v>
      </c>
      <c r="AW170" s="1526">
        <f t="shared" si="98"/>
        <v>20.396999999999998</v>
      </c>
      <c r="AY170" s="2079">
        <f>AY31</f>
        <v>21.312999999999999</v>
      </c>
      <c r="AZ170" s="341">
        <f t="shared" ref="AZ170:BC170" si="99">AZ31</f>
        <v>20.419</v>
      </c>
      <c r="BA170" s="341">
        <f t="shared" si="99"/>
        <v>19.481999999999999</v>
      </c>
      <c r="BB170" s="341">
        <f t="shared" si="99"/>
        <v>14.884</v>
      </c>
      <c r="BC170" s="1526">
        <f t="shared" si="99"/>
        <v>14.884</v>
      </c>
      <c r="BE170" s="2079">
        <f>BE31</f>
        <v>13.259</v>
      </c>
      <c r="BF170" s="341">
        <f t="shared" ref="BF170:BI170" si="100">BF31</f>
        <v>12.298</v>
      </c>
      <c r="BG170" s="341">
        <f t="shared" si="100"/>
        <v>11.337</v>
      </c>
      <c r="BH170" s="341">
        <f t="shared" si="100"/>
        <v>10.458</v>
      </c>
      <c r="BI170" s="1526">
        <f t="shared" si="100"/>
        <v>10.458</v>
      </c>
      <c r="BK170" s="2079">
        <f>BK31</f>
        <v>9.782</v>
      </c>
      <c r="BL170" s="341">
        <f t="shared" ref="BL170:BO170" si="101">BL31</f>
        <v>8.6820000000000004</v>
      </c>
      <c r="BM170" s="341">
        <f t="shared" si="101"/>
        <v>7.6559999999999997</v>
      </c>
      <c r="BN170" s="341">
        <f t="shared" si="101"/>
        <v>456.94900000000001</v>
      </c>
      <c r="BO170" s="1526">
        <f t="shared" si="101"/>
        <v>456.94900000000001</v>
      </c>
      <c r="BQ170" s="2079">
        <f>BQ31</f>
        <v>456.94900000000001</v>
      </c>
      <c r="BR170" s="341">
        <f t="shared" ref="BR170:BU170" si="102">BR31</f>
        <v>456.94900000000001</v>
      </c>
      <c r="BS170" s="341">
        <f t="shared" si="102"/>
        <v>456.94900000000001</v>
      </c>
      <c r="BT170" s="341">
        <f t="shared" si="102"/>
        <v>456.94900000000001</v>
      </c>
      <c r="BU170" s="1526">
        <f t="shared" si="102"/>
        <v>456.94900000000001</v>
      </c>
      <c r="BW170" s="2079">
        <f>BW31</f>
        <v>456.94900000000001</v>
      </c>
      <c r="BX170" s="341">
        <f t="shared" ref="BX170:CA170" si="103">BX31</f>
        <v>456.94900000000001</v>
      </c>
      <c r="BY170" s="341">
        <f t="shared" si="103"/>
        <v>456.94900000000001</v>
      </c>
      <c r="BZ170" s="341">
        <f t="shared" si="103"/>
        <v>456.94900000000001</v>
      </c>
      <c r="CA170" s="1526">
        <f t="shared" si="103"/>
        <v>456.94900000000001</v>
      </c>
      <c r="CC170" s="2079">
        <f>CC31</f>
        <v>456.94900000000001</v>
      </c>
      <c r="CD170" s="341">
        <f t="shared" ref="CD170:CG170" si="104">CD31</f>
        <v>456.94900000000001</v>
      </c>
      <c r="CE170" s="341">
        <f t="shared" si="104"/>
        <v>456.94900000000001</v>
      </c>
      <c r="CF170" s="341">
        <f t="shared" si="104"/>
        <v>456.94900000000001</v>
      </c>
      <c r="CG170" s="1526">
        <f t="shared" si="104"/>
        <v>456.94900000000001</v>
      </c>
      <c r="CI170" s="2079">
        <f>CI31</f>
        <v>456.94900000000001</v>
      </c>
      <c r="CJ170" s="341">
        <f t="shared" ref="CJ170:CM170" si="105">CJ31</f>
        <v>456.94900000000001</v>
      </c>
      <c r="CK170" s="341">
        <f t="shared" si="105"/>
        <v>456.94900000000001</v>
      </c>
      <c r="CL170" s="341">
        <f t="shared" si="105"/>
        <v>456.94900000000001</v>
      </c>
      <c r="CM170" s="1526">
        <f t="shared" si="105"/>
        <v>456.94900000000001</v>
      </c>
      <c r="CP170"/>
      <c r="CQ170"/>
      <c r="CR170"/>
      <c r="CS170"/>
      <c r="CT170"/>
      <c r="CU170"/>
    </row>
    <row r="171" spans="1:99" s="73" customFormat="1">
      <c r="A171" s="73" t="s">
        <v>577</v>
      </c>
      <c r="C171" s="341"/>
      <c r="D171" s="341"/>
      <c r="E171" s="341"/>
      <c r="F171" s="341"/>
      <c r="G171" s="1526">
        <f>SUM(G30,G32)</f>
        <v>66.466000000000008</v>
      </c>
      <c r="I171" s="2079">
        <f t="shared" ref="I171:BT171" si="106">SUM(I30,I32)</f>
        <v>72.295000000000002</v>
      </c>
      <c r="J171" s="341">
        <f t="shared" si="106"/>
        <v>70.072999999999993</v>
      </c>
      <c r="K171" s="341">
        <f t="shared" si="106"/>
        <v>63.686</v>
      </c>
      <c r="L171" s="341">
        <f t="shared" si="106"/>
        <v>92.076999999999998</v>
      </c>
      <c r="M171" s="1526">
        <f t="shared" si="106"/>
        <v>92.076999999999998</v>
      </c>
      <c r="O171" s="2079">
        <f t="shared" si="106"/>
        <v>88.177000000000007</v>
      </c>
      <c r="P171" s="341">
        <f t="shared" si="106"/>
        <v>93.031000000000006</v>
      </c>
      <c r="Q171" s="341">
        <f t="shared" si="106"/>
        <v>92.473000000000013</v>
      </c>
      <c r="R171" s="341">
        <f t="shared" si="106"/>
        <v>91.81</v>
      </c>
      <c r="S171" s="1526">
        <f t="shared" si="106"/>
        <v>91.81</v>
      </c>
      <c r="U171" s="2079">
        <f t="shared" si="106"/>
        <v>90.516999999999996</v>
      </c>
      <c r="V171" s="341">
        <f t="shared" si="106"/>
        <v>86.840999999999994</v>
      </c>
      <c r="W171" s="341">
        <f t="shared" si="106"/>
        <v>89.334999999999994</v>
      </c>
      <c r="X171" s="341">
        <f t="shared" si="106"/>
        <v>95.259</v>
      </c>
      <c r="Y171" s="1526">
        <f t="shared" si="106"/>
        <v>95.259</v>
      </c>
      <c r="AA171" s="2079">
        <f t="shared" si="106"/>
        <v>101.28400000000001</v>
      </c>
      <c r="AB171" s="341">
        <f t="shared" si="106"/>
        <v>101.431</v>
      </c>
      <c r="AC171" s="341">
        <f t="shared" si="106"/>
        <v>97.415999999999997</v>
      </c>
      <c r="AD171" s="341">
        <f t="shared" si="106"/>
        <v>122.18</v>
      </c>
      <c r="AE171" s="1526">
        <f t="shared" si="106"/>
        <v>122.18</v>
      </c>
      <c r="AG171" s="2079">
        <f t="shared" si="106"/>
        <v>131.572</v>
      </c>
      <c r="AH171" s="341">
        <f t="shared" si="106"/>
        <v>128.202</v>
      </c>
      <c r="AI171" s="341">
        <f t="shared" si="106"/>
        <v>129.35599999999999</v>
      </c>
      <c r="AJ171" s="341">
        <f t="shared" si="106"/>
        <v>126.779</v>
      </c>
      <c r="AK171" s="1526">
        <f t="shared" si="106"/>
        <v>126.779</v>
      </c>
      <c r="AM171" s="2079">
        <f t="shared" si="106"/>
        <v>131.39499999999998</v>
      </c>
      <c r="AN171" s="341">
        <f t="shared" si="106"/>
        <v>133.839</v>
      </c>
      <c r="AO171" s="341">
        <f t="shared" si="106"/>
        <v>134.732</v>
      </c>
      <c r="AP171" s="341">
        <f t="shared" si="106"/>
        <v>116.488</v>
      </c>
      <c r="AQ171" s="1526">
        <f t="shared" si="106"/>
        <v>116.488</v>
      </c>
      <c r="AS171" s="2079">
        <f t="shared" si="106"/>
        <v>121.32300000000001</v>
      </c>
      <c r="AT171" s="341">
        <f t="shared" si="106"/>
        <v>106.048</v>
      </c>
      <c r="AU171" s="341">
        <f t="shared" si="106"/>
        <v>108.33799999999999</v>
      </c>
      <c r="AV171" s="341">
        <f t="shared" si="106"/>
        <v>141.27600000000001</v>
      </c>
      <c r="AW171" s="1526">
        <f t="shared" si="106"/>
        <v>141.27600000000001</v>
      </c>
      <c r="AY171" s="2079">
        <f t="shared" si="106"/>
        <v>140.702</v>
      </c>
      <c r="AZ171" s="341">
        <f t="shared" si="106"/>
        <v>144.13300000000001</v>
      </c>
      <c r="BA171" s="341">
        <f t="shared" si="106"/>
        <v>142.25200000000001</v>
      </c>
      <c r="BB171" s="341">
        <f t="shared" si="106"/>
        <v>137.839</v>
      </c>
      <c r="BC171" s="1526">
        <f t="shared" si="106"/>
        <v>137.839</v>
      </c>
      <c r="BE171" s="2079">
        <f t="shared" si="106"/>
        <v>136.119</v>
      </c>
      <c r="BF171" s="341">
        <f t="shared" si="106"/>
        <v>132.12899999999999</v>
      </c>
      <c r="BG171" s="341">
        <f t="shared" si="106"/>
        <v>129.97199999999998</v>
      </c>
      <c r="BH171" s="341">
        <f t="shared" si="106"/>
        <v>127.36499999999999</v>
      </c>
      <c r="BI171" s="1526">
        <f t="shared" si="106"/>
        <v>127.36499999999999</v>
      </c>
      <c r="BK171" s="2079">
        <f t="shared" si="106"/>
        <v>131.797</v>
      </c>
      <c r="BL171" s="341">
        <f t="shared" si="106"/>
        <v>128.90199999999999</v>
      </c>
      <c r="BM171" s="341">
        <f t="shared" si="106"/>
        <v>131.71799999999999</v>
      </c>
      <c r="BN171" s="341">
        <f t="shared" si="106"/>
        <v>129.959</v>
      </c>
      <c r="BO171" s="1526">
        <f t="shared" si="106"/>
        <v>129.959</v>
      </c>
      <c r="BQ171" s="2079">
        <f t="shared" si="106"/>
        <v>129.959</v>
      </c>
      <c r="BR171" s="341">
        <f t="shared" si="106"/>
        <v>129.959</v>
      </c>
      <c r="BS171" s="341">
        <f t="shared" si="106"/>
        <v>129.959</v>
      </c>
      <c r="BT171" s="341">
        <f t="shared" si="106"/>
        <v>129.959</v>
      </c>
      <c r="BU171" s="1526">
        <f t="shared" ref="BU171" si="107">SUM(BU30,BU32)</f>
        <v>129.959</v>
      </c>
      <c r="BW171" s="2079">
        <f t="shared" ref="BW171:CM171" si="108">SUM(BW30,BW32)</f>
        <v>129.959</v>
      </c>
      <c r="BX171" s="341">
        <f t="shared" si="108"/>
        <v>129.959</v>
      </c>
      <c r="BY171" s="341">
        <f t="shared" si="108"/>
        <v>129.959</v>
      </c>
      <c r="BZ171" s="341">
        <f t="shared" si="108"/>
        <v>129.959</v>
      </c>
      <c r="CA171" s="1526">
        <f t="shared" si="108"/>
        <v>129.959</v>
      </c>
      <c r="CC171" s="2079">
        <f t="shared" si="108"/>
        <v>129.959</v>
      </c>
      <c r="CD171" s="341">
        <f t="shared" si="108"/>
        <v>129.959</v>
      </c>
      <c r="CE171" s="341">
        <f t="shared" si="108"/>
        <v>129.959</v>
      </c>
      <c r="CF171" s="341">
        <f t="shared" si="108"/>
        <v>129.959</v>
      </c>
      <c r="CG171" s="1526">
        <f t="shared" si="108"/>
        <v>129.959</v>
      </c>
      <c r="CI171" s="2079">
        <f t="shared" si="108"/>
        <v>129.959</v>
      </c>
      <c r="CJ171" s="341">
        <f t="shared" si="108"/>
        <v>129.959</v>
      </c>
      <c r="CK171" s="341">
        <f t="shared" si="108"/>
        <v>129.959</v>
      </c>
      <c r="CL171" s="341">
        <f t="shared" si="108"/>
        <v>129.959</v>
      </c>
      <c r="CM171" s="1526">
        <f t="shared" si="108"/>
        <v>129.959</v>
      </c>
      <c r="CP171"/>
      <c r="CQ171"/>
      <c r="CR171"/>
      <c r="CS171"/>
      <c r="CT171"/>
      <c r="CU171"/>
    </row>
    <row r="172" spans="1:99" s="73" customFormat="1">
      <c r="A172" s="2080" t="s">
        <v>578</v>
      </c>
      <c r="C172" s="70"/>
      <c r="D172" s="70"/>
      <c r="E172" s="70"/>
      <c r="F172" s="70"/>
      <c r="G172" s="1097"/>
      <c r="I172" s="1098"/>
      <c r="J172" s="70"/>
      <c r="K172" s="70"/>
      <c r="L172" s="70"/>
      <c r="M172" s="1097"/>
      <c r="O172" s="1098"/>
      <c r="P172" s="70"/>
      <c r="Q172" s="70"/>
      <c r="R172" s="70"/>
      <c r="S172" s="1097"/>
      <c r="U172" s="1098"/>
      <c r="V172" s="70"/>
      <c r="W172" s="70"/>
      <c r="X172" s="70"/>
      <c r="Y172" s="1097"/>
      <c r="AA172" s="1098"/>
      <c r="AB172" s="70"/>
      <c r="AC172" s="70"/>
      <c r="AD172" s="70"/>
      <c r="AE172" s="1097"/>
      <c r="AG172" s="1098"/>
      <c r="AH172" s="70"/>
      <c r="AI172" s="70"/>
      <c r="AJ172" s="70"/>
      <c r="AK172" s="1097"/>
      <c r="AM172" s="1098"/>
      <c r="AN172" s="70"/>
      <c r="AO172" s="70"/>
      <c r="AP172" s="70"/>
      <c r="AQ172" s="1097"/>
      <c r="AS172" s="1098"/>
      <c r="AT172" s="70"/>
      <c r="AU172" s="70"/>
      <c r="AV172" s="70"/>
      <c r="AW172" s="1097"/>
      <c r="AY172" s="1098"/>
      <c r="AZ172" s="70"/>
      <c r="BA172" s="70"/>
      <c r="BB172" s="70"/>
      <c r="BC172" s="1097"/>
      <c r="BE172" s="1098"/>
      <c r="BF172" s="70"/>
      <c r="BG172" s="70"/>
      <c r="BH172" s="70"/>
      <c r="BI172" s="1097"/>
      <c r="BK172" s="1098"/>
      <c r="BL172" s="70"/>
      <c r="BM172" s="70"/>
      <c r="BN172" s="70"/>
      <c r="BO172" s="1097"/>
      <c r="BQ172" s="1098"/>
      <c r="BR172" s="70"/>
      <c r="BS172" s="70"/>
      <c r="BT172" s="70"/>
      <c r="BU172" s="1097"/>
      <c r="BW172" s="1098"/>
      <c r="BX172" s="70"/>
      <c r="BY172" s="70"/>
      <c r="BZ172" s="70"/>
      <c r="CA172" s="1097"/>
      <c r="CC172" s="1098"/>
      <c r="CD172" s="70"/>
      <c r="CE172" s="70"/>
      <c r="CF172" s="70"/>
      <c r="CG172" s="1097"/>
      <c r="CI172" s="1098"/>
      <c r="CJ172" s="70"/>
      <c r="CK172" s="70"/>
      <c r="CL172" s="70"/>
      <c r="CM172" s="1097"/>
      <c r="CP172"/>
      <c r="CQ172"/>
      <c r="CR172"/>
      <c r="CS172"/>
      <c r="CT172"/>
      <c r="CU172"/>
    </row>
    <row r="173" spans="1:99" s="73" customFormat="1">
      <c r="A173" s="1065" t="s">
        <v>579</v>
      </c>
      <c r="C173" s="70"/>
      <c r="D173" s="70"/>
      <c r="E173" s="70"/>
      <c r="F173" s="70"/>
      <c r="G173" s="1097"/>
      <c r="I173" s="1098"/>
      <c r="J173" s="70"/>
      <c r="K173" s="70"/>
      <c r="L173" s="70"/>
      <c r="M173" s="1097"/>
      <c r="O173" s="1098"/>
      <c r="P173" s="70"/>
      <c r="Q173" s="70"/>
      <c r="R173" s="70"/>
      <c r="S173" s="1097"/>
      <c r="U173" s="1098"/>
      <c r="V173" s="70"/>
      <c r="W173" s="70"/>
      <c r="X173" s="70"/>
      <c r="Y173" s="1097"/>
      <c r="AA173" s="1098"/>
      <c r="AB173" s="70"/>
      <c r="AC173" s="70"/>
      <c r="AD173" s="70"/>
      <c r="AE173" s="1097"/>
      <c r="AG173" s="1098"/>
      <c r="AH173" s="70"/>
      <c r="AI173" s="70"/>
      <c r="AJ173" s="70"/>
      <c r="AK173" s="1097"/>
      <c r="AM173" s="1098"/>
      <c r="AN173" s="70"/>
      <c r="AO173" s="70"/>
      <c r="AP173" s="70"/>
      <c r="AQ173" s="1097"/>
      <c r="AS173" s="1098"/>
      <c r="AT173" s="70"/>
      <c r="AU173" s="70"/>
      <c r="AV173" s="70"/>
      <c r="AW173" s="1097"/>
      <c r="AY173" s="1098"/>
      <c r="AZ173" s="70"/>
      <c r="BA173" s="70"/>
      <c r="BB173" s="70"/>
      <c r="BC173" s="1097"/>
      <c r="BE173" s="1098"/>
      <c r="BF173" s="70"/>
      <c r="BG173" s="70"/>
      <c r="BH173" s="70"/>
      <c r="BI173" s="1097"/>
      <c r="BK173" s="1098"/>
      <c r="BL173" s="70"/>
      <c r="BM173" s="70"/>
      <c r="BN173" s="70"/>
      <c r="BO173" s="1097"/>
      <c r="BQ173" s="1098"/>
      <c r="BR173" s="70"/>
      <c r="BS173" s="70"/>
      <c r="BT173" s="70"/>
      <c r="BU173" s="1097"/>
      <c r="BW173" s="1098"/>
      <c r="BX173" s="70"/>
      <c r="BY173" s="70"/>
      <c r="BZ173" s="70"/>
      <c r="CA173" s="1097"/>
      <c r="CC173" s="1098"/>
      <c r="CD173" s="70"/>
      <c r="CE173" s="70"/>
      <c r="CF173" s="70"/>
      <c r="CG173" s="1097"/>
      <c r="CI173" s="1098"/>
      <c r="CJ173" s="70"/>
      <c r="CK173" s="70"/>
      <c r="CL173" s="70"/>
      <c r="CM173" s="1097"/>
      <c r="CP173"/>
      <c r="CQ173"/>
      <c r="CR173"/>
      <c r="CS173"/>
      <c r="CT173"/>
      <c r="CU173"/>
    </row>
    <row r="174" spans="1:99" s="73" customFormat="1">
      <c r="A174" s="73" t="s">
        <v>580</v>
      </c>
      <c r="C174" s="2081"/>
      <c r="D174" s="2081"/>
      <c r="E174" s="2081"/>
      <c r="F174" s="2081"/>
      <c r="G174" s="2082">
        <v>0</v>
      </c>
      <c r="I174" s="1900">
        <v>0</v>
      </c>
      <c r="J174" s="1901">
        <v>0</v>
      </c>
      <c r="K174" s="1901">
        <v>0</v>
      </c>
      <c r="L174" s="1901">
        <v>0</v>
      </c>
      <c r="M174" s="2093">
        <v>0</v>
      </c>
      <c r="O174" s="1900">
        <v>0</v>
      </c>
      <c r="P174" s="1901">
        <v>0</v>
      </c>
      <c r="Q174" s="1901">
        <v>0</v>
      </c>
      <c r="R174" s="1901">
        <v>0</v>
      </c>
      <c r="S174" s="2093">
        <v>0</v>
      </c>
      <c r="U174" s="1900">
        <v>0</v>
      </c>
      <c r="V174" s="1901">
        <v>0</v>
      </c>
      <c r="W174" s="1901">
        <v>0</v>
      </c>
      <c r="X174" s="1901">
        <v>0</v>
      </c>
      <c r="Y174" s="2093">
        <v>0</v>
      </c>
      <c r="AA174" s="1900">
        <v>0</v>
      </c>
      <c r="AB174" s="1901">
        <v>0</v>
      </c>
      <c r="AC174" s="1901">
        <v>0</v>
      </c>
      <c r="AD174" s="1901">
        <v>0</v>
      </c>
      <c r="AE174" s="2093">
        <v>0</v>
      </c>
      <c r="AG174" s="1900">
        <v>0</v>
      </c>
      <c r="AH174" s="1901">
        <v>0</v>
      </c>
      <c r="AI174" s="1901">
        <v>0</v>
      </c>
      <c r="AJ174" s="1901">
        <v>0</v>
      </c>
      <c r="AK174" s="2093">
        <v>0</v>
      </c>
      <c r="AM174" s="1900">
        <v>0</v>
      </c>
      <c r="AN174" s="1901">
        <v>0</v>
      </c>
      <c r="AO174" s="1901">
        <v>0</v>
      </c>
      <c r="AP174" s="1901">
        <v>0</v>
      </c>
      <c r="AQ174" s="2093">
        <v>0</v>
      </c>
      <c r="AS174" s="1900">
        <v>0</v>
      </c>
      <c r="AT174" s="1901">
        <v>0</v>
      </c>
      <c r="AU174" s="1901">
        <v>0</v>
      </c>
      <c r="AV174" s="1901">
        <v>0</v>
      </c>
      <c r="AW174" s="2093">
        <v>0</v>
      </c>
      <c r="AY174" s="1900">
        <v>0</v>
      </c>
      <c r="AZ174" s="1901">
        <v>0</v>
      </c>
      <c r="BA174" s="1901">
        <v>0</v>
      </c>
      <c r="BB174" s="1901">
        <v>0</v>
      </c>
      <c r="BC174" s="2093">
        <v>0</v>
      </c>
      <c r="BE174" s="1900">
        <v>0</v>
      </c>
      <c r="BF174" s="1901">
        <v>0</v>
      </c>
      <c r="BG174" s="1901">
        <v>0</v>
      </c>
      <c r="BH174" s="1901">
        <v>0</v>
      </c>
      <c r="BI174" s="2093">
        <v>0</v>
      </c>
      <c r="BK174" s="1900">
        <v>0</v>
      </c>
      <c r="BL174" s="1901">
        <v>0</v>
      </c>
      <c r="BM174" s="1901">
        <v>0</v>
      </c>
      <c r="BN174" s="1901">
        <v>0</v>
      </c>
      <c r="BO174" s="2093">
        <v>0</v>
      </c>
      <c r="BQ174" s="1900">
        <v>0</v>
      </c>
      <c r="BR174" s="1901">
        <v>0</v>
      </c>
      <c r="BS174" s="1901">
        <v>0</v>
      </c>
      <c r="BT174" s="1901">
        <v>0</v>
      </c>
      <c r="BU174" s="2093">
        <v>0</v>
      </c>
      <c r="BW174" s="1900">
        <v>0</v>
      </c>
      <c r="BX174" s="1901">
        <v>0</v>
      </c>
      <c r="BY174" s="1901">
        <v>0</v>
      </c>
      <c r="BZ174" s="1901">
        <v>0</v>
      </c>
      <c r="CA174" s="2093">
        <v>0</v>
      </c>
      <c r="CC174" s="1900">
        <v>0</v>
      </c>
      <c r="CD174" s="1901">
        <v>0</v>
      </c>
      <c r="CE174" s="1901">
        <v>0</v>
      </c>
      <c r="CF174" s="1901">
        <v>0</v>
      </c>
      <c r="CG174" s="2093">
        <v>0</v>
      </c>
      <c r="CI174" s="1900">
        <v>0</v>
      </c>
      <c r="CJ174" s="1901">
        <v>0</v>
      </c>
      <c r="CK174" s="1901">
        <v>0</v>
      </c>
      <c r="CL174" s="1901">
        <v>0</v>
      </c>
      <c r="CM174" s="2093">
        <v>0</v>
      </c>
      <c r="CP174"/>
      <c r="CQ174"/>
      <c r="CR174"/>
      <c r="CS174"/>
      <c r="CT174"/>
      <c r="CU174"/>
    </row>
    <row r="175" spans="1:99" s="73" customFormat="1">
      <c r="A175" s="73" t="s">
        <v>581</v>
      </c>
      <c r="C175" s="2081"/>
      <c r="D175" s="2081"/>
      <c r="E175" s="2081"/>
      <c r="F175" s="2081"/>
      <c r="G175" s="2082">
        <v>0</v>
      </c>
      <c r="I175" s="2079">
        <f t="shared" ref="I175" si="109">I35</f>
        <v>0</v>
      </c>
      <c r="J175" s="341">
        <f>J35</f>
        <v>0</v>
      </c>
      <c r="K175" s="341">
        <f t="shared" ref="K175:M175" si="110">K35</f>
        <v>0</v>
      </c>
      <c r="L175" s="341">
        <f t="shared" si="110"/>
        <v>0</v>
      </c>
      <c r="M175" s="1526">
        <f t="shared" si="110"/>
        <v>0</v>
      </c>
      <c r="O175" s="2079">
        <f t="shared" ref="O175" si="111">O35</f>
        <v>0</v>
      </c>
      <c r="P175" s="341">
        <f>P35</f>
        <v>0</v>
      </c>
      <c r="Q175" s="341">
        <f t="shared" ref="Q175:S175" si="112">Q35</f>
        <v>0</v>
      </c>
      <c r="R175" s="341">
        <f t="shared" si="112"/>
        <v>0</v>
      </c>
      <c r="S175" s="1526">
        <f t="shared" si="112"/>
        <v>0</v>
      </c>
      <c r="U175" s="2079">
        <f t="shared" ref="U175" si="113">U35</f>
        <v>0</v>
      </c>
      <c r="V175" s="341">
        <f>V35</f>
        <v>0</v>
      </c>
      <c r="W175" s="341">
        <f t="shared" ref="W175:Y175" si="114">W35</f>
        <v>0</v>
      </c>
      <c r="X175" s="341">
        <f t="shared" si="114"/>
        <v>0</v>
      </c>
      <c r="Y175" s="1526">
        <f t="shared" si="114"/>
        <v>0</v>
      </c>
      <c r="AA175" s="2079">
        <f t="shared" ref="AA175" si="115">AA35</f>
        <v>0</v>
      </c>
      <c r="AB175" s="341">
        <f>AB35</f>
        <v>0</v>
      </c>
      <c r="AC175" s="341">
        <f t="shared" ref="AC175:AE175" si="116">AC35</f>
        <v>0</v>
      </c>
      <c r="AD175" s="341">
        <f t="shared" si="116"/>
        <v>0</v>
      </c>
      <c r="AE175" s="1526">
        <f t="shared" si="116"/>
        <v>0</v>
      </c>
      <c r="AG175" s="2079">
        <f t="shared" ref="AG175" si="117">AG35</f>
        <v>0</v>
      </c>
      <c r="AH175" s="341">
        <f>AH35</f>
        <v>0</v>
      </c>
      <c r="AI175" s="341">
        <f t="shared" ref="AI175:AK175" si="118">AI35</f>
        <v>0</v>
      </c>
      <c r="AJ175" s="341">
        <f t="shared" si="118"/>
        <v>0</v>
      </c>
      <c r="AK175" s="1526">
        <f t="shared" si="118"/>
        <v>0</v>
      </c>
      <c r="AM175" s="2079">
        <f t="shared" ref="AM175" si="119">AM35</f>
        <v>0</v>
      </c>
      <c r="AN175" s="341">
        <f>AN35</f>
        <v>0</v>
      </c>
      <c r="AO175" s="341">
        <f t="shared" ref="AO175:AQ175" si="120">AO35</f>
        <v>0</v>
      </c>
      <c r="AP175" s="341">
        <f t="shared" si="120"/>
        <v>0</v>
      </c>
      <c r="AQ175" s="1526">
        <f t="shared" si="120"/>
        <v>0</v>
      </c>
      <c r="AS175" s="2079">
        <f t="shared" ref="AS175" si="121">AS35</f>
        <v>0</v>
      </c>
      <c r="AT175" s="341">
        <f>AT35</f>
        <v>0</v>
      </c>
      <c r="AU175" s="341">
        <f t="shared" ref="AU175:AW175" si="122">AU35</f>
        <v>0</v>
      </c>
      <c r="AV175" s="341">
        <f t="shared" si="122"/>
        <v>0</v>
      </c>
      <c r="AW175" s="1526">
        <f t="shared" si="122"/>
        <v>0</v>
      </c>
      <c r="AY175" s="2079">
        <f t="shared" ref="AY175" si="123">AY35</f>
        <v>0</v>
      </c>
      <c r="AZ175" s="341">
        <f>AZ35</f>
        <v>0</v>
      </c>
      <c r="BA175" s="341">
        <f t="shared" ref="BA175:BC175" si="124">BA35</f>
        <v>0</v>
      </c>
      <c r="BB175" s="341">
        <f t="shared" si="124"/>
        <v>0</v>
      </c>
      <c r="BC175" s="1526">
        <f t="shared" si="124"/>
        <v>0</v>
      </c>
      <c r="BE175" s="2079">
        <f t="shared" ref="BE175" si="125">BE35</f>
        <v>0</v>
      </c>
      <c r="BF175" s="341">
        <f>BF35</f>
        <v>0</v>
      </c>
      <c r="BG175" s="341">
        <f t="shared" ref="BG175:BI175" si="126">BG35</f>
        <v>0</v>
      </c>
      <c r="BH175" s="341">
        <f t="shared" si="126"/>
        <v>0</v>
      </c>
      <c r="BI175" s="1526">
        <f t="shared" si="126"/>
        <v>0</v>
      </c>
      <c r="BK175" s="2079">
        <f t="shared" ref="BK175" si="127">BK35</f>
        <v>0</v>
      </c>
      <c r="BL175" s="341">
        <f>BL35</f>
        <v>0</v>
      </c>
      <c r="BM175" s="341">
        <f t="shared" ref="BM175:BO175" si="128">BM35</f>
        <v>0</v>
      </c>
      <c r="BN175" s="341">
        <f t="shared" si="128"/>
        <v>0</v>
      </c>
      <c r="BO175" s="1526">
        <f t="shared" si="128"/>
        <v>0</v>
      </c>
      <c r="BQ175" s="2079">
        <f t="shared" ref="BQ175" si="129">BQ35</f>
        <v>0</v>
      </c>
      <c r="BR175" s="341">
        <f>BR35</f>
        <v>0</v>
      </c>
      <c r="BS175" s="341">
        <f t="shared" ref="BS175:BU175" si="130">BS35</f>
        <v>0</v>
      </c>
      <c r="BT175" s="341">
        <f t="shared" si="130"/>
        <v>0</v>
      </c>
      <c r="BU175" s="1526">
        <f t="shared" si="130"/>
        <v>0</v>
      </c>
      <c r="BW175" s="2079">
        <f t="shared" ref="BW175" si="131">BW35</f>
        <v>0</v>
      </c>
      <c r="BX175" s="341">
        <f>BX35</f>
        <v>0</v>
      </c>
      <c r="BY175" s="341">
        <f t="shared" ref="BY175:CA175" si="132">BY35</f>
        <v>0</v>
      </c>
      <c r="BZ175" s="341">
        <f t="shared" si="132"/>
        <v>0</v>
      </c>
      <c r="CA175" s="1526">
        <f t="shared" si="132"/>
        <v>0</v>
      </c>
      <c r="CC175" s="2079">
        <f t="shared" ref="CC175" si="133">CC35</f>
        <v>0</v>
      </c>
      <c r="CD175" s="341">
        <f>CD35</f>
        <v>0</v>
      </c>
      <c r="CE175" s="341">
        <f t="shared" ref="CE175:CG175" si="134">CE35</f>
        <v>0</v>
      </c>
      <c r="CF175" s="341">
        <f t="shared" si="134"/>
        <v>0</v>
      </c>
      <c r="CG175" s="1526">
        <f t="shared" si="134"/>
        <v>0</v>
      </c>
      <c r="CI175" s="2079">
        <f t="shared" ref="CI175" si="135">CI35</f>
        <v>0</v>
      </c>
      <c r="CJ175" s="341">
        <f>CJ35</f>
        <v>0</v>
      </c>
      <c r="CK175" s="341">
        <f t="shared" ref="CK175:CM175" si="136">CK35</f>
        <v>0</v>
      </c>
      <c r="CL175" s="341">
        <f t="shared" si="136"/>
        <v>0</v>
      </c>
      <c r="CM175" s="1526">
        <f t="shared" si="136"/>
        <v>0</v>
      </c>
      <c r="CP175"/>
      <c r="CQ175"/>
      <c r="CR175"/>
      <c r="CS175"/>
      <c r="CT175"/>
      <c r="CU175"/>
    </row>
    <row r="176" spans="1:99" s="73" customFormat="1">
      <c r="A176" s="73" t="s">
        <v>146</v>
      </c>
      <c r="C176" s="341"/>
      <c r="D176" s="341"/>
      <c r="E176" s="341"/>
      <c r="F176" s="341"/>
      <c r="G176" s="1526">
        <f>G41</f>
        <v>586.07600000000002</v>
      </c>
      <c r="I176" s="2079">
        <f>I41</f>
        <v>616.96499999999992</v>
      </c>
      <c r="J176" s="341">
        <f>J41</f>
        <v>650.61699999999996</v>
      </c>
      <c r="K176" s="341">
        <f>K41</f>
        <v>645.08299999999963</v>
      </c>
      <c r="L176" s="341">
        <f>L41</f>
        <v>661.00500000000011</v>
      </c>
      <c r="M176" s="1526">
        <f>M41</f>
        <v>661.00500000000011</v>
      </c>
      <c r="O176" s="2079">
        <f>O41</f>
        <v>665.71299999999974</v>
      </c>
      <c r="P176" s="341">
        <f>P41</f>
        <v>730.74900000000025</v>
      </c>
      <c r="Q176" s="341">
        <f>Q41</f>
        <v>780.6579999999999</v>
      </c>
      <c r="R176" s="341">
        <f>R41</f>
        <v>848.94900000000007</v>
      </c>
      <c r="S176" s="1526">
        <f>S41</f>
        <v>848.94900000000007</v>
      </c>
      <c r="U176" s="2079">
        <f>U41</f>
        <v>813.04199999999992</v>
      </c>
      <c r="V176" s="341">
        <f>V41</f>
        <v>812.95000000000027</v>
      </c>
      <c r="W176" s="341">
        <f>W41</f>
        <v>923.26199999999972</v>
      </c>
      <c r="X176" s="341">
        <f>X41</f>
        <v>1068.797</v>
      </c>
      <c r="Y176" s="1526">
        <f>Y41</f>
        <v>1068.797</v>
      </c>
      <c r="AA176" s="2079">
        <f>AA41</f>
        <v>1150.7939999999999</v>
      </c>
      <c r="AB176" s="341">
        <f>AB41</f>
        <v>1225.5339999999997</v>
      </c>
      <c r="AC176" s="341">
        <f>AC41</f>
        <v>1159.0830000000001</v>
      </c>
      <c r="AD176" s="341">
        <f>AD41</f>
        <v>1226.578</v>
      </c>
      <c r="AE176" s="1526">
        <f>AE41</f>
        <v>1226.578</v>
      </c>
      <c r="AG176" s="2079">
        <f>AG41</f>
        <v>1287.5309999999999</v>
      </c>
      <c r="AH176" s="341">
        <f>AH41</f>
        <v>1262.683</v>
      </c>
      <c r="AI176" s="341">
        <f>AI41</f>
        <v>1329.8789999999995</v>
      </c>
      <c r="AJ176" s="341">
        <f>AJ41</f>
        <v>1467.357</v>
      </c>
      <c r="AK176" s="1526">
        <f>AK41</f>
        <v>1467.357</v>
      </c>
      <c r="AM176" s="2079">
        <f>AM41</f>
        <v>1476.5000000000005</v>
      </c>
      <c r="AN176" s="341">
        <f>AN41</f>
        <v>1520.1120000000001</v>
      </c>
      <c r="AO176" s="341">
        <f>AO41</f>
        <v>1618.6340000000005</v>
      </c>
      <c r="AP176" s="341">
        <f>AP41</f>
        <v>1763.1729999999998</v>
      </c>
      <c r="AQ176" s="1526">
        <f>AQ41</f>
        <v>1763.1729999999998</v>
      </c>
      <c r="AS176" s="2079">
        <f>AS41</f>
        <v>1819.3720000000003</v>
      </c>
      <c r="AT176" s="341">
        <f>AT41</f>
        <v>1843.4850000000001</v>
      </c>
      <c r="AU176" s="341">
        <f>AU41</f>
        <v>1841.8199999999993</v>
      </c>
      <c r="AV176" s="341">
        <f>AV41</f>
        <v>1894.6659999999997</v>
      </c>
      <c r="AW176" s="1526">
        <f>AW41</f>
        <v>1894.6659999999997</v>
      </c>
      <c r="AY176" s="2079">
        <f>AY41</f>
        <v>1862.2399999999998</v>
      </c>
      <c r="AZ176" s="341">
        <f>AZ41</f>
        <v>1932.598</v>
      </c>
      <c r="BA176" s="341">
        <f>BA41</f>
        <v>1968.556</v>
      </c>
      <c r="BB176" s="341">
        <f>BB41</f>
        <v>2058.8509999999997</v>
      </c>
      <c r="BC176" s="1526">
        <f>BC41</f>
        <v>2058.8509999999997</v>
      </c>
      <c r="BE176" s="2079">
        <f>BE41</f>
        <v>2101.6860000000006</v>
      </c>
      <c r="BF176" s="341">
        <f>BF41</f>
        <v>2149.3440000000001</v>
      </c>
      <c r="BG176" s="341">
        <f>BG41</f>
        <v>2259.1399999999994</v>
      </c>
      <c r="BH176" s="341">
        <f>BH41</f>
        <v>2301.9489999999996</v>
      </c>
      <c r="BI176" s="1526">
        <f>BI41</f>
        <v>2301.9489999999996</v>
      </c>
      <c r="BK176" s="2079">
        <f>BK41</f>
        <v>2394.8140000000003</v>
      </c>
      <c r="BL176" s="341">
        <f>BL41</f>
        <v>2518.6390000000001</v>
      </c>
      <c r="BM176" s="341">
        <f>BM41</f>
        <v>2629.0950000000003</v>
      </c>
      <c r="BN176" s="341">
        <f>BN41</f>
        <v>2233.7879999999996</v>
      </c>
      <c r="BO176" s="1526">
        <f>BO41</f>
        <v>2233.7879999999996</v>
      </c>
      <c r="BQ176" s="2079">
        <f>BQ41</f>
        <v>2215.4486688043316</v>
      </c>
      <c r="BR176" s="341">
        <f>BR41</f>
        <v>2228.4436914713597</v>
      </c>
      <c r="BS176" s="341">
        <f>BS41</f>
        <v>2235.4722172718893</v>
      </c>
      <c r="BT176" s="341">
        <f>BT41</f>
        <v>2305.0976629215274</v>
      </c>
      <c r="BU176" s="1526">
        <f>BU41</f>
        <v>2305.0976629215274</v>
      </c>
      <c r="BW176" s="2079">
        <f>BW41</f>
        <v>2293.8887532409317</v>
      </c>
      <c r="BX176" s="341">
        <f>BX41</f>
        <v>2314.6305243837114</v>
      </c>
      <c r="BY176" s="341">
        <f>BY41</f>
        <v>2329.1560881685427</v>
      </c>
      <c r="BZ176" s="341">
        <f>BZ41</f>
        <v>2409.0334547830453</v>
      </c>
      <c r="CA176" s="1526">
        <f>CA41</f>
        <v>2409.0334547830453</v>
      </c>
      <c r="CC176" s="2079">
        <f>CC41</f>
        <v>2404.7431770196372</v>
      </c>
      <c r="CD176" s="341">
        <f>CD41</f>
        <v>2497.8350215936725</v>
      </c>
      <c r="CE176" s="341">
        <f>CE41</f>
        <v>2586.5966191136204</v>
      </c>
      <c r="CF176" s="341">
        <f>CF41</f>
        <v>2744.999730595714</v>
      </c>
      <c r="CG176" s="1526">
        <f>CG41</f>
        <v>2744.999730595714</v>
      </c>
      <c r="CI176" s="2079">
        <f>CI41</f>
        <v>2821.2985116135196</v>
      </c>
      <c r="CJ176" s="341">
        <f>CJ41</f>
        <v>2861.7756160155759</v>
      </c>
      <c r="CK176" s="341">
        <f>CK41</f>
        <v>2895.5761346783211</v>
      </c>
      <c r="CL176" s="341">
        <f>CL41</f>
        <v>2999.0570105666948</v>
      </c>
      <c r="CM176" s="1526">
        <f>CM41</f>
        <v>2999.0570105666948</v>
      </c>
      <c r="CP176"/>
      <c r="CQ176"/>
      <c r="CR176"/>
      <c r="CS176"/>
      <c r="CT176"/>
      <c r="CU176"/>
    </row>
    <row r="177" spans="1:99" s="73" customFormat="1">
      <c r="A177" s="2080" t="s">
        <v>582</v>
      </c>
      <c r="C177" s="70"/>
      <c r="D177" s="70"/>
      <c r="E177" s="70"/>
      <c r="F177" s="70"/>
      <c r="G177" s="1097"/>
      <c r="I177" s="1098"/>
      <c r="J177" s="70"/>
      <c r="K177" s="70"/>
      <c r="L177" s="70"/>
      <c r="M177" s="1097"/>
      <c r="O177" s="1098"/>
      <c r="P177" s="70"/>
      <c r="Q177" s="70"/>
      <c r="R177" s="70"/>
      <c r="S177" s="1097"/>
      <c r="U177" s="1098"/>
      <c r="V177" s="70"/>
      <c r="W177" s="70"/>
      <c r="X177" s="70"/>
      <c r="Y177" s="1097"/>
      <c r="AA177" s="1098"/>
      <c r="AB177" s="70"/>
      <c r="AC177" s="70"/>
      <c r="AD177" s="70"/>
      <c r="AE177" s="1097"/>
      <c r="AG177" s="1098"/>
      <c r="AH177" s="70"/>
      <c r="AI177" s="70"/>
      <c r="AJ177" s="70"/>
      <c r="AK177" s="1097"/>
      <c r="AM177" s="1098"/>
      <c r="AN177" s="70"/>
      <c r="AO177" s="70"/>
      <c r="AP177" s="70"/>
      <c r="AQ177" s="1097"/>
      <c r="AS177" s="1098"/>
      <c r="AT177" s="70"/>
      <c r="AU177" s="70"/>
      <c r="AV177" s="70"/>
      <c r="AW177" s="1097"/>
      <c r="AY177" s="1098"/>
      <c r="AZ177" s="70"/>
      <c r="BA177" s="70"/>
      <c r="BB177" s="70"/>
      <c r="BC177" s="1097"/>
      <c r="BE177" s="1098"/>
      <c r="BF177" s="70"/>
      <c r="BG177" s="70"/>
      <c r="BH177" s="70"/>
      <c r="BI177" s="1097"/>
      <c r="BK177" s="1098"/>
      <c r="BL177" s="70"/>
      <c r="BM177" s="70"/>
      <c r="BN177" s="70"/>
      <c r="BO177" s="1097"/>
      <c r="BQ177" s="1098"/>
      <c r="BR177" s="70"/>
      <c r="BS177" s="70"/>
      <c r="BT177" s="70"/>
      <c r="BU177" s="1097"/>
      <c r="BW177" s="1098"/>
      <c r="BX177" s="70"/>
      <c r="BY177" s="70"/>
      <c r="BZ177" s="70"/>
      <c r="CA177" s="1097"/>
      <c r="CC177" s="1098"/>
      <c r="CD177" s="70"/>
      <c r="CE177" s="70"/>
      <c r="CF177" s="70"/>
      <c r="CG177" s="1097"/>
      <c r="CI177" s="1098"/>
      <c r="CJ177" s="70"/>
      <c r="CK177" s="70"/>
      <c r="CL177" s="70"/>
      <c r="CM177" s="1097"/>
      <c r="CP177"/>
      <c r="CQ177"/>
      <c r="CR177"/>
      <c r="CS177"/>
      <c r="CT177"/>
      <c r="CU177"/>
    </row>
    <row r="178" spans="1:99" s="73" customFormat="1">
      <c r="A178" s="1065" t="s">
        <v>583</v>
      </c>
      <c r="C178" s="70"/>
      <c r="D178" s="70"/>
      <c r="E178" s="70"/>
      <c r="F178" s="70"/>
      <c r="G178" s="1097"/>
      <c r="I178" s="1098"/>
      <c r="J178" s="70"/>
      <c r="K178" s="70"/>
      <c r="L178" s="70"/>
      <c r="M178" s="1097"/>
      <c r="O178" s="1098"/>
      <c r="P178" s="70"/>
      <c r="Q178" s="70"/>
      <c r="R178" s="70"/>
      <c r="S178" s="1097"/>
      <c r="U178" s="1098"/>
      <c r="V178" s="70"/>
      <c r="W178" s="70"/>
      <c r="X178" s="70"/>
      <c r="Y178" s="1097"/>
      <c r="AA178" s="1098"/>
      <c r="AB178" s="70"/>
      <c r="AC178" s="70"/>
      <c r="AD178" s="70"/>
      <c r="AE178" s="1097"/>
      <c r="AG178" s="1098"/>
      <c r="AH178" s="70"/>
      <c r="AI178" s="70"/>
      <c r="AJ178" s="70"/>
      <c r="AK178" s="1097"/>
      <c r="AM178" s="1098"/>
      <c r="AN178" s="70"/>
      <c r="AO178" s="70"/>
      <c r="AP178" s="70"/>
      <c r="AQ178" s="1097"/>
      <c r="AS178" s="1098"/>
      <c r="AT178" s="70"/>
      <c r="AU178" s="70"/>
      <c r="AV178" s="70"/>
      <c r="AW178" s="1097"/>
      <c r="AY178" s="1098"/>
      <c r="AZ178" s="70"/>
      <c r="BA178" s="70"/>
      <c r="BB178" s="70"/>
      <c r="BC178" s="1097"/>
      <c r="BE178" s="1098"/>
      <c r="BF178" s="70"/>
      <c r="BG178" s="70"/>
      <c r="BH178" s="70"/>
      <c r="BI178" s="1097"/>
      <c r="BK178" s="1098"/>
      <c r="BL178" s="70"/>
      <c r="BM178" s="70"/>
      <c r="BN178" s="70"/>
      <c r="BO178" s="1097"/>
      <c r="BQ178" s="1098"/>
      <c r="BR178" s="70"/>
      <c r="BS178" s="70"/>
      <c r="BT178" s="70"/>
      <c r="BU178" s="1097"/>
      <c r="BW178" s="1098"/>
      <c r="BX178" s="70"/>
      <c r="BY178" s="70"/>
      <c r="BZ178" s="70"/>
      <c r="CA178" s="1097"/>
      <c r="CC178" s="1098"/>
      <c r="CD178" s="70"/>
      <c r="CE178" s="70"/>
      <c r="CF178" s="70"/>
      <c r="CG178" s="1097"/>
      <c r="CI178" s="1098"/>
      <c r="CJ178" s="70"/>
      <c r="CK178" s="70"/>
      <c r="CL178" s="70"/>
      <c r="CM178" s="1097"/>
      <c r="CP178"/>
      <c r="CQ178"/>
      <c r="CR178"/>
      <c r="CS178"/>
      <c r="CT178"/>
      <c r="CU178"/>
    </row>
    <row r="179" spans="1:99" s="73" customFormat="1">
      <c r="A179" s="73" t="s">
        <v>584</v>
      </c>
      <c r="C179" s="2071"/>
      <c r="D179" s="2071"/>
      <c r="E179" s="2071"/>
      <c r="F179" s="2071"/>
      <c r="G179" s="2072">
        <f>-G11</f>
        <v>-597.33299999999997</v>
      </c>
      <c r="I179" s="2070">
        <f t="shared" ref="I179:BT179" si="137">-I11</f>
        <v>-700.56</v>
      </c>
      <c r="J179" s="2071">
        <f t="shared" si="137"/>
        <v>-830.68100000000004</v>
      </c>
      <c r="K179" s="2071">
        <f t="shared" si="137"/>
        <v>-892.6</v>
      </c>
      <c r="L179" s="2071">
        <f t="shared" si="137"/>
        <v>-428.52199999999999</v>
      </c>
      <c r="M179" s="2072">
        <f t="shared" si="137"/>
        <v>-428.52199999999999</v>
      </c>
      <c r="O179" s="2070">
        <f t="shared" si="137"/>
        <v>-388.15300000000002</v>
      </c>
      <c r="P179" s="2071">
        <f t="shared" si="137"/>
        <v>-358.44499999999999</v>
      </c>
      <c r="Q179" s="2071">
        <f t="shared" si="137"/>
        <v>-390.41699999999997</v>
      </c>
      <c r="R179" s="2071">
        <f t="shared" si="137"/>
        <v>-341.11099999999999</v>
      </c>
      <c r="S179" s="2072">
        <f t="shared" si="137"/>
        <v>-341.11099999999999</v>
      </c>
      <c r="U179" s="2070">
        <f t="shared" si="137"/>
        <v>-297.012</v>
      </c>
      <c r="V179" s="2071">
        <f t="shared" si="137"/>
        <v>-310.88400000000001</v>
      </c>
      <c r="W179" s="2071">
        <f t="shared" si="137"/>
        <v>-262.79199999999997</v>
      </c>
      <c r="X179" s="2071">
        <f t="shared" si="137"/>
        <v>-308.49799999999999</v>
      </c>
      <c r="Y179" s="2072">
        <f t="shared" si="137"/>
        <v>-308.49799999999999</v>
      </c>
      <c r="AA179" s="2070">
        <f t="shared" si="137"/>
        <v>-296.86</v>
      </c>
      <c r="AB179" s="2071">
        <f t="shared" si="137"/>
        <v>-344.91399999999999</v>
      </c>
      <c r="AC179" s="2071">
        <f t="shared" si="137"/>
        <v>-423.92599999999999</v>
      </c>
      <c r="AD179" s="2071">
        <f t="shared" si="137"/>
        <v>-383.99</v>
      </c>
      <c r="AE179" s="2072">
        <f t="shared" si="137"/>
        <v>-383.99</v>
      </c>
      <c r="AG179" s="2070">
        <f t="shared" si="137"/>
        <v>-427.18599999999998</v>
      </c>
      <c r="AH179" s="2071">
        <f t="shared" si="137"/>
        <v>-369.42899999999997</v>
      </c>
      <c r="AI179" s="2071">
        <f t="shared" si="137"/>
        <v>-356.29300000000001</v>
      </c>
      <c r="AJ179" s="2071">
        <f t="shared" si="137"/>
        <v>-481.03500000000003</v>
      </c>
      <c r="AK179" s="2072">
        <f t="shared" si="137"/>
        <v>-481.03500000000003</v>
      </c>
      <c r="AM179" s="2070">
        <f t="shared" si="137"/>
        <v>-472.048</v>
      </c>
      <c r="AN179" s="2071">
        <f t="shared" si="137"/>
        <v>-455.04500000000002</v>
      </c>
      <c r="AO179" s="2071">
        <f t="shared" si="137"/>
        <v>-431.00099999999998</v>
      </c>
      <c r="AP179" s="2071">
        <f t="shared" si="137"/>
        <v>-440.79599999999999</v>
      </c>
      <c r="AQ179" s="2072">
        <f t="shared" si="137"/>
        <v>-440.79599999999999</v>
      </c>
      <c r="AS179" s="2070">
        <f t="shared" si="137"/>
        <v>-395.38200000000001</v>
      </c>
      <c r="AT179" s="2071">
        <f t="shared" si="137"/>
        <v>-428.69099999999997</v>
      </c>
      <c r="AU179" s="2071">
        <f t="shared" si="137"/>
        <v>-356.96800000000002</v>
      </c>
      <c r="AV179" s="2071">
        <f t="shared" si="137"/>
        <v>-422.17700000000002</v>
      </c>
      <c r="AW179" s="2072">
        <f t="shared" si="137"/>
        <v>-422.17700000000002</v>
      </c>
      <c r="AY179" s="2070">
        <f t="shared" si="137"/>
        <v>-440.798</v>
      </c>
      <c r="AZ179" s="2071">
        <f t="shared" si="137"/>
        <v>-365.875</v>
      </c>
      <c r="BA179" s="2071">
        <f t="shared" si="137"/>
        <v>-459.51799999999997</v>
      </c>
      <c r="BB179" s="2071">
        <f t="shared" si="137"/>
        <v>-487.66500000000002</v>
      </c>
      <c r="BC179" s="2072">
        <f t="shared" si="137"/>
        <v>-487.66500000000002</v>
      </c>
      <c r="BE179" s="2070">
        <f t="shared" si="137"/>
        <v>-416.387</v>
      </c>
      <c r="BF179" s="2071">
        <f t="shared" si="137"/>
        <v>-463.38200000000001</v>
      </c>
      <c r="BG179" s="2071">
        <f t="shared" si="137"/>
        <v>-430.209</v>
      </c>
      <c r="BH179" s="2071">
        <f t="shared" si="137"/>
        <v>-505.63099999999997</v>
      </c>
      <c r="BI179" s="2072">
        <f t="shared" si="137"/>
        <v>-505.63099999999997</v>
      </c>
      <c r="BK179" s="2070">
        <f t="shared" si="137"/>
        <v>-584.44399999999996</v>
      </c>
      <c r="BL179" s="2071">
        <f t="shared" si="137"/>
        <v>-567.255</v>
      </c>
      <c r="BM179" s="2071">
        <f t="shared" si="137"/>
        <v>-603.80700000000002</v>
      </c>
      <c r="BN179" s="2071">
        <f t="shared" si="137"/>
        <v>-642.31899999999996</v>
      </c>
      <c r="BO179" s="2072">
        <f t="shared" si="137"/>
        <v>-642.31899999999996</v>
      </c>
      <c r="BQ179" s="2070">
        <f t="shared" si="137"/>
        <v>-444.59882952837177</v>
      </c>
      <c r="BR179" s="2071">
        <f t="shared" si="137"/>
        <v>-460.8156530679139</v>
      </c>
      <c r="BS179" s="2071">
        <f t="shared" si="137"/>
        <v>-483.34647070968538</v>
      </c>
      <c r="BT179" s="2071">
        <f t="shared" si="137"/>
        <v>-555.83713397074746</v>
      </c>
      <c r="BU179" s="2072">
        <f t="shared" ref="BU179" si="138">-BU11</f>
        <v>-555.83713397074746</v>
      </c>
      <c r="BW179" s="2070">
        <f t="shared" ref="BW179:CA179" si="139">-BW11</f>
        <v>-333.96896521924367</v>
      </c>
      <c r="BX179" s="2071">
        <f t="shared" si="139"/>
        <v>-346.63314448839674</v>
      </c>
      <c r="BY179" s="2071">
        <f t="shared" si="139"/>
        <v>-364.47597490000595</v>
      </c>
      <c r="BZ179" s="2071">
        <f t="shared" si="139"/>
        <v>-430.71156023882781</v>
      </c>
      <c r="CA179" s="2072">
        <f t="shared" si="139"/>
        <v>-430.71156023882781</v>
      </c>
      <c r="CC179" s="2070">
        <f t="shared" ref="CC179:CG179" si="140">-CC11</f>
        <v>-325.08040715527278</v>
      </c>
      <c r="CD179" s="2071">
        <f t="shared" si="140"/>
        <v>-414.20267320924444</v>
      </c>
      <c r="CE179" s="2071">
        <f t="shared" si="140"/>
        <v>-506.2201360688361</v>
      </c>
      <c r="CF179" s="2071">
        <f t="shared" si="140"/>
        <v>-652.86641704826593</v>
      </c>
      <c r="CG179" s="2072">
        <f t="shared" si="140"/>
        <v>-652.86641704826593</v>
      </c>
      <c r="CI179" s="2070">
        <f t="shared" ref="CI179:CM179" si="141">-CI11</f>
        <v>-629.09846708354371</v>
      </c>
      <c r="CJ179" s="2071">
        <f t="shared" si="141"/>
        <v>-682.8284740883123</v>
      </c>
      <c r="CK179" s="2071">
        <f t="shared" si="141"/>
        <v>-732.04206470273789</v>
      </c>
      <c r="CL179" s="2071">
        <f t="shared" si="141"/>
        <v>-840.43827037247593</v>
      </c>
      <c r="CM179" s="2072">
        <f t="shared" si="141"/>
        <v>-840.43827037247593</v>
      </c>
      <c r="CP179"/>
      <c r="CQ179"/>
      <c r="CR179"/>
      <c r="CS179"/>
      <c r="CT179"/>
      <c r="CU179"/>
    </row>
    <row r="180" spans="1:99" s="73" customFormat="1">
      <c r="A180" s="73" t="s">
        <v>585</v>
      </c>
      <c r="C180" s="2081"/>
      <c r="D180" s="2081"/>
      <c r="E180" s="2081"/>
      <c r="F180" s="2081"/>
      <c r="G180" s="2082">
        <v>0</v>
      </c>
      <c r="I180" s="1900">
        <v>0</v>
      </c>
      <c r="J180" s="1901">
        <v>0</v>
      </c>
      <c r="K180" s="1901">
        <v>0</v>
      </c>
      <c r="L180" s="1901">
        <v>0</v>
      </c>
      <c r="M180" s="2093">
        <v>0</v>
      </c>
      <c r="O180" s="1900">
        <v>0</v>
      </c>
      <c r="P180" s="1901">
        <v>0</v>
      </c>
      <c r="Q180" s="1901">
        <v>0</v>
      </c>
      <c r="R180" s="1901">
        <v>0</v>
      </c>
      <c r="S180" s="2093">
        <v>0</v>
      </c>
      <c r="U180" s="1900">
        <v>0</v>
      </c>
      <c r="V180" s="1901">
        <v>0</v>
      </c>
      <c r="W180" s="1901">
        <v>0</v>
      </c>
      <c r="X180" s="1901">
        <v>0</v>
      </c>
      <c r="Y180" s="2093">
        <v>0</v>
      </c>
      <c r="AA180" s="1900">
        <v>0</v>
      </c>
      <c r="AB180" s="1901">
        <v>0</v>
      </c>
      <c r="AC180" s="1901">
        <v>0</v>
      </c>
      <c r="AD180" s="1901">
        <v>0</v>
      </c>
      <c r="AE180" s="2093">
        <v>0</v>
      </c>
      <c r="AG180" s="1900">
        <v>0</v>
      </c>
      <c r="AH180" s="1901">
        <v>0</v>
      </c>
      <c r="AI180" s="1901">
        <v>0</v>
      </c>
      <c r="AJ180" s="1901">
        <v>0</v>
      </c>
      <c r="AK180" s="2093">
        <v>0</v>
      </c>
      <c r="AM180" s="1900">
        <v>0</v>
      </c>
      <c r="AN180" s="1901">
        <v>0</v>
      </c>
      <c r="AO180" s="1901">
        <v>0</v>
      </c>
      <c r="AP180" s="1901">
        <v>0</v>
      </c>
      <c r="AQ180" s="2093">
        <v>0</v>
      </c>
      <c r="AS180" s="1900">
        <v>0</v>
      </c>
      <c r="AT180" s="1901">
        <v>0</v>
      </c>
      <c r="AU180" s="1901">
        <v>0</v>
      </c>
      <c r="AV180" s="1901">
        <v>0</v>
      </c>
      <c r="AW180" s="2093">
        <v>0</v>
      </c>
      <c r="AY180" s="1900">
        <v>0</v>
      </c>
      <c r="AZ180" s="1901">
        <v>0</v>
      </c>
      <c r="BA180" s="1901">
        <v>0</v>
      </c>
      <c r="BB180" s="1901">
        <v>0</v>
      </c>
      <c r="BC180" s="2093">
        <v>0</v>
      </c>
      <c r="BE180" s="1900">
        <v>0</v>
      </c>
      <c r="BF180" s="1901">
        <v>0</v>
      </c>
      <c r="BG180" s="1901">
        <v>0</v>
      </c>
      <c r="BH180" s="1901">
        <v>0</v>
      </c>
      <c r="BI180" s="2093">
        <v>0</v>
      </c>
      <c r="BK180" s="1900">
        <v>0</v>
      </c>
      <c r="BL180" s="1901">
        <v>0</v>
      </c>
      <c r="BM180" s="1901">
        <v>0</v>
      </c>
      <c r="BN180" s="1901">
        <v>0</v>
      </c>
      <c r="BO180" s="2093">
        <v>0</v>
      </c>
      <c r="BQ180" s="1900">
        <v>0</v>
      </c>
      <c r="BR180" s="1901">
        <v>0</v>
      </c>
      <c r="BS180" s="1901">
        <v>0</v>
      </c>
      <c r="BT180" s="1901">
        <v>0</v>
      </c>
      <c r="BU180" s="2093">
        <v>0</v>
      </c>
      <c r="BW180" s="1900">
        <v>0</v>
      </c>
      <c r="BX180" s="1901">
        <v>0</v>
      </c>
      <c r="BY180" s="1901">
        <v>0</v>
      </c>
      <c r="BZ180" s="1901">
        <v>0</v>
      </c>
      <c r="CA180" s="2093">
        <v>0</v>
      </c>
      <c r="CC180" s="1900">
        <v>0</v>
      </c>
      <c r="CD180" s="1901">
        <v>0</v>
      </c>
      <c r="CE180" s="1901">
        <v>0</v>
      </c>
      <c r="CF180" s="1901">
        <v>0</v>
      </c>
      <c r="CG180" s="2093">
        <v>0</v>
      </c>
      <c r="CI180" s="1900">
        <v>0</v>
      </c>
      <c r="CJ180" s="1901">
        <v>0</v>
      </c>
      <c r="CK180" s="1901">
        <v>0</v>
      </c>
      <c r="CL180" s="1901">
        <v>0</v>
      </c>
      <c r="CM180" s="2093">
        <v>0</v>
      </c>
      <c r="CP180"/>
      <c r="CQ180"/>
      <c r="CR180"/>
      <c r="CS180"/>
      <c r="CT180"/>
      <c r="CU180"/>
    </row>
    <row r="181" spans="1:99" s="73" customFormat="1">
      <c r="A181" s="73" t="s">
        <v>586</v>
      </c>
      <c r="C181" s="2071"/>
      <c r="D181" s="2071"/>
      <c r="E181" s="2071"/>
      <c r="F181" s="2071"/>
      <c r="G181" s="2072">
        <f>-G18</f>
        <v>-272.62599999999998</v>
      </c>
      <c r="I181" s="2070">
        <f>-I18</f>
        <v>-274.30900000000003</v>
      </c>
      <c r="J181" s="2071">
        <f>-J18</f>
        <v>-273.81400000000002</v>
      </c>
      <c r="K181" s="2071">
        <f>-K18</f>
        <v>-272.077</v>
      </c>
      <c r="L181" s="2071">
        <f>-L18</f>
        <v>-268.36399999999998</v>
      </c>
      <c r="M181" s="2072">
        <f>-M18</f>
        <v>-268.36399999999998</v>
      </c>
      <c r="O181" s="2070">
        <f>-O18</f>
        <v>-289.66899999999998</v>
      </c>
      <c r="P181" s="2071">
        <f>-P18</f>
        <v>-292.31200000000001</v>
      </c>
      <c r="Q181" s="2071">
        <f>-Q18</f>
        <v>-292.95999999999998</v>
      </c>
      <c r="R181" s="2071">
        <f>-R18</f>
        <v>-293.077</v>
      </c>
      <c r="S181" s="2072">
        <f>-S18</f>
        <v>-293.077</v>
      </c>
      <c r="U181" s="2070">
        <f>-U18</f>
        <v>-291.73399999999998</v>
      </c>
      <c r="V181" s="2071">
        <f>-V18</f>
        <v>-289.92899999999997</v>
      </c>
      <c r="W181" s="2071">
        <f>-W18</f>
        <v>-292.42399999999998</v>
      </c>
      <c r="X181" s="2071">
        <f>-X18</f>
        <v>-291.65699999999998</v>
      </c>
      <c r="Y181" s="2072">
        <f>-Y18</f>
        <v>-291.65699999999998</v>
      </c>
      <c r="AA181" s="2070">
        <f>-AA18</f>
        <v>-293.517</v>
      </c>
      <c r="AB181" s="2071">
        <f>-AB18</f>
        <v>-294.02</v>
      </c>
      <c r="AC181" s="2071">
        <f>-AC18</f>
        <v>-298.29700000000003</v>
      </c>
      <c r="AD181" s="2071">
        <f>-AD18</f>
        <v>-297.07100000000003</v>
      </c>
      <c r="AE181" s="2072">
        <f>-AE18</f>
        <v>-297.07100000000003</v>
      </c>
      <c r="AG181" s="2070">
        <f>-AG18</f>
        <v>-309.08800000000002</v>
      </c>
      <c r="AH181" s="2071">
        <f>-AH18</f>
        <v>-199.01300000000001</v>
      </c>
      <c r="AI181" s="2071">
        <f>-AI18</f>
        <v>-212.87</v>
      </c>
      <c r="AJ181" s="2071">
        <f>-AJ18</f>
        <v>-316.834</v>
      </c>
      <c r="AK181" s="2072">
        <f>-AK18</f>
        <v>-316.834</v>
      </c>
      <c r="AM181" s="2070">
        <f>-AM18</f>
        <v>-315.14499999999998</v>
      </c>
      <c r="AN181" s="2071">
        <f>-AN18</f>
        <v>-315.21499999999997</v>
      </c>
      <c r="AO181" s="2071">
        <f>-AO18</f>
        <v>-340.39299999999997</v>
      </c>
      <c r="AP181" s="2071">
        <f>-AP18</f>
        <v>-350.35</v>
      </c>
      <c r="AQ181" s="2072">
        <f>-AQ18</f>
        <v>-350.35</v>
      </c>
      <c r="AS181" s="2070">
        <f>-AS18</f>
        <v>-353.46899999999999</v>
      </c>
      <c r="AT181" s="2071">
        <f>-AT18</f>
        <v>-354.07900000000001</v>
      </c>
      <c r="AU181" s="2071">
        <f>-AU18</f>
        <v>-358.464</v>
      </c>
      <c r="AV181" s="2071">
        <f>-AV18</f>
        <v>-354.83800000000002</v>
      </c>
      <c r="AW181" s="2072">
        <f>-AW18</f>
        <v>-354.83800000000002</v>
      </c>
      <c r="AY181" s="2070">
        <f>-AY18</f>
        <v>-350.02100000000002</v>
      </c>
      <c r="AZ181" s="2071">
        <f>-AZ18</f>
        <v>-353.34</v>
      </c>
      <c r="BA181" s="2071">
        <f>-BA18</f>
        <v>-352.15100000000001</v>
      </c>
      <c r="BB181" s="2071">
        <f>-BB18</f>
        <v>-356.86399999999998</v>
      </c>
      <c r="BC181" s="2072">
        <f>-BC18</f>
        <v>-356.86399999999998</v>
      </c>
      <c r="BE181" s="2070">
        <f>-BE18</f>
        <v>-356.88</v>
      </c>
      <c r="BF181" s="2071">
        <f>-BF18</f>
        <v>-352.98700000000002</v>
      </c>
      <c r="BG181" s="2071">
        <f>-BG18</f>
        <v>-356.44600000000003</v>
      </c>
      <c r="BH181" s="2071">
        <f>-BH18</f>
        <v>-352.08</v>
      </c>
      <c r="BI181" s="2072">
        <f>-BI18</f>
        <v>-352.08</v>
      </c>
      <c r="BK181" s="2070">
        <f>-BK18</f>
        <v>-353.79599999999999</v>
      </c>
      <c r="BL181" s="2071">
        <f>-BL18</f>
        <v>-357.12200000000001</v>
      </c>
      <c r="BM181" s="2071">
        <f>-BM18</f>
        <v>-359.37599999999998</v>
      </c>
      <c r="BN181" s="2071">
        <f>-BN18</f>
        <v>-359.81900000000002</v>
      </c>
      <c r="BO181" s="2072">
        <f>-BO18</f>
        <v>-359.81900000000002</v>
      </c>
      <c r="BQ181" s="2070">
        <f>-BQ18</f>
        <v>-359.81900000000002</v>
      </c>
      <c r="BR181" s="2071">
        <f>-BR18</f>
        <v>-359.81900000000002</v>
      </c>
      <c r="BS181" s="2071">
        <f>-BS18</f>
        <v>-359.81900000000002</v>
      </c>
      <c r="BT181" s="2071">
        <f>-BT18</f>
        <v>-359.81900000000002</v>
      </c>
      <c r="BU181" s="2072">
        <f>-BU18</f>
        <v>-359.81900000000002</v>
      </c>
      <c r="BW181" s="2070">
        <f>-BW18</f>
        <v>-359.81900000000002</v>
      </c>
      <c r="BX181" s="2071">
        <f>-BX18</f>
        <v>-359.81900000000002</v>
      </c>
      <c r="BY181" s="2071">
        <f>-BY18</f>
        <v>-359.81900000000002</v>
      </c>
      <c r="BZ181" s="2071">
        <f>-BZ18</f>
        <v>-359.81900000000002</v>
      </c>
      <c r="CA181" s="2072">
        <f>-CA18</f>
        <v>-359.81900000000002</v>
      </c>
      <c r="CC181" s="2070">
        <f>-CC18</f>
        <v>-359.81900000000002</v>
      </c>
      <c r="CD181" s="2071">
        <f>-CD18</f>
        <v>-359.81900000000002</v>
      </c>
      <c r="CE181" s="2071">
        <f>-CE18</f>
        <v>-359.81900000000002</v>
      </c>
      <c r="CF181" s="2071">
        <f>-CF18</f>
        <v>-359.81900000000002</v>
      </c>
      <c r="CG181" s="2072">
        <f>-CG18</f>
        <v>-359.81900000000002</v>
      </c>
      <c r="CI181" s="2070">
        <f>-CI18</f>
        <v>-359.81900000000002</v>
      </c>
      <c r="CJ181" s="2071">
        <f>-CJ18</f>
        <v>-359.81900000000002</v>
      </c>
      <c r="CK181" s="2071">
        <f>-CK18</f>
        <v>-359.81900000000002</v>
      </c>
      <c r="CL181" s="2071">
        <f>-CL18</f>
        <v>-359.81900000000002</v>
      </c>
      <c r="CM181" s="2072">
        <f>-CM18</f>
        <v>-359.81900000000002</v>
      </c>
      <c r="CP181"/>
      <c r="CQ181"/>
      <c r="CR181"/>
      <c r="CS181"/>
      <c r="CT181"/>
      <c r="CU181"/>
    </row>
    <row r="182" spans="1:99" s="73" customFormat="1">
      <c r="A182" s="1065" t="s">
        <v>587</v>
      </c>
      <c r="B182" s="1065"/>
      <c r="C182" s="1258"/>
      <c r="D182" s="1258"/>
      <c r="E182" s="1258"/>
      <c r="F182" s="1258"/>
      <c r="G182" s="2084">
        <f t="shared" ref="G182" si="142">SUM(G169:G180)</f>
        <v>1009.4640000000001</v>
      </c>
      <c r="H182" s="1065"/>
      <c r="I182" s="2083">
        <f>SUM(I169:I180)</f>
        <v>989.40899999999988</v>
      </c>
      <c r="J182" s="1258">
        <f t="shared" ref="J182:M182" si="143">SUM(J169:J180)</f>
        <v>946.82799999999997</v>
      </c>
      <c r="K182" s="1258">
        <f t="shared" si="143"/>
        <v>922.47199999999964</v>
      </c>
      <c r="L182" s="1258">
        <f t="shared" si="143"/>
        <v>940.99000000000024</v>
      </c>
      <c r="M182" s="2084">
        <f t="shared" si="143"/>
        <v>940.99000000000024</v>
      </c>
      <c r="N182" s="1065"/>
      <c r="O182" s="2083">
        <f>SUM(O169:O180)</f>
        <v>1030.9059999999997</v>
      </c>
      <c r="P182" s="1258">
        <f t="shared" ref="P182:S182" si="144">SUM(P169:P180)</f>
        <v>1174.8330000000003</v>
      </c>
      <c r="Q182" s="1258">
        <f t="shared" si="144"/>
        <v>1207.58</v>
      </c>
      <c r="R182" s="1258">
        <f t="shared" si="144"/>
        <v>1304.0239999999999</v>
      </c>
      <c r="S182" s="2084">
        <f t="shared" si="144"/>
        <v>1304.0239999999999</v>
      </c>
      <c r="T182" s="1065"/>
      <c r="U182" s="2083">
        <f>SUM(U169:U180)</f>
        <v>1391.4079999999999</v>
      </c>
      <c r="V182" s="1258">
        <f t="shared" ref="V182:Y182" si="145">SUM(V169:V180)</f>
        <v>1419.8020000000001</v>
      </c>
      <c r="W182" s="1258">
        <f t="shared" si="145"/>
        <v>1617.6869999999999</v>
      </c>
      <c r="X182" s="1258">
        <f t="shared" si="145"/>
        <v>1699.377</v>
      </c>
      <c r="Y182" s="2084">
        <f t="shared" si="145"/>
        <v>1699.377</v>
      </c>
      <c r="Z182" s="1065"/>
      <c r="AA182" s="2083">
        <f>SUM(AA169:AA180)</f>
        <v>1824.4189999999999</v>
      </c>
      <c r="AB182" s="1258">
        <f t="shared" ref="AB182:AE182" si="146">SUM(AB169:AB180)</f>
        <v>1895.8209999999997</v>
      </c>
      <c r="AC182" s="1258">
        <f t="shared" si="146"/>
        <v>1881.6880000000001</v>
      </c>
      <c r="AD182" s="1258">
        <f t="shared" si="146"/>
        <v>2028.213</v>
      </c>
      <c r="AE182" s="2084">
        <f t="shared" si="146"/>
        <v>2028.213</v>
      </c>
      <c r="AF182" s="1065"/>
      <c r="AG182" s="2083">
        <f>SUM(AG169:AG180)</f>
        <v>2087.5629999999996</v>
      </c>
      <c r="AH182" s="1258">
        <f t="shared" ref="AH182:AK182" si="147">SUM(AH169:AH180)</f>
        <v>2193.8239999999996</v>
      </c>
      <c r="AI182" s="1258">
        <f t="shared" si="147"/>
        <v>2320.9879999999994</v>
      </c>
      <c r="AJ182" s="1258">
        <f t="shared" si="147"/>
        <v>2315.654</v>
      </c>
      <c r="AK182" s="2084">
        <f t="shared" si="147"/>
        <v>2315.654</v>
      </c>
      <c r="AL182" s="1065"/>
      <c r="AM182" s="2083">
        <f>SUM(AM169:AM180)</f>
        <v>2391.6350000000002</v>
      </c>
      <c r="AN182" s="1258">
        <f t="shared" ref="AN182:AQ182" si="148">SUM(AN169:AN180)</f>
        <v>2488.44</v>
      </c>
      <c r="AO182" s="1258">
        <f t="shared" si="148"/>
        <v>2635.1750000000002</v>
      </c>
      <c r="AP182" s="1258">
        <f t="shared" si="148"/>
        <v>2787.6469999999999</v>
      </c>
      <c r="AQ182" s="2084">
        <f t="shared" si="148"/>
        <v>2787.6469999999999</v>
      </c>
      <c r="AR182" s="1065"/>
      <c r="AS182" s="2083">
        <f>SUM(AS169:AS180)</f>
        <v>2902.0090000000005</v>
      </c>
      <c r="AT182" s="1258">
        <f t="shared" ref="AT182:AW182" si="149">SUM(AT169:AT180)</f>
        <v>2937.652</v>
      </c>
      <c r="AU182" s="1258">
        <f t="shared" si="149"/>
        <v>3045.2349999999997</v>
      </c>
      <c r="AV182" s="1258">
        <f t="shared" si="149"/>
        <v>3099.4049999999993</v>
      </c>
      <c r="AW182" s="2084">
        <f t="shared" si="149"/>
        <v>3099.4049999999993</v>
      </c>
      <c r="AX182" s="1065"/>
      <c r="AY182" s="2083">
        <f>SUM(AY169:AY180)</f>
        <v>3068.7730000000001</v>
      </c>
      <c r="AZ182" s="1258">
        <f t="shared" ref="AZ182:BC182" si="150">SUM(AZ169:AZ180)</f>
        <v>3291.5720000000001</v>
      </c>
      <c r="BA182" s="1258">
        <f t="shared" si="150"/>
        <v>3300.9479999999999</v>
      </c>
      <c r="BB182" s="1258">
        <f t="shared" si="150"/>
        <v>3392.2449999999999</v>
      </c>
      <c r="BC182" s="2084">
        <f t="shared" si="150"/>
        <v>3392.2449999999999</v>
      </c>
      <c r="BD182" s="1065"/>
      <c r="BE182" s="2083">
        <f>SUM(BE169:BE180)</f>
        <v>3553.4770000000003</v>
      </c>
      <c r="BF182" s="1258">
        <f t="shared" ref="BF182:BI182" si="151">SUM(BF169:BF180)</f>
        <v>3587.3470000000002</v>
      </c>
      <c r="BG182" s="1258">
        <f t="shared" si="151"/>
        <v>3752.2479999999996</v>
      </c>
      <c r="BH182" s="1258">
        <f t="shared" si="151"/>
        <v>3761.404</v>
      </c>
      <c r="BI182" s="2084">
        <f t="shared" si="151"/>
        <v>3761.404</v>
      </c>
      <c r="BJ182" s="1065"/>
      <c r="BK182" s="2083">
        <f>SUM(BK169:BK180)</f>
        <v>3819.3330000000001</v>
      </c>
      <c r="BL182" s="1258">
        <f t="shared" ref="BL182:BO182" si="152">SUM(BL169:BL180)</f>
        <v>4001.4340000000002</v>
      </c>
      <c r="BM182" s="1258">
        <f t="shared" si="152"/>
        <v>4122.4520000000002</v>
      </c>
      <c r="BN182" s="1258">
        <f t="shared" si="152"/>
        <v>4176.1509999999998</v>
      </c>
      <c r="BO182" s="2084">
        <f t="shared" si="152"/>
        <v>4176.1509999999998</v>
      </c>
      <c r="BP182" s="1065"/>
      <c r="BQ182" s="2083">
        <f>SUM(BQ169:BQ180)</f>
        <v>4255.53183927596</v>
      </c>
      <c r="BR182" s="1258">
        <f t="shared" ref="BR182:BU182" si="153">SUM(BR169:BR180)</f>
        <v>4252.310038403446</v>
      </c>
      <c r="BS182" s="1258">
        <f t="shared" si="153"/>
        <v>4236.8077465622036</v>
      </c>
      <c r="BT182" s="1258">
        <f t="shared" si="153"/>
        <v>4233.9425289507799</v>
      </c>
      <c r="BU182" s="2084">
        <f t="shared" si="153"/>
        <v>4233.9425289507799</v>
      </c>
      <c r="BV182" s="1065"/>
      <c r="BW182" s="2083">
        <f>SUM(BW169:BW180)</f>
        <v>4344.6017880216878</v>
      </c>
      <c r="BX182" s="1258">
        <f t="shared" ref="BX182:CA182" si="154">SUM(BX169:BX180)</f>
        <v>4352.6793798953149</v>
      </c>
      <c r="BY182" s="1258">
        <f t="shared" si="154"/>
        <v>4349.3621132685366</v>
      </c>
      <c r="BZ182" s="1258">
        <f t="shared" si="154"/>
        <v>4363.0038945442175</v>
      </c>
      <c r="CA182" s="2084">
        <f t="shared" si="154"/>
        <v>4363.0038945442175</v>
      </c>
      <c r="CB182" s="1065"/>
      <c r="CC182" s="2083">
        <f>SUM(CC169:CC180)</f>
        <v>4464.344769864364</v>
      </c>
      <c r="CD182" s="1258">
        <f t="shared" ref="CD182:CG182" si="155">SUM(CD169:CD180)</f>
        <v>4468.3143483844278</v>
      </c>
      <c r="CE182" s="1258">
        <f t="shared" si="155"/>
        <v>4465.0584830447842</v>
      </c>
      <c r="CF182" s="1258">
        <f t="shared" si="155"/>
        <v>4476.8153135474477</v>
      </c>
      <c r="CG182" s="2084">
        <f t="shared" si="155"/>
        <v>4476.8153135474477</v>
      </c>
      <c r="CH182" s="1065"/>
      <c r="CI182" s="2083">
        <f>SUM(CI169:CI180)</f>
        <v>4576.8820445299752</v>
      </c>
      <c r="CJ182" s="1258">
        <f t="shared" ref="CJ182:CM182" si="156">SUM(CJ169:CJ180)</f>
        <v>4563.6291419272638</v>
      </c>
      <c r="CK182" s="1258">
        <f t="shared" si="156"/>
        <v>4548.2160699755832</v>
      </c>
      <c r="CL182" s="1258">
        <f t="shared" si="156"/>
        <v>4543.3007401942186</v>
      </c>
      <c r="CM182" s="2084">
        <f t="shared" si="156"/>
        <v>4543.3007401942186</v>
      </c>
      <c r="CP182"/>
      <c r="CQ182"/>
      <c r="CR182"/>
      <c r="CS182"/>
      <c r="CT182"/>
      <c r="CU182"/>
    </row>
    <row r="183" spans="1:99" s="73" customFormat="1">
      <c r="A183" s="1065" t="s">
        <v>588</v>
      </c>
      <c r="B183" s="1065"/>
      <c r="C183" s="1258"/>
      <c r="D183" s="1258"/>
      <c r="E183" s="1258"/>
      <c r="F183" s="1258"/>
      <c r="G183" s="2084">
        <f t="shared" ref="G183" si="157">SUM(G169:G181)</f>
        <v>736.83800000000008</v>
      </c>
      <c r="H183" s="1065"/>
      <c r="I183" s="2083">
        <f>SUM(I169:I181)</f>
        <v>715.09999999999991</v>
      </c>
      <c r="J183" s="1258">
        <f t="shared" ref="J183:M183" si="158">SUM(J169:J181)</f>
        <v>673.0139999999999</v>
      </c>
      <c r="K183" s="1258">
        <f t="shared" si="158"/>
        <v>650.39499999999964</v>
      </c>
      <c r="L183" s="1258">
        <f t="shared" si="158"/>
        <v>672.6260000000002</v>
      </c>
      <c r="M183" s="2084">
        <f t="shared" si="158"/>
        <v>672.6260000000002</v>
      </c>
      <c r="N183" s="1065"/>
      <c r="O183" s="2083">
        <f>SUM(O169:O181)</f>
        <v>741.23699999999974</v>
      </c>
      <c r="P183" s="1258">
        <f t="shared" ref="P183:S183" si="159">SUM(P169:P181)</f>
        <v>882.5210000000003</v>
      </c>
      <c r="Q183" s="1258">
        <f t="shared" si="159"/>
        <v>914.61999999999989</v>
      </c>
      <c r="R183" s="1258">
        <f t="shared" si="159"/>
        <v>1010.9469999999999</v>
      </c>
      <c r="S183" s="2084">
        <f t="shared" si="159"/>
        <v>1010.9469999999999</v>
      </c>
      <c r="T183" s="1065"/>
      <c r="U183" s="2083">
        <f>SUM(U169:U181)</f>
        <v>1099.674</v>
      </c>
      <c r="V183" s="1258">
        <f t="shared" ref="V183:Y183" si="160">SUM(V169:V181)</f>
        <v>1129.873</v>
      </c>
      <c r="W183" s="1258">
        <f t="shared" si="160"/>
        <v>1325.2629999999999</v>
      </c>
      <c r="X183" s="1258">
        <f t="shared" si="160"/>
        <v>1407.72</v>
      </c>
      <c r="Y183" s="2084">
        <f t="shared" si="160"/>
        <v>1407.72</v>
      </c>
      <c r="Z183" s="1065"/>
      <c r="AA183" s="2083">
        <f>SUM(AA169:AA181)</f>
        <v>1530.9019999999998</v>
      </c>
      <c r="AB183" s="1258">
        <f t="shared" ref="AB183:AE183" si="161">SUM(AB169:AB181)</f>
        <v>1601.8009999999997</v>
      </c>
      <c r="AC183" s="1258">
        <f t="shared" si="161"/>
        <v>1583.3910000000001</v>
      </c>
      <c r="AD183" s="1258">
        <f t="shared" si="161"/>
        <v>1731.1419999999998</v>
      </c>
      <c r="AE183" s="2084">
        <f t="shared" si="161"/>
        <v>1731.1419999999998</v>
      </c>
      <c r="AF183" s="1065"/>
      <c r="AG183" s="2083">
        <f>SUM(AG169:AG181)</f>
        <v>1778.4749999999997</v>
      </c>
      <c r="AH183" s="1258">
        <f t="shared" ref="AH183:AK183" si="162">SUM(AH169:AH181)</f>
        <v>1994.8109999999997</v>
      </c>
      <c r="AI183" s="1258">
        <f t="shared" si="162"/>
        <v>2108.1179999999995</v>
      </c>
      <c r="AJ183" s="1258">
        <f t="shared" si="162"/>
        <v>1998.82</v>
      </c>
      <c r="AK183" s="2084">
        <f t="shared" si="162"/>
        <v>1998.82</v>
      </c>
      <c r="AL183" s="1065"/>
      <c r="AM183" s="2083">
        <f>SUM(AM169:AM181)</f>
        <v>2076.4900000000002</v>
      </c>
      <c r="AN183" s="1258">
        <f t="shared" ref="AN183:AQ183" si="163">SUM(AN169:AN181)</f>
        <v>2173.2249999999999</v>
      </c>
      <c r="AO183" s="1258">
        <f t="shared" si="163"/>
        <v>2294.7820000000002</v>
      </c>
      <c r="AP183" s="1258">
        <f t="shared" si="163"/>
        <v>2437.297</v>
      </c>
      <c r="AQ183" s="2084">
        <f t="shared" si="163"/>
        <v>2437.297</v>
      </c>
      <c r="AR183" s="1065"/>
      <c r="AS183" s="2083">
        <f>SUM(AS169:AS181)</f>
        <v>2548.5400000000004</v>
      </c>
      <c r="AT183" s="1258">
        <f t="shared" ref="AT183:AW183" si="164">SUM(AT169:AT181)</f>
        <v>2583.5729999999999</v>
      </c>
      <c r="AU183" s="1258">
        <f t="shared" si="164"/>
        <v>2686.7709999999997</v>
      </c>
      <c r="AV183" s="1258">
        <f t="shared" si="164"/>
        <v>2744.5669999999991</v>
      </c>
      <c r="AW183" s="2084">
        <f t="shared" si="164"/>
        <v>2744.5669999999991</v>
      </c>
      <c r="AX183" s="1065"/>
      <c r="AY183" s="2083">
        <f>SUM(AY169:AY181)</f>
        <v>2718.752</v>
      </c>
      <c r="AZ183" s="1258">
        <f t="shared" ref="AZ183:BC183" si="165">SUM(AZ169:AZ181)</f>
        <v>2938.232</v>
      </c>
      <c r="BA183" s="1258">
        <f t="shared" si="165"/>
        <v>2948.797</v>
      </c>
      <c r="BB183" s="1258">
        <f t="shared" si="165"/>
        <v>3035.3809999999999</v>
      </c>
      <c r="BC183" s="2084">
        <f t="shared" si="165"/>
        <v>3035.3809999999999</v>
      </c>
      <c r="BD183" s="1065"/>
      <c r="BE183" s="2083">
        <f>SUM(BE169:BE181)</f>
        <v>3196.5970000000002</v>
      </c>
      <c r="BF183" s="1258">
        <f t="shared" ref="BF183:BI183" si="166">SUM(BF169:BF181)</f>
        <v>3234.36</v>
      </c>
      <c r="BG183" s="1258">
        <f t="shared" si="166"/>
        <v>3395.8019999999997</v>
      </c>
      <c r="BH183" s="1258">
        <f t="shared" si="166"/>
        <v>3409.3240000000001</v>
      </c>
      <c r="BI183" s="2084">
        <f t="shared" si="166"/>
        <v>3409.3240000000001</v>
      </c>
      <c r="BJ183" s="1065"/>
      <c r="BK183" s="2083">
        <f>SUM(BK169:BK181)</f>
        <v>3465.5370000000003</v>
      </c>
      <c r="BL183" s="1258">
        <f t="shared" ref="BL183:BO183" si="167">SUM(BL169:BL181)</f>
        <v>3644.3120000000004</v>
      </c>
      <c r="BM183" s="1258">
        <f t="shared" si="167"/>
        <v>3763.076</v>
      </c>
      <c r="BN183" s="1258">
        <f t="shared" si="167"/>
        <v>3816.3319999999999</v>
      </c>
      <c r="BO183" s="2084">
        <f t="shared" si="167"/>
        <v>3816.3319999999999</v>
      </c>
      <c r="BP183" s="1065"/>
      <c r="BQ183" s="2083">
        <f>SUM(BQ169:BQ181)</f>
        <v>3895.7128392759601</v>
      </c>
      <c r="BR183" s="1258">
        <f t="shared" ref="BR183:BU183" si="168">SUM(BR169:BR181)</f>
        <v>3892.4910384034461</v>
      </c>
      <c r="BS183" s="1258">
        <f t="shared" si="168"/>
        <v>3876.9887465622037</v>
      </c>
      <c r="BT183" s="1258">
        <f t="shared" si="168"/>
        <v>3874.1235289507799</v>
      </c>
      <c r="BU183" s="2084">
        <f t="shared" si="168"/>
        <v>3874.1235289507799</v>
      </c>
      <c r="BV183" s="1065"/>
      <c r="BW183" s="2083">
        <f>SUM(BW169:BW181)</f>
        <v>3984.7827880216878</v>
      </c>
      <c r="BX183" s="1258">
        <f t="shared" ref="BX183:CA183" si="169">SUM(BX169:BX181)</f>
        <v>3992.860379895315</v>
      </c>
      <c r="BY183" s="1258">
        <f t="shared" si="169"/>
        <v>3989.5431132685367</v>
      </c>
      <c r="BZ183" s="1258">
        <f t="shared" si="169"/>
        <v>4003.1848945442175</v>
      </c>
      <c r="CA183" s="2084">
        <f t="shared" si="169"/>
        <v>4003.1848945442175</v>
      </c>
      <c r="CB183" s="1065"/>
      <c r="CC183" s="2083">
        <f>SUM(CC169:CC181)</f>
        <v>4104.5257698643636</v>
      </c>
      <c r="CD183" s="1258">
        <f t="shared" ref="CD183:CG183" si="170">SUM(CD169:CD181)</f>
        <v>4108.4953483844274</v>
      </c>
      <c r="CE183" s="1258">
        <f t="shared" si="170"/>
        <v>4105.2394830447838</v>
      </c>
      <c r="CF183" s="1258">
        <f t="shared" si="170"/>
        <v>4116.9963135474472</v>
      </c>
      <c r="CG183" s="2084">
        <f t="shared" si="170"/>
        <v>4116.9963135474472</v>
      </c>
      <c r="CH183" s="1065"/>
      <c r="CI183" s="2083">
        <f>SUM(CI169:CI181)</f>
        <v>4217.0630445299748</v>
      </c>
      <c r="CJ183" s="1258">
        <f t="shared" ref="CJ183:CM183" si="171">SUM(CJ169:CJ181)</f>
        <v>4203.8101419272634</v>
      </c>
      <c r="CK183" s="1258">
        <f t="shared" si="171"/>
        <v>4188.3970699755828</v>
      </c>
      <c r="CL183" s="1258">
        <f t="shared" si="171"/>
        <v>4183.4817401942182</v>
      </c>
      <c r="CM183" s="2084">
        <f t="shared" si="171"/>
        <v>4183.4817401942182</v>
      </c>
      <c r="CP183"/>
      <c r="CQ183"/>
      <c r="CR183"/>
      <c r="CS183"/>
      <c r="CT183"/>
      <c r="CU183"/>
    </row>
    <row r="184" spans="1:99" s="73" customFormat="1">
      <c r="A184" s="1065"/>
      <c r="B184" s="1065"/>
      <c r="C184" s="72"/>
      <c r="D184" s="72"/>
      <c r="E184" s="72"/>
      <c r="F184" s="72"/>
      <c r="G184" s="1196"/>
      <c r="H184" s="1065"/>
      <c r="I184" s="2085"/>
      <c r="J184" s="72"/>
      <c r="K184" s="72"/>
      <c r="L184" s="72"/>
      <c r="M184" s="1196"/>
      <c r="N184" s="1065"/>
      <c r="O184" s="2085"/>
      <c r="P184" s="72"/>
      <c r="Q184" s="72"/>
      <c r="R184" s="72"/>
      <c r="S184" s="1196"/>
      <c r="T184" s="1065"/>
      <c r="U184" s="2085"/>
      <c r="V184" s="72"/>
      <c r="W184" s="72"/>
      <c r="X184" s="72"/>
      <c r="Y184" s="1196"/>
      <c r="Z184" s="1065"/>
      <c r="AA184" s="2085"/>
      <c r="AB184" s="72"/>
      <c r="AC184" s="72"/>
      <c r="AD184" s="72"/>
      <c r="AE184" s="1196"/>
      <c r="AF184" s="1065"/>
      <c r="AG184" s="2085"/>
      <c r="AH184" s="72"/>
      <c r="AI184" s="72"/>
      <c r="AJ184" s="72"/>
      <c r="AK184" s="1196"/>
      <c r="AL184" s="1065"/>
      <c r="AM184" s="2085"/>
      <c r="AN184" s="72"/>
      <c r="AO184" s="72"/>
      <c r="AP184" s="72"/>
      <c r="AQ184" s="1196"/>
      <c r="AR184" s="1065"/>
      <c r="AS184" s="2085"/>
      <c r="AT184" s="72"/>
      <c r="AU184" s="72"/>
      <c r="AV184" s="72"/>
      <c r="AW184" s="1196"/>
      <c r="AX184" s="1065"/>
      <c r="AY184" s="2085"/>
      <c r="AZ184" s="72"/>
      <c r="BA184" s="72"/>
      <c r="BB184" s="72"/>
      <c r="BC184" s="1196"/>
      <c r="BD184" s="1065"/>
      <c r="BE184" s="2085"/>
      <c r="BF184" s="72"/>
      <c r="BG184" s="72"/>
      <c r="BH184" s="72"/>
      <c r="BI184" s="1196"/>
      <c r="BJ184" s="1065"/>
      <c r="BK184" s="2085"/>
      <c r="BL184" s="72"/>
      <c r="BM184" s="72"/>
      <c r="BN184" s="72"/>
      <c r="BO184" s="1196"/>
      <c r="BP184" s="1065"/>
      <c r="BQ184" s="2085"/>
      <c r="BR184" s="72"/>
      <c r="BS184" s="72"/>
      <c r="BT184" s="72"/>
      <c r="BU184" s="1196"/>
      <c r="BV184" s="1065"/>
      <c r="BW184" s="2085"/>
      <c r="BX184" s="72"/>
      <c r="BY184" s="72"/>
      <c r="BZ184" s="72"/>
      <c r="CA184" s="1196"/>
      <c r="CB184" s="1065"/>
      <c r="CC184" s="2085"/>
      <c r="CD184" s="72"/>
      <c r="CE184" s="72"/>
      <c r="CF184" s="72"/>
      <c r="CG184" s="1196"/>
      <c r="CH184" s="1065"/>
      <c r="CI184" s="2085"/>
      <c r="CJ184" s="72"/>
      <c r="CK184" s="72"/>
      <c r="CL184" s="72"/>
      <c r="CM184" s="1196"/>
      <c r="CP184"/>
      <c r="CQ184"/>
      <c r="CR184"/>
      <c r="CS184"/>
      <c r="CT184"/>
      <c r="CU184"/>
    </row>
    <row r="185" spans="1:99" s="73" customFormat="1">
      <c r="A185" s="1065" t="s">
        <v>589</v>
      </c>
      <c r="B185" s="1065"/>
      <c r="C185" s="2077"/>
      <c r="D185" s="2077"/>
      <c r="E185" s="2077"/>
      <c r="F185" s="2077"/>
      <c r="G185" s="2078">
        <f>G$165/G182</f>
        <v>0.30413895444136746</v>
      </c>
      <c r="H185" s="1065"/>
      <c r="I185" s="2076">
        <f t="shared" ref="I185:L185" si="172">I$165*4/I182</f>
        <v>0.31856105448972066</v>
      </c>
      <c r="J185" s="2077">
        <f t="shared" si="172"/>
        <v>0.35802500300060219</v>
      </c>
      <c r="K185" s="2077">
        <f t="shared" si="172"/>
        <v>0.38172384928628961</v>
      </c>
      <c r="L185" s="2077">
        <f t="shared" si="172"/>
        <v>0.46407995444943512</v>
      </c>
      <c r="M185" s="2078">
        <f>M$165/AVERAGE(I182:L182)</f>
        <v>0.37976677387837054</v>
      </c>
      <c r="N185" s="1065"/>
      <c r="O185" s="2076">
        <f t="shared" ref="O185:R185" si="173">O$165*4/O182</f>
        <v>0.29234302459550404</v>
      </c>
      <c r="P185" s="2077">
        <f t="shared" si="173"/>
        <v>0.27034991678506681</v>
      </c>
      <c r="Q185" s="2077">
        <f t="shared" si="173"/>
        <v>0.27283783832608188</v>
      </c>
      <c r="R185" s="2077">
        <f t="shared" si="173"/>
        <v>0.33601217596153615</v>
      </c>
      <c r="S185" s="2078">
        <f>S$165/AVERAGE(O182:R182)</f>
        <v>0.29394420555212536</v>
      </c>
      <c r="T185" s="1065"/>
      <c r="U185" s="2076">
        <f t="shared" ref="U185:X185" si="174">U$165*4/U182</f>
        <v>0.2417811750501104</v>
      </c>
      <c r="V185" s="2077">
        <f t="shared" si="174"/>
        <v>0.26913423192178282</v>
      </c>
      <c r="W185" s="2077">
        <f t="shared" si="174"/>
        <v>0.23845686642866365</v>
      </c>
      <c r="X185" s="2077">
        <f t="shared" si="174"/>
        <v>0.31213399631870181</v>
      </c>
      <c r="Y185" s="2078">
        <f>Y$165/AVERAGE(U182:X182)</f>
        <v>0.2667497388513646</v>
      </c>
      <c r="Z185" s="1065"/>
      <c r="AA185" s="2076">
        <f t="shared" ref="AA185:AD185" si="175">AA$165*4/AA182</f>
        <v>0.22507236092101962</v>
      </c>
      <c r="AB185" s="2077">
        <f t="shared" si="175"/>
        <v>0.22514801518773375</v>
      </c>
      <c r="AC185" s="2077">
        <f t="shared" si="175"/>
        <v>0.24446331723838594</v>
      </c>
      <c r="AD185" s="2077">
        <f t="shared" si="175"/>
        <v>0.28967577041781012</v>
      </c>
      <c r="AE185" s="2078">
        <f>AE$165/AVERAGE(AA182:AD182)</f>
        <v>0.24160252871028615</v>
      </c>
      <c r="AF185" s="1065"/>
      <c r="AG185" s="2076">
        <f t="shared" ref="AG185:AJ185" si="176">AG$165*4/AG182</f>
        <v>0.18277406809329533</v>
      </c>
      <c r="AH185" s="2077">
        <f t="shared" si="176"/>
        <v>0.20587596163347643</v>
      </c>
      <c r="AI185" s="2077">
        <f t="shared" si="176"/>
        <v>0.19444087096215315</v>
      </c>
      <c r="AJ185" s="2077">
        <f t="shared" si="176"/>
        <v>0.2503023626095866</v>
      </c>
      <c r="AK185" s="2078">
        <f>AK$165/AVERAGE(AG182:AJ182)</f>
        <v>0.20589070919916599</v>
      </c>
      <c r="AL185" s="1065"/>
      <c r="AM185" s="2076">
        <f t="shared" ref="AM185:AP185" si="177">AM$165*4/AM182</f>
        <v>0.16500814399292774</v>
      </c>
      <c r="AN185" s="2077">
        <f t="shared" si="177"/>
        <v>0.16126940250595942</v>
      </c>
      <c r="AO185" s="2077">
        <f t="shared" si="177"/>
        <v>0.16451711967085758</v>
      </c>
      <c r="AP185" s="2077">
        <f t="shared" si="177"/>
        <v>0.21801836205947317</v>
      </c>
      <c r="AQ185" s="2078">
        <f>AQ$165/AVERAGE(AM182:AP182)</f>
        <v>0.17830621289386389</v>
      </c>
      <c r="AR185" s="1065"/>
      <c r="AS185" s="2076">
        <f t="shared" ref="AS185:AV185" si="178">AS$165*4/AS182</f>
        <v>0.11534314372428082</v>
      </c>
      <c r="AT185" s="2077">
        <f t="shared" si="178"/>
        <v>0.148773676714264</v>
      </c>
      <c r="AU185" s="2077">
        <f t="shared" si="178"/>
        <v>0.16174642158147054</v>
      </c>
      <c r="AV185" s="2077">
        <f t="shared" si="178"/>
        <v>0.22455023224707735</v>
      </c>
      <c r="AW185" s="2078">
        <f>AW$165/AVERAGE(AS182:AV182)</f>
        <v>0.16360490722648358</v>
      </c>
      <c r="AX185" s="1065"/>
      <c r="AY185" s="2076">
        <f t="shared" ref="AY185:BB185" si="179">AY$165*4/AY182</f>
        <v>0.13930958521625061</v>
      </c>
      <c r="AZ185" s="2077">
        <f t="shared" si="179"/>
        <v>0.14000130377724609</v>
      </c>
      <c r="BA185" s="2077">
        <f t="shared" si="179"/>
        <v>0.14873915464565485</v>
      </c>
      <c r="BB185" s="2077">
        <f t="shared" si="179"/>
        <v>0.19623951133229611</v>
      </c>
      <c r="BC185" s="2078">
        <f>BC$165/AVERAGE(AY182:BB182)</f>
        <v>0.15665955317396005</v>
      </c>
      <c r="BD185" s="1065"/>
      <c r="BE185" s="2076">
        <f t="shared" ref="BE185:BH185" si="180">BE$165*4/BE182</f>
        <v>0.12245460173973559</v>
      </c>
      <c r="BF185" s="2077">
        <f t="shared" si="180"/>
        <v>0.14974926262309449</v>
      </c>
      <c r="BG185" s="2077">
        <f t="shared" si="180"/>
        <v>0.14163120401462745</v>
      </c>
      <c r="BH185" s="2077">
        <f t="shared" si="180"/>
        <v>0.19561267797125262</v>
      </c>
      <c r="BI185" s="2078">
        <f>BI$165/AVERAGE(BE182:BH182)</f>
        <v>0.15282159331731962</v>
      </c>
      <c r="BJ185" s="1065"/>
      <c r="BK185" s="2076">
        <f t="shared" ref="BK185:BN185" si="181">BK$165*4/BK182</f>
        <v>0.12829532979441044</v>
      </c>
      <c r="BL185" s="2077">
        <f t="shared" si="181"/>
        <v>0.14720713415588702</v>
      </c>
      <c r="BM185" s="2077">
        <f t="shared" si="181"/>
        <v>0.14243261259715673</v>
      </c>
      <c r="BN185" s="2077">
        <f t="shared" si="181"/>
        <v>0.19683346873128377</v>
      </c>
      <c r="BO185" s="2078">
        <f>BO$165/AVERAGE(BK182:BN182)</f>
        <v>0.1543467520185996</v>
      </c>
      <c r="BP185" s="1065"/>
      <c r="BQ185" s="2076">
        <f t="shared" ref="BQ185:BT185" si="182">BQ$165*4/BQ182</f>
        <v>0.11878968198408978</v>
      </c>
      <c r="BR185" s="2077">
        <f t="shared" si="182"/>
        <v>0.14862494492020664</v>
      </c>
      <c r="BS185" s="2077">
        <f t="shared" si="182"/>
        <v>0.14575642668821187</v>
      </c>
      <c r="BT185" s="2077">
        <f t="shared" si="182"/>
        <v>0.20578944726705078</v>
      </c>
      <c r="BU185" s="2078">
        <f>BU$165/AVERAGE(BQ182:BT182)</f>
        <v>0.15468615803867569</v>
      </c>
      <c r="BV185" s="1065"/>
      <c r="BW185" s="2076">
        <f t="shared" ref="BW185:BZ185" si="183">BW$165*4/BW182</f>
        <v>0.12608031191252173</v>
      </c>
      <c r="BX185" s="2077">
        <f t="shared" si="183"/>
        <v>0.15488666966321457</v>
      </c>
      <c r="BY185" s="2077">
        <f t="shared" si="183"/>
        <v>0.15109401730229752</v>
      </c>
      <c r="BZ185" s="2077">
        <f t="shared" si="183"/>
        <v>0.21097399608454115</v>
      </c>
      <c r="CA185" s="2078">
        <f>CA$165/AVERAGE(BW182:BZ182)</f>
        <v>0.16080645946096947</v>
      </c>
      <c r="CB185" s="1065"/>
      <c r="CC185" s="2076">
        <f t="shared" ref="CC185:CF185" si="184">CC$165*4/CC182</f>
        <v>0.13083482767080662</v>
      </c>
      <c r="CD185" s="2077">
        <f t="shared" si="184"/>
        <v>0.15966341962696784</v>
      </c>
      <c r="CE185" s="2077">
        <f t="shared" si="184"/>
        <v>0.15561214929580872</v>
      </c>
      <c r="CF185" s="2077">
        <f t="shared" si="184"/>
        <v>0.21577660261109158</v>
      </c>
      <c r="CG185" s="2078">
        <f>CG$165/AVERAGE(CC182:CF182)</f>
        <v>0.16550516244013119</v>
      </c>
      <c r="CH185" s="1065"/>
      <c r="CI185" s="2076">
        <f t="shared" ref="CI185:CL185" si="185">CI$165*4/CI182</f>
        <v>0.13607373827598893</v>
      </c>
      <c r="CJ185" s="2077">
        <f t="shared" si="185"/>
        <v>0.16543020858056584</v>
      </c>
      <c r="CK185" s="2077">
        <f t="shared" si="185"/>
        <v>0.16151846725971619</v>
      </c>
      <c r="CL185" s="2077">
        <f t="shared" si="185"/>
        <v>0.2231684799118237</v>
      </c>
      <c r="CM185" s="2078">
        <f>CM$165/AVERAGE(CI182:CL182)</f>
        <v>0.17147285969608347</v>
      </c>
      <c r="CP185"/>
      <c r="CQ185"/>
      <c r="CR185"/>
      <c r="CS185"/>
      <c r="CT185"/>
      <c r="CU185"/>
    </row>
    <row r="186" spans="1:99" s="73" customFormat="1">
      <c r="A186" s="2086" t="s">
        <v>590</v>
      </c>
      <c r="B186" s="1065"/>
      <c r="C186" s="2077"/>
      <c r="D186" s="2077"/>
      <c r="E186" s="2077"/>
      <c r="F186" s="2077"/>
      <c r="G186" s="2089">
        <f>G$165/G183</f>
        <v>0.41666869176969773</v>
      </c>
      <c r="H186" s="1065"/>
      <c r="I186" s="2087">
        <f t="shared" ref="I186:L186" si="186">I$165*4/I183</f>
        <v>0.44075957818713474</v>
      </c>
      <c r="J186" s="2088">
        <f t="shared" si="186"/>
        <v>0.50368654670044644</v>
      </c>
      <c r="K186" s="2088">
        <f t="shared" si="186"/>
        <v>0.54140877881721439</v>
      </c>
      <c r="L186" s="2088">
        <f t="shared" si="186"/>
        <v>0.64923835286975806</v>
      </c>
      <c r="M186" s="2089">
        <f>M$165/AVERAGE(I183:L183)</f>
        <v>0.53224919856033381</v>
      </c>
      <c r="N186" s="1065"/>
      <c r="O186" s="2087">
        <f t="shared" ref="O186:R186" si="187">O$165*4/O183</f>
        <v>0.40658814672453308</v>
      </c>
      <c r="P186" s="2088">
        <f t="shared" si="187"/>
        <v>0.35989625605096121</v>
      </c>
      <c r="Q186" s="2088">
        <f t="shared" si="187"/>
        <v>0.36022994993091118</v>
      </c>
      <c r="R186" s="2088">
        <f t="shared" si="187"/>
        <v>0.43342325734787895</v>
      </c>
      <c r="S186" s="2089">
        <f>S$165/AVERAGE(O183:R183)</f>
        <v>0.39067587230019224</v>
      </c>
      <c r="T186" s="1065"/>
      <c r="U186" s="2087">
        <f t="shared" ref="U186:X186" si="188">U$165*4/U183</f>
        <v>0.30592362937936518</v>
      </c>
      <c r="V186" s="2088">
        <f t="shared" si="188"/>
        <v>0.33819493053733574</v>
      </c>
      <c r="W186" s="2088">
        <f t="shared" si="188"/>
        <v>0.29107322311298633</v>
      </c>
      <c r="X186" s="2088">
        <f t="shared" si="188"/>
        <v>0.37680315280175497</v>
      </c>
      <c r="Y186" s="2089">
        <f>Y$165/AVERAGE(U183:X183)</f>
        <v>0.32941170917044482</v>
      </c>
      <c r="Z186" s="1065"/>
      <c r="AA186" s="2087">
        <f t="shared" ref="AA186:AD186" si="189">AA$165*4/AA183</f>
        <v>0.26822506707755672</v>
      </c>
      <c r="AB186" s="2088">
        <f t="shared" si="189"/>
        <v>0.2664752583505845</v>
      </c>
      <c r="AC186" s="2088">
        <f t="shared" si="189"/>
        <v>0.2905180656500283</v>
      </c>
      <c r="AD186" s="2088">
        <f t="shared" si="189"/>
        <v>0.33938530943528489</v>
      </c>
      <c r="AE186" s="2089">
        <f>AE$165/AVERAGE(AA183:AD183)</f>
        <v>0.28593049176670932</v>
      </c>
      <c r="AF186" s="1065"/>
      <c r="AG186" s="2087">
        <f t="shared" ref="AG186:AJ186" si="190">AG$165*4/AG183</f>
        <v>0.21453907528137528</v>
      </c>
      <c r="AH186" s="2088">
        <f t="shared" si="190"/>
        <v>0.2264152471861243</v>
      </c>
      <c r="AI186" s="2088">
        <f t="shared" si="190"/>
        <v>0.21407479477557989</v>
      </c>
      <c r="AJ186" s="2088">
        <f t="shared" si="190"/>
        <v>0.28997792056630395</v>
      </c>
      <c r="AK186" s="2089">
        <f>AK$165/AVERAGE(AG183:AJ183)</f>
        <v>0.23300597996563668</v>
      </c>
      <c r="AL186" s="1065"/>
      <c r="AM186" s="2087">
        <f t="shared" ref="AM186:AP186" si="191">AM$165*4/AM183</f>
        <v>0.19005112110269046</v>
      </c>
      <c r="AN186" s="2088">
        <f t="shared" si="191"/>
        <v>0.18466069181604741</v>
      </c>
      <c r="AO186" s="2088">
        <f t="shared" si="191"/>
        <v>0.18892051655828404</v>
      </c>
      <c r="AP186" s="2088">
        <f t="shared" si="191"/>
        <v>0.24935747795201166</v>
      </c>
      <c r="AQ186" s="2089">
        <f>AQ$165/AVERAGE(AM183:AP183)</f>
        <v>0.20453269646415312</v>
      </c>
      <c r="AR186" s="1065"/>
      <c r="AS186" s="2087">
        <f t="shared" ref="AS186:AV186" si="192">AS$165*4/AS183</f>
        <v>0.13134062685936124</v>
      </c>
      <c r="AT186" s="2088">
        <f t="shared" si="192"/>
        <v>0.16916312755513821</v>
      </c>
      <c r="AU186" s="2088">
        <f t="shared" si="192"/>
        <v>0.18332632893709563</v>
      </c>
      <c r="AV186" s="2088">
        <f t="shared" si="192"/>
        <v>0.25358175354354723</v>
      </c>
      <c r="AW186" s="2089">
        <f>AW$165/AVERAGE(AS183:AV183)</f>
        <v>0.18561078697475419</v>
      </c>
      <c r="AX186" s="1065"/>
      <c r="AY186" s="2087">
        <f t="shared" ref="AY186:BB186" si="193">AY$165*4/AY183</f>
        <v>0.15724475559110543</v>
      </c>
      <c r="AZ186" s="2088">
        <f t="shared" si="193"/>
        <v>0.15683729925910461</v>
      </c>
      <c r="BA186" s="2088">
        <f t="shared" si="193"/>
        <v>0.16650187010135492</v>
      </c>
      <c r="BB186" s="2088">
        <f t="shared" si="193"/>
        <v>0.21931101931501346</v>
      </c>
      <c r="BC186" s="2089">
        <f>BC$165/AVERAGE(AY183:BB183)</f>
        <v>0.17566643522522132</v>
      </c>
      <c r="BD186" s="1065"/>
      <c r="BE186" s="2087">
        <f t="shared" ref="BE186:BH186" si="194">BE$165*4/BE183</f>
        <v>0.13612588975911272</v>
      </c>
      <c r="BF186" s="2088">
        <f t="shared" si="194"/>
        <v>0.16609238551774391</v>
      </c>
      <c r="BG186" s="2088">
        <f t="shared" si="194"/>
        <v>0.15649775870368113</v>
      </c>
      <c r="BH186" s="2088">
        <f t="shared" si="194"/>
        <v>0.21581354819072093</v>
      </c>
      <c r="BI186" s="2089">
        <f>BI$165/AVERAGE(BE183:BH183)</f>
        <v>0.1691981208904795</v>
      </c>
      <c r="BJ186" s="1065"/>
      <c r="BK186" s="2087">
        <f t="shared" ref="BK186:BN186" si="195">BK$165*4/BK183</f>
        <v>0.14139297512324209</v>
      </c>
      <c r="BL186" s="2088">
        <f t="shared" si="195"/>
        <v>0.16163260216302214</v>
      </c>
      <c r="BM186" s="2088">
        <f t="shared" si="195"/>
        <v>0.15603501195999603</v>
      </c>
      <c r="BN186" s="2088">
        <f t="shared" si="195"/>
        <v>0.21539171310976599</v>
      </c>
      <c r="BO186" s="2089">
        <f>BO$165/AVERAGE(BK183:BN183)</f>
        <v>0.1693736044025953</v>
      </c>
      <c r="BP186" s="1065"/>
      <c r="BQ186" s="2087">
        <f t="shared" ref="BQ186:BT186" si="196">BQ$165*4/BQ183</f>
        <v>0.12976143127497877</v>
      </c>
      <c r="BR186" s="2088">
        <f t="shared" si="196"/>
        <v>0.16236372518421427</v>
      </c>
      <c r="BS186" s="2088">
        <f t="shared" si="196"/>
        <v>0.15928391802824488</v>
      </c>
      <c r="BT186" s="2088">
        <f t="shared" si="196"/>
        <v>0.2249026615393476</v>
      </c>
      <c r="BU186" s="2089">
        <f>BU$165/AVERAGE(BQ183:BT183)</f>
        <v>0.16901343425871285</v>
      </c>
      <c r="BV186" s="1065"/>
      <c r="BW186" s="2087">
        <f t="shared" ref="BW186:BZ186" si="197">BW$165*4/BW183</f>
        <v>0.13746514620974434</v>
      </c>
      <c r="BX186" s="2088">
        <f t="shared" si="197"/>
        <v>0.16884437448859826</v>
      </c>
      <c r="BY186" s="2088">
        <f t="shared" si="197"/>
        <v>0.16472126650556634</v>
      </c>
      <c r="BZ186" s="2088">
        <f t="shared" si="197"/>
        <v>0.22993701035865116</v>
      </c>
      <c r="CA186" s="2089">
        <f>CA$165/AVERAGE(BW183:BZ183)</f>
        <v>0.17529860088964672</v>
      </c>
      <c r="CB186" s="1065"/>
      <c r="CC186" s="2087">
        <f t="shared" ref="CC186:CF186" si="198">CC$165*4/CC183</f>
        <v>0.14230432731515597</v>
      </c>
      <c r="CD186" s="2088">
        <f t="shared" si="198"/>
        <v>0.17364662445385096</v>
      </c>
      <c r="CE186" s="2088">
        <f t="shared" si="198"/>
        <v>0.16925135552938519</v>
      </c>
      <c r="CF186" s="2088">
        <f t="shared" si="198"/>
        <v>0.23463513816999784</v>
      </c>
      <c r="CG186" s="2089">
        <f>CG$165/AVERAGE(CC183:CF183)</f>
        <v>0.17999885787856887</v>
      </c>
      <c r="CH186" s="1065"/>
      <c r="CI186" s="2087">
        <f t="shared" ref="CI186:CL186" si="199">CI$165*4/CI183</f>
        <v>0.14768416854836472</v>
      </c>
      <c r="CJ186" s="2088">
        <f t="shared" si="199"/>
        <v>0.17958996608901531</v>
      </c>
      <c r="CK186" s="2088">
        <f t="shared" si="199"/>
        <v>0.17539427998710469</v>
      </c>
      <c r="CL186" s="2088">
        <f t="shared" si="199"/>
        <v>0.24236308007031862</v>
      </c>
      <c r="CM186" s="2089">
        <f>CM$165/AVERAGE(CI183:CL183)</f>
        <v>0.18616948426729799</v>
      </c>
      <c r="CP186"/>
      <c r="CQ186"/>
      <c r="CR186"/>
      <c r="CS186"/>
      <c r="CT186"/>
      <c r="CU186"/>
    </row>
    <row r="187" spans="1:99" s="24" customFormat="1">
      <c r="CP187"/>
      <c r="CQ187"/>
      <c r="CR187"/>
      <c r="CS187"/>
      <c r="CT187"/>
      <c r="CU187"/>
    </row>
    <row r="188" spans="1:99" s="24" customFormat="1">
      <c r="CP188"/>
      <c r="CQ188"/>
      <c r="CR188"/>
      <c r="CS188"/>
      <c r="CT188"/>
      <c r="CU188"/>
    </row>
    <row r="189" spans="1:99" s="24" customFormat="1">
      <c r="CP189"/>
      <c r="CQ189"/>
      <c r="CR189"/>
      <c r="CS189"/>
      <c r="CT189"/>
      <c r="CU189"/>
    </row>
    <row r="190" spans="1:99" s="24" customFormat="1">
      <c r="CP190"/>
      <c r="CQ190"/>
      <c r="CR190"/>
      <c r="CS190"/>
      <c r="CT190"/>
      <c r="CU190"/>
    </row>
    <row r="191" spans="1:99" s="24" customFormat="1">
      <c r="CP191"/>
      <c r="CQ191"/>
      <c r="CR191"/>
      <c r="CS191"/>
      <c r="CT191"/>
      <c r="CU191"/>
    </row>
    <row r="192" spans="1:99" s="24" customFormat="1">
      <c r="CP192"/>
      <c r="CQ192"/>
      <c r="CR192"/>
      <c r="CS192"/>
      <c r="CT192"/>
      <c r="CU192"/>
    </row>
    <row r="193" spans="94:99" s="24" customFormat="1">
      <c r="CP193"/>
      <c r="CQ193"/>
      <c r="CR193"/>
      <c r="CS193"/>
      <c r="CT193"/>
      <c r="CU193"/>
    </row>
    <row r="194" spans="94:99" s="24" customFormat="1">
      <c r="CP194"/>
      <c r="CQ194"/>
      <c r="CR194"/>
      <c r="CS194"/>
      <c r="CT194"/>
      <c r="CU194"/>
    </row>
  </sheetData>
  <phoneticPr fontId="7" type="noConversion"/>
  <pageMargins left="0.5" right="0.5" top="0.5" bottom="0.5" header="0.5" footer="0.5"/>
  <pageSetup orientation="landscape" r:id="rId1"/>
  <headerFooter alignWithMargins="0"/>
  <ignoredErrors>
    <ignoredError sqref="AJ41 AM41:AN41 AS41:AV41 BE41:BI41 BL10 BL35 BL41:BM41 BK41" formulaRange="1"/>
    <ignoredError sqref="AQ28 A16:A27 A29:A39 A28 AS28:AW28 AQ116:AQ118 A113:A114 A122 A116:A118 AS116:AW118 BF16:BI16 BI29 BF28:BI28 A98:A104 A115 A119:A120 A128 A123:A126 BU106 BF21:BI22 BI17 BI18 BI19 BI20 BI27 BI23 BI24 BI25 BI26 BF33:BI34 BI30 BI31 BI32 BI39 BI35 BI36 BI37 BI38 A121 BH113:BI114 A127 BH127:BI127 A133 A129:A132 BH129:BI132 A136:A159 BH135:BI159 BO17 BO18 BO19 BO20 BO23 BO24 BO25 BO26 BO27 BM28:BO28 BO29 BO30 BO31 BO32 BO35 BO36 BO37 BO38 BO39 BL121 BL122 BM16:BO16 BM21:BO22 BM33:BO34 BM114:BO114 A106:A112 A105 AG105:AJ105 AM105:AP105 AS105:AV105 AY105:BB105 G16:G27 G29:G39 G28 G113:G114 G122 G116:G118 G98:G104 G115 G119:G120 G128 G123:G126 G121 G127 G133 G129:G132 G135:G159 G106:G112 G105 I16:M27 I29:M39 I28:M28 I113:M114 I122:M122 I116:M118 I98:M104 I115:M115 I119:M120 I128:M128 I123:M126 I121:M121 I127:M127 I133:M133 I129:M132 I135:M159 I106:M112 I105:M105 O16:S27 O29:S39 O28:S28 O113:S114 O122:S122 O116:S118 O98:S104 O115:S115 O119:S120 O128:S128 O123:S126 O121:S121 O127:S127 O133:S133 O129:S132 O135:S159 O106:S112 O105:S105 U16:Y27 U29:Y39 U28:Y28 U113:Y114 U122:Y122 U116:Y118 U98:Y104 U115:Y115 U119:Y120 U128:Y128 U123:Y126 U121:Y121 U127:Y127 U133:Y133 U129:Y132 U135:Y159 U106:Y112 U105:Y105 AA16:AE27 AA29:AE39 AA28:AE28 AA113:AE114 AA122:AE122 AA116:AE118 AA98:AE99 AA115:AE115 AA119:AE120 AA128:AE128 AA123:AE126 AA121:AE121 AA127:AE127 AA133:AE133 AA129:AE132 AA135:AE159 AA106:AE112 AA105:AD105 AG16:AK27 AG29:AK39 AG28:AK28 AG113:AK114 AG122:AK122 AG116:AK118 AG98:AK99 AG115:AK115 AG119:AK120 AG128:AK128 AG123:AK126 AG121:AK121 AG127:AK127 AG133:AK133 AG129:AK132 AG135:AK159 AG106:AK112 AM16:AQ27 AM29:AQ39 AM28:AP28 AM113:AQ114 AM122:AQ122 AM116:AP118 AM98:AQ99 AM115:AQ115 AM119:AQ120 AM128:AQ128 AM123:AQ126 AM121:AQ121 AM127:AQ127 AM133:AQ133 AM129:AQ132 AM135:AQ159 AM106:AQ112 AS16:AW27 AS29:AW39 AS113:AW114 AS122:AW122 AS98:AW99 AS115:AW115 AS119:AW120 AS128:AW128 AS123:AW126 AS121:AW121 AS127:AW127 AS133:AW133 AS129:AW132 AS135:AW159 AS106:AW112 AY28:BC28 AY116:BC118 AY16:BC27 AY29:BC39 AY113:BC114 AY122:BC122 AY98:BC99 AY115:BC115 AY119:BC120 AY128:BC128 AY123:BC126 AY121:BC121 AY127:BC127 AY133:BC133 AY129:BC132 AY135:BC159 AY106:BC112 BE113:BF114 BE122:BF122 BE128:BI128 BE121 BE127:BF127 BE133:BI133 BE129:BF132 BE135:BF159 BK16 BK21:BK22 BK33:BK34 BK113:BK114 BK129:BL132 BK159:BO159 BK128:BL128 BK133:BL133 BQ17:BU17 BQ18:BU18 BQ19:BU19 BQ20:BU20 BQ23:BU23 BQ24:BU24 BQ25:BU25 BQ26:BU26 BQ27:BU27 BQ28:BU28 BQ29:BU29 BQ30:BU30 BQ31:BU31 BQ32:BU32 BQ35:BU35 BQ36:BU36 BQ37:BU37 BQ38:BU38 BQ39:BU39 BQ99:BU103 BQ107:BU112 BQ115:BU115 BQ119:BU120 BQ116:BU116 BQ123:BU126 BQ121:BU121 BQ122:BU122 BQ127:BU127 BQ16:BU16 BQ21:BU22 BQ33:BU34 BQ113:BU114 BQ104:BU104 BQ118:BU118 BQ117:BU117 BQ129:BU132 BQ135:BU159 BQ128:BU128 BQ133:BU133 BN113:BO113 BN122:BO122 BN128:BO128 BN133:BO133 BK135:BM158 AA102:AE104 AA100:AC101 AG102:AK104 AG100:AI101 AM102:AQ104 AM100:AO101 AS102:AW104 AS100:AU101 AY102:BC104 AY100:BA101" formula="1"/>
    <ignoredError sqref="BL28 BL33:BL34 BL21:BL22 BL16" formula="1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DA93"/>
  <sheetViews>
    <sheetView zoomScaleNormal="100" workbookViewId="0">
      <pane xSplit="1" ySplit="8" topLeftCell="B9" activePane="bottomRight" state="frozen"/>
      <selection activeCell="Y9" sqref="Y9"/>
      <selection pane="topRight" activeCell="Y9" sqref="Y9"/>
      <selection pane="bottomLeft" activeCell="Y9" sqref="Y9"/>
      <selection pane="bottomRight"/>
    </sheetView>
  </sheetViews>
  <sheetFormatPr defaultRowHeight="12.75" outlineLevelRow="1" outlineLevelCol="1"/>
  <cols>
    <col min="1" max="1" width="33" customWidth="1"/>
    <col min="2" max="2" width="0.85546875" customWidth="1"/>
    <col min="3" max="6" width="1.7109375" hidden="1" customWidth="1" outlineLevel="1"/>
    <col min="7" max="7" width="8.7109375" hidden="1" customWidth="1" outlineLevel="1"/>
    <col min="8" max="8" width="0.85546875" hidden="1" customWidth="1" outlineLevel="1"/>
    <col min="9" max="13" width="8.7109375" hidden="1" customWidth="1" outlineLevel="1"/>
    <col min="14" max="14" width="0.85546875" hidden="1" customWidth="1" outlineLevel="1"/>
    <col min="15" max="19" width="8.7109375" hidden="1" customWidth="1" outlineLevel="1"/>
    <col min="20" max="20" width="0.85546875" hidden="1" customWidth="1" outlineLevel="1"/>
    <col min="21" max="25" width="8.7109375" hidden="1" customWidth="1" outlineLevel="1"/>
    <col min="26" max="26" width="0.85546875" hidden="1" customWidth="1" outlineLevel="1"/>
    <col min="27" max="30" width="8.7109375" hidden="1" customWidth="1" outlineLevel="1"/>
    <col min="31" max="31" width="8.7109375" hidden="1" customWidth="1" outlineLevel="1" collapsed="1"/>
    <col min="32" max="32" width="0.85546875" hidden="1" customWidth="1" outlineLevel="1"/>
    <col min="33" max="36" width="8.7109375" hidden="1" customWidth="1" outlineLevel="1"/>
    <col min="37" max="37" width="8.7109375" customWidth="1" collapsed="1"/>
    <col min="38" max="38" width="0.85546875" customWidth="1"/>
    <col min="39" max="42" width="8.7109375" hidden="1" customWidth="1" outlineLevel="1"/>
    <col min="43" max="43" width="8.7109375" customWidth="1" collapsed="1"/>
    <col min="44" max="44" width="0.85546875" customWidth="1"/>
    <col min="45" max="48" width="8.7109375" hidden="1" customWidth="1" outlineLevel="1"/>
    <col min="49" max="49" width="8.7109375" customWidth="1" collapsed="1"/>
    <col min="50" max="50" width="0.85546875" customWidth="1"/>
    <col min="51" max="54" width="8.7109375" hidden="1" customWidth="1" outlineLevel="1"/>
    <col min="55" max="55" width="8.7109375" customWidth="1" collapsed="1"/>
    <col min="56" max="56" width="0.85546875" customWidth="1"/>
    <col min="57" max="60" width="8.7109375" hidden="1" customWidth="1" outlineLevel="1"/>
    <col min="61" max="61" width="8.7109375" customWidth="1" collapsed="1"/>
    <col min="62" max="62" width="0.85546875" customWidth="1"/>
    <col min="63" max="66" width="8.7109375" hidden="1" customWidth="1" outlineLevel="1"/>
    <col min="67" max="67" width="8.7109375" customWidth="1" collapsed="1"/>
    <col min="68" max="68" width="0.85546875" customWidth="1"/>
    <col min="69" max="72" width="8.7109375" customWidth="1" outlineLevel="1"/>
    <col min="73" max="73" width="8.7109375" customWidth="1"/>
    <col min="74" max="74" width="0.85546875" customWidth="1"/>
    <col min="75" max="78" width="8.7109375" customWidth="1" outlineLevel="1"/>
    <col min="79" max="79" width="8.7109375" customWidth="1"/>
    <col min="80" max="80" width="0.85546875" customWidth="1"/>
    <col min="81" max="84" width="8.7109375" hidden="1" customWidth="1" outlineLevel="1"/>
    <col min="85" max="85" width="8.7109375" customWidth="1" collapsed="1"/>
    <col min="86" max="86" width="0.85546875" customWidth="1"/>
    <col min="87" max="90" width="8.7109375" hidden="1" customWidth="1" outlineLevel="1"/>
    <col min="91" max="91" width="8.7109375" customWidth="1" collapsed="1"/>
    <col min="92" max="93" width="9.140625" style="24" customWidth="1"/>
    <col min="94" max="94" width="23.140625" hidden="1" customWidth="1" outlineLevel="1"/>
    <col min="95" max="99" width="9.140625" hidden="1" customWidth="1" outlineLevel="1"/>
    <col min="100" max="100" width="9.140625" collapsed="1"/>
  </cols>
  <sheetData>
    <row r="1" spans="1:99" s="24" customFormat="1" ht="12.75" customHeight="1">
      <c r="A1" s="549"/>
      <c r="B1" s="549"/>
      <c r="C1" s="549"/>
      <c r="D1" s="549"/>
      <c r="E1" s="549"/>
      <c r="F1" s="549"/>
      <c r="G1" s="550"/>
      <c r="H1" s="550"/>
      <c r="I1" s="550"/>
      <c r="J1" s="550"/>
      <c r="K1" s="550"/>
      <c r="L1" s="550"/>
      <c r="M1" s="551"/>
      <c r="N1" s="550"/>
      <c r="O1" s="550"/>
      <c r="P1" s="550"/>
      <c r="Q1" s="550"/>
      <c r="R1" s="550"/>
      <c r="S1" s="551"/>
      <c r="T1" s="550"/>
      <c r="U1" s="550"/>
      <c r="V1" s="550"/>
      <c r="W1" s="550"/>
      <c r="X1" s="550"/>
      <c r="Y1" s="552"/>
      <c r="Z1" s="550"/>
      <c r="AA1" s="550"/>
      <c r="AB1" s="550"/>
      <c r="AC1" s="550"/>
      <c r="AD1" s="550"/>
      <c r="AE1" s="552"/>
      <c r="AF1" s="550"/>
      <c r="AG1" s="550"/>
      <c r="AH1" s="550"/>
      <c r="AI1" s="550"/>
      <c r="AJ1" s="550"/>
      <c r="AK1" s="552"/>
      <c r="AL1" s="550"/>
      <c r="AM1" s="550"/>
      <c r="AN1" s="550"/>
      <c r="AO1" s="550"/>
      <c r="AP1" s="550"/>
      <c r="AQ1" s="552"/>
      <c r="AR1" s="550"/>
      <c r="AS1" s="550"/>
      <c r="AT1" s="550"/>
      <c r="AU1" s="550"/>
      <c r="AV1" s="550"/>
      <c r="AW1" s="552"/>
      <c r="AX1" s="550"/>
      <c r="AY1" s="550"/>
      <c r="AZ1" s="550"/>
      <c r="BA1" s="550"/>
      <c r="BB1" s="550"/>
      <c r="BC1" s="552"/>
      <c r="BD1" s="550"/>
      <c r="BE1" s="550"/>
      <c r="BF1" s="550"/>
      <c r="BG1" s="550"/>
      <c r="BH1" s="550"/>
      <c r="BI1" s="552"/>
      <c r="BJ1" s="550"/>
      <c r="BK1" s="550"/>
      <c r="BL1" s="550"/>
      <c r="BM1" s="550"/>
      <c r="BN1" s="550"/>
      <c r="BO1" s="552"/>
      <c r="BP1" s="550"/>
      <c r="BQ1" s="550"/>
      <c r="BR1" s="550"/>
      <c r="BS1" s="550"/>
      <c r="BT1" s="550"/>
      <c r="BU1" s="552"/>
      <c r="BV1" s="552"/>
      <c r="BW1" s="550"/>
      <c r="BX1" s="550"/>
      <c r="BY1" s="550"/>
      <c r="BZ1" s="550"/>
      <c r="CA1" s="552"/>
      <c r="CB1" s="552"/>
      <c r="CC1" s="550"/>
      <c r="CD1" s="550"/>
      <c r="CE1" s="550"/>
      <c r="CF1" s="550"/>
      <c r="CG1" s="552"/>
      <c r="CH1" s="552"/>
      <c r="CI1" s="550"/>
      <c r="CJ1" s="550"/>
      <c r="CK1" s="550"/>
      <c r="CL1" s="550"/>
      <c r="CM1" s="552"/>
      <c r="CN1" s="97"/>
      <c r="CO1" s="97"/>
      <c r="CP1"/>
      <c r="CQ1"/>
      <c r="CR1"/>
      <c r="CS1"/>
      <c r="CT1"/>
      <c r="CU1"/>
    </row>
    <row r="2" spans="1:99" s="24" customFormat="1" ht="12.75" customHeight="1">
      <c r="A2" s="345" t="s">
        <v>166</v>
      </c>
      <c r="B2" s="345"/>
      <c r="C2" s="345"/>
      <c r="D2" s="345"/>
      <c r="E2" s="345"/>
      <c r="F2" s="345"/>
      <c r="G2" s="553"/>
      <c r="H2" s="553"/>
      <c r="I2" s="553"/>
      <c r="J2" s="553"/>
      <c r="K2" s="553"/>
      <c r="L2" s="553"/>
      <c r="M2" s="554"/>
      <c r="N2" s="553"/>
      <c r="O2" s="553"/>
      <c r="P2" s="553"/>
      <c r="Q2" s="553"/>
      <c r="R2" s="553"/>
      <c r="S2" s="554"/>
      <c r="T2" s="553"/>
      <c r="U2" s="553"/>
      <c r="V2" s="553"/>
      <c r="W2" s="553"/>
      <c r="X2" s="553"/>
      <c r="Y2" s="553"/>
      <c r="Z2" s="553"/>
      <c r="AA2" s="553"/>
      <c r="AB2" s="553"/>
      <c r="AC2" s="553"/>
      <c r="AD2" s="553"/>
      <c r="AE2" s="553"/>
      <c r="AF2" s="553"/>
      <c r="AG2" s="553"/>
      <c r="AH2" s="553"/>
      <c r="AI2" s="553"/>
      <c r="AJ2" s="553"/>
      <c r="AK2" s="553"/>
      <c r="AL2" s="553"/>
      <c r="AM2" s="553"/>
      <c r="AN2" s="553"/>
      <c r="AO2" s="553"/>
      <c r="AP2" s="553"/>
      <c r="AQ2" s="553"/>
      <c r="AR2" s="553"/>
      <c r="AS2" s="553"/>
      <c r="AT2" s="553"/>
      <c r="AU2" s="553"/>
      <c r="AV2" s="553"/>
      <c r="AW2" s="553"/>
      <c r="AX2" s="553"/>
      <c r="AY2" s="553"/>
      <c r="AZ2" s="553"/>
      <c r="BA2" s="553"/>
      <c r="BB2" s="553"/>
      <c r="BC2" s="553"/>
      <c r="BD2" s="553"/>
      <c r="BE2" s="553"/>
      <c r="BF2" s="553"/>
      <c r="BG2" s="553"/>
      <c r="BH2" s="553"/>
      <c r="BI2" s="553"/>
      <c r="BJ2" s="553"/>
      <c r="BK2" s="553"/>
      <c r="BL2" s="553"/>
      <c r="BM2" s="553"/>
      <c r="BN2" s="553"/>
      <c r="BO2" s="553"/>
      <c r="BP2" s="553"/>
      <c r="BQ2" s="553"/>
      <c r="BR2" s="553"/>
      <c r="BS2" s="553"/>
      <c r="BT2" s="553"/>
      <c r="BU2" s="553"/>
      <c r="BV2" s="553"/>
      <c r="BW2" s="553"/>
      <c r="BX2" s="553"/>
      <c r="BY2" s="553"/>
      <c r="BZ2" s="553"/>
      <c r="CA2" s="553"/>
      <c r="CB2" s="553"/>
      <c r="CC2" s="553"/>
      <c r="CD2" s="553"/>
      <c r="CE2" s="553"/>
      <c r="CF2" s="553"/>
      <c r="CG2" s="553"/>
      <c r="CH2" s="553"/>
      <c r="CI2" s="553"/>
      <c r="CJ2" s="553"/>
      <c r="CK2" s="553"/>
      <c r="CL2" s="553"/>
      <c r="CM2" s="553"/>
      <c r="CN2" s="97"/>
      <c r="CO2" s="97"/>
      <c r="CP2"/>
      <c r="CQ2"/>
      <c r="CR2"/>
      <c r="CS2"/>
      <c r="CT2"/>
      <c r="CU2"/>
    </row>
    <row r="3" spans="1:99" s="24" customFormat="1" ht="12.75" customHeight="1">
      <c r="A3" s="322" t="s">
        <v>147</v>
      </c>
      <c r="B3" s="322"/>
      <c r="C3" s="322"/>
      <c r="D3" s="322"/>
      <c r="E3" s="322"/>
      <c r="F3" s="322"/>
      <c r="G3" s="553"/>
      <c r="H3" s="553"/>
      <c r="I3" s="553"/>
      <c r="J3" s="553"/>
      <c r="K3" s="553"/>
      <c r="L3" s="553"/>
      <c r="M3" s="554"/>
      <c r="N3" s="553"/>
      <c r="O3" s="553"/>
      <c r="P3" s="553"/>
      <c r="Q3" s="553"/>
      <c r="R3" s="553"/>
      <c r="S3" s="554"/>
      <c r="T3" s="553"/>
      <c r="U3" s="553"/>
      <c r="V3" s="553"/>
      <c r="W3" s="553"/>
      <c r="X3" s="553"/>
      <c r="Y3" s="553"/>
      <c r="Z3" s="553"/>
      <c r="AA3" s="553"/>
      <c r="AB3" s="553"/>
      <c r="AC3" s="553"/>
      <c r="AD3" s="553"/>
      <c r="AE3" s="553"/>
      <c r="AF3" s="553"/>
      <c r="AG3" s="553"/>
      <c r="AH3" s="553"/>
      <c r="AI3" s="553"/>
      <c r="AJ3" s="553"/>
      <c r="AK3" s="553"/>
      <c r="AL3" s="553"/>
      <c r="AM3" s="553"/>
      <c r="AN3" s="553"/>
      <c r="AO3" s="553"/>
      <c r="AP3" s="553"/>
      <c r="AQ3" s="553"/>
      <c r="AR3" s="553"/>
      <c r="AS3" s="553"/>
      <c r="AT3" s="553"/>
      <c r="AU3" s="553"/>
      <c r="AV3" s="553"/>
      <c r="AW3" s="553"/>
      <c r="AX3" s="553"/>
      <c r="AY3" s="553"/>
      <c r="AZ3" s="553"/>
      <c r="BA3" s="553"/>
      <c r="BB3" s="553"/>
      <c r="BC3" s="553"/>
      <c r="BD3" s="553"/>
      <c r="BE3" s="553"/>
      <c r="BF3" s="553"/>
      <c r="BG3" s="553"/>
      <c r="BH3" s="553"/>
      <c r="BI3" s="553"/>
      <c r="BJ3" s="553"/>
      <c r="BK3" s="553"/>
      <c r="BL3" s="553"/>
      <c r="BM3" s="553"/>
      <c r="BN3" s="553"/>
      <c r="BO3" s="553"/>
      <c r="BP3" s="553"/>
      <c r="BQ3" s="553"/>
      <c r="BR3" s="553"/>
      <c r="BS3" s="553"/>
      <c r="BT3" s="553"/>
      <c r="BU3" s="553"/>
      <c r="BV3" s="553"/>
      <c r="BW3" s="553"/>
      <c r="BX3" s="553"/>
      <c r="BY3" s="553"/>
      <c r="BZ3" s="553"/>
      <c r="CA3" s="553"/>
      <c r="CB3" s="553"/>
      <c r="CC3" s="553"/>
      <c r="CD3" s="553"/>
      <c r="CE3" s="553"/>
      <c r="CF3" s="553"/>
      <c r="CG3" s="553"/>
      <c r="CH3" s="553"/>
      <c r="CI3" s="553"/>
      <c r="CJ3" s="553"/>
      <c r="CK3" s="553"/>
      <c r="CL3" s="553"/>
      <c r="CM3" s="553"/>
      <c r="CN3" s="97"/>
      <c r="CO3" s="97"/>
      <c r="CP3"/>
      <c r="CQ3"/>
      <c r="CR3"/>
      <c r="CS3"/>
      <c r="CT3"/>
      <c r="CU3"/>
    </row>
    <row r="4" spans="1:99" s="24" customFormat="1" ht="12.75" customHeight="1">
      <c r="A4" s="359" t="s">
        <v>167</v>
      </c>
      <c r="B4" s="359"/>
      <c r="C4" s="359"/>
      <c r="D4" s="359"/>
      <c r="E4" s="359"/>
      <c r="F4" s="359"/>
      <c r="G4" s="555"/>
      <c r="H4" s="555"/>
      <c r="I4" s="555"/>
      <c r="J4" s="555"/>
      <c r="K4" s="555"/>
      <c r="L4" s="555"/>
      <c r="M4" s="556"/>
      <c r="N4" s="555"/>
      <c r="O4" s="555"/>
      <c r="P4" s="555"/>
      <c r="Q4" s="555"/>
      <c r="R4" s="555"/>
      <c r="S4" s="556"/>
      <c r="T4" s="555"/>
      <c r="U4" s="555"/>
      <c r="V4" s="555"/>
      <c r="W4" s="555"/>
      <c r="X4" s="555"/>
      <c r="Y4" s="555"/>
      <c r="Z4" s="555"/>
      <c r="AA4" s="555"/>
      <c r="AB4" s="555"/>
      <c r="AC4" s="555"/>
      <c r="AD4" s="555"/>
      <c r="AE4" s="555"/>
      <c r="AF4" s="555"/>
      <c r="AG4" s="555"/>
      <c r="AH4" s="555"/>
      <c r="AI4" s="555"/>
      <c r="AJ4" s="555"/>
      <c r="AK4" s="555"/>
      <c r="AL4" s="555"/>
      <c r="AM4" s="555"/>
      <c r="AN4" s="555"/>
      <c r="AO4" s="555"/>
      <c r="AP4" s="555"/>
      <c r="AQ4" s="555"/>
      <c r="AR4" s="555"/>
      <c r="AS4" s="555"/>
      <c r="AT4" s="555"/>
      <c r="AU4" s="555"/>
      <c r="AV4" s="555"/>
      <c r="AW4" s="555"/>
      <c r="AX4" s="555"/>
      <c r="AY4" s="555"/>
      <c r="AZ4" s="555"/>
      <c r="BA4" s="555"/>
      <c r="BB4" s="555"/>
      <c r="BC4" s="555"/>
      <c r="BD4" s="555"/>
      <c r="BE4" s="555"/>
      <c r="BF4" s="555"/>
      <c r="BG4" s="555"/>
      <c r="BH4" s="555"/>
      <c r="BI4" s="555"/>
      <c r="BJ4" s="555"/>
      <c r="BK4" s="555"/>
      <c r="BL4" s="555"/>
      <c r="BM4" s="555"/>
      <c r="BN4" s="555"/>
      <c r="BO4" s="555"/>
      <c r="BP4" s="555"/>
      <c r="BQ4" s="555"/>
      <c r="BR4" s="555"/>
      <c r="BS4" s="555"/>
      <c r="BT4" s="555"/>
      <c r="BU4" s="555"/>
      <c r="BV4" s="553"/>
      <c r="BW4" s="555"/>
      <c r="BX4" s="555"/>
      <c r="BY4" s="555"/>
      <c r="BZ4" s="555"/>
      <c r="CA4" s="555"/>
      <c r="CB4" s="553"/>
      <c r="CC4" s="555"/>
      <c r="CD4" s="555"/>
      <c r="CE4" s="555"/>
      <c r="CF4" s="555"/>
      <c r="CG4" s="555"/>
      <c r="CH4" s="553"/>
      <c r="CI4" s="555"/>
      <c r="CJ4" s="555"/>
      <c r="CK4" s="555"/>
      <c r="CL4" s="555"/>
      <c r="CM4" s="555"/>
      <c r="CN4" s="97"/>
      <c r="CO4" s="97"/>
      <c r="CP4"/>
      <c r="CQ4"/>
      <c r="CR4"/>
      <c r="CS4"/>
      <c r="CT4"/>
      <c r="CU4"/>
    </row>
    <row r="5" spans="1:99" s="24" customFormat="1" ht="12.75" customHeight="1">
      <c r="A5" s="1501" t="s">
        <v>305</v>
      </c>
      <c r="B5" s="1501"/>
      <c r="C5" s="1501"/>
      <c r="D5" s="1501"/>
      <c r="E5" s="1501"/>
      <c r="F5" s="150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371"/>
      <c r="R5" s="371"/>
      <c r="S5" s="371"/>
      <c r="T5" s="371"/>
      <c r="U5" s="371"/>
      <c r="V5" s="371"/>
      <c r="W5" s="371"/>
      <c r="X5" s="371"/>
      <c r="Y5" s="557"/>
      <c r="Z5" s="371"/>
      <c r="AA5" s="371"/>
      <c r="AB5" s="371"/>
      <c r="AC5" s="371"/>
      <c r="AD5" s="371"/>
      <c r="AE5" s="557"/>
      <c r="AF5" s="371"/>
      <c r="AG5" s="371"/>
      <c r="AH5" s="371"/>
      <c r="AI5" s="371"/>
      <c r="AJ5" s="371"/>
      <c r="AK5" s="557"/>
      <c r="AL5" s="371"/>
      <c r="AM5" s="371"/>
      <c r="AN5" s="371"/>
      <c r="AO5" s="371"/>
      <c r="AP5" s="371"/>
      <c r="AQ5" s="557"/>
      <c r="AR5" s="371"/>
      <c r="AS5" s="371"/>
      <c r="AT5" s="371"/>
      <c r="AU5" s="371"/>
      <c r="AV5" s="371"/>
      <c r="AW5" s="557"/>
      <c r="AX5" s="371"/>
      <c r="AY5" s="371"/>
      <c r="AZ5" s="371"/>
      <c r="BA5" s="371"/>
      <c r="BB5" s="371"/>
      <c r="BC5" s="557"/>
      <c r="BD5" s="371"/>
      <c r="BE5" s="371"/>
      <c r="BF5" s="371"/>
      <c r="BG5" s="371"/>
      <c r="BH5" s="371"/>
      <c r="BI5" s="557"/>
      <c r="BJ5" s="371"/>
      <c r="BK5" s="371"/>
      <c r="BL5" s="371"/>
      <c r="BM5" s="371"/>
      <c r="BN5" s="371"/>
      <c r="BO5" s="557"/>
      <c r="BP5" s="371"/>
      <c r="BQ5" s="371"/>
      <c r="BR5" s="371"/>
      <c r="BS5" s="371"/>
      <c r="BT5" s="371"/>
      <c r="BU5" s="557"/>
      <c r="BV5" s="557"/>
      <c r="BW5" s="371"/>
      <c r="BX5" s="371"/>
      <c r="BY5" s="371"/>
      <c r="BZ5" s="371"/>
      <c r="CA5" s="557"/>
      <c r="CB5" s="557"/>
      <c r="CC5" s="371"/>
      <c r="CD5" s="371"/>
      <c r="CE5" s="371"/>
      <c r="CF5" s="371"/>
      <c r="CG5" s="557"/>
      <c r="CH5" s="557"/>
      <c r="CI5" s="371"/>
      <c r="CJ5" s="371"/>
      <c r="CK5" s="371"/>
      <c r="CL5" s="371"/>
      <c r="CM5" s="557"/>
      <c r="CN5" s="97"/>
      <c r="CO5" s="97"/>
      <c r="CP5"/>
      <c r="CQ5"/>
      <c r="CR5"/>
      <c r="CS5"/>
      <c r="CT5"/>
      <c r="CU5"/>
    </row>
    <row r="6" spans="1:99" ht="12.75" hidden="1" customHeight="1" outlineLevel="1">
      <c r="CN6"/>
      <c r="CO6"/>
    </row>
    <row r="7" spans="1:99" s="24" customFormat="1" ht="12.75" customHeight="1" collapsed="1">
      <c r="A7" s="558"/>
      <c r="B7" s="558"/>
      <c r="C7" s="558"/>
      <c r="D7" s="558"/>
      <c r="E7" s="558"/>
      <c r="F7" s="558"/>
      <c r="G7" s="135">
        <v>2007</v>
      </c>
      <c r="H7" s="136"/>
      <c r="I7" s="133">
        <f>G7+1</f>
        <v>2008</v>
      </c>
      <c r="J7" s="134"/>
      <c r="K7" s="134"/>
      <c r="L7" s="134"/>
      <c r="M7" s="135">
        <f>G7+1</f>
        <v>2008</v>
      </c>
      <c r="N7" s="137"/>
      <c r="O7" s="133">
        <f>I7+1</f>
        <v>2009</v>
      </c>
      <c r="P7" s="134"/>
      <c r="Q7" s="134"/>
      <c r="R7" s="134"/>
      <c r="S7" s="135">
        <f>M7+1</f>
        <v>2009</v>
      </c>
      <c r="T7" s="137"/>
      <c r="U7" s="133">
        <f>O7+1</f>
        <v>2010</v>
      </c>
      <c r="V7" s="134"/>
      <c r="W7" s="134"/>
      <c r="X7" s="134"/>
      <c r="Y7" s="135">
        <f>S7+1</f>
        <v>2010</v>
      </c>
      <c r="Z7" s="137"/>
      <c r="AA7" s="133">
        <f>U7+1</f>
        <v>2011</v>
      </c>
      <c r="AB7" s="134"/>
      <c r="AC7" s="134"/>
      <c r="AD7" s="134"/>
      <c r="AE7" s="135">
        <f>Y7+1</f>
        <v>2011</v>
      </c>
      <c r="AF7" s="137"/>
      <c r="AG7" s="133">
        <f>AA7+1</f>
        <v>2012</v>
      </c>
      <c r="AH7" s="134"/>
      <c r="AI7" s="134"/>
      <c r="AJ7" s="134"/>
      <c r="AK7" s="135">
        <f>AE7+1</f>
        <v>2012</v>
      </c>
      <c r="AL7" s="137"/>
      <c r="AM7" s="133">
        <f>AG7+1</f>
        <v>2013</v>
      </c>
      <c r="AN7" s="134"/>
      <c r="AO7" s="134"/>
      <c r="AP7" s="134"/>
      <c r="AQ7" s="135">
        <f>AK7+1</f>
        <v>2013</v>
      </c>
      <c r="AR7" s="137"/>
      <c r="AS7" s="133">
        <f>AM7+1</f>
        <v>2014</v>
      </c>
      <c r="AT7" s="134"/>
      <c r="AU7" s="134"/>
      <c r="AV7" s="134"/>
      <c r="AW7" s="135">
        <f>AQ7+1</f>
        <v>2014</v>
      </c>
      <c r="AX7" s="137"/>
      <c r="AY7" s="133">
        <f>AS7+1</f>
        <v>2015</v>
      </c>
      <c r="AZ7" s="134"/>
      <c r="BA7" s="134"/>
      <c r="BB7" s="134"/>
      <c r="BC7" s="135">
        <f>AW7+1</f>
        <v>2015</v>
      </c>
      <c r="BD7" s="137"/>
      <c r="BE7" s="133">
        <f>AY7+1</f>
        <v>2016</v>
      </c>
      <c r="BF7" s="134"/>
      <c r="BG7" s="134"/>
      <c r="BH7" s="134"/>
      <c r="BI7" s="135">
        <f>BC7+1</f>
        <v>2016</v>
      </c>
      <c r="BJ7" s="137"/>
      <c r="BK7" s="133">
        <f>BE7+1</f>
        <v>2017</v>
      </c>
      <c r="BL7" s="134"/>
      <c r="BM7" s="134"/>
      <c r="BN7" s="134"/>
      <c r="BO7" s="135">
        <f>BI7+1</f>
        <v>2017</v>
      </c>
      <c r="BP7" s="137"/>
      <c r="BQ7" s="138">
        <f>BK7+1</f>
        <v>2018</v>
      </c>
      <c r="BR7" s="134"/>
      <c r="BS7" s="134"/>
      <c r="BT7" s="134"/>
      <c r="BU7" s="139">
        <f>BO7+1</f>
        <v>2018</v>
      </c>
      <c r="BV7" s="1773"/>
      <c r="BW7" s="138">
        <f>BQ7+1</f>
        <v>2019</v>
      </c>
      <c r="BX7" s="134"/>
      <c r="BY7" s="134"/>
      <c r="BZ7" s="134"/>
      <c r="CA7" s="139">
        <f>BU7+1</f>
        <v>2019</v>
      </c>
      <c r="CB7" s="1773"/>
      <c r="CC7" s="138">
        <f>BW7+1</f>
        <v>2020</v>
      </c>
      <c r="CD7" s="134"/>
      <c r="CE7" s="134"/>
      <c r="CF7" s="134"/>
      <c r="CG7" s="139">
        <f>CA7+1</f>
        <v>2020</v>
      </c>
      <c r="CH7" s="1773"/>
      <c r="CI7" s="138">
        <f>CC7+1</f>
        <v>2021</v>
      </c>
      <c r="CJ7" s="134"/>
      <c r="CK7" s="134"/>
      <c r="CL7" s="134"/>
      <c r="CM7" s="139">
        <f>CG7+1</f>
        <v>2021</v>
      </c>
      <c r="CN7" s="97"/>
      <c r="CO7" s="97"/>
      <c r="CP7"/>
      <c r="CQ7"/>
      <c r="CR7"/>
      <c r="CS7"/>
      <c r="CT7"/>
      <c r="CU7"/>
    </row>
    <row r="8" spans="1:99" ht="12.75" customHeight="1" thickBot="1">
      <c r="A8" s="559"/>
      <c r="B8" s="20"/>
      <c r="C8" s="20"/>
      <c r="D8" s="20"/>
      <c r="E8" s="20"/>
      <c r="F8" s="20"/>
      <c r="G8" s="142"/>
      <c r="H8" s="143"/>
      <c r="I8" s="140">
        <v>39538</v>
      </c>
      <c r="J8" s="141">
        <f>I8+FLOOR(365/4,1)</f>
        <v>39629</v>
      </c>
      <c r="K8" s="141">
        <f>J8+FLOOR(365/4,1)+1</f>
        <v>39721</v>
      </c>
      <c r="L8" s="141">
        <f>K8+FLOOR(365/4,1)+1</f>
        <v>39813</v>
      </c>
      <c r="M8" s="142"/>
      <c r="N8" s="144"/>
      <c r="O8" s="140">
        <f>I8+365</f>
        <v>39903</v>
      </c>
      <c r="P8" s="141">
        <f>O8+FLOOR(365/4,1)</f>
        <v>39994</v>
      </c>
      <c r="Q8" s="141">
        <f>P8+FLOOR(365/4,1)+1</f>
        <v>40086</v>
      </c>
      <c r="R8" s="141">
        <f>Q8+FLOOR(365/4,1)+1</f>
        <v>40178</v>
      </c>
      <c r="S8" s="142"/>
      <c r="T8" s="144"/>
      <c r="U8" s="140">
        <f>O8+365</f>
        <v>40268</v>
      </c>
      <c r="V8" s="141">
        <f>U8+FLOOR(365/4,1)</f>
        <v>40359</v>
      </c>
      <c r="W8" s="141">
        <f>V8+FLOOR(365/4,1)+1</f>
        <v>40451</v>
      </c>
      <c r="X8" s="141">
        <f>W8+FLOOR(365/4,1)+1</f>
        <v>40543</v>
      </c>
      <c r="Y8" s="142"/>
      <c r="Z8" s="144"/>
      <c r="AA8" s="140">
        <f>U8+365</f>
        <v>40633</v>
      </c>
      <c r="AB8" s="141">
        <f>AA8+FLOOR(365/4,1)</f>
        <v>40724</v>
      </c>
      <c r="AC8" s="141">
        <f>AB8+FLOOR(365/4,1)+1</f>
        <v>40816</v>
      </c>
      <c r="AD8" s="141">
        <f>AC8+FLOOR(365/4,1)+1</f>
        <v>40908</v>
      </c>
      <c r="AE8" s="142"/>
      <c r="AF8" s="144"/>
      <c r="AG8" s="140">
        <f>AA8+366</f>
        <v>40999</v>
      </c>
      <c r="AH8" s="141">
        <f>AG8+FLOOR(365/4,1)</f>
        <v>41090</v>
      </c>
      <c r="AI8" s="141">
        <f>AH8+FLOOR(365/4,1)+1</f>
        <v>41182</v>
      </c>
      <c r="AJ8" s="141">
        <f>AI8+FLOOR(365/4,1)+1</f>
        <v>41274</v>
      </c>
      <c r="AK8" s="142"/>
      <c r="AL8" s="144"/>
      <c r="AM8" s="140">
        <f>AG8+365</f>
        <v>41364</v>
      </c>
      <c r="AN8" s="141">
        <f>AM8+FLOOR(365/4,1)</f>
        <v>41455</v>
      </c>
      <c r="AO8" s="141">
        <f>AN8+FLOOR(365/4,1)+1</f>
        <v>41547</v>
      </c>
      <c r="AP8" s="141">
        <f>AO8+FLOOR(365/4,1)+1</f>
        <v>41639</v>
      </c>
      <c r="AQ8" s="142"/>
      <c r="AR8" s="144"/>
      <c r="AS8" s="140">
        <f>AM8+365</f>
        <v>41729</v>
      </c>
      <c r="AT8" s="141">
        <f>AS8+FLOOR(365/4,1)</f>
        <v>41820</v>
      </c>
      <c r="AU8" s="141">
        <f>AT8+FLOOR(365/4,1)+1</f>
        <v>41912</v>
      </c>
      <c r="AV8" s="141">
        <f>AU8+FLOOR(365/4,1)+1</f>
        <v>42004</v>
      </c>
      <c r="AW8" s="142"/>
      <c r="AX8" s="144"/>
      <c r="AY8" s="140">
        <f>AS8+365</f>
        <v>42094</v>
      </c>
      <c r="AZ8" s="141">
        <f>AY8+FLOOR(365/4,1)</f>
        <v>42185</v>
      </c>
      <c r="BA8" s="141">
        <f>AZ8+FLOOR(365/4,1)+1</f>
        <v>42277</v>
      </c>
      <c r="BB8" s="141">
        <f>BA8+FLOOR(365/4,1)+1</f>
        <v>42369</v>
      </c>
      <c r="BC8" s="142"/>
      <c r="BD8" s="144"/>
      <c r="BE8" s="140">
        <f>AY8+365</f>
        <v>42459</v>
      </c>
      <c r="BF8" s="141">
        <f>BE8+FLOOR(365/4,1)</f>
        <v>42550</v>
      </c>
      <c r="BG8" s="141">
        <f>BF8+FLOOR(365/4,1)+1</f>
        <v>42642</v>
      </c>
      <c r="BH8" s="141">
        <f>BG8+FLOOR(365/4,1)+1</f>
        <v>42734</v>
      </c>
      <c r="BI8" s="142"/>
      <c r="BJ8" s="144"/>
      <c r="BK8" s="140">
        <f>BE8+365</f>
        <v>42824</v>
      </c>
      <c r="BL8" s="141">
        <f>BK8+FLOOR(365/4,1)</f>
        <v>42915</v>
      </c>
      <c r="BM8" s="141">
        <f>BL8+FLOOR(365/4,1)+1</f>
        <v>43007</v>
      </c>
      <c r="BN8" s="141">
        <f>BM8+FLOOR(365/4,1)+1</f>
        <v>43099</v>
      </c>
      <c r="BO8" s="142"/>
      <c r="BP8" s="144"/>
      <c r="BQ8" s="146">
        <f>BK8+365</f>
        <v>43189</v>
      </c>
      <c r="BR8" s="145">
        <f>BQ8+FLOOR(365/4,1)</f>
        <v>43280</v>
      </c>
      <c r="BS8" s="145">
        <f>BR8+FLOOR(365/4,1)+1</f>
        <v>43372</v>
      </c>
      <c r="BT8" s="147">
        <f>BS8+FLOOR(365/4,1)+1</f>
        <v>43464</v>
      </c>
      <c r="BU8" s="142"/>
      <c r="BV8" s="1186"/>
      <c r="BW8" s="146">
        <f>BQ8+365</f>
        <v>43554</v>
      </c>
      <c r="BX8" s="145">
        <f>BW8+FLOOR(365/4,1)</f>
        <v>43645</v>
      </c>
      <c r="BY8" s="145">
        <f>BX8+FLOOR(365/4,1)+1</f>
        <v>43737</v>
      </c>
      <c r="BZ8" s="147">
        <f>BY8+FLOOR(365/4,1)+1</f>
        <v>43829</v>
      </c>
      <c r="CA8" s="142"/>
      <c r="CB8" s="1186"/>
      <c r="CC8" s="146">
        <f>BW8+365</f>
        <v>43919</v>
      </c>
      <c r="CD8" s="145">
        <f>CC8+FLOOR(365/4,1)</f>
        <v>44010</v>
      </c>
      <c r="CE8" s="145">
        <f>CD8+FLOOR(365/4,1)+1</f>
        <v>44102</v>
      </c>
      <c r="CF8" s="147">
        <f>CE8+FLOOR(365/4,1)+1</f>
        <v>44194</v>
      </c>
      <c r="CG8" s="142"/>
      <c r="CH8" s="1186"/>
      <c r="CI8" s="146">
        <f>CC8+365</f>
        <v>44284</v>
      </c>
      <c r="CJ8" s="145">
        <f>CI8+FLOOR(365/4,1)</f>
        <v>44375</v>
      </c>
      <c r="CK8" s="145">
        <f>CJ8+FLOOR(365/4,1)+1</f>
        <v>44467</v>
      </c>
      <c r="CL8" s="147">
        <f>CK8+FLOOR(365/4,1)+1</f>
        <v>44559</v>
      </c>
      <c r="CM8" s="142"/>
      <c r="CN8" s="97"/>
      <c r="CO8" s="97"/>
    </row>
    <row r="9" spans="1:99" s="24" customFormat="1">
      <c r="A9" s="44" t="s">
        <v>400</v>
      </c>
      <c r="B9" s="44"/>
      <c r="C9" s="44"/>
      <c r="D9" s="44"/>
      <c r="E9" s="44"/>
      <c r="F9" s="44"/>
      <c r="G9" s="560"/>
      <c r="H9" s="561"/>
      <c r="I9" s="561"/>
      <c r="J9" s="561"/>
      <c r="K9" s="561"/>
      <c r="L9" s="561"/>
      <c r="M9" s="560"/>
      <c r="N9" s="561"/>
      <c r="O9" s="561"/>
      <c r="P9" s="561"/>
      <c r="Q9" s="561"/>
      <c r="R9" s="561"/>
      <c r="S9" s="560"/>
      <c r="T9" s="561"/>
      <c r="U9" s="561"/>
      <c r="V9" s="561"/>
      <c r="W9" s="561"/>
      <c r="X9" s="561"/>
      <c r="Y9" s="560"/>
      <c r="Z9" s="561"/>
      <c r="AA9" s="561"/>
      <c r="AB9" s="561"/>
      <c r="AC9" s="561"/>
      <c r="AD9" s="561"/>
      <c r="AE9" s="560"/>
      <c r="AF9" s="561"/>
      <c r="AG9" s="561"/>
      <c r="AH9" s="561"/>
      <c r="AI9" s="561"/>
      <c r="AJ9" s="561"/>
      <c r="AK9" s="560"/>
      <c r="AL9" s="561"/>
      <c r="AM9" s="561"/>
      <c r="AN9" s="561"/>
      <c r="AO9" s="561"/>
      <c r="AP9" s="561"/>
      <c r="AQ9" s="560"/>
      <c r="AR9" s="561"/>
      <c r="AS9" s="561"/>
      <c r="AT9" s="561"/>
      <c r="AU9" s="561"/>
      <c r="AV9" s="561"/>
      <c r="AW9" s="560"/>
      <c r="AX9" s="561"/>
      <c r="AY9" s="561"/>
      <c r="AZ9" s="561"/>
      <c r="BA9" s="561"/>
      <c r="BB9" s="561"/>
      <c r="BC9" s="560"/>
      <c r="BD9" s="561"/>
      <c r="BE9" s="561"/>
      <c r="BF9" s="561"/>
      <c r="BG9" s="561"/>
      <c r="BH9" s="561"/>
      <c r="BI9" s="560"/>
      <c r="BJ9" s="561"/>
      <c r="BK9" s="561"/>
      <c r="BL9" s="561"/>
      <c r="BM9" s="561"/>
      <c r="BN9" s="561"/>
      <c r="BO9" s="560"/>
      <c r="BP9" s="561"/>
      <c r="BQ9" s="561"/>
      <c r="BR9" s="561"/>
      <c r="BS9" s="561"/>
      <c r="BT9" s="561"/>
      <c r="BU9" s="560"/>
      <c r="BV9" s="612"/>
      <c r="BW9" s="561"/>
      <c r="BX9" s="561"/>
      <c r="BY9" s="561"/>
      <c r="BZ9" s="561"/>
      <c r="CA9" s="560"/>
      <c r="CB9" s="612"/>
      <c r="CC9" s="561"/>
      <c r="CD9" s="561"/>
      <c r="CE9" s="561"/>
      <c r="CF9" s="561"/>
      <c r="CG9" s="560"/>
      <c r="CH9" s="612"/>
      <c r="CI9" s="561"/>
      <c r="CJ9" s="561"/>
      <c r="CK9" s="561"/>
      <c r="CL9" s="561"/>
      <c r="CM9" s="560"/>
      <c r="CN9" s="97"/>
      <c r="CO9" s="97"/>
      <c r="CP9"/>
      <c r="CQ9"/>
      <c r="CR9"/>
      <c r="CS9"/>
      <c r="CT9"/>
      <c r="CU9"/>
    </row>
    <row r="10" spans="1:99" s="24" customFormat="1">
      <c r="A10" s="562" t="s">
        <v>401</v>
      </c>
      <c r="B10" s="562"/>
      <c r="C10" s="562"/>
      <c r="D10" s="562"/>
      <c r="E10" s="562"/>
      <c r="F10" s="562"/>
      <c r="G10" s="563">
        <v>268.072</v>
      </c>
      <c r="H10" s="564"/>
      <c r="I10" s="564">
        <v>68.474999999999994</v>
      </c>
      <c r="J10" s="564">
        <f>151.623-I10</f>
        <v>83.147999999999996</v>
      </c>
      <c r="K10" s="564">
        <f>223.126-I10-J10</f>
        <v>71.503000000000014</v>
      </c>
      <c r="L10" s="564">
        <f>322.479-SUM(I10:K10)</f>
        <v>99.35299999999998</v>
      </c>
      <c r="M10" s="565">
        <f t="shared" ref="M10:M16" si="0">SUM(I10:L10)</f>
        <v>322.47899999999998</v>
      </c>
      <c r="N10" s="564"/>
      <c r="O10" s="564">
        <v>73.346999999999994</v>
      </c>
      <c r="P10" s="564">
        <f>143.254-O10</f>
        <v>69.906999999999996</v>
      </c>
      <c r="Q10" s="564">
        <f>219.19-O10-P10</f>
        <v>75.936000000000021</v>
      </c>
      <c r="R10" s="564">
        <f>323.313-SUM(O10:Q10)</f>
        <v>104.12299999999999</v>
      </c>
      <c r="S10" s="565">
        <f t="shared" ref="S10:S16" si="1">SUM(O10:R10)</f>
        <v>323.31299999999999</v>
      </c>
      <c r="T10" s="564"/>
      <c r="U10" s="564">
        <v>75.518000000000001</v>
      </c>
      <c r="V10" s="564">
        <f>160.44-U10</f>
        <v>84.921999999999997</v>
      </c>
      <c r="W10" s="564">
        <f>255.159-U10-V10</f>
        <v>94.718999999999994</v>
      </c>
      <c r="X10" s="564">
        <f>381.763-U10-V10-W10</f>
        <v>126.60400000000001</v>
      </c>
      <c r="Y10" s="565">
        <f t="shared" ref="Y10:Y16" si="2">SUM(U10:X10)</f>
        <v>381.76300000000003</v>
      </c>
      <c r="Z10" s="564"/>
      <c r="AA10" s="564">
        <v>94.489000000000004</v>
      </c>
      <c r="AB10" s="564">
        <f>194.564-AA10</f>
        <v>100.07499999999999</v>
      </c>
      <c r="AC10" s="564">
        <f>295.821-SUM(AA10:AB10)</f>
        <v>101.25700000000003</v>
      </c>
      <c r="AD10" s="564">
        <f>432.968-SUM(AA10:AC10)</f>
        <v>137.14699999999999</v>
      </c>
      <c r="AE10" s="565">
        <f>SUM(AA10:AD10)</f>
        <v>432.96800000000002</v>
      </c>
      <c r="AF10" s="564"/>
      <c r="AG10" s="564">
        <v>88.665999999999997</v>
      </c>
      <c r="AH10" s="564">
        <f>IS!AH33</f>
        <v>97.724000000000004</v>
      </c>
      <c r="AI10" s="564">
        <f>285.499-SUM(AG10:AH10)</f>
        <v>99.109000000000037</v>
      </c>
      <c r="AJ10" s="564">
        <f>461.443-SUM(AG10:AI10)</f>
        <v>175.94399999999996</v>
      </c>
      <c r="AK10" s="565">
        <f t="shared" ref="AK10:AK16" si="3">SUM(AG10:AJ10)</f>
        <v>461.44299999999998</v>
      </c>
      <c r="AL10" s="564"/>
      <c r="AM10" s="564">
        <f>IS!AM33</f>
        <v>121.05900000000003</v>
      </c>
      <c r="AN10" s="564">
        <f>IS!AN33</f>
        <v>89.314000000000021</v>
      </c>
      <c r="AO10" s="564">
        <f>IS!AO33</f>
        <v>98.04800000000003</v>
      </c>
      <c r="AP10" s="564">
        <f>IS!AP33</f>
        <v>141.58199999999994</v>
      </c>
      <c r="AQ10" s="565">
        <f t="shared" ref="AQ10:AQ16" si="4">SUM(AM10:AP10)</f>
        <v>450.00299999999999</v>
      </c>
      <c r="AR10" s="564"/>
      <c r="AS10" s="564">
        <f>IS!AS33</f>
        <v>70.301999999999964</v>
      </c>
      <c r="AT10" s="564">
        <f>IS!AT33</f>
        <v>96.528999999999982</v>
      </c>
      <c r="AU10" s="564">
        <f>IS!AU33</f>
        <v>113.49700000000003</v>
      </c>
      <c r="AV10" s="564">
        <f>IS!AV33</f>
        <v>151.29199999999997</v>
      </c>
      <c r="AW10" s="565">
        <f t="shared" ref="AW10:AW16" si="5">SUM(AS10:AV10)</f>
        <v>431.61999999999995</v>
      </c>
      <c r="AX10" s="564"/>
      <c r="AY10" s="564">
        <f>IS!AY33</f>
        <v>96.061000000000035</v>
      </c>
      <c r="AZ10" s="564">
        <f>IS!AZ33</f>
        <v>105.65700000000001</v>
      </c>
      <c r="BA10" s="564">
        <f>IS!BA33</f>
        <v>116.28099999999993</v>
      </c>
      <c r="BB10" s="564">
        <f>IS!BB33</f>
        <v>151.054</v>
      </c>
      <c r="BC10" s="565">
        <f t="shared" ref="BC10:BC16" si="6">SUM(AY10:BB10)</f>
        <v>469.053</v>
      </c>
      <c r="BD10" s="564"/>
      <c r="BE10" s="564">
        <f>IS!BE33</f>
        <v>94.051999999999964</v>
      </c>
      <c r="BF10" s="564">
        <f>IS!BF33</f>
        <v>128.21699999999993</v>
      </c>
      <c r="BG10" s="564">
        <f>IS!BG33</f>
        <v>124.85600000000005</v>
      </c>
      <c r="BH10" s="564">
        <f>IS!BH33</f>
        <v>174.37799999999996</v>
      </c>
      <c r="BI10" s="565">
        <f t="shared" ref="BI10:BI16" si="7">SUM(BE10:BH10)</f>
        <v>521.50299999999993</v>
      </c>
      <c r="BJ10" s="564"/>
      <c r="BK10" s="564">
        <f>IS!BK33</f>
        <v>105.55700000000002</v>
      </c>
      <c r="BL10" s="564">
        <f>IS!BL33</f>
        <v>131.822</v>
      </c>
      <c r="BM10" s="564">
        <f>IS!BM33</f>
        <v>136.10399999999993</v>
      </c>
      <c r="BN10" s="564">
        <f>IS!BN33</f>
        <v>-353.17200000000003</v>
      </c>
      <c r="BO10" s="565">
        <f t="shared" ref="BO10:BO16" si="8">SUM(BK10:BN10)</f>
        <v>20.310999999999922</v>
      </c>
      <c r="BP10" s="564"/>
      <c r="BQ10" s="564">
        <f>IS!BQ33</f>
        <v>120.67472369378999</v>
      </c>
      <c r="BR10" s="564">
        <f>IS!BR33</f>
        <v>151.64871689256745</v>
      </c>
      <c r="BS10" s="564">
        <f>IS!BS33</f>
        <v>148.0866692641045</v>
      </c>
      <c r="BT10" s="564">
        <f>IS!BT33</f>
        <v>211.59901492334876</v>
      </c>
      <c r="BU10" s="565">
        <f t="shared" ref="BU10:BU16" si="9">SUM(BQ10:BT10)</f>
        <v>632.00912477381075</v>
      </c>
      <c r="BV10" s="1774"/>
      <c r="BW10" s="564">
        <f>IS!BW33</f>
        <v>131.59051125642418</v>
      </c>
      <c r="BX10" s="564">
        <f>IS!BX33</f>
        <v>162.47580258576488</v>
      </c>
      <c r="BY10" s="564">
        <f>IS!BY33</f>
        <v>158.26428984701346</v>
      </c>
      <c r="BZ10" s="564">
        <f>IS!BZ33</f>
        <v>224.15127601715488</v>
      </c>
      <c r="CA10" s="565">
        <f t="shared" ref="CA10:CA16" si="10">SUM(BW10:BZ10)</f>
        <v>676.4818797063574</v>
      </c>
      <c r="CB10" s="1774"/>
      <c r="CC10" s="564">
        <f>IS!CC33</f>
        <v>140.26773879583797</v>
      </c>
      <c r="CD10" s="564">
        <f>IS!CD33</f>
        <v>236.11506464795346</v>
      </c>
      <c r="CE10" s="564">
        <f>IS!CE33</f>
        <v>233.60003475521148</v>
      </c>
      <c r="CF10" s="564">
        <f>IS!CF33</f>
        <v>303.60034719637196</v>
      </c>
      <c r="CG10" s="565">
        <f t="shared" ref="CG10:CG16" si="11">SUM(CC10:CF10)</f>
        <v>913.58318539537481</v>
      </c>
      <c r="CH10" s="1774"/>
      <c r="CI10" s="564">
        <f>IS!CI33</f>
        <v>221.31740046230712</v>
      </c>
      <c r="CJ10" s="564">
        <f>IS!CJ33</f>
        <v>183.62512212168841</v>
      </c>
      <c r="CK10" s="564">
        <f>IS!CK33</f>
        <v>178.71309328305139</v>
      </c>
      <c r="CL10" s="564">
        <f>IS!CL33</f>
        <v>248.69696500851811</v>
      </c>
      <c r="CM10" s="565">
        <f t="shared" ref="CM10:CM16" si="12">SUM(CI10:CL10)</f>
        <v>832.35258087556497</v>
      </c>
      <c r="CN10" s="263"/>
      <c r="CO10" s="263"/>
      <c r="CP10"/>
      <c r="CQ10"/>
      <c r="CR10"/>
      <c r="CS10"/>
      <c r="CT10"/>
      <c r="CU10"/>
    </row>
    <row r="11" spans="1:99" s="24" customFormat="1" hidden="1" outlineLevel="1">
      <c r="A11" s="43" t="s">
        <v>550</v>
      </c>
      <c r="B11" s="43"/>
      <c r="C11" s="43"/>
      <c r="D11" s="43"/>
      <c r="E11" s="43"/>
      <c r="F11" s="43"/>
      <c r="G11" s="567">
        <v>1.3819999999999999</v>
      </c>
      <c r="H11" s="568"/>
      <c r="I11" s="569">
        <v>0.26</v>
      </c>
      <c r="J11" s="569">
        <f>0.89-I11</f>
        <v>0.63</v>
      </c>
      <c r="K11" s="569">
        <f>2.671-I11-J11</f>
        <v>1.7809999999999997</v>
      </c>
      <c r="L11" s="569">
        <f>3.924-SUM(I11:K11)</f>
        <v>1.2530000000000001</v>
      </c>
      <c r="M11" s="570">
        <f t="shared" si="0"/>
        <v>3.9239999999999999</v>
      </c>
      <c r="N11" s="568"/>
      <c r="O11" s="569">
        <v>0.375</v>
      </c>
      <c r="P11" s="569">
        <f>0.787-O11</f>
        <v>0.41200000000000003</v>
      </c>
      <c r="Q11" s="569">
        <f>0.844-O11-P11</f>
        <v>5.699999999999994E-2</v>
      </c>
      <c r="R11" s="569">
        <f>3.124-SUM(O11:Q11)</f>
        <v>2.2800000000000002</v>
      </c>
      <c r="S11" s="570">
        <f t="shared" si="1"/>
        <v>3.1240000000000001</v>
      </c>
      <c r="T11" s="568"/>
      <c r="U11" s="569">
        <v>0.90400000000000003</v>
      </c>
      <c r="V11" s="569">
        <f>1.118-U11</f>
        <v>0.21400000000000008</v>
      </c>
      <c r="W11" s="569">
        <f>1.414-U11-V11</f>
        <v>0.29599999999999982</v>
      </c>
      <c r="X11" s="569">
        <f>2.926-U11-V11-W11</f>
        <v>1.5120000000000005</v>
      </c>
      <c r="Y11" s="570">
        <f t="shared" si="2"/>
        <v>2.9260000000000002</v>
      </c>
      <c r="Z11" s="568"/>
      <c r="AA11" s="569">
        <v>1.022</v>
      </c>
      <c r="AB11" s="569">
        <f>1.676-AA11</f>
        <v>0.65399999999999991</v>
      </c>
      <c r="AC11" s="569">
        <f>2.267-SUM(AA11:AB11)</f>
        <v>0.59099999999999997</v>
      </c>
      <c r="AD11" s="569">
        <f>3.265-SUM(AA11:AC11)</f>
        <v>0.99800000000000022</v>
      </c>
      <c r="AE11" s="570">
        <f>SUM(AA11:AD11)</f>
        <v>3.2650000000000001</v>
      </c>
      <c r="AF11" s="568"/>
      <c r="AG11" s="569">
        <v>0.53600000000000003</v>
      </c>
      <c r="AH11" s="569">
        <f>0.902-AG11</f>
        <v>0.36599999999999999</v>
      </c>
      <c r="AI11" s="569">
        <f>1.838-SUM(AG11:AH11)</f>
        <v>0.93600000000000005</v>
      </c>
      <c r="AJ11" s="569">
        <f>2.256-SUM(AG11:AI11)</f>
        <v>0.41799999999999971</v>
      </c>
      <c r="AK11" s="570">
        <f t="shared" si="3"/>
        <v>2.2559999999999998</v>
      </c>
      <c r="AL11" s="568"/>
      <c r="AM11" s="569">
        <v>0.46300000000000002</v>
      </c>
      <c r="AN11" s="569">
        <f>1.09-AM11</f>
        <v>0.627</v>
      </c>
      <c r="AO11" s="569">
        <f>1.646-AN11-AM11</f>
        <v>0.55599999999999983</v>
      </c>
      <c r="AP11" s="569">
        <f>3.656-SUM(AM11:AO11)</f>
        <v>2.0100000000000002</v>
      </c>
      <c r="AQ11" s="570">
        <f t="shared" si="4"/>
        <v>3.6560000000000001</v>
      </c>
      <c r="AR11" s="568"/>
      <c r="AS11" s="569">
        <v>1.0589999999999999</v>
      </c>
      <c r="AT11" s="569">
        <f>1.511-AS11</f>
        <v>0.45199999999999996</v>
      </c>
      <c r="AU11" s="569">
        <f>2.051-SUM(AS11:AT11)</f>
        <v>0.54000000000000026</v>
      </c>
      <c r="AV11" s="569">
        <f>2.037-SUM(AS11:AU11)</f>
        <v>-1.4000000000000234E-2</v>
      </c>
      <c r="AW11" s="570">
        <f>SUM(AS11:AV11)</f>
        <v>2.0369999999999999</v>
      </c>
      <c r="AX11" s="568"/>
      <c r="AY11" s="569">
        <v>0.159</v>
      </c>
      <c r="AZ11" s="569">
        <f>2.341-AY11</f>
        <v>2.1820000000000004</v>
      </c>
      <c r="BA11" s="569">
        <f>0.766-SUM(AY11:AZ11)</f>
        <v>-1.5750000000000002</v>
      </c>
      <c r="BB11" s="569">
        <f>1.291-SUM(AY11:BA11)</f>
        <v>0.52499999999999991</v>
      </c>
      <c r="BC11" s="570">
        <f>SUM(AY11:BB11)</f>
        <v>1.2909999999999999</v>
      </c>
      <c r="BD11" s="568"/>
      <c r="BE11" s="569">
        <v>0</v>
      </c>
      <c r="BF11" s="569">
        <f>0-BE11</f>
        <v>0</v>
      </c>
      <c r="BG11" s="1838">
        <f>0-SUM(BE11:BF11)</f>
        <v>0</v>
      </c>
      <c r="BH11" s="569">
        <f>2.37-SUM(BE11:BG11)</f>
        <v>2.37</v>
      </c>
      <c r="BI11" s="570">
        <f t="shared" si="7"/>
        <v>2.37</v>
      </c>
      <c r="BJ11" s="568"/>
      <c r="BK11" s="569">
        <v>0</v>
      </c>
      <c r="BL11" s="569">
        <f>0-BK11</f>
        <v>0</v>
      </c>
      <c r="BM11" s="569">
        <f>0-SUM(BK11:BL11)</f>
        <v>0</v>
      </c>
      <c r="BN11" s="569">
        <f>0-SUM(BK11:BM11)</f>
        <v>0</v>
      </c>
      <c r="BO11" s="570">
        <f t="shared" si="8"/>
        <v>0</v>
      </c>
      <c r="BP11" s="568"/>
      <c r="BQ11" s="569">
        <v>0</v>
      </c>
      <c r="BR11" s="569">
        <v>0</v>
      </c>
      <c r="BS11" s="569">
        <v>0</v>
      </c>
      <c r="BT11" s="569">
        <v>0</v>
      </c>
      <c r="BU11" s="570">
        <f t="shared" si="9"/>
        <v>0</v>
      </c>
      <c r="BV11" s="1775"/>
      <c r="BW11" s="569">
        <v>0</v>
      </c>
      <c r="BX11" s="569">
        <v>0</v>
      </c>
      <c r="BY11" s="569">
        <v>0</v>
      </c>
      <c r="BZ11" s="569">
        <v>0</v>
      </c>
      <c r="CA11" s="570">
        <f t="shared" si="10"/>
        <v>0</v>
      </c>
      <c r="CB11" s="1775"/>
      <c r="CC11" s="569">
        <v>0</v>
      </c>
      <c r="CD11" s="569">
        <v>0</v>
      </c>
      <c r="CE11" s="569">
        <v>0</v>
      </c>
      <c r="CF11" s="569">
        <v>0</v>
      </c>
      <c r="CG11" s="570">
        <f t="shared" si="11"/>
        <v>0</v>
      </c>
      <c r="CH11" s="1775"/>
      <c r="CI11" s="569">
        <v>0</v>
      </c>
      <c r="CJ11" s="569">
        <v>0</v>
      </c>
      <c r="CK11" s="569">
        <v>0</v>
      </c>
      <c r="CL11" s="569">
        <v>0</v>
      </c>
      <c r="CM11" s="570">
        <f t="shared" si="12"/>
        <v>0</v>
      </c>
      <c r="CN11" s="97"/>
      <c r="CO11" s="97"/>
      <c r="CP11"/>
      <c r="CQ11"/>
      <c r="CR11"/>
      <c r="CS11"/>
      <c r="CT11"/>
      <c r="CU11"/>
    </row>
    <row r="12" spans="1:99" s="24" customFormat="1" hidden="1" outlineLevel="1">
      <c r="A12" s="43" t="s">
        <v>402</v>
      </c>
      <c r="B12" s="43"/>
      <c r="C12" s="43"/>
      <c r="D12" s="43"/>
      <c r="E12" s="43"/>
      <c r="F12" s="43"/>
      <c r="G12" s="567">
        <v>6.024</v>
      </c>
      <c r="H12" s="568"/>
      <c r="I12" s="569">
        <v>3.0179999999999998</v>
      </c>
      <c r="J12" s="569">
        <f>5.466-I12</f>
        <v>2.4480000000000004</v>
      </c>
      <c r="K12" s="569">
        <f>7.757-I12-J12</f>
        <v>2.2909999999999995</v>
      </c>
      <c r="L12" s="569">
        <f>10.632-SUM(I12:K12)</f>
        <v>2.875</v>
      </c>
      <c r="M12" s="570">
        <f t="shared" si="0"/>
        <v>10.632</v>
      </c>
      <c r="N12" s="568"/>
      <c r="O12" s="569">
        <v>1.7769999999999999</v>
      </c>
      <c r="P12" s="569">
        <f>3.56-O12</f>
        <v>1.7830000000000001</v>
      </c>
      <c r="Q12" s="569">
        <f>5.577-O12-P12</f>
        <v>2.0169999999999995</v>
      </c>
      <c r="R12" s="569">
        <f>9.952-SUM(O12:Q12)</f>
        <v>4.375</v>
      </c>
      <c r="S12" s="570">
        <f t="shared" si="1"/>
        <v>9.952</v>
      </c>
      <c r="T12" s="568"/>
      <c r="U12" s="569">
        <v>2.6480000000000001</v>
      </c>
      <c r="V12" s="569">
        <f>5.109-U12</f>
        <v>2.4609999999999999</v>
      </c>
      <c r="W12" s="569">
        <f>7.309-U12-V12</f>
        <v>2.1999999999999997</v>
      </c>
      <c r="X12" s="569">
        <f>10.897-U12-V12-W12</f>
        <v>3.5880000000000005</v>
      </c>
      <c r="Y12" s="570">
        <f t="shared" si="2"/>
        <v>10.897</v>
      </c>
      <c r="Z12" s="568"/>
      <c r="AA12" s="569">
        <v>3.2240000000000002</v>
      </c>
      <c r="AB12" s="569">
        <f>4.892-AA12</f>
        <v>1.6680000000000001</v>
      </c>
      <c r="AC12" s="569">
        <f>7.477-SUM(AA12:AB12)</f>
        <v>2.585</v>
      </c>
      <c r="AD12" s="569">
        <f>10.131-SUM(AA12:AC12)</f>
        <v>2.6539999999999999</v>
      </c>
      <c r="AE12" s="570">
        <f t="shared" ref="AE12:AE24" si="13">SUM(AA12:AD12)</f>
        <v>10.131</v>
      </c>
      <c r="AF12" s="568"/>
      <c r="AG12" s="569">
        <v>3.4489999999999998</v>
      </c>
      <c r="AH12" s="569">
        <f>5.96-AG12</f>
        <v>2.5110000000000001</v>
      </c>
      <c r="AI12" s="569">
        <f>8.334-SUM(AG12:AH12)</f>
        <v>2.3739999999999997</v>
      </c>
      <c r="AJ12" s="569">
        <f>10.725-SUM(AG12:AI12)</f>
        <v>2.391</v>
      </c>
      <c r="AK12" s="570">
        <f t="shared" si="3"/>
        <v>10.725</v>
      </c>
      <c r="AL12" s="568"/>
      <c r="AM12" s="569">
        <v>1.34</v>
      </c>
      <c r="AN12" s="569">
        <f>2.297-AM12</f>
        <v>0.95700000000000007</v>
      </c>
      <c r="AO12" s="569">
        <f>3.346-AN12-AM12</f>
        <v>1.0490000000000002</v>
      </c>
      <c r="AP12" s="569">
        <f>0-SUM(AM12:AO12)</f>
        <v>-3.3460000000000001</v>
      </c>
      <c r="AQ12" s="570">
        <f t="shared" si="4"/>
        <v>0</v>
      </c>
      <c r="AR12" s="568"/>
      <c r="AS12" s="569">
        <v>1.139</v>
      </c>
      <c r="AT12" s="569">
        <f>2.8-AS12</f>
        <v>1.6609999999999998</v>
      </c>
      <c r="AU12" s="569">
        <f>3.603-SUM(AS12:AT12)</f>
        <v>0.80300000000000038</v>
      </c>
      <c r="AV12" s="569">
        <f>0-SUM(AS12:AU12)</f>
        <v>-3.6030000000000002</v>
      </c>
      <c r="AW12" s="570">
        <f>SUM(AS12:AV12)</f>
        <v>0</v>
      </c>
      <c r="AX12" s="568"/>
      <c r="AY12" s="569">
        <v>1.3680000000000001</v>
      </c>
      <c r="AZ12" s="569">
        <f>2.2-AY12</f>
        <v>0.83200000000000007</v>
      </c>
      <c r="BA12" s="569">
        <f>3.683-SUM(AY12:AZ12)</f>
        <v>1.4829999999999997</v>
      </c>
      <c r="BB12" s="569">
        <f>0-SUM(AY12:BA12)</f>
        <v>-3.6829999999999998</v>
      </c>
      <c r="BC12" s="570">
        <f t="shared" si="6"/>
        <v>0</v>
      </c>
      <c r="BD12" s="568"/>
      <c r="BE12" s="569">
        <v>0</v>
      </c>
      <c r="BF12" s="569">
        <f>0-BE12</f>
        <v>0</v>
      </c>
      <c r="BG12" s="1838">
        <f>0-SUM(BE12:BF12)</f>
        <v>0</v>
      </c>
      <c r="BH12" s="569">
        <f>0-SUM(BE12:BG12)</f>
        <v>0</v>
      </c>
      <c r="BI12" s="570">
        <f t="shared" si="7"/>
        <v>0</v>
      </c>
      <c r="BJ12" s="568"/>
      <c r="BK12" s="569">
        <v>0</v>
      </c>
      <c r="BL12" s="569">
        <f>0-BK12</f>
        <v>0</v>
      </c>
      <c r="BM12" s="569">
        <f t="shared" ref="BM12" si="14">0-SUM(BK12:BL12)</f>
        <v>0</v>
      </c>
      <c r="BN12" s="569">
        <f>0-SUM(BK12:BM12)</f>
        <v>0</v>
      </c>
      <c r="BO12" s="570">
        <f t="shared" si="8"/>
        <v>0</v>
      </c>
      <c r="BP12" s="568"/>
      <c r="BQ12" s="569">
        <v>0</v>
      </c>
      <c r="BR12" s="569">
        <v>0</v>
      </c>
      <c r="BS12" s="569">
        <v>0</v>
      </c>
      <c r="BT12" s="569">
        <v>0</v>
      </c>
      <c r="BU12" s="570">
        <f t="shared" si="9"/>
        <v>0</v>
      </c>
      <c r="BV12" s="1775"/>
      <c r="BW12" s="569">
        <v>0</v>
      </c>
      <c r="BX12" s="569">
        <v>0</v>
      </c>
      <c r="BY12" s="569">
        <v>0</v>
      </c>
      <c r="BZ12" s="569">
        <v>0</v>
      </c>
      <c r="CA12" s="570">
        <f t="shared" si="10"/>
        <v>0</v>
      </c>
      <c r="CB12" s="1775"/>
      <c r="CC12" s="569">
        <v>0</v>
      </c>
      <c r="CD12" s="569">
        <v>0</v>
      </c>
      <c r="CE12" s="569">
        <v>0</v>
      </c>
      <c r="CF12" s="569">
        <v>0</v>
      </c>
      <c r="CG12" s="570">
        <f t="shared" si="11"/>
        <v>0</v>
      </c>
      <c r="CH12" s="1775"/>
      <c r="CI12" s="569">
        <v>0</v>
      </c>
      <c r="CJ12" s="569">
        <v>0</v>
      </c>
      <c r="CK12" s="569">
        <v>0</v>
      </c>
      <c r="CL12" s="569">
        <v>0</v>
      </c>
      <c r="CM12" s="570">
        <f t="shared" si="12"/>
        <v>0</v>
      </c>
      <c r="CN12" s="97"/>
      <c r="CO12" s="97"/>
      <c r="CP12"/>
      <c r="CQ12"/>
      <c r="CR12"/>
      <c r="CS12"/>
      <c r="CT12"/>
      <c r="CU12"/>
    </row>
    <row r="13" spans="1:99" s="24" customFormat="1" hidden="1" outlineLevel="1">
      <c r="A13" s="43" t="s">
        <v>403</v>
      </c>
      <c r="B13" s="43"/>
      <c r="C13" s="43"/>
      <c r="D13" s="43"/>
      <c r="E13" s="43"/>
      <c r="F13" s="43"/>
      <c r="G13" s="567">
        <v>27.466999999999999</v>
      </c>
      <c r="H13" s="571"/>
      <c r="I13" s="569">
        <v>7.1139999999999999</v>
      </c>
      <c r="J13" s="569">
        <f>15.611-I13</f>
        <v>8.4969999999999999</v>
      </c>
      <c r="K13" s="569">
        <f>22.052-I13-J13</f>
        <v>6.4409999999999989</v>
      </c>
      <c r="L13" s="569">
        <f>29.071-SUM(I13:K13)</f>
        <v>7.0190000000000019</v>
      </c>
      <c r="M13" s="570">
        <f t="shared" si="0"/>
        <v>29.071000000000002</v>
      </c>
      <c r="N13" s="571"/>
      <c r="O13" s="569">
        <v>8.3629999999999995</v>
      </c>
      <c r="P13" s="569">
        <f>16.296-O13</f>
        <v>7.9329999999999998</v>
      </c>
      <c r="Q13" s="569">
        <f>23.782-O13-P13</f>
        <v>7.4860000000000007</v>
      </c>
      <c r="R13" s="569">
        <f>31.805-SUM(O13:Q13)</f>
        <v>8.0229999999999997</v>
      </c>
      <c r="S13" s="570">
        <f t="shared" si="1"/>
        <v>31.805</v>
      </c>
      <c r="T13" s="571"/>
      <c r="U13" s="569">
        <v>8.4410000000000007</v>
      </c>
      <c r="V13" s="569">
        <f>17.118-U13</f>
        <v>8.6769999999999978</v>
      </c>
      <c r="W13" s="569">
        <f>25.897-U13-V13</f>
        <v>8.7789999999999981</v>
      </c>
      <c r="X13" s="569">
        <f>34.421-U13-V13-W13</f>
        <v>8.5239999999999991</v>
      </c>
      <c r="Y13" s="570">
        <f t="shared" si="2"/>
        <v>34.420999999999999</v>
      </c>
      <c r="Z13" s="571"/>
      <c r="AA13" s="569">
        <v>8.64</v>
      </c>
      <c r="AB13" s="569">
        <f>17.939-AA13</f>
        <v>9.2989999999999995</v>
      </c>
      <c r="AC13" s="569">
        <f>27.267-SUM(AA13:AB13)</f>
        <v>9.3279999999999994</v>
      </c>
      <c r="AD13" s="569">
        <f>36.531-SUM(AA13:AC13)</f>
        <v>9.2639999999999993</v>
      </c>
      <c r="AE13" s="570">
        <f t="shared" si="13"/>
        <v>36.530999999999999</v>
      </c>
      <c r="AF13" s="571"/>
      <c r="AG13" s="569">
        <v>7.7629999999999999</v>
      </c>
      <c r="AH13" s="569">
        <f>17.168-AG13</f>
        <v>9.4049999999999994</v>
      </c>
      <c r="AI13" s="572">
        <f>27.101-SUM(AG13:AH13)</f>
        <v>9.9329999999999998</v>
      </c>
      <c r="AJ13" s="569">
        <f>37.422-SUM(AG13:AI13)</f>
        <v>10.320999999999998</v>
      </c>
      <c r="AK13" s="570">
        <f t="shared" si="3"/>
        <v>37.421999999999997</v>
      </c>
      <c r="AL13" s="571"/>
      <c r="AM13" s="569">
        <v>8.4870000000000001</v>
      </c>
      <c r="AN13" s="569">
        <f>18.091-AM13</f>
        <v>9.604000000000001</v>
      </c>
      <c r="AO13" s="569">
        <f>27.807-AN13-AM13</f>
        <v>9.7159999999999958</v>
      </c>
      <c r="AP13" s="569">
        <f>38.165-SUM(AM13:AO13)</f>
        <v>10.358000000000004</v>
      </c>
      <c r="AQ13" s="570">
        <f t="shared" si="4"/>
        <v>38.164999999999999</v>
      </c>
      <c r="AR13" s="571"/>
      <c r="AS13" s="569">
        <v>8.8190000000000008</v>
      </c>
      <c r="AT13" s="569">
        <f>21.417-AS13</f>
        <v>12.598000000000001</v>
      </c>
      <c r="AU13" s="569">
        <f>38.754-SUM(AS13:AT13)</f>
        <v>17.336999999999996</v>
      </c>
      <c r="AV13" s="569">
        <f>46.393-SUM(AS13:AU13)</f>
        <v>7.6390000000000029</v>
      </c>
      <c r="AW13" s="570">
        <f t="shared" si="5"/>
        <v>46.393000000000001</v>
      </c>
      <c r="AX13" s="571"/>
      <c r="AY13" s="569">
        <v>11.445</v>
      </c>
      <c r="AZ13" s="569">
        <f>22.766-AY13</f>
        <v>11.320999999999998</v>
      </c>
      <c r="BA13" s="569">
        <f>33.202-SUM(AY13:AZ13)</f>
        <v>10.436</v>
      </c>
      <c r="BB13" s="569">
        <f>45.287-SUM(AY13:BA13)</f>
        <v>12.085000000000001</v>
      </c>
      <c r="BC13" s="570">
        <f t="shared" si="6"/>
        <v>45.286999999999999</v>
      </c>
      <c r="BD13" s="571"/>
      <c r="BE13" s="569">
        <v>12.356</v>
      </c>
      <c r="BF13" s="569">
        <f>26.055-BE13</f>
        <v>13.699</v>
      </c>
      <c r="BG13" s="1839">
        <f>38.854-SUM(BE13:BF13)</f>
        <v>12.798999999999999</v>
      </c>
      <c r="BH13" s="569">
        <f>51.684-SUM(BE13:BG13)</f>
        <v>12.829999999999998</v>
      </c>
      <c r="BI13" s="570">
        <f t="shared" si="7"/>
        <v>51.683999999999997</v>
      </c>
      <c r="BJ13" s="571"/>
      <c r="BK13" s="569">
        <v>12.782999999999999</v>
      </c>
      <c r="BL13" s="569">
        <f>30.796-BK13</f>
        <v>18.012999999999998</v>
      </c>
      <c r="BM13" s="569">
        <f>45.454-SUM(BK13:BL13)</f>
        <v>14.658000000000001</v>
      </c>
      <c r="BN13" s="569">
        <f>61.45-SUM(BK13:BM13)</f>
        <v>15.996000000000002</v>
      </c>
      <c r="BO13" s="570">
        <f t="shared" si="8"/>
        <v>61.45</v>
      </c>
      <c r="BP13" s="571"/>
      <c r="BQ13" s="571">
        <f>-BS!BQ104</f>
        <v>12.946315669005504</v>
      </c>
      <c r="BR13" s="571">
        <f>-BS!BR104</f>
        <v>13.362667395155919</v>
      </c>
      <c r="BS13" s="571">
        <f>-BS!BS104</f>
        <v>13.775038228315095</v>
      </c>
      <c r="BT13" s="571">
        <f>-BS!BT104</f>
        <v>14.276862254471872</v>
      </c>
      <c r="BU13" s="570">
        <f t="shared" si="9"/>
        <v>54.360883546948394</v>
      </c>
      <c r="BV13" s="1775"/>
      <c r="BW13" s="571">
        <f>-BS!BW104</f>
        <v>13.610351455183638</v>
      </c>
      <c r="BX13" s="571">
        <f>-BS!BX104</f>
        <v>14.193822110872613</v>
      </c>
      <c r="BY13" s="571">
        <f>-BS!BY104</f>
        <v>14.770245594921482</v>
      </c>
      <c r="BZ13" s="571">
        <f>-BS!BZ104</f>
        <v>15.467268178256088</v>
      </c>
      <c r="CA13" s="570">
        <f t="shared" si="10"/>
        <v>58.041687339233818</v>
      </c>
      <c r="CB13" s="1775"/>
      <c r="CC13" s="571">
        <f>-BS!CC104</f>
        <v>14.552777003397139</v>
      </c>
      <c r="CD13" s="571">
        <f>-BS!CD104</f>
        <v>15.097379608751964</v>
      </c>
      <c r="CE13" s="571">
        <f>-BS!CE104</f>
        <v>15.634687499421535</v>
      </c>
      <c r="CF13" s="571">
        <f>-BS!CF104</f>
        <v>16.280207240500648</v>
      </c>
      <c r="CG13" s="570">
        <f t="shared" si="11"/>
        <v>61.565051352071279</v>
      </c>
      <c r="CH13" s="1775"/>
      <c r="CI13" s="571">
        <f>-BS!CI104</f>
        <v>14.974314953024921</v>
      </c>
      <c r="CJ13" s="571">
        <f>-BS!CJ104</f>
        <v>15.328816367842313</v>
      </c>
      <c r="CK13" s="571">
        <f>-BS!CK104</f>
        <v>15.678092461352914</v>
      </c>
      <c r="CL13" s="571">
        <f>-BS!CL104</f>
        <v>16.095072751911342</v>
      </c>
      <c r="CM13" s="570">
        <f t="shared" si="12"/>
        <v>62.076296534131487</v>
      </c>
      <c r="CN13" s="97"/>
      <c r="CO13" s="97"/>
      <c r="CP13"/>
      <c r="CQ13"/>
      <c r="CR13"/>
      <c r="CS13"/>
      <c r="CT13"/>
      <c r="CU13"/>
    </row>
    <row r="14" spans="1:99" s="24" customFormat="1" hidden="1" outlineLevel="1">
      <c r="A14" s="43" t="s">
        <v>404</v>
      </c>
      <c r="B14" s="43"/>
      <c r="C14" s="43"/>
      <c r="D14" s="43"/>
      <c r="E14" s="43"/>
      <c r="F14" s="43"/>
      <c r="G14" s="567">
        <v>25.85</v>
      </c>
      <c r="H14" s="573"/>
      <c r="I14" s="569">
        <v>6.633</v>
      </c>
      <c r="J14" s="569">
        <f>23.176-I14</f>
        <v>16.542999999999999</v>
      </c>
      <c r="K14" s="569">
        <f>30.413-I14-J14</f>
        <v>7.2370000000000019</v>
      </c>
      <c r="L14" s="569">
        <f>36.2-SUM(I14:K14)</f>
        <v>5.7870000000000026</v>
      </c>
      <c r="M14" s="570">
        <f t="shared" si="0"/>
        <v>36.200000000000003</v>
      </c>
      <c r="N14" s="573"/>
      <c r="O14" s="569">
        <v>6.048</v>
      </c>
      <c r="P14" s="569">
        <f>12.611-O14</f>
        <v>6.5630000000000006</v>
      </c>
      <c r="Q14" s="569">
        <f>18.79-O14-P14</f>
        <v>6.1789999999999985</v>
      </c>
      <c r="R14" s="569">
        <f>25.467-SUM(O14:Q14)</f>
        <v>6.6769999999999996</v>
      </c>
      <c r="S14" s="570">
        <f t="shared" si="1"/>
        <v>25.466999999999999</v>
      </c>
      <c r="T14" s="573"/>
      <c r="U14" s="569">
        <v>6.5439999999999996</v>
      </c>
      <c r="V14" s="569">
        <f>13.168-U14</f>
        <v>6.6239999999999997</v>
      </c>
      <c r="W14" s="569">
        <f>19.621-U14-V14</f>
        <v>6.4529999999999985</v>
      </c>
      <c r="X14" s="569">
        <f>28.137-U14-V14-W14</f>
        <v>8.5160000000000018</v>
      </c>
      <c r="Y14" s="570">
        <f t="shared" si="2"/>
        <v>28.137</v>
      </c>
      <c r="Z14" s="573"/>
      <c r="AA14" s="569">
        <v>7.52</v>
      </c>
      <c r="AB14" s="569">
        <f>15.506-AA14</f>
        <v>7.9860000000000007</v>
      </c>
      <c r="AC14" s="569">
        <f>22.778-SUM(AA14:AB14)</f>
        <v>7.2719999999999985</v>
      </c>
      <c r="AD14" s="569">
        <f>29.856-SUM(AA14:AC14)</f>
        <v>7.078000000000003</v>
      </c>
      <c r="AE14" s="570">
        <f t="shared" si="13"/>
        <v>29.856000000000002</v>
      </c>
      <c r="AF14" s="573"/>
      <c r="AG14" s="569">
        <v>6.806</v>
      </c>
      <c r="AH14" s="569">
        <f>13.435-AG14</f>
        <v>6.6290000000000004</v>
      </c>
      <c r="AI14" s="574">
        <f>24.124-SUM(AG14:AH14)</f>
        <v>10.688999999999998</v>
      </c>
      <c r="AJ14" s="569">
        <f>31.409-SUM(AG14:AI14)</f>
        <v>7.2850000000000001</v>
      </c>
      <c r="AK14" s="570">
        <f t="shared" si="3"/>
        <v>31.408999999999999</v>
      </c>
      <c r="AL14" s="573"/>
      <c r="AM14" s="569">
        <v>9.7750000000000004</v>
      </c>
      <c r="AN14" s="569">
        <f>19.593-AM14</f>
        <v>9.8179999999999996</v>
      </c>
      <c r="AO14" s="569">
        <f>30.448-AN14-AM14</f>
        <v>10.855000000000002</v>
      </c>
      <c r="AP14" s="569">
        <f>41.53-SUM(AM14:AO14)</f>
        <v>11.082000000000001</v>
      </c>
      <c r="AQ14" s="570">
        <f t="shared" si="4"/>
        <v>41.53</v>
      </c>
      <c r="AR14" s="573"/>
      <c r="AS14" s="569">
        <v>11.523</v>
      </c>
      <c r="AT14" s="569">
        <f>23.8-AS14</f>
        <v>12.277000000000001</v>
      </c>
      <c r="AU14" s="569">
        <f>35.889-SUM(AS14:AT14)</f>
        <v>12.089000000000002</v>
      </c>
      <c r="AV14" s="569">
        <f>47.838-SUM(AS14:AU14)</f>
        <v>11.948999999999998</v>
      </c>
      <c r="AW14" s="570">
        <f t="shared" si="5"/>
        <v>47.838000000000001</v>
      </c>
      <c r="AX14" s="573"/>
      <c r="AY14" s="569">
        <v>11.103999999999999</v>
      </c>
      <c r="AZ14" s="569">
        <f>22.372-AY14</f>
        <v>11.268000000000001</v>
      </c>
      <c r="BA14" s="569">
        <f>33.693-SUM(AY14:AZ14)</f>
        <v>11.320999999999998</v>
      </c>
      <c r="BB14" s="569">
        <f>44.7-SUM(AY14:BA14)</f>
        <v>11.007000000000005</v>
      </c>
      <c r="BC14" s="570">
        <f t="shared" si="6"/>
        <v>44.7</v>
      </c>
      <c r="BD14" s="573"/>
      <c r="BE14" s="569">
        <v>11.074999999999999</v>
      </c>
      <c r="BF14" s="569">
        <f>22.022-BE14</f>
        <v>10.946999999999999</v>
      </c>
      <c r="BG14" s="1840">
        <f>33.51-SUM(BE14:BF14)</f>
        <v>11.488</v>
      </c>
      <c r="BH14" s="569">
        <f>44.765-SUM(BE14:BG14)</f>
        <v>11.255000000000003</v>
      </c>
      <c r="BI14" s="570">
        <f t="shared" si="7"/>
        <v>44.765000000000001</v>
      </c>
      <c r="BJ14" s="573"/>
      <c r="BK14" s="569">
        <v>10.167</v>
      </c>
      <c r="BL14" s="569">
        <f>21.609-BK14</f>
        <v>11.442000000000002</v>
      </c>
      <c r="BM14" s="569">
        <f>32.795-SUM(BK14:BL14)</f>
        <v>11.186</v>
      </c>
      <c r="BN14" s="569">
        <f>44.552-SUM(BK14:BM14)</f>
        <v>11.756999999999998</v>
      </c>
      <c r="BO14" s="570">
        <f t="shared" si="8"/>
        <v>44.552</v>
      </c>
      <c r="BP14" s="573"/>
      <c r="BQ14" s="573">
        <f>-BS!BQ117</f>
        <v>10</v>
      </c>
      <c r="BR14" s="573">
        <f>-BS!BR117</f>
        <v>10</v>
      </c>
      <c r="BS14" s="573">
        <f>-BS!BS117</f>
        <v>10</v>
      </c>
      <c r="BT14" s="573">
        <f>-BS!BT117</f>
        <v>10</v>
      </c>
      <c r="BU14" s="570">
        <f t="shared" si="9"/>
        <v>40</v>
      </c>
      <c r="BV14" s="1775"/>
      <c r="BW14" s="573">
        <f>-BS!BW117</f>
        <v>10</v>
      </c>
      <c r="BX14" s="573">
        <f>-BS!BX117</f>
        <v>10</v>
      </c>
      <c r="BY14" s="573">
        <f>-BS!BY117</f>
        <v>10</v>
      </c>
      <c r="BZ14" s="573">
        <f>-BS!BZ117</f>
        <v>10</v>
      </c>
      <c r="CA14" s="570">
        <f t="shared" si="10"/>
        <v>40</v>
      </c>
      <c r="CB14" s="1775"/>
      <c r="CC14" s="573">
        <f>-BS!CC117</f>
        <v>10</v>
      </c>
      <c r="CD14" s="573">
        <f>-BS!CD117</f>
        <v>10</v>
      </c>
      <c r="CE14" s="573">
        <f>-BS!CE117</f>
        <v>10</v>
      </c>
      <c r="CF14" s="573">
        <f>-BS!CF117</f>
        <v>10</v>
      </c>
      <c r="CG14" s="570">
        <f t="shared" si="11"/>
        <v>40</v>
      </c>
      <c r="CH14" s="1775"/>
      <c r="CI14" s="573">
        <f>-BS!CI117</f>
        <v>10</v>
      </c>
      <c r="CJ14" s="573">
        <f>-BS!CJ117</f>
        <v>10</v>
      </c>
      <c r="CK14" s="573">
        <f>-BS!CK117</f>
        <v>10</v>
      </c>
      <c r="CL14" s="573">
        <f>-BS!CL117</f>
        <v>10</v>
      </c>
      <c r="CM14" s="570">
        <f t="shared" si="12"/>
        <v>40</v>
      </c>
      <c r="CN14" s="97"/>
      <c r="CO14" s="97"/>
      <c r="CP14"/>
      <c r="CQ14"/>
      <c r="CR14"/>
      <c r="CS14"/>
      <c r="CT14"/>
      <c r="CU14"/>
    </row>
    <row r="15" spans="1:99" s="24" customFormat="1" collapsed="1">
      <c r="A15" s="43" t="s">
        <v>405</v>
      </c>
      <c r="B15" s="43"/>
      <c r="C15" s="43"/>
      <c r="D15" s="43"/>
      <c r="E15" s="43"/>
      <c r="F15" s="43"/>
      <c r="G15" s="575">
        <v>28.855</v>
      </c>
      <c r="H15" s="571"/>
      <c r="I15" s="572">
        <v>7.4530000000000003</v>
      </c>
      <c r="J15" s="572">
        <f>15.509-I15</f>
        <v>8.0560000000000009</v>
      </c>
      <c r="K15" s="572">
        <f>23.181-I15-J15</f>
        <v>7.6720000000000006</v>
      </c>
      <c r="L15" s="569">
        <f>30.782-SUM(I15:K15)</f>
        <v>7.6009999999999991</v>
      </c>
      <c r="M15" s="570">
        <f t="shared" si="0"/>
        <v>30.782</v>
      </c>
      <c r="N15" s="571"/>
      <c r="O15" s="572">
        <v>7.3479999999999999</v>
      </c>
      <c r="P15" s="572">
        <f>14.506-O15</f>
        <v>7.1580000000000004</v>
      </c>
      <c r="Q15" s="572">
        <f>21.757-O15-P15</f>
        <v>7.2510000000000021</v>
      </c>
      <c r="R15" s="569">
        <f>28.255-SUM(O15:Q15)</f>
        <v>6.4979999999999976</v>
      </c>
      <c r="S15" s="570">
        <f t="shared" si="1"/>
        <v>28.254999999999999</v>
      </c>
      <c r="T15" s="571"/>
      <c r="U15" s="572">
        <v>6.0309999999999997</v>
      </c>
      <c r="V15" s="572">
        <f>12.314-U15</f>
        <v>6.2830000000000004</v>
      </c>
      <c r="W15" s="572">
        <f>18.558-U15-V15</f>
        <v>6.2440000000000007</v>
      </c>
      <c r="X15" s="569">
        <f>24.852-U15-V15-W15</f>
        <v>6.2939999999999996</v>
      </c>
      <c r="Y15" s="570">
        <f t="shared" si="2"/>
        <v>24.852</v>
      </c>
      <c r="Z15" s="571"/>
      <c r="AA15" s="569">
        <v>7.0149999999999997</v>
      </c>
      <c r="AB15" s="569">
        <f>13.763-AA15</f>
        <v>6.7480000000000002</v>
      </c>
      <c r="AC15" s="569">
        <f>20.645-SUM(AA15:AB15)</f>
        <v>6.8819999999999997</v>
      </c>
      <c r="AD15" s="569">
        <f>27.579-SUM(AA15:AC15)</f>
        <v>6.9340000000000011</v>
      </c>
      <c r="AE15" s="570">
        <f t="shared" si="13"/>
        <v>27.579000000000001</v>
      </c>
      <c r="AF15" s="571"/>
      <c r="AG15" s="569">
        <v>7.2670000000000003</v>
      </c>
      <c r="AH15" s="569">
        <f>14.381-AG15</f>
        <v>7.1139999999999999</v>
      </c>
      <c r="AI15" s="574">
        <f>21.687-SUM(AG15:AH15)</f>
        <v>7.3060000000000009</v>
      </c>
      <c r="AJ15" s="569">
        <f>29.183-SUM(AG15:AI15)</f>
        <v>7.4959999999999987</v>
      </c>
      <c r="AK15" s="570">
        <f t="shared" si="3"/>
        <v>29.183</v>
      </c>
      <c r="AL15" s="571"/>
      <c r="AM15" s="569">
        <v>7.431</v>
      </c>
      <c r="AN15" s="569">
        <f>15.307-AM15</f>
        <v>7.8760000000000003</v>
      </c>
      <c r="AO15" s="569">
        <f>23.985-AN15-AM15</f>
        <v>8.6779999999999973</v>
      </c>
      <c r="AP15" s="569">
        <f>31.708-SUM(AM15:AO15)</f>
        <v>7.722999999999999</v>
      </c>
      <c r="AQ15" s="570">
        <f t="shared" si="4"/>
        <v>31.707999999999998</v>
      </c>
      <c r="AR15" s="571"/>
      <c r="AS15" s="569">
        <v>8.1289999999999996</v>
      </c>
      <c r="AT15" s="569">
        <f>16.353-AS15</f>
        <v>8.224000000000002</v>
      </c>
      <c r="AU15" s="569">
        <f>24.46-SUM(AS15:AT15)</f>
        <v>8.1069999999999993</v>
      </c>
      <c r="AV15" s="569">
        <f>32.998-SUM(AS15:AU15)</f>
        <v>8.5379999999999967</v>
      </c>
      <c r="AW15" s="570">
        <f t="shared" si="5"/>
        <v>32.997999999999998</v>
      </c>
      <c r="AX15" s="571"/>
      <c r="AY15" s="569">
        <v>8.4550000000000001</v>
      </c>
      <c r="AZ15" s="569">
        <f>16.61-AY15</f>
        <v>8.1549999999999994</v>
      </c>
      <c r="BA15" s="569">
        <f>24.957-SUM(AY15:AZ15)</f>
        <v>8.3470000000000013</v>
      </c>
      <c r="BB15" s="569">
        <f>33.368-SUM(AY15:BA15)</f>
        <v>8.4110000000000014</v>
      </c>
      <c r="BC15" s="570">
        <f t="shared" si="6"/>
        <v>33.368000000000002</v>
      </c>
      <c r="BD15" s="571"/>
      <c r="BE15" s="569">
        <v>15.840999999999999</v>
      </c>
      <c r="BF15" s="569">
        <f>24.237-BE15</f>
        <v>8.395999999999999</v>
      </c>
      <c r="BG15" s="1840">
        <f>32.604-SUM(BE15:BF15)</f>
        <v>8.3670000000000009</v>
      </c>
      <c r="BH15" s="569">
        <f>40.998-SUM(BE15:BG15)</f>
        <v>8.3939999999999984</v>
      </c>
      <c r="BI15" s="570">
        <f t="shared" si="7"/>
        <v>40.997999999999998</v>
      </c>
      <c r="BJ15" s="571"/>
      <c r="BK15" s="569">
        <v>8.6549999999999994</v>
      </c>
      <c r="BL15" s="569">
        <f>17.794-BK15</f>
        <v>9.1390000000000011</v>
      </c>
      <c r="BM15" s="569">
        <f>30.068-SUM(BK15:BL15)</f>
        <v>12.274000000000001</v>
      </c>
      <c r="BN15" s="569">
        <f>39.436-SUM(BK15:BM15)</f>
        <v>9.3679999999999986</v>
      </c>
      <c r="BO15" s="570">
        <f t="shared" si="8"/>
        <v>39.436</v>
      </c>
      <c r="BP15" s="571"/>
      <c r="BQ15" s="573">
        <f>IS!BQ69</f>
        <v>8.1733341105423349</v>
      </c>
      <c r="BR15" s="573">
        <f>IS!BR69</f>
        <v>8.6924407944593796</v>
      </c>
      <c r="BS15" s="573">
        <f>IS!BS69</f>
        <v>8.5564553540253652</v>
      </c>
      <c r="BT15" s="573">
        <f>IS!BT69</f>
        <v>9.5344386857774577</v>
      </c>
      <c r="BU15" s="570">
        <f t="shared" si="9"/>
        <v>34.956668944804541</v>
      </c>
      <c r="BV15" s="1775"/>
      <c r="BW15" s="573">
        <f>IS!BW69</f>
        <v>8.7087952673294957</v>
      </c>
      <c r="BX15" s="573">
        <f>IS!BX69</f>
        <v>9.201554786842415</v>
      </c>
      <c r="BY15" s="573">
        <f>IS!BY69</f>
        <v>9.0345898200664365</v>
      </c>
      <c r="BZ15" s="573">
        <f>IS!BZ69</f>
        <v>10.003485673726344</v>
      </c>
      <c r="CA15" s="570">
        <f t="shared" si="10"/>
        <v>36.948425547964689</v>
      </c>
      <c r="CB15" s="1775"/>
      <c r="CC15" s="573">
        <f>IS!CC69</f>
        <v>9.210377227966827</v>
      </c>
      <c r="CD15" s="573">
        <f>IS!CD69</f>
        <v>9.667158025828881</v>
      </c>
      <c r="CE15" s="573">
        <f>IS!CE69</f>
        <v>9.4790954925148903</v>
      </c>
      <c r="CF15" s="573">
        <f>IS!CF69</f>
        <v>10.427757896165188</v>
      </c>
      <c r="CG15" s="570">
        <f t="shared" si="11"/>
        <v>38.784388642475783</v>
      </c>
      <c r="CH15" s="1775"/>
      <c r="CI15" s="573">
        <f>IS!CI69</f>
        <v>9.7410896646902714</v>
      </c>
      <c r="CJ15" s="573">
        <f>IS!CJ69</f>
        <v>10.157137020156744</v>
      </c>
      <c r="CK15" s="573">
        <f>IS!CK69</f>
        <v>9.9459615507056505</v>
      </c>
      <c r="CL15" s="573">
        <f>IS!CL69</f>
        <v>10.872544001348487</v>
      </c>
      <c r="CM15" s="570">
        <f t="shared" si="12"/>
        <v>40.716732236901152</v>
      </c>
      <c r="CN15" s="97"/>
      <c r="CO15" s="97"/>
      <c r="CP15"/>
      <c r="CQ15"/>
      <c r="CR15"/>
      <c r="CS15"/>
      <c r="CT15"/>
      <c r="CU15"/>
    </row>
    <row r="16" spans="1:99" s="24" customFormat="1">
      <c r="A16" s="43" t="s">
        <v>120</v>
      </c>
      <c r="B16" s="43"/>
      <c r="C16" s="43"/>
      <c r="D16" s="43"/>
      <c r="E16" s="43"/>
      <c r="F16" s="43"/>
      <c r="G16" s="575">
        <v>5.9459999999999997</v>
      </c>
      <c r="H16" s="571"/>
      <c r="I16" s="572">
        <v>-2.3250000000000002</v>
      </c>
      <c r="J16" s="572">
        <f>-13.373-I16</f>
        <v>-11.047999999999998</v>
      </c>
      <c r="K16" s="572">
        <f>-14.313-I16-J16</f>
        <v>-0.94000000000000128</v>
      </c>
      <c r="L16" s="569">
        <f>-19.626-SUM(I16:K16)</f>
        <v>-5.3130000000000024</v>
      </c>
      <c r="M16" s="570">
        <f t="shared" si="0"/>
        <v>-19.626000000000001</v>
      </c>
      <c r="N16" s="571"/>
      <c r="O16" s="572">
        <v>-1.9770000000000001</v>
      </c>
      <c r="P16" s="572">
        <f>5.007-O16</f>
        <v>6.984</v>
      </c>
      <c r="Q16" s="572">
        <f>1.696-O16-P16</f>
        <v>-3.3109999999999999</v>
      </c>
      <c r="R16" s="569">
        <f>36.276-SUM(O16:Q16)</f>
        <v>34.580000000000005</v>
      </c>
      <c r="S16" s="570">
        <f t="shared" si="1"/>
        <v>36.276000000000003</v>
      </c>
      <c r="T16" s="571"/>
      <c r="U16" s="572">
        <v>-1.95</v>
      </c>
      <c r="V16" s="572">
        <f>-4.014-U16</f>
        <v>-2.0640000000000001</v>
      </c>
      <c r="W16" s="572">
        <f>-4.669-U16-V16</f>
        <v>-0.65499999999999936</v>
      </c>
      <c r="X16" s="569">
        <f>-15.037-U16-V16-W16</f>
        <v>-10.368000000000002</v>
      </c>
      <c r="Y16" s="570">
        <f t="shared" si="2"/>
        <v>-15.037000000000003</v>
      </c>
      <c r="Z16" s="571"/>
      <c r="AA16" s="569">
        <v>-1.4790000000000001</v>
      </c>
      <c r="AB16" s="569">
        <f>-3.692-AA16</f>
        <v>-2.2130000000000001</v>
      </c>
      <c r="AC16" s="569">
        <f>-7.072-SUM(AA16:AB16)</f>
        <v>-3.38</v>
      </c>
      <c r="AD16" s="569">
        <f>-5.824-SUM(AA16:AC16)</f>
        <v>1.2480000000000002</v>
      </c>
      <c r="AE16" s="570">
        <f t="shared" si="13"/>
        <v>-5.8239999999999998</v>
      </c>
      <c r="AF16" s="571"/>
      <c r="AG16" s="569">
        <v>-4.83</v>
      </c>
      <c r="AH16" s="569">
        <f>-7.147-AG16</f>
        <v>-2.3170000000000002</v>
      </c>
      <c r="AI16" s="572">
        <f>-9.382-SUM(AG16:AH16)</f>
        <v>-2.2349999999999994</v>
      </c>
      <c r="AJ16" s="569">
        <f>-52.219-SUM(AG16:AI16)</f>
        <v>-42.837000000000003</v>
      </c>
      <c r="AK16" s="570">
        <f t="shared" si="3"/>
        <v>-52.219000000000001</v>
      </c>
      <c r="AL16" s="571"/>
      <c r="AM16" s="569">
        <v>-0.99099999999999999</v>
      </c>
      <c r="AN16" s="569">
        <f>-4.172-AM16</f>
        <v>-3.1809999999999996</v>
      </c>
      <c r="AO16" s="569">
        <f>-11.181-AN16-AM16</f>
        <v>-7.0090000000000003</v>
      </c>
      <c r="AP16" s="569">
        <f>0.169-SUM(AM16:AO16)</f>
        <v>11.350000000000001</v>
      </c>
      <c r="AQ16" s="570">
        <f t="shared" si="4"/>
        <v>0.16900000000000048</v>
      </c>
      <c r="AR16" s="571"/>
      <c r="AS16" s="569">
        <v>-2.218</v>
      </c>
      <c r="AT16" s="569">
        <f>-7.912-AS16</f>
        <v>-5.694</v>
      </c>
      <c r="AU16" s="569">
        <f>-9.151-SUM(AS16:AT16)</f>
        <v>-1.2389999999999999</v>
      </c>
      <c r="AV16" s="569">
        <f>16.481+4.718+1.583-SUM(AS16:AU16)</f>
        <v>31.933</v>
      </c>
      <c r="AW16" s="570">
        <f t="shared" si="5"/>
        <v>22.782</v>
      </c>
      <c r="AX16" s="571"/>
      <c r="AY16" s="569">
        <v>2.8279999999999998</v>
      </c>
      <c r="AZ16" s="569">
        <f>0.542-AY16</f>
        <v>-2.2859999999999996</v>
      </c>
      <c r="BA16" s="569">
        <f>1.821-1.377-SUM(AY16:AZ16)</f>
        <v>-9.8000000000000309E-2</v>
      </c>
      <c r="BB16" s="569">
        <f>4.638+6.581-1.377-SUM(AY16:BA16)</f>
        <v>9.3979999999999997</v>
      </c>
      <c r="BC16" s="570">
        <f t="shared" si="6"/>
        <v>9.8419999999999987</v>
      </c>
      <c r="BD16" s="571"/>
      <c r="BE16" s="569">
        <v>3.74</v>
      </c>
      <c r="BF16" s="569">
        <f>0.637-BE16</f>
        <v>-3.1030000000000002</v>
      </c>
      <c r="BG16" s="1839">
        <f>4.924-1.5-SUM(BE16:BF16)</f>
        <v>2.7870000000000004</v>
      </c>
      <c r="BH16" s="569">
        <f>1.204-1.5-SUM(BE16:BG16)</f>
        <v>-3.7200000000000006</v>
      </c>
      <c r="BI16" s="570">
        <f t="shared" si="7"/>
        <v>-0.29600000000000026</v>
      </c>
      <c r="BJ16" s="571"/>
      <c r="BK16" s="569">
        <f>6.168+5</f>
        <v>11.167999999999999</v>
      </c>
      <c r="BL16" s="569">
        <f>5.208+5-BK16</f>
        <v>-0.95999999999999908</v>
      </c>
      <c r="BM16" s="569">
        <f>3.046+5-SUM(BK16:BL16)</f>
        <v>-2.1620000000000008</v>
      </c>
      <c r="BN16" s="569">
        <f>45.51+530.383+5-SUM(BK16:BM16)</f>
        <v>572.84699999999998</v>
      </c>
      <c r="BO16" s="570">
        <f t="shared" si="8"/>
        <v>580.89300000000003</v>
      </c>
      <c r="BP16" s="571"/>
      <c r="BQ16" s="572">
        <v>0</v>
      </c>
      <c r="BR16" s="572">
        <v>0</v>
      </c>
      <c r="BS16" s="572">
        <v>0</v>
      </c>
      <c r="BT16" s="572">
        <v>0</v>
      </c>
      <c r="BU16" s="570">
        <f t="shared" si="9"/>
        <v>0</v>
      </c>
      <c r="BV16" s="1775"/>
      <c r="BW16" s="572">
        <v>0</v>
      </c>
      <c r="BX16" s="572">
        <v>0</v>
      </c>
      <c r="BY16" s="572">
        <v>0</v>
      </c>
      <c r="BZ16" s="572">
        <v>0</v>
      </c>
      <c r="CA16" s="570">
        <f t="shared" si="10"/>
        <v>0</v>
      </c>
      <c r="CB16" s="1775"/>
      <c r="CC16" s="572">
        <v>0</v>
      </c>
      <c r="CD16" s="572">
        <v>0</v>
      </c>
      <c r="CE16" s="572">
        <v>0</v>
      </c>
      <c r="CF16" s="572">
        <v>0</v>
      </c>
      <c r="CG16" s="570">
        <f t="shared" si="11"/>
        <v>0</v>
      </c>
      <c r="CH16" s="1775"/>
      <c r="CI16" s="572">
        <v>0</v>
      </c>
      <c r="CJ16" s="572">
        <v>0</v>
      </c>
      <c r="CK16" s="572">
        <v>0</v>
      </c>
      <c r="CL16" s="572">
        <v>0</v>
      </c>
      <c r="CM16" s="570">
        <f t="shared" si="12"/>
        <v>0</v>
      </c>
      <c r="CN16" s="97"/>
      <c r="CO16" s="97"/>
      <c r="CP16"/>
      <c r="CQ16"/>
      <c r="CR16"/>
      <c r="CS16"/>
      <c r="CT16"/>
      <c r="CU16"/>
    </row>
    <row r="17" spans="1:105" s="24" customFormat="1">
      <c r="A17" s="44" t="s">
        <v>406</v>
      </c>
      <c r="B17" s="44"/>
      <c r="C17" s="44"/>
      <c r="D17" s="44"/>
      <c r="E17" s="44"/>
      <c r="F17" s="44"/>
      <c r="G17" s="576">
        <f>SUM(G18:G24)</f>
        <v>6.9109999999999996</v>
      </c>
      <c r="H17" s="577"/>
      <c r="I17" s="577">
        <f>SUM(I18:I24)</f>
        <v>5.3</v>
      </c>
      <c r="J17" s="577">
        <f t="shared" ref="J17:X17" si="15">SUM(J18:J24)</f>
        <v>-0.91399999999999881</v>
      </c>
      <c r="K17" s="577">
        <f t="shared" si="15"/>
        <v>6.7569999999999961</v>
      </c>
      <c r="L17" s="577">
        <f t="shared" si="15"/>
        <v>-6.3569999999999958</v>
      </c>
      <c r="M17" s="576">
        <f t="shared" si="15"/>
        <v>4.7860000000000049</v>
      </c>
      <c r="N17" s="577"/>
      <c r="O17" s="577">
        <f t="shared" si="15"/>
        <v>-14.593</v>
      </c>
      <c r="P17" s="577">
        <f t="shared" si="15"/>
        <v>-7.5940000000000003</v>
      </c>
      <c r="Q17" s="577">
        <f t="shared" si="15"/>
        <v>28.954999999999998</v>
      </c>
      <c r="R17" s="577">
        <f t="shared" si="15"/>
        <v>-46.697000000000003</v>
      </c>
      <c r="S17" s="576">
        <f t="shared" si="15"/>
        <v>-39.929000000000002</v>
      </c>
      <c r="T17" s="577"/>
      <c r="U17" s="577">
        <f t="shared" si="15"/>
        <v>5.0189999999999975</v>
      </c>
      <c r="V17" s="577">
        <f t="shared" si="15"/>
        <v>4.5550000000000015</v>
      </c>
      <c r="W17" s="577">
        <f t="shared" si="15"/>
        <v>-9.0939999999999994</v>
      </c>
      <c r="X17" s="577">
        <f t="shared" si="15"/>
        <v>-10.582999999999993</v>
      </c>
      <c r="Y17" s="576">
        <f>SUM(Y18:Y24)</f>
        <v>-10.103000000000005</v>
      </c>
      <c r="Z17" s="577"/>
      <c r="AA17" s="577">
        <f>SUM(AA18:AA24)</f>
        <v>2.3300000000000018</v>
      </c>
      <c r="AB17" s="577">
        <f>SUM(AB18:AB24)</f>
        <v>-26.998999999999999</v>
      </c>
      <c r="AC17" s="577">
        <f>SUM(AC18:AC24)</f>
        <v>2.7980000000000045</v>
      </c>
      <c r="AD17" s="577">
        <f>SUM(AD18:AD24)</f>
        <v>-15.261000000000001</v>
      </c>
      <c r="AE17" s="576">
        <f>SUM(AE18:AE24)</f>
        <v>-37.132000000000005</v>
      </c>
      <c r="AF17" s="577"/>
      <c r="AG17" s="577">
        <f>SUM(AG18:AG24)</f>
        <v>1.5410000000000024</v>
      </c>
      <c r="AH17" s="577">
        <f>SUM(AH18:AH24)</f>
        <v>-16.356000000000002</v>
      </c>
      <c r="AI17" s="577">
        <f>SUM(AI18:AI24)</f>
        <v>-26.759</v>
      </c>
      <c r="AJ17" s="577">
        <f>SUM(AJ18:AJ24)</f>
        <v>-29.364999999999998</v>
      </c>
      <c r="AK17" s="576">
        <f>SUM(AK18:AK24)</f>
        <v>-70.938999999999993</v>
      </c>
      <c r="AL17" s="577"/>
      <c r="AM17" s="577">
        <f>SUM(AM18:AM24)</f>
        <v>-19.766000000000002</v>
      </c>
      <c r="AN17" s="577">
        <f>SUM(AN18:AN24)</f>
        <v>-5.9929999999999897</v>
      </c>
      <c r="AO17" s="577">
        <f>SUM(AO18:AO24)</f>
        <v>-17.128000000000004</v>
      </c>
      <c r="AP17" s="577">
        <f>SUM(AP18:AP24)</f>
        <v>-37.468000000000004</v>
      </c>
      <c r="AQ17" s="576">
        <f>SUM(AQ18:AQ24)</f>
        <v>-80.35499999999999</v>
      </c>
      <c r="AR17" s="577"/>
      <c r="AS17" s="577">
        <f>SUM(AS18:AS24)</f>
        <v>17.002000000000002</v>
      </c>
      <c r="AT17" s="577">
        <f>SUM(AT18:AT24)</f>
        <v>-19.714999999999996</v>
      </c>
      <c r="AU17" s="577">
        <f>SUM(AU18:AU24)</f>
        <v>-23.295000000000002</v>
      </c>
      <c r="AV17" s="577">
        <f>SUM(AV18:AV24)</f>
        <v>-46.012</v>
      </c>
      <c r="AW17" s="576">
        <f>SUM(AW18:AW24)</f>
        <v>-72.019999999999982</v>
      </c>
      <c r="AX17" s="577"/>
      <c r="AY17" s="577">
        <f>SUM(AY18:AY24)</f>
        <v>23.169999999999998</v>
      </c>
      <c r="AZ17" s="577">
        <f>SUM(AZ18:AZ24)</f>
        <v>-24.170000000000005</v>
      </c>
      <c r="BA17" s="577">
        <f>SUM(BA18:BA24)</f>
        <v>-7.1019999999999932</v>
      </c>
      <c r="BB17" s="577">
        <f>SUM(BB18:BB24)</f>
        <v>-35.145999999999994</v>
      </c>
      <c r="BC17" s="576">
        <f>SUM(BC18:BC24)</f>
        <v>-43.247999999999998</v>
      </c>
      <c r="BD17" s="577"/>
      <c r="BE17" s="577">
        <f>SUM(BE18:BE24)</f>
        <v>22.821999999999999</v>
      </c>
      <c r="BF17" s="577">
        <f>SUM(BF18:BF24)</f>
        <v>-1.1369999999999996</v>
      </c>
      <c r="BG17" s="577">
        <f>SUM(BG18:BG24)</f>
        <v>-21.098999999999997</v>
      </c>
      <c r="BH17" s="577">
        <f>SUM(BH18:BH24)</f>
        <v>-32.533999999999992</v>
      </c>
      <c r="BI17" s="576">
        <f>SUM(BI18:BI24)</f>
        <v>-31.947999999999983</v>
      </c>
      <c r="BJ17" s="577"/>
      <c r="BK17" s="577">
        <f>SUM(BK18:BK24)</f>
        <v>25.878999999999998</v>
      </c>
      <c r="BL17" s="577">
        <f>SUM(BL18:BL24)</f>
        <v>7.5950000000000033</v>
      </c>
      <c r="BM17" s="577">
        <f>SUM(BM18:BM24)</f>
        <v>-17.863999999999997</v>
      </c>
      <c r="BN17" s="577">
        <f>SUM(BN18:BN24)</f>
        <v>-64.611999999999981</v>
      </c>
      <c r="BO17" s="576">
        <f>SUM(BO18:BO24)</f>
        <v>-49.001999999999995</v>
      </c>
      <c r="BP17" s="577"/>
      <c r="BQ17" s="577">
        <f>SUM(BQ18:BQ24)</f>
        <v>-77.598443677932636</v>
      </c>
      <c r="BR17" s="577">
        <f>SUM(BR18:BR24)</f>
        <v>7.615915220720396</v>
      </c>
      <c r="BS17" s="577">
        <f>SUM(BS18:BS24)</f>
        <v>19.218642490205013</v>
      </c>
      <c r="BT17" s="577">
        <f>SUM(BT18:BT24)</f>
        <v>12.043290434070357</v>
      </c>
      <c r="BU17" s="576">
        <f>SUM(BU18:BU24)</f>
        <v>-38.720595532936869</v>
      </c>
      <c r="BV17" s="1776"/>
      <c r="BW17" s="577">
        <f>SUM(BW18:BW24)</f>
        <v>-96.216685295709354</v>
      </c>
      <c r="BX17" s="577">
        <f>SUM(BX18:BX24)</f>
        <v>10.162815520153259</v>
      </c>
      <c r="BY17" s="577">
        <f>SUM(BY18:BY24)</f>
        <v>20.468728962683038</v>
      </c>
      <c r="BZ17" s="577">
        <f>SUM(BZ18:BZ24)</f>
        <v>11.583502061306987</v>
      </c>
      <c r="CA17" s="576">
        <f>SUM(CA18:CA24)</f>
        <v>-54.001638751566077</v>
      </c>
      <c r="CB17" s="1776"/>
      <c r="CC17" s="577">
        <f>SUM(CC18:CC24)</f>
        <v>-86.563723197670214</v>
      </c>
      <c r="CD17" s="577">
        <f>SUM(CD18:CD24)</f>
        <v>14.501250299570756</v>
      </c>
      <c r="CE17" s="577">
        <f>SUM(CE18:CE24)</f>
        <v>20.605809093787002</v>
      </c>
      <c r="CF17" s="577">
        <f>SUM(CF18:CF24)</f>
        <v>13.604541543165482</v>
      </c>
      <c r="CG17" s="576">
        <f>SUM(CG18:CG24)</f>
        <v>-37.852122261146981</v>
      </c>
      <c r="CH17" s="1776"/>
      <c r="CI17" s="577">
        <f>SUM(CI18:CI24)</f>
        <v>-96.407407128945351</v>
      </c>
      <c r="CJ17" s="577">
        <f>SUM(CJ18:CJ24)</f>
        <v>19.435323107526358</v>
      </c>
      <c r="CK17" s="577">
        <f>SUM(CK18:CK24)</f>
        <v>20.781743357938389</v>
      </c>
      <c r="CL17" s="577">
        <f>SUM(CL18:CL24)</f>
        <v>15.885171745756566</v>
      </c>
      <c r="CM17" s="576">
        <f>SUM(CM18:CM24)</f>
        <v>-40.305168917724032</v>
      </c>
      <c r="CN17" s="97"/>
      <c r="CO17" s="97"/>
      <c r="CP17"/>
      <c r="CQ17"/>
      <c r="CR17"/>
      <c r="CS17"/>
      <c r="CT17"/>
      <c r="CU17"/>
      <c r="CV17" s="443"/>
    </row>
    <row r="18" spans="1:105" s="24" customFormat="1" hidden="1" outlineLevel="1">
      <c r="A18" s="43" t="s">
        <v>407</v>
      </c>
      <c r="B18" s="43"/>
      <c r="C18" s="43"/>
      <c r="D18" s="43"/>
      <c r="E18" s="43"/>
      <c r="F18" s="43"/>
      <c r="G18" s="567">
        <v>-26.265999999999998</v>
      </c>
      <c r="H18" s="568"/>
      <c r="I18" s="569">
        <v>18.225000000000001</v>
      </c>
      <c r="J18" s="569">
        <f>22.164-I18</f>
        <v>3.9390000000000001</v>
      </c>
      <c r="K18" s="569">
        <f>28.255-I18-J18</f>
        <v>6.0909999999999975</v>
      </c>
      <c r="L18" s="569">
        <f>21.739-SUM(I18:K18)</f>
        <v>-6.5159999999999982</v>
      </c>
      <c r="M18" s="570">
        <f t="shared" ref="M18:M24" si="16">SUM(I18:L18)</f>
        <v>21.739000000000001</v>
      </c>
      <c r="N18" s="568"/>
      <c r="O18" s="569">
        <v>5.5419999999999998</v>
      </c>
      <c r="P18" s="569">
        <f>-1.845-O18</f>
        <v>-7.3869999999999996</v>
      </c>
      <c r="Q18" s="569">
        <f>12.07-O18-P18</f>
        <v>13.914999999999999</v>
      </c>
      <c r="R18" s="569">
        <f>-16.905-SUM(O18:Q18)</f>
        <v>-28.975000000000001</v>
      </c>
      <c r="S18" s="570">
        <f t="shared" ref="S18:S24" si="17">SUM(O18:R18)</f>
        <v>-16.905000000000001</v>
      </c>
      <c r="T18" s="568"/>
      <c r="U18" s="569">
        <v>-6.23</v>
      </c>
      <c r="V18" s="569">
        <f>-12.852-U18</f>
        <v>-6.6219999999999999</v>
      </c>
      <c r="W18" s="569">
        <f>-20.713-U18-V18</f>
        <v>-7.8610000000000007</v>
      </c>
      <c r="X18" s="569">
        <f>-43.286-U18-V18-W18</f>
        <v>-22.572999999999997</v>
      </c>
      <c r="Y18" s="570">
        <f t="shared" ref="Y18:Y24" si="18">SUM(U18:X18)</f>
        <v>-43.286000000000001</v>
      </c>
      <c r="Z18" s="568"/>
      <c r="AA18" s="569">
        <v>17.73</v>
      </c>
      <c r="AB18" s="569">
        <f>7.191-AA18</f>
        <v>-10.539000000000001</v>
      </c>
      <c r="AC18" s="569">
        <f>10.04-SUM(AA18:AB18)</f>
        <v>2.8490000000000002</v>
      </c>
      <c r="AD18" s="569">
        <f>-12.528-SUM(AA18:AC18)</f>
        <v>-22.567999999999998</v>
      </c>
      <c r="AE18" s="570">
        <f t="shared" si="13"/>
        <v>-12.527999999999999</v>
      </c>
      <c r="AF18" s="568"/>
      <c r="AG18" s="569">
        <v>16.012</v>
      </c>
      <c r="AH18" s="569">
        <f>5.929-AG18</f>
        <v>-10.083</v>
      </c>
      <c r="AI18" s="569">
        <f>5.506-SUM(AG18:AH18)</f>
        <v>-0.42300000000000004</v>
      </c>
      <c r="AJ18" s="569">
        <f>-39.836-SUM(AG18:AI18)</f>
        <v>-45.341999999999999</v>
      </c>
      <c r="AK18" s="570">
        <f t="shared" ref="AK18:AK24" si="19">SUM(AG18:AJ18)</f>
        <v>-39.835999999999999</v>
      </c>
      <c r="AL18" s="568"/>
      <c r="AM18" s="569">
        <v>16.498999999999999</v>
      </c>
      <c r="AN18" s="569">
        <f>25.966-AM18</f>
        <v>9.4670000000000023</v>
      </c>
      <c r="AO18" s="569">
        <f>22.585-AN18-AM18</f>
        <v>-3.3810000000000002</v>
      </c>
      <c r="AP18" s="569">
        <f>-35.233-SUM(AM18:AO18)</f>
        <v>-57.817999999999998</v>
      </c>
      <c r="AQ18" s="570">
        <f t="shared" ref="AQ18:AQ24" si="20">SUM(AM18:AP18)</f>
        <v>-35.232999999999997</v>
      </c>
      <c r="AR18" s="568"/>
      <c r="AS18" s="569">
        <v>30.146999999999998</v>
      </c>
      <c r="AT18" s="569">
        <f>28.87-AS18</f>
        <v>-1.2769999999999975</v>
      </c>
      <c r="AU18" s="569">
        <f>23.588-SUM(AS18:AT18)</f>
        <v>-5.282</v>
      </c>
      <c r="AV18" s="569">
        <f>-29.435-SUM(AS18:AU18)</f>
        <v>-53.022999999999996</v>
      </c>
      <c r="AW18" s="570">
        <f t="shared" ref="AW18:AW24" si="21">SUM(AS18:AV18)</f>
        <v>-29.434999999999995</v>
      </c>
      <c r="AX18" s="568"/>
      <c r="AY18" s="569">
        <v>24.802</v>
      </c>
      <c r="AZ18" s="569">
        <f>13.501-AY18</f>
        <v>-11.301</v>
      </c>
      <c r="BA18" s="569">
        <f>6.121-SUM(AY18:AZ18)</f>
        <v>-7.379999999999999</v>
      </c>
      <c r="BB18" s="569">
        <f>-49.888-SUM(AY18:BA18)</f>
        <v>-56.009</v>
      </c>
      <c r="BC18" s="570">
        <f t="shared" ref="BC18:BC24" si="22">SUM(AY18:BB18)</f>
        <v>-49.887999999999998</v>
      </c>
      <c r="BD18" s="568"/>
      <c r="BE18" s="569">
        <v>38.253999999999998</v>
      </c>
      <c r="BF18" s="569">
        <f>32.318-BE18</f>
        <v>-5.9359999999999999</v>
      </c>
      <c r="BG18" s="1840">
        <f>39.471-SUM(BE18:BF18)</f>
        <v>7.1529999999999987</v>
      </c>
      <c r="BH18" s="569">
        <f>-31.721-SUM(BE18:BG18)</f>
        <v>-71.191999999999993</v>
      </c>
      <c r="BI18" s="570">
        <f t="shared" ref="BI18:BI24" si="23">SUM(BE18:BH18)</f>
        <v>-31.720999999999997</v>
      </c>
      <c r="BJ18" s="568"/>
      <c r="BK18" s="569">
        <v>35.11</v>
      </c>
      <c r="BL18" s="569">
        <f>41.945-BK18</f>
        <v>6.8350000000000009</v>
      </c>
      <c r="BM18" s="569">
        <f>53.358-SUM(BK18:BL18)</f>
        <v>11.412999999999997</v>
      </c>
      <c r="BN18" s="569">
        <f>-24.013-SUM(BK18:BM18)</f>
        <v>-77.370999999999995</v>
      </c>
      <c r="BO18" s="570">
        <f t="shared" ref="BO18:BO24" si="24">SUM(BK18:BN18)</f>
        <v>-24.012999999999998</v>
      </c>
      <c r="BP18" s="568"/>
      <c r="BQ18" s="568">
        <f>BS!BN13-BS!BQ13</f>
        <v>32.066679535572462</v>
      </c>
      <c r="BR18" s="568">
        <f>BS!BQ13-BS!BR13</f>
        <v>-1.774578841945015</v>
      </c>
      <c r="BS18" s="568">
        <f>BS!BR13-BS!BS13</f>
        <v>18.170427240396577</v>
      </c>
      <c r="BT18" s="568">
        <f>BS!BS13-BS!BT13</f>
        <v>-83.244726535570635</v>
      </c>
      <c r="BU18" s="570">
        <f t="shared" ref="BU18:BU24" si="25">SUM(BQ18:BT18)</f>
        <v>-34.782198601546611</v>
      </c>
      <c r="BV18" s="1775"/>
      <c r="BW18" s="568">
        <f>BS!BT13-BS!BW13</f>
        <v>21.340172064866692</v>
      </c>
      <c r="BX18" s="568">
        <f>BS!BW13-BS!BX13</f>
        <v>0.15043797247437851</v>
      </c>
      <c r="BY18" s="568">
        <f>BS!BX13-BS!BY13</f>
        <v>20.710379976381319</v>
      </c>
      <c r="BZ18" s="568">
        <f>BS!BY13-BS!BZ13</f>
        <v>-87.008025872562939</v>
      </c>
      <c r="CA18" s="570">
        <f t="shared" ref="CA18:CA24" si="26">SUM(BW18:BZ18)</f>
        <v>-44.80703585884055</v>
      </c>
      <c r="CB18" s="1775"/>
      <c r="CC18" s="568">
        <f>BS!BZ13-BS!CC13</f>
        <v>27.9450619475125</v>
      </c>
      <c r="CD18" s="568">
        <f>BS!CC13-BS!CD13</f>
        <v>3.2657352263966004</v>
      </c>
      <c r="CE18" s="568">
        <f>BS!CD13-BS!CE13</f>
        <v>22.594493882386928</v>
      </c>
      <c r="CF18" s="568">
        <f>BS!CE13-BS!CF13</f>
        <v>-88.595872480042772</v>
      </c>
      <c r="CG18" s="570">
        <f t="shared" ref="CG18:CG24" si="27">SUM(CC18:CF18)</f>
        <v>-34.790581423746744</v>
      </c>
      <c r="CH18" s="1775"/>
      <c r="CI18" s="568">
        <f>BS!CF13-BS!CI13</f>
        <v>21.932825440011584</v>
      </c>
      <c r="CJ18" s="568">
        <f>BS!CI13-BS!CJ13</f>
        <v>6.7819550610544184</v>
      </c>
      <c r="CK18" s="568">
        <f>BS!CJ13-BS!CK13</f>
        <v>24.65610560377911</v>
      </c>
      <c r="CL18" s="568">
        <f>BS!CK13-BS!CL13</f>
        <v>-90.167889120210475</v>
      </c>
      <c r="CM18" s="570">
        <f t="shared" ref="CM18:CM24" si="28">SUM(CI18:CL18)</f>
        <v>-36.797003015365362</v>
      </c>
      <c r="CN18" s="97"/>
      <c r="CO18" s="97"/>
      <c r="CP18"/>
      <c r="CQ18"/>
      <c r="CR18"/>
      <c r="CS18"/>
      <c r="CT18"/>
      <c r="CU18"/>
    </row>
    <row r="19" spans="1:105" s="24" customFormat="1" hidden="1" outlineLevel="1">
      <c r="A19" s="43" t="s">
        <v>408</v>
      </c>
      <c r="B19" s="43"/>
      <c r="C19" s="43"/>
      <c r="D19" s="43"/>
      <c r="E19" s="43"/>
      <c r="F19" s="43"/>
      <c r="G19" s="567">
        <v>-6.3680000000000003</v>
      </c>
      <c r="H19" s="568"/>
      <c r="I19" s="569">
        <v>-18.585000000000001</v>
      </c>
      <c r="J19" s="569">
        <f>-33.684-I19</f>
        <v>-15.098999999999997</v>
      </c>
      <c r="K19" s="569">
        <f>-42.506-I19-J19</f>
        <v>-8.8220000000000027</v>
      </c>
      <c r="L19" s="569">
        <f>-20.618-SUM(I19:K19)</f>
        <v>21.888000000000002</v>
      </c>
      <c r="M19" s="570">
        <f t="shared" si="16"/>
        <v>-20.617999999999999</v>
      </c>
      <c r="N19" s="568"/>
      <c r="O19" s="569">
        <v>-17.792000000000002</v>
      </c>
      <c r="P19" s="569">
        <f>-18.584-O19</f>
        <v>-0.79199999999999804</v>
      </c>
      <c r="Q19" s="569">
        <f>-18.619-O19-P19</f>
        <v>-3.5000000000000142E-2</v>
      </c>
      <c r="R19" s="569">
        <f>-6.823-SUM(O19:Q19)</f>
        <v>11.795999999999999</v>
      </c>
      <c r="S19" s="570">
        <f t="shared" si="17"/>
        <v>-6.8230000000000004</v>
      </c>
      <c r="T19" s="568"/>
      <c r="U19" s="569">
        <v>-16.134</v>
      </c>
      <c r="V19" s="569">
        <f>-25.169-U19</f>
        <v>-9.0350000000000001</v>
      </c>
      <c r="W19" s="569">
        <f>-35.771-U19-V19</f>
        <v>-10.602</v>
      </c>
      <c r="X19" s="569">
        <f>-37.036-U19-V19-W19</f>
        <v>-1.2650000000000006</v>
      </c>
      <c r="Y19" s="570">
        <f t="shared" si="18"/>
        <v>-37.036000000000001</v>
      </c>
      <c r="Z19" s="568"/>
      <c r="AA19" s="569">
        <v>-17.353000000000002</v>
      </c>
      <c r="AB19" s="569">
        <f>-36.051-AA19</f>
        <v>-18.698</v>
      </c>
      <c r="AC19" s="569">
        <f>-46.235-SUM(AA19:AB19)</f>
        <v>-10.183999999999997</v>
      </c>
      <c r="AD19" s="569">
        <f>-18.838-SUM(AA19:AC19)</f>
        <v>27.396999999999998</v>
      </c>
      <c r="AE19" s="570">
        <f t="shared" si="13"/>
        <v>-18.838000000000001</v>
      </c>
      <c r="AF19" s="568"/>
      <c r="AG19" s="569">
        <v>-18.056999999999999</v>
      </c>
      <c r="AH19" s="569">
        <f>-29.327-AG19</f>
        <v>-11.270000000000003</v>
      </c>
      <c r="AI19" s="569">
        <f>-36.558-SUM(AG19:AH19)</f>
        <v>-7.2309999999999981</v>
      </c>
      <c r="AJ19" s="569">
        <f>-21.655-SUM(AG19:AI19)</f>
        <v>14.902999999999999</v>
      </c>
      <c r="AK19" s="570">
        <f t="shared" si="19"/>
        <v>-21.655000000000001</v>
      </c>
      <c r="AL19" s="568"/>
      <c r="AM19" s="569">
        <v>-12.84</v>
      </c>
      <c r="AN19" s="569">
        <f>-20.822-AM19</f>
        <v>-7.9819999999999993</v>
      </c>
      <c r="AO19" s="569">
        <f>-30.782-AN19-AM19</f>
        <v>-9.9600000000000009</v>
      </c>
      <c r="AP19" s="569">
        <f>-11.389-SUM(AM19:AO19)</f>
        <v>19.393000000000001</v>
      </c>
      <c r="AQ19" s="570">
        <f t="shared" si="20"/>
        <v>-11.388999999999999</v>
      </c>
      <c r="AR19" s="568"/>
      <c r="AS19" s="569">
        <v>-24.163</v>
      </c>
      <c r="AT19" s="569">
        <f>-31.558-AS19</f>
        <v>-7.3949999999999996</v>
      </c>
      <c r="AU19" s="569">
        <f>-36.812-SUM(AS19:AT19)</f>
        <v>-5.2539999999999978</v>
      </c>
      <c r="AV19" s="569">
        <f>-15.984-SUM(AS19:AU19)</f>
        <v>20.827999999999996</v>
      </c>
      <c r="AW19" s="570">
        <f t="shared" si="21"/>
        <v>-15.984000000000002</v>
      </c>
      <c r="AX19" s="568"/>
      <c r="AY19" s="569">
        <v>-21.369</v>
      </c>
      <c r="AZ19" s="569">
        <f>-29.878-AY19</f>
        <v>-8.5090000000000003</v>
      </c>
      <c r="BA19" s="569">
        <f>-39.171-SUM(AY19:AZ19)</f>
        <v>-9.2929999999999993</v>
      </c>
      <c r="BB19" s="569">
        <f>-19.967-SUM(AY19:BA19)</f>
        <v>19.204000000000001</v>
      </c>
      <c r="BC19" s="570">
        <f t="shared" si="22"/>
        <v>-19.966999999999999</v>
      </c>
      <c r="BD19" s="568"/>
      <c r="BE19" s="569">
        <v>-20.488</v>
      </c>
      <c r="BF19" s="569">
        <f>-25.003-BE19</f>
        <v>-4.5150000000000006</v>
      </c>
      <c r="BG19" s="1840">
        <f>-39.988-SUM(BE19:BF19)</f>
        <v>-14.984999999999999</v>
      </c>
      <c r="BH19" s="569">
        <f>-20.147-SUM(BE19:BG19)</f>
        <v>19.841000000000001</v>
      </c>
      <c r="BI19" s="570">
        <f t="shared" si="23"/>
        <v>-20.146999999999998</v>
      </c>
      <c r="BJ19" s="568"/>
      <c r="BK19" s="569">
        <v>-10.473000000000001</v>
      </c>
      <c r="BL19" s="569">
        <f>-19.169-BK19</f>
        <v>-8.6959999999999997</v>
      </c>
      <c r="BM19" s="569">
        <f>-26.217-SUM(BK19:BL19)</f>
        <v>-7.0479999999999983</v>
      </c>
      <c r="BN19" s="569">
        <f>0.731-SUM(BK19:BM19)</f>
        <v>26.948</v>
      </c>
      <c r="BO19" s="570">
        <f t="shared" si="24"/>
        <v>0.73100000000000165</v>
      </c>
      <c r="BP19" s="568"/>
      <c r="BQ19" s="568">
        <f>BS!BN14-BS!BQ14</f>
        <v>-34.07339129306348</v>
      </c>
      <c r="BR19" s="568">
        <f>BS!BQ14-BS!BR14</f>
        <v>-7.9969147096688857</v>
      </c>
      <c r="BS19" s="568">
        <f>BS!BR14-BS!BS14</f>
        <v>-4.4588035122571341</v>
      </c>
      <c r="BT19" s="568">
        <f>BS!BS14-BS!BT14</f>
        <v>28.910860104019662</v>
      </c>
      <c r="BU19" s="570">
        <f t="shared" si="25"/>
        <v>-17.618249410969838</v>
      </c>
      <c r="BV19" s="1775"/>
      <c r="BW19" s="568">
        <f>BS!BT14-BS!BW14</f>
        <v>-39.90565120104111</v>
      </c>
      <c r="BX19" s="568">
        <f>BS!BW14-BS!BX14</f>
        <v>-6.7299215552075111</v>
      </c>
      <c r="BY19" s="568">
        <f>BS!BX14-BS!BY14</f>
        <v>-3.8770600803289881</v>
      </c>
      <c r="BZ19" s="568">
        <f>BS!BY14-BS!BZ14</f>
        <v>31.599253064665902</v>
      </c>
      <c r="CA19" s="570">
        <f t="shared" si="26"/>
        <v>-18.913379771911707</v>
      </c>
      <c r="CB19" s="1775"/>
      <c r="CC19" s="568">
        <f>BS!BZ14-BS!CC14</f>
        <v>-40.804613281102093</v>
      </c>
      <c r="CD19" s="568">
        <f>BS!CC14-BS!CD14</f>
        <v>-4.9552334171711436</v>
      </c>
      <c r="CE19" s="568">
        <f>BS!CD14-BS!CE14</f>
        <v>-3.5148650372905195</v>
      </c>
      <c r="CF19" s="568">
        <f>BS!CE14-BS!CF14</f>
        <v>34.771694878466917</v>
      </c>
      <c r="CG19" s="570">
        <f t="shared" si="27"/>
        <v>-14.503016857096839</v>
      </c>
      <c r="CH19" s="1775"/>
      <c r="CI19" s="568">
        <f>BS!CF14-BS!CI14</f>
        <v>-47.287196321961005</v>
      </c>
      <c r="CJ19" s="568">
        <f>BS!CI14-BS!CJ14</f>
        <v>-2.9812224310982174</v>
      </c>
      <c r="CK19" s="568">
        <f>BS!CJ14-BS!CK14</f>
        <v>-3.0824260729938828</v>
      </c>
      <c r="CL19" s="568">
        <f>BS!CK14-BS!CL14</f>
        <v>38.127915472116513</v>
      </c>
      <c r="CM19" s="570">
        <f t="shared" si="28"/>
        <v>-15.222929353936593</v>
      </c>
      <c r="CN19" s="97"/>
      <c r="CO19" s="97"/>
      <c r="CP19"/>
      <c r="CQ19"/>
      <c r="CR19"/>
      <c r="CS19"/>
      <c r="CT19"/>
      <c r="CU19"/>
    </row>
    <row r="20" spans="1:105" s="24" customFormat="1" hidden="1" outlineLevel="1">
      <c r="A20" s="43" t="s">
        <v>409</v>
      </c>
      <c r="B20" s="43"/>
      <c r="C20" s="43"/>
      <c r="D20" s="43"/>
      <c r="E20" s="43"/>
      <c r="F20" s="43"/>
      <c r="G20" s="567">
        <v>-3.032</v>
      </c>
      <c r="H20" s="568"/>
      <c r="I20" s="569">
        <v>2.0590000000000002</v>
      </c>
      <c r="J20" s="569">
        <f>2.909-I20</f>
        <v>0.84999999999999964</v>
      </c>
      <c r="K20" s="569">
        <f>3.973-I20-J20</f>
        <v>1.0640000000000001</v>
      </c>
      <c r="L20" s="569">
        <f>-4.633-SUM(I20:K20)</f>
        <v>-8.6059999999999999</v>
      </c>
      <c r="M20" s="570">
        <f t="shared" si="16"/>
        <v>-4.633</v>
      </c>
      <c r="N20" s="568"/>
      <c r="O20" s="569">
        <v>1.4490000000000001</v>
      </c>
      <c r="P20" s="569">
        <f>2.383-O20</f>
        <v>0.93399999999999994</v>
      </c>
      <c r="Q20" s="569">
        <f>3.652-O20-P20</f>
        <v>1.2690000000000003</v>
      </c>
      <c r="R20" s="569">
        <f>5.925-SUM(O20:Q20)</f>
        <v>2.2729999999999997</v>
      </c>
      <c r="S20" s="570">
        <f t="shared" si="17"/>
        <v>5.9249999999999998</v>
      </c>
      <c r="T20" s="568"/>
      <c r="U20" s="569">
        <v>-4.6790000000000003</v>
      </c>
      <c r="V20" s="569">
        <f>-3.188-U20</f>
        <v>1.4910000000000001</v>
      </c>
      <c r="W20" s="569">
        <f>-1.325-U20-V20</f>
        <v>1.863</v>
      </c>
      <c r="X20" s="569">
        <f>2.402-U20-V20-W20</f>
        <v>3.7269999999999999</v>
      </c>
      <c r="Y20" s="570">
        <f t="shared" si="18"/>
        <v>2.4019999999999997</v>
      </c>
      <c r="Z20" s="568"/>
      <c r="AA20" s="569">
        <v>2.278</v>
      </c>
      <c r="AB20" s="569">
        <f>4.063-AA20</f>
        <v>1.7849999999999997</v>
      </c>
      <c r="AC20" s="569">
        <f>4.532-SUM(AA20:AB20)</f>
        <v>0.46900000000000031</v>
      </c>
      <c r="AD20" s="569">
        <f>4.309-SUM(AA20:AC20)</f>
        <v>-0.22299999999999986</v>
      </c>
      <c r="AE20" s="570">
        <f t="shared" si="13"/>
        <v>4.3090000000000002</v>
      </c>
      <c r="AF20" s="568"/>
      <c r="AG20" s="569">
        <v>-1.333</v>
      </c>
      <c r="AH20" s="569">
        <f>-0.499-AG20</f>
        <v>0.83399999999999996</v>
      </c>
      <c r="AI20" s="569">
        <f>-2.959-SUM(AG20:AH20)</f>
        <v>-2.46</v>
      </c>
      <c r="AJ20" s="569">
        <f>-7.136-SUM(AG20:AI20)</f>
        <v>-4.1769999999999996</v>
      </c>
      <c r="AK20" s="570">
        <f t="shared" si="19"/>
        <v>-7.1359999999999992</v>
      </c>
      <c r="AL20" s="568"/>
      <c r="AM20" s="569">
        <v>-0.50600000000000001</v>
      </c>
      <c r="AN20" s="569">
        <f>-2.729-AM20</f>
        <v>-2.2229999999999999</v>
      </c>
      <c r="AO20" s="569">
        <f>-6.171-AN20-AM20</f>
        <v>-3.4420000000000002</v>
      </c>
      <c r="AP20" s="569">
        <f>5.033-SUM(AM20:AO20)</f>
        <v>11.204000000000001</v>
      </c>
      <c r="AQ20" s="570">
        <f t="shared" si="20"/>
        <v>5.0330000000000004</v>
      </c>
      <c r="AR20" s="568"/>
      <c r="AS20" s="569">
        <v>-8.0079999999999991</v>
      </c>
      <c r="AT20" s="569">
        <f>-6.838-AS20</f>
        <v>1.169999999999999</v>
      </c>
      <c r="AU20" s="569">
        <f>-9.348-SUM(AS20:AT20)</f>
        <v>-2.5100000000000007</v>
      </c>
      <c r="AV20" s="569">
        <f>-5.784-SUM(AS20:AU20)</f>
        <v>3.5640000000000009</v>
      </c>
      <c r="AW20" s="570">
        <f t="shared" si="21"/>
        <v>-5.7839999999999998</v>
      </c>
      <c r="AX20" s="568"/>
      <c r="AY20" s="569">
        <v>-1.776</v>
      </c>
      <c r="AZ20" s="569">
        <f>-9.596-AY20</f>
        <v>-7.82</v>
      </c>
      <c r="BA20" s="569">
        <f>2.183-SUM(AY20:AZ20)</f>
        <v>11.779</v>
      </c>
      <c r="BB20" s="569">
        <f>-18.497-SUM(AY20:BA20)</f>
        <v>-20.68</v>
      </c>
      <c r="BC20" s="570">
        <f t="shared" si="22"/>
        <v>-18.497</v>
      </c>
      <c r="BD20" s="568"/>
      <c r="BE20" s="569">
        <v>1.0369999999999999</v>
      </c>
      <c r="BF20" s="569">
        <f>2.812-BE20</f>
        <v>1.7749999999999999</v>
      </c>
      <c r="BG20" s="1840">
        <f>-2.906-SUM(BE20:BF20)</f>
        <v>-5.718</v>
      </c>
      <c r="BH20" s="569">
        <f>-4.806-SUM(BE20:BG20)</f>
        <v>-1.9</v>
      </c>
      <c r="BI20" s="570">
        <f t="shared" si="23"/>
        <v>-4.806</v>
      </c>
      <c r="BJ20" s="568"/>
      <c r="BK20" s="569">
        <v>-4.0570000000000004</v>
      </c>
      <c r="BL20" s="569">
        <f>-9.253-BK20</f>
        <v>-5.1959999999999997</v>
      </c>
      <c r="BM20" s="569">
        <f>-12.944-SUM(BK20:BL20)</f>
        <v>-3.6910000000000007</v>
      </c>
      <c r="BN20" s="569">
        <f>-16.323-SUM(BK20:BM20)</f>
        <v>-3.3789999999999996</v>
      </c>
      <c r="BO20" s="570">
        <f t="shared" si="24"/>
        <v>-16.323</v>
      </c>
      <c r="BP20" s="568"/>
      <c r="BQ20" s="568">
        <f>BS!BN15-BS!BQ15</f>
        <v>-6.1646893537702141</v>
      </c>
      <c r="BR20" s="568">
        <f>BS!BQ15-BS!BR15</f>
        <v>-1.5667773005842633</v>
      </c>
      <c r="BS20" s="568">
        <f>BS!BR15-BS!BS15</f>
        <v>3.8457942531280338</v>
      </c>
      <c r="BT20" s="568">
        <f>BS!BS15-BS!BT15</f>
        <v>-3.754280690793891</v>
      </c>
      <c r="BU20" s="570">
        <f t="shared" si="25"/>
        <v>-7.6399530920203347</v>
      </c>
      <c r="BV20" s="1775"/>
      <c r="BW20" s="568">
        <f>BS!BT15-BS!BW15</f>
        <v>-5.9723631172135612</v>
      </c>
      <c r="BX20" s="568">
        <f>BS!BW15-BS!BX15</f>
        <v>-1.3791640551254858</v>
      </c>
      <c r="BY20" s="568">
        <f>BS!BX15-BS!BY15</f>
        <v>4.3070629055798264</v>
      </c>
      <c r="BZ20" s="568">
        <f>BS!BY15-BS!BZ15</f>
        <v>-3.9611486262198383</v>
      </c>
      <c r="CA20" s="570">
        <f t="shared" si="26"/>
        <v>-7.0056128929790589</v>
      </c>
      <c r="CB20" s="1775"/>
      <c r="CC20" s="568">
        <f>BS!BZ15-BS!CC15</f>
        <v>-6.3547308977040871</v>
      </c>
      <c r="CD20" s="568">
        <f>BS!CC15-BS!CD15</f>
        <v>-1.1107884117871265</v>
      </c>
      <c r="CE20" s="568">
        <f>BS!CD15-BS!CE15</f>
        <v>4.6773968362747809</v>
      </c>
      <c r="CF20" s="568">
        <f>BS!CE15-BS!CF15</f>
        <v>-4.1026233446825842</v>
      </c>
      <c r="CG20" s="570">
        <f t="shared" si="27"/>
        <v>-6.8907458178990169</v>
      </c>
      <c r="CH20" s="1775"/>
      <c r="CI20" s="568">
        <f>BS!CF15-BS!CI15</f>
        <v>-7.4204683544926553</v>
      </c>
      <c r="CJ20" s="568">
        <f>BS!CI15-BS!CJ15</f>
        <v>-0.77908186336465235</v>
      </c>
      <c r="CK20" s="568">
        <f>BS!CJ15-BS!CK15</f>
        <v>5.0848990630908872</v>
      </c>
      <c r="CL20" s="568">
        <f>BS!CK15-BS!CL15</f>
        <v>-4.2276262297947085</v>
      </c>
      <c r="CM20" s="570">
        <f t="shared" si="28"/>
        <v>-7.3422773845611289</v>
      </c>
      <c r="CN20" s="97"/>
      <c r="CO20" s="97"/>
      <c r="CP20"/>
      <c r="CQ20"/>
      <c r="CR20"/>
      <c r="CS20"/>
      <c r="CT20"/>
      <c r="CU20"/>
    </row>
    <row r="21" spans="1:105" s="24" customFormat="1" hidden="1" outlineLevel="1">
      <c r="A21" s="43" t="s">
        <v>410</v>
      </c>
      <c r="B21" s="43"/>
      <c r="C21" s="43"/>
      <c r="D21" s="43"/>
      <c r="E21" s="43"/>
      <c r="F21" s="43"/>
      <c r="G21" s="567">
        <v>-6.6</v>
      </c>
      <c r="H21" s="568"/>
      <c r="I21" s="569">
        <v>-0.70799999999999996</v>
      </c>
      <c r="J21" s="569">
        <f>-3.085-I21</f>
        <v>-2.3769999999999998</v>
      </c>
      <c r="K21" s="569">
        <f>-2.275-I21-J21</f>
        <v>0.80999999999999983</v>
      </c>
      <c r="L21" s="569">
        <f>5.18-SUM(I21:K21)</f>
        <v>7.4550000000000001</v>
      </c>
      <c r="M21" s="570">
        <f t="shared" si="16"/>
        <v>5.18</v>
      </c>
      <c r="N21" s="568"/>
      <c r="O21" s="569">
        <v>0.21</v>
      </c>
      <c r="P21" s="569">
        <f>0.178-O21</f>
        <v>-3.2000000000000001E-2</v>
      </c>
      <c r="Q21" s="569">
        <f>-1.584-O21-P21</f>
        <v>-1.762</v>
      </c>
      <c r="R21" s="569">
        <f>-0.689-SUM(O21:Q21)</f>
        <v>0.89500000000000013</v>
      </c>
      <c r="S21" s="570">
        <f t="shared" si="17"/>
        <v>-0.68899999999999995</v>
      </c>
      <c r="T21" s="568"/>
      <c r="U21" s="569">
        <v>-4.2220000000000004</v>
      </c>
      <c r="V21" s="569">
        <f>-7.8-U21</f>
        <v>-3.5779999999999994</v>
      </c>
      <c r="W21" s="569">
        <f>-1.256-U21-V21</f>
        <v>6.5439999999999996</v>
      </c>
      <c r="X21" s="569">
        <f>2.472-U21-V21-W21</f>
        <v>3.7280000000000006</v>
      </c>
      <c r="Y21" s="570">
        <f t="shared" si="18"/>
        <v>2.4720000000000004</v>
      </c>
      <c r="Z21" s="568"/>
      <c r="AA21" s="569">
        <v>-1.7549999999999999</v>
      </c>
      <c r="AB21" s="569">
        <f>-1.597-AA21</f>
        <v>0.15799999999999992</v>
      </c>
      <c r="AC21" s="569">
        <f>-4.023-SUM(AA21:AB21)</f>
        <v>-2.4259999999999997</v>
      </c>
      <c r="AD21" s="569">
        <f>-12.071-SUM(AA21:AC21)</f>
        <v>-8.048</v>
      </c>
      <c r="AE21" s="570">
        <f t="shared" si="13"/>
        <v>-12.071</v>
      </c>
      <c r="AF21" s="568"/>
      <c r="AG21" s="569">
        <v>1.7729999999999999</v>
      </c>
      <c r="AH21" s="569">
        <f>0.862-AG21</f>
        <v>-0.91099999999999992</v>
      </c>
      <c r="AI21" s="569">
        <f>-0.811-SUM(AG21:AH21)</f>
        <v>-1.673</v>
      </c>
      <c r="AJ21" s="569">
        <f>1.473-SUM(AG21:AI21)</f>
        <v>2.2840000000000003</v>
      </c>
      <c r="AK21" s="570">
        <f t="shared" si="19"/>
        <v>1.4730000000000003</v>
      </c>
      <c r="AL21" s="568"/>
      <c r="AM21" s="569">
        <v>-6.181</v>
      </c>
      <c r="AN21" s="569">
        <f>-8.453-AM21</f>
        <v>-2.2719999999999994</v>
      </c>
      <c r="AO21" s="569">
        <f>-9.638-AN21-AM21</f>
        <v>-1.1850000000000005</v>
      </c>
      <c r="AP21" s="569">
        <f>-11.467-SUM(AM21:AO21)</f>
        <v>-1.8290000000000006</v>
      </c>
      <c r="AQ21" s="570">
        <f t="shared" si="20"/>
        <v>-11.467000000000001</v>
      </c>
      <c r="AR21" s="568"/>
      <c r="AS21" s="569">
        <v>-7.1689999999999996</v>
      </c>
      <c r="AT21" s="569">
        <f>-10.545-AS21</f>
        <v>-3.3760000000000003</v>
      </c>
      <c r="AU21" s="569">
        <f>-10.949-SUM(AS21:AT21)</f>
        <v>-0.40399999999999991</v>
      </c>
      <c r="AV21" s="569">
        <f>-14.409-SUM(AS21:AU21)</f>
        <v>-3.4600000000000009</v>
      </c>
      <c r="AW21" s="570">
        <f t="shared" si="21"/>
        <v>-14.409000000000001</v>
      </c>
      <c r="AX21" s="568"/>
      <c r="AY21" s="569">
        <v>-4.891</v>
      </c>
      <c r="AZ21" s="569">
        <f>-9.397-AY21</f>
        <v>-4.5060000000000002</v>
      </c>
      <c r="BA21" s="569">
        <f>-11.614-SUM(AY21:AZ21)</f>
        <v>-2.2170000000000005</v>
      </c>
      <c r="BB21" s="569">
        <f>-9.634-SUM(AY21:BA21)</f>
        <v>1.9800000000000004</v>
      </c>
      <c r="BC21" s="570">
        <f t="shared" si="22"/>
        <v>-9.6340000000000003</v>
      </c>
      <c r="BD21" s="568"/>
      <c r="BE21" s="569">
        <v>-3.4209999999999998</v>
      </c>
      <c r="BF21" s="569">
        <f>-3.517-BE21</f>
        <v>-9.6000000000000085E-2</v>
      </c>
      <c r="BG21" s="1840">
        <f>-4.667-SUM(BE21:BF21)</f>
        <v>-1.1499999999999999</v>
      </c>
      <c r="BH21" s="569">
        <f>-1.076-SUM(BE21:BG21)</f>
        <v>3.5909999999999997</v>
      </c>
      <c r="BI21" s="570">
        <f t="shared" si="23"/>
        <v>-1.0760000000000001</v>
      </c>
      <c r="BJ21" s="568"/>
      <c r="BK21" s="569">
        <v>-1.04</v>
      </c>
      <c r="BL21" s="569">
        <f>-1.154-BK21</f>
        <v>-0.11399999999999988</v>
      </c>
      <c r="BM21" s="569">
        <f>-2.37-SUM(BK21:BL21)</f>
        <v>-1.2160000000000002</v>
      </c>
      <c r="BN21" s="569">
        <f>-24.098-SUM(BK21:BM21)</f>
        <v>-21.727999999999998</v>
      </c>
      <c r="BO21" s="570">
        <f t="shared" si="24"/>
        <v>-24.097999999999999</v>
      </c>
      <c r="BP21" s="568"/>
      <c r="BQ21" s="569">
        <v>0</v>
      </c>
      <c r="BR21" s="569">
        <v>0</v>
      </c>
      <c r="BS21" s="569">
        <v>0</v>
      </c>
      <c r="BT21" s="569">
        <v>0</v>
      </c>
      <c r="BU21" s="570">
        <f t="shared" si="25"/>
        <v>0</v>
      </c>
      <c r="BV21" s="1775"/>
      <c r="BW21" s="569">
        <v>0</v>
      </c>
      <c r="BX21" s="569">
        <v>0</v>
      </c>
      <c r="BY21" s="569">
        <v>0</v>
      </c>
      <c r="BZ21" s="569">
        <v>0</v>
      </c>
      <c r="CA21" s="570">
        <f t="shared" si="26"/>
        <v>0</v>
      </c>
      <c r="CB21" s="1775"/>
      <c r="CC21" s="569">
        <v>0</v>
      </c>
      <c r="CD21" s="569">
        <v>0</v>
      </c>
      <c r="CE21" s="569">
        <v>0</v>
      </c>
      <c r="CF21" s="569">
        <v>0</v>
      </c>
      <c r="CG21" s="570">
        <f t="shared" si="27"/>
        <v>0</v>
      </c>
      <c r="CH21" s="1775"/>
      <c r="CI21" s="569">
        <v>0</v>
      </c>
      <c r="CJ21" s="569">
        <v>0</v>
      </c>
      <c r="CK21" s="569">
        <v>0</v>
      </c>
      <c r="CL21" s="569">
        <v>0</v>
      </c>
      <c r="CM21" s="570">
        <f t="shared" si="28"/>
        <v>0</v>
      </c>
      <c r="CN21" s="97"/>
      <c r="CO21" s="97"/>
      <c r="CP21"/>
      <c r="CQ21"/>
      <c r="CR21"/>
      <c r="CS21"/>
      <c r="CT21"/>
      <c r="CU21"/>
    </row>
    <row r="22" spans="1:105" s="24" customFormat="1" hidden="1" outlineLevel="1">
      <c r="A22" s="43" t="s">
        <v>411</v>
      </c>
      <c r="B22" s="43"/>
      <c r="C22" s="43"/>
      <c r="D22" s="43"/>
      <c r="E22" s="43"/>
      <c r="F22" s="43"/>
      <c r="G22" s="567">
        <v>32.308999999999997</v>
      </c>
      <c r="H22" s="568"/>
      <c r="I22" s="569">
        <v>-17.059999999999999</v>
      </c>
      <c r="J22" s="569">
        <f>-10.275-I22</f>
        <v>6.7849999999999984</v>
      </c>
      <c r="K22" s="569">
        <f>0.459-I22-J22</f>
        <v>10.734</v>
      </c>
      <c r="L22" s="569">
        <f>-19.97-SUM(I22:K22)</f>
        <v>-20.428999999999998</v>
      </c>
      <c r="M22" s="570">
        <f t="shared" si="16"/>
        <v>-19.97</v>
      </c>
      <c r="N22" s="568"/>
      <c r="O22" s="569">
        <v>-24.378</v>
      </c>
      <c r="P22" s="569">
        <f>-24.829-O22</f>
        <v>-0.45100000000000051</v>
      </c>
      <c r="Q22" s="569">
        <f>0.906-O22-P22</f>
        <v>25.734999999999999</v>
      </c>
      <c r="R22" s="569">
        <f>-10.83-SUM(O22:Q22)</f>
        <v>-11.735999999999999</v>
      </c>
      <c r="S22" s="570">
        <f t="shared" si="17"/>
        <v>-10.83</v>
      </c>
      <c r="T22" s="568"/>
      <c r="U22" s="569">
        <v>13.72</v>
      </c>
      <c r="V22" s="569">
        <f>32.357-U22</f>
        <v>18.637</v>
      </c>
      <c r="W22" s="569">
        <f>36.311-U22-V22</f>
        <v>3.9540000000000006</v>
      </c>
      <c r="X22" s="569">
        <f>52.017-U22-V22-W22</f>
        <v>15.706000000000003</v>
      </c>
      <c r="Y22" s="570">
        <f t="shared" si="18"/>
        <v>52.017000000000003</v>
      </c>
      <c r="Z22" s="568"/>
      <c r="AA22" s="569">
        <v>-26.835999999999999</v>
      </c>
      <c r="AB22" s="569">
        <f>-32.652-AA22</f>
        <v>-5.8160000000000025</v>
      </c>
      <c r="AC22" s="569">
        <f>-11.937-SUM(AA22:AB22)</f>
        <v>20.715000000000003</v>
      </c>
      <c r="AD22" s="569">
        <f>-11.845-SUM(AA22:AC22)</f>
        <v>9.1999999999996973E-2</v>
      </c>
      <c r="AE22" s="570">
        <f t="shared" si="13"/>
        <v>-11.845000000000001</v>
      </c>
      <c r="AF22" s="568"/>
      <c r="AG22" s="569">
        <v>-21.306000000000001</v>
      </c>
      <c r="AH22" s="569">
        <f>-18.736-AG22</f>
        <v>2.5700000000000003</v>
      </c>
      <c r="AI22" s="569">
        <f>-18.971-SUM(AG22:AH22)</f>
        <v>-0.23499999999999943</v>
      </c>
      <c r="AJ22" s="569">
        <f>0.563-SUM(AG22:AI22)</f>
        <v>19.533999999999999</v>
      </c>
      <c r="AK22" s="570">
        <f t="shared" si="19"/>
        <v>0.56299999999999883</v>
      </c>
      <c r="AL22" s="568"/>
      <c r="AM22" s="569">
        <v>-45.34</v>
      </c>
      <c r="AN22" s="569">
        <f>-44.107-AM22</f>
        <v>1.2330000000000041</v>
      </c>
      <c r="AO22" s="569">
        <f>-24.686-AN22-AM22</f>
        <v>19.420999999999999</v>
      </c>
      <c r="AP22" s="569">
        <f>-28.127-SUM(AM22:AO22)</f>
        <v>-3.4409999999999989</v>
      </c>
      <c r="AQ22" s="570">
        <f t="shared" si="20"/>
        <v>-28.126999999999999</v>
      </c>
      <c r="AR22" s="568"/>
      <c r="AS22" s="569">
        <v>-11.491</v>
      </c>
      <c r="AT22" s="569">
        <f>-5.727-AS22</f>
        <v>5.7639999999999993</v>
      </c>
      <c r="AU22" s="569">
        <f>3.887-SUM(AS22:AT22)</f>
        <v>9.6140000000000008</v>
      </c>
      <c r="AV22" s="569">
        <f>-13.687-SUM(AS22:AU22)</f>
        <v>-17.573999999999998</v>
      </c>
      <c r="AW22" s="570">
        <f t="shared" si="21"/>
        <v>-13.686999999999998</v>
      </c>
      <c r="AX22" s="568"/>
      <c r="AY22" s="569">
        <v>-25.518000000000001</v>
      </c>
      <c r="AZ22" s="569">
        <f>-22.287-AY22</f>
        <v>3.2310000000000016</v>
      </c>
      <c r="BA22" s="569">
        <f>4.234-SUM(AY22:AZ22)</f>
        <v>26.521000000000001</v>
      </c>
      <c r="BB22" s="569">
        <f>27.451-SUM(AY22:BA22)</f>
        <v>23.216999999999999</v>
      </c>
      <c r="BC22" s="570">
        <f t="shared" si="22"/>
        <v>27.451000000000001</v>
      </c>
      <c r="BD22" s="568"/>
      <c r="BE22" s="569">
        <v>-43.631999999999998</v>
      </c>
      <c r="BF22" s="569">
        <f>-41.1-BE22</f>
        <v>2.5319999999999965</v>
      </c>
      <c r="BG22" s="1840">
        <f>-29.179-SUM(BE22:BF22)</f>
        <v>11.921000000000003</v>
      </c>
      <c r="BH22" s="569">
        <f>6.842-SUM(BE22:BG22)</f>
        <v>36.021000000000001</v>
      </c>
      <c r="BI22" s="570">
        <f t="shared" si="23"/>
        <v>6.8420000000000023</v>
      </c>
      <c r="BJ22" s="568"/>
      <c r="BK22" s="569">
        <v>-50.072000000000003</v>
      </c>
      <c r="BL22" s="569">
        <f>-34.802-BK22</f>
        <v>15.270000000000003</v>
      </c>
      <c r="BM22" s="569">
        <f>-23.066-SUM(BK22:BL22)</f>
        <v>11.736000000000001</v>
      </c>
      <c r="BN22" s="569">
        <f>3.175-SUM(BK22:BM22)</f>
        <v>26.241</v>
      </c>
      <c r="BO22" s="570">
        <f t="shared" si="24"/>
        <v>3.1750000000000007</v>
      </c>
      <c r="BP22" s="568"/>
      <c r="BQ22" s="568">
        <f>BS!BQ24-BS!BN24</f>
        <v>3.1930069693491561</v>
      </c>
      <c r="BR22" s="568">
        <f>BS!BR24-BS!BQ24</f>
        <v>4.0921454686629204</v>
      </c>
      <c r="BS22" s="568">
        <f>BS!BS24-BS!BR24</f>
        <v>-6.3163686391090579</v>
      </c>
      <c r="BT22" s="568">
        <f>BS!BT24-BS!BS24</f>
        <v>-3.0762635335877349</v>
      </c>
      <c r="BU22" s="570">
        <f t="shared" si="25"/>
        <v>-2.1074797346847163</v>
      </c>
      <c r="BV22" s="1775"/>
      <c r="BW22" s="568">
        <f>BS!BW24-BS!BT24</f>
        <v>4.0036703671191276</v>
      </c>
      <c r="BX22" s="568">
        <f>BS!BX24-BS!BW24</f>
        <v>3.4016868907532825</v>
      </c>
      <c r="BY22" s="568">
        <f>BS!BY24-BS!BX24</f>
        <v>-6.830867987962769</v>
      </c>
      <c r="BZ22" s="568">
        <f>BS!BZ24-BS!BY24</f>
        <v>-4.4856519793453344</v>
      </c>
      <c r="CA22" s="570">
        <f t="shared" si="26"/>
        <v>-3.9111627094356933</v>
      </c>
      <c r="CB22" s="1775"/>
      <c r="CC22" s="568">
        <f>BS!CC24-BS!BZ24</f>
        <v>8.5589421241430657</v>
      </c>
      <c r="CD22" s="568">
        <f>BS!CD24-BS!CC24</f>
        <v>2.8834643482712181</v>
      </c>
      <c r="CE22" s="568">
        <f>BS!CE24-BS!CD24</f>
        <v>-7.2391382705615257</v>
      </c>
      <c r="CF22" s="568">
        <f>BS!CF24-BS!CE24</f>
        <v>-5.4990925532595867</v>
      </c>
      <c r="CG22" s="570">
        <f t="shared" si="27"/>
        <v>-1.2958243514068286</v>
      </c>
      <c r="CH22" s="1775"/>
      <c r="CI22" s="568">
        <f>BS!CI24-BS!CF24</f>
        <v>10.386830356915752</v>
      </c>
      <c r="CJ22" s="568">
        <f>BS!CJ24-BS!CI24</f>
        <v>2.3530699351154709</v>
      </c>
      <c r="CK22" s="568">
        <f>BS!CK24-BS!CJ24</f>
        <v>-7.6647196173677727</v>
      </c>
      <c r="CL22" s="568">
        <f>BS!CL24-BS!CK24</f>
        <v>-6.5291840432681383</v>
      </c>
      <c r="CM22" s="570">
        <f t="shared" si="28"/>
        <v>-1.4540033686046883</v>
      </c>
      <c r="CN22" s="97"/>
      <c r="CO22" s="97"/>
      <c r="CP22"/>
      <c r="CQ22"/>
      <c r="CR22"/>
      <c r="CS22"/>
      <c r="CT22"/>
      <c r="CU22"/>
    </row>
    <row r="23" spans="1:105" s="24" customFormat="1" hidden="1" outlineLevel="1">
      <c r="A23" s="43" t="s">
        <v>412</v>
      </c>
      <c r="B23" s="43"/>
      <c r="C23" s="43"/>
      <c r="D23" s="43"/>
      <c r="E23" s="43"/>
      <c r="F23" s="43"/>
      <c r="G23" s="567">
        <v>6.2439999999999998</v>
      </c>
      <c r="H23" s="568"/>
      <c r="I23" s="569">
        <v>15.401999999999999</v>
      </c>
      <c r="J23" s="569">
        <f>19.761-I23</f>
        <v>4.359</v>
      </c>
      <c r="K23" s="569">
        <f>14.135-I23-J23</f>
        <v>-5.6259999999999994</v>
      </c>
      <c r="L23" s="569">
        <f>1.976-SUM(I23:K23)</f>
        <v>-12.158999999999999</v>
      </c>
      <c r="M23" s="570">
        <f t="shared" si="16"/>
        <v>1.9760000000000009</v>
      </c>
      <c r="N23" s="568"/>
      <c r="O23" s="569">
        <v>26.059000000000001</v>
      </c>
      <c r="P23" s="569">
        <f>22.22-O23</f>
        <v>-3.8390000000000022</v>
      </c>
      <c r="Q23" s="569">
        <f>14.245-O23-P23</f>
        <v>-7.9749999999999996</v>
      </c>
      <c r="R23" s="569">
        <f>2.613-SUM(O23:Q23)</f>
        <v>-11.632</v>
      </c>
      <c r="S23" s="570">
        <f t="shared" si="17"/>
        <v>2.6129999999999995</v>
      </c>
      <c r="T23" s="568"/>
      <c r="U23" s="569">
        <v>23.731999999999999</v>
      </c>
      <c r="V23" s="569">
        <f>27.041-U23</f>
        <v>3.3090000000000011</v>
      </c>
      <c r="W23" s="569">
        <f>23.335-U23-V23</f>
        <v>-3.7059999999999995</v>
      </c>
      <c r="X23" s="569">
        <f>9.433-U23-V23-W23</f>
        <v>-13.902000000000001</v>
      </c>
      <c r="Y23" s="570">
        <f t="shared" si="18"/>
        <v>9.4329999999999998</v>
      </c>
      <c r="Z23" s="568"/>
      <c r="AA23" s="569">
        <v>23.856000000000002</v>
      </c>
      <c r="AB23" s="569">
        <f>31.35-AA23</f>
        <v>7.4939999999999998</v>
      </c>
      <c r="AC23" s="569">
        <f>20.97-SUM(AA23:AB23)</f>
        <v>-10.380000000000003</v>
      </c>
      <c r="AD23" s="569">
        <f>2.63-SUM(AA23:AC23)</f>
        <v>-18.34</v>
      </c>
      <c r="AE23" s="570">
        <f t="shared" si="13"/>
        <v>2.629999999999999</v>
      </c>
      <c r="AF23" s="568"/>
      <c r="AG23" s="569">
        <v>24.756</v>
      </c>
      <c r="AH23" s="569">
        <f>25.067-AG23</f>
        <v>0.31099999999999994</v>
      </c>
      <c r="AI23" s="569">
        <f>16.217-SUM(AG23:AH23)</f>
        <v>-8.8500000000000014</v>
      </c>
      <c r="AJ23" s="569">
        <f>11.005-SUM(AG23:AI23)</f>
        <v>-5.211999999999998</v>
      </c>
      <c r="AK23" s="570">
        <f t="shared" si="19"/>
        <v>11.005000000000001</v>
      </c>
      <c r="AL23" s="568"/>
      <c r="AM23" s="569">
        <v>26.824999999999999</v>
      </c>
      <c r="AN23" s="569">
        <f>24.914-AM23</f>
        <v>-1.9109999999999978</v>
      </c>
      <c r="AO23" s="569">
        <f>14.266-AN23-AM23</f>
        <v>-10.648</v>
      </c>
      <c r="AP23" s="569">
        <f>8.512-SUM(AM23:AO23)</f>
        <v>-5.7540000000000013</v>
      </c>
      <c r="AQ23" s="570">
        <f t="shared" si="20"/>
        <v>8.5120000000000005</v>
      </c>
      <c r="AR23" s="568"/>
      <c r="AS23" s="569">
        <v>34.356000000000002</v>
      </c>
      <c r="AT23" s="569">
        <f>36.835-AS23</f>
        <v>2.4789999999999992</v>
      </c>
      <c r="AU23" s="569">
        <f>23.737-SUM(AS23:AT23)</f>
        <v>-13.098000000000003</v>
      </c>
      <c r="AV23" s="569">
        <f>9.566-SUM(AS23:AU23)</f>
        <v>-14.170999999999998</v>
      </c>
      <c r="AW23" s="570">
        <f t="shared" si="21"/>
        <v>9.5660000000000007</v>
      </c>
      <c r="AX23" s="568"/>
      <c r="AY23" s="569">
        <v>42.555</v>
      </c>
      <c r="AZ23" s="569">
        <f>43.352-AY23</f>
        <v>0.79699999999999704</v>
      </c>
      <c r="BA23" s="569">
        <f>31.099-SUM(AY23:AZ23)</f>
        <v>-12.252999999999997</v>
      </c>
      <c r="BB23" s="569">
        <f>16.172-SUM(AY23:BA23)</f>
        <v>-14.927</v>
      </c>
      <c r="BC23" s="570">
        <f t="shared" si="22"/>
        <v>16.172000000000001</v>
      </c>
      <c r="BD23" s="568"/>
      <c r="BE23" s="569">
        <v>45.585999999999999</v>
      </c>
      <c r="BF23" s="569">
        <f>46.801-BE23</f>
        <v>1.2150000000000034</v>
      </c>
      <c r="BG23" s="1840">
        <f>29.244-SUM(BE23:BF23)</f>
        <v>-17.557000000000002</v>
      </c>
      <c r="BH23" s="569">
        <f>9.974-SUM(BE23:BG23)</f>
        <v>-19.27</v>
      </c>
      <c r="BI23" s="570">
        <f t="shared" si="23"/>
        <v>9.9740000000000002</v>
      </c>
      <c r="BJ23" s="568"/>
      <c r="BK23" s="569">
        <v>50.616</v>
      </c>
      <c r="BL23" s="569">
        <f>53.601-BK23</f>
        <v>2.9849999999999994</v>
      </c>
      <c r="BM23" s="569">
        <f>29.332-SUM(BK23:BL23)</f>
        <v>-24.268999999999998</v>
      </c>
      <c r="BN23" s="569">
        <f>10.386-SUM(BK23:BM23)</f>
        <v>-18.946000000000002</v>
      </c>
      <c r="BO23" s="570">
        <f t="shared" si="24"/>
        <v>10.385999999999999</v>
      </c>
      <c r="BP23" s="568"/>
      <c r="BQ23" s="568">
        <f>BS!BQ26-BS!BN26</f>
        <v>54.999753412610772</v>
      </c>
      <c r="BR23" s="568">
        <f>BS!BR26-BS!BQ26</f>
        <v>3.491962786659343</v>
      </c>
      <c r="BS23" s="568">
        <f>BS!BS26-BS!BR26</f>
        <v>-26.710442773057878</v>
      </c>
      <c r="BT23" s="568">
        <f>BS!BT26-BS!BS26</f>
        <v>-21.457257311401776</v>
      </c>
      <c r="BU23" s="570">
        <f t="shared" si="25"/>
        <v>10.324016114810462</v>
      </c>
      <c r="BV23" s="1775"/>
      <c r="BW23" s="568">
        <f>BS!BW26-BS!BT26</f>
        <v>56.967588868425253</v>
      </c>
      <c r="BX23" s="568">
        <f>BS!BX26-BS!BW26</f>
        <v>3.6526347680049867</v>
      </c>
      <c r="BY23" s="568">
        <f>BS!BY26-BS!BX26</f>
        <v>-30.089906680479032</v>
      </c>
      <c r="BZ23" s="568">
        <f>BS!BZ26-BS!BY26</f>
        <v>-22.602666715006478</v>
      </c>
      <c r="CA23" s="570">
        <f t="shared" si="26"/>
        <v>7.9276502409447289</v>
      </c>
      <c r="CB23" s="1775"/>
      <c r="CC23" s="568">
        <f>BS!CC26-BS!BZ26</f>
        <v>62.011771235807203</v>
      </c>
      <c r="CD23" s="568">
        <f>BS!CD26-BS!CC26</f>
        <v>3.8202117479538344</v>
      </c>
      <c r="CE23" s="568">
        <f>BS!CE26-BS!CD26</f>
        <v>-33.745503843315731</v>
      </c>
      <c r="CF23" s="568">
        <f>BS!CF26-BS!CE26</f>
        <v>-23.808973915693144</v>
      </c>
      <c r="CG23" s="570">
        <f t="shared" si="27"/>
        <v>8.2775052247521614</v>
      </c>
      <c r="CH23" s="1775"/>
      <c r="CI23" s="568">
        <f>BS!CI26-BS!CF26</f>
        <v>67.423598288088414</v>
      </c>
      <c r="CJ23" s="568">
        <f>BS!CJ26-BS!CI26</f>
        <v>3.9949531146031063</v>
      </c>
      <c r="CK23" s="568">
        <f>BS!CK26-BS!CJ26</f>
        <v>-37.6966196516926</v>
      </c>
      <c r="CL23" s="568">
        <f>BS!CL26-BS!CK26</f>
        <v>-25.07940516966093</v>
      </c>
      <c r="CM23" s="570">
        <f t="shared" si="28"/>
        <v>8.6425265813379895</v>
      </c>
      <c r="CN23" s="97"/>
      <c r="CO23" s="97"/>
      <c r="CP23"/>
      <c r="CQ23"/>
      <c r="CR23"/>
      <c r="CS23"/>
      <c r="CT23"/>
      <c r="CU23"/>
    </row>
    <row r="24" spans="1:105" s="24" customFormat="1" hidden="1" outlineLevel="1">
      <c r="A24" s="43" t="s">
        <v>413</v>
      </c>
      <c r="B24" s="43"/>
      <c r="C24" s="43"/>
      <c r="D24" s="43"/>
      <c r="E24" s="43"/>
      <c r="F24" s="43"/>
      <c r="G24" s="567">
        <v>10.624000000000001</v>
      </c>
      <c r="H24" s="568"/>
      <c r="I24" s="569">
        <v>5.9669999999999996</v>
      </c>
      <c r="J24" s="569">
        <f>6.596-I24</f>
        <v>0.62900000000000045</v>
      </c>
      <c r="K24" s="569">
        <f>9.102-I24-J24</f>
        <v>2.5060000000000002</v>
      </c>
      <c r="L24" s="569">
        <f>21.112-SUM(I24:K24)</f>
        <v>12.009999999999998</v>
      </c>
      <c r="M24" s="570">
        <f t="shared" si="16"/>
        <v>21.111999999999998</v>
      </c>
      <c r="N24" s="568"/>
      <c r="O24" s="569">
        <v>-5.6829999999999998</v>
      </c>
      <c r="P24" s="569">
        <f>-1.71-O24</f>
        <v>3.9729999999999999</v>
      </c>
      <c r="Q24" s="569">
        <f>-3.902-O24-P24</f>
        <v>-2.1920000000000002</v>
      </c>
      <c r="R24" s="569">
        <f>-13.22-SUM(O24:Q24)</f>
        <v>-9.3180000000000014</v>
      </c>
      <c r="S24" s="570">
        <f t="shared" si="17"/>
        <v>-13.220000000000002</v>
      </c>
      <c r="T24" s="568"/>
      <c r="U24" s="569">
        <v>-1.1679999999999999</v>
      </c>
      <c r="V24" s="569">
        <f>-0.815-U24</f>
        <v>0.35299999999999998</v>
      </c>
      <c r="W24" s="569">
        <f>-0.101-U24-V24</f>
        <v>0.71399999999999997</v>
      </c>
      <c r="X24" s="569">
        <f>3.895-U24-V24-W24</f>
        <v>3.996</v>
      </c>
      <c r="Y24" s="570">
        <f t="shared" si="18"/>
        <v>3.895</v>
      </c>
      <c r="Z24" s="568"/>
      <c r="AA24" s="569">
        <v>4.41</v>
      </c>
      <c r="AB24" s="569">
        <f>3.027-AA24</f>
        <v>-1.383</v>
      </c>
      <c r="AC24" s="569">
        <f>4.782-SUM(AA24:AB24)</f>
        <v>1.7549999999999999</v>
      </c>
      <c r="AD24" s="569">
        <f>11.211-SUM(AA24:AC24)</f>
        <v>6.4290000000000003</v>
      </c>
      <c r="AE24" s="570">
        <f t="shared" si="13"/>
        <v>11.211</v>
      </c>
      <c r="AF24" s="568"/>
      <c r="AG24" s="569">
        <v>-0.30399999999999999</v>
      </c>
      <c r="AH24" s="569">
        <f>1.889-AG24</f>
        <v>2.1930000000000001</v>
      </c>
      <c r="AI24" s="569">
        <f>-3.998-SUM(AG24:AH24)</f>
        <v>-5.8870000000000005</v>
      </c>
      <c r="AJ24" s="569">
        <f>-15.353-SUM(AG24:AI24)</f>
        <v>-11.355</v>
      </c>
      <c r="AK24" s="570">
        <f t="shared" si="19"/>
        <v>-15.353000000000002</v>
      </c>
      <c r="AL24" s="568"/>
      <c r="AM24" s="569">
        <v>1.7769999999999999</v>
      </c>
      <c r="AN24" s="569">
        <f>-0.528-AM24</f>
        <v>-2.3049999999999997</v>
      </c>
      <c r="AO24" s="569">
        <f>-8.461-AN24-AM24</f>
        <v>-7.9330000000000007</v>
      </c>
      <c r="AP24" s="569">
        <f>-7.684-SUM(AM24:AO24)</f>
        <v>0.77700000000000014</v>
      </c>
      <c r="AQ24" s="570">
        <f t="shared" si="20"/>
        <v>-7.6840000000000002</v>
      </c>
      <c r="AR24" s="568"/>
      <c r="AS24" s="569">
        <v>3.33</v>
      </c>
      <c r="AT24" s="569">
        <f>-13.75-AS24</f>
        <v>-17.079999999999998</v>
      </c>
      <c r="AU24" s="569">
        <f>-20.111-SUM(AS24:AT24)</f>
        <v>-6.3610000000000024</v>
      </c>
      <c r="AV24" s="569">
        <f>-2.287-SUM(AS24:AU24)</f>
        <v>17.824000000000002</v>
      </c>
      <c r="AW24" s="570">
        <f t="shared" si="21"/>
        <v>-2.286999999999999</v>
      </c>
      <c r="AX24" s="568"/>
      <c r="AY24" s="569">
        <v>9.3670000000000009</v>
      </c>
      <c r="AZ24" s="569">
        <f>13.305-AY24</f>
        <v>3.9379999999999988</v>
      </c>
      <c r="BA24" s="569">
        <f>-0.954-SUM(AY24:AZ24)</f>
        <v>-14.259</v>
      </c>
      <c r="BB24" s="569">
        <f>11.115-SUM(AY24:BA24)</f>
        <v>12.069000000000001</v>
      </c>
      <c r="BC24" s="570">
        <f t="shared" si="22"/>
        <v>11.115</v>
      </c>
      <c r="BD24" s="568"/>
      <c r="BE24" s="569">
        <v>5.4859999999999998</v>
      </c>
      <c r="BF24" s="569">
        <f>9.374-BE24</f>
        <v>3.8880000000000008</v>
      </c>
      <c r="BG24" s="1840">
        <f>8.611-SUM(BE24:BF24)</f>
        <v>-0.7629999999999999</v>
      </c>
      <c r="BH24" s="569">
        <f>8.986-SUM(BE24:BG24)</f>
        <v>0.375</v>
      </c>
      <c r="BI24" s="570">
        <f t="shared" si="23"/>
        <v>8.9860000000000007</v>
      </c>
      <c r="BJ24" s="568"/>
      <c r="BK24" s="569">
        <v>5.7949999999999999</v>
      </c>
      <c r="BL24" s="569">
        <f>2.306-BK24</f>
        <v>-3.4889999999999999</v>
      </c>
      <c r="BM24" s="569">
        <f>0-2.483-SUM(BK24:BL24)</f>
        <v>-4.7889999999999997</v>
      </c>
      <c r="BN24" s="569">
        <f>1.14-SUM(BK24:BM24)</f>
        <v>3.6229999999999993</v>
      </c>
      <c r="BO24" s="570">
        <f t="shared" si="24"/>
        <v>1.1399999999999997</v>
      </c>
      <c r="BP24" s="568"/>
      <c r="BQ24" s="568">
        <f>BS!BQ25-BS!BN25+BS!BQ27-BS!BN27</f>
        <v>-127.61980294863133</v>
      </c>
      <c r="BR24" s="568">
        <f>BS!BR25-BS!BQ25+BS!BR27-BS!BQ27</f>
        <v>11.370077817596297</v>
      </c>
      <c r="BS24" s="568">
        <f>BS!BS25-BS!BR25+BS!BS27-BS!BR27</f>
        <v>34.688035921104472</v>
      </c>
      <c r="BT24" s="568">
        <f>BS!BT25-BS!BS25+BS!BT27-BS!BS27</f>
        <v>94.664958401404732</v>
      </c>
      <c r="BU24" s="570">
        <f t="shared" si="25"/>
        <v>13.103269191474169</v>
      </c>
      <c r="BV24" s="1775"/>
      <c r="BW24" s="568">
        <f>BS!BW25-BS!BT25+BS!BW27-BS!BT27</f>
        <v>-132.65010227786576</v>
      </c>
      <c r="BX24" s="568">
        <f>BS!BX25-BS!BW25+BS!BX27-BS!BW27</f>
        <v>11.067141499253609</v>
      </c>
      <c r="BY24" s="568">
        <f>BS!BY25-BS!BX25+BS!BY27-BS!BX27</f>
        <v>36.249120829492682</v>
      </c>
      <c r="BZ24" s="568">
        <f>BS!BZ25-BS!BY25+BS!BZ27-BS!BY27</f>
        <v>98.041742189775675</v>
      </c>
      <c r="CA24" s="570">
        <f t="shared" si="26"/>
        <v>12.70790224065621</v>
      </c>
      <c r="CB24" s="1775"/>
      <c r="CC24" s="568">
        <f>BS!CC25-BS!BZ25+BS!CC27-BS!BZ27</f>
        <v>-137.92015432632681</v>
      </c>
      <c r="CD24" s="568">
        <f>BS!CD25-BS!CC25+BS!CD27-BS!CC27</f>
        <v>10.597860805907374</v>
      </c>
      <c r="CE24" s="568">
        <f>BS!CE25-BS!CD25+BS!CE27-BS!CD27</f>
        <v>37.83342552629307</v>
      </c>
      <c r="CF24" s="568">
        <f>BS!CF25-BS!CE25+BS!CF27-BS!CE27</f>
        <v>100.83940895837665</v>
      </c>
      <c r="CG24" s="570">
        <f t="shared" si="27"/>
        <v>11.350540964250285</v>
      </c>
      <c r="CH24" s="1775"/>
      <c r="CI24" s="568">
        <f>BS!CI25-BS!CF25+BS!CI27-BS!CF27</f>
        <v>-141.44299653750744</v>
      </c>
      <c r="CJ24" s="568">
        <f>BS!CJ25-BS!CI25+BS!CJ27-BS!CI27</f>
        <v>10.065649291216232</v>
      </c>
      <c r="CK24" s="568">
        <f>BS!CK25-BS!CJ25+BS!CK27-BS!CJ27</f>
        <v>39.484504033122647</v>
      </c>
      <c r="CL24" s="568">
        <f>BS!CL25-BS!CK25+BS!CL27-BS!CK27</f>
        <v>103.76136083657431</v>
      </c>
      <c r="CM24" s="570">
        <f t="shared" si="28"/>
        <v>11.868517623405751</v>
      </c>
      <c r="CN24" s="97"/>
      <c r="CO24" s="97"/>
      <c r="CP24"/>
      <c r="CQ24"/>
      <c r="CR24"/>
      <c r="CS24"/>
      <c r="CT24"/>
      <c r="CU24"/>
    </row>
    <row r="25" spans="1:105" s="24" customFormat="1" collapsed="1">
      <c r="A25" s="45" t="s">
        <v>414</v>
      </c>
      <c r="B25" s="45"/>
      <c r="C25" s="45"/>
      <c r="D25" s="45"/>
      <c r="E25" s="45"/>
      <c r="F25" s="45"/>
      <c r="G25" s="578">
        <f>SUM(G10:G17)</f>
        <v>370.50700000000006</v>
      </c>
      <c r="H25" s="579"/>
      <c r="I25" s="579">
        <f>SUM(I10:I17)</f>
        <v>95.927999999999997</v>
      </c>
      <c r="J25" s="579">
        <f t="shared" ref="J25:X25" si="29">SUM(J10:J17)</f>
        <v>107.35999999999999</v>
      </c>
      <c r="K25" s="579">
        <f t="shared" si="29"/>
        <v>102.742</v>
      </c>
      <c r="L25" s="579">
        <f t="shared" si="29"/>
        <v>112.21799999999999</v>
      </c>
      <c r="M25" s="578">
        <f t="shared" si="29"/>
        <v>418.24799999999999</v>
      </c>
      <c r="N25" s="579"/>
      <c r="O25" s="579">
        <f t="shared" si="29"/>
        <v>80.687999999999988</v>
      </c>
      <c r="P25" s="579">
        <f t="shared" si="29"/>
        <v>93.146000000000001</v>
      </c>
      <c r="Q25" s="579">
        <f t="shared" si="29"/>
        <v>124.57000000000004</v>
      </c>
      <c r="R25" s="579">
        <f t="shared" si="29"/>
        <v>119.85899999999998</v>
      </c>
      <c r="S25" s="578">
        <f>SUM(S10:S17)</f>
        <v>418.26300000000003</v>
      </c>
      <c r="T25" s="579"/>
      <c r="U25" s="579">
        <f t="shared" si="29"/>
        <v>103.15499999999999</v>
      </c>
      <c r="V25" s="579">
        <f t="shared" si="29"/>
        <v>111.672</v>
      </c>
      <c r="W25" s="579">
        <f t="shared" si="29"/>
        <v>108.94200000000001</v>
      </c>
      <c r="X25" s="579">
        <f t="shared" si="29"/>
        <v>134.08700000000002</v>
      </c>
      <c r="Y25" s="578">
        <f>SUM(Y10:Y17)</f>
        <v>457.85599999999999</v>
      </c>
      <c r="Z25" s="579"/>
      <c r="AA25" s="579">
        <f>SUM(AA10:AA17)</f>
        <v>122.76100000000001</v>
      </c>
      <c r="AB25" s="579">
        <f>SUM(AB10:AB17)</f>
        <v>97.218000000000018</v>
      </c>
      <c r="AC25" s="579">
        <f>SUM(AC10:AC17)</f>
        <v>127.33300000000003</v>
      </c>
      <c r="AD25" s="579">
        <f>SUM(AD10:AD17)</f>
        <v>150.06199999999998</v>
      </c>
      <c r="AE25" s="578">
        <f>SUM(AE10:AE17)</f>
        <v>497.37400000000008</v>
      </c>
      <c r="AF25" s="579"/>
      <c r="AG25" s="579">
        <f>SUM(AG10:AG17)</f>
        <v>111.19799999999999</v>
      </c>
      <c r="AH25" s="579">
        <f>SUM(AH10:AH17)</f>
        <v>105.07600000000002</v>
      </c>
      <c r="AI25" s="579">
        <f>SUM(AI10:AI17)</f>
        <v>101.35300000000002</v>
      </c>
      <c r="AJ25" s="579">
        <f>SUM(AJ10:AJ17)</f>
        <v>131.65299999999996</v>
      </c>
      <c r="AK25" s="578">
        <f>SUM(AK10:AK17)</f>
        <v>449.28</v>
      </c>
      <c r="AL25" s="579"/>
      <c r="AM25" s="579">
        <f>SUM(AM10:AM17)</f>
        <v>127.79800000000002</v>
      </c>
      <c r="AN25" s="579">
        <f>SUM(AN10:AN17)</f>
        <v>109.02200000000002</v>
      </c>
      <c r="AO25" s="579">
        <f>SUM(AO10:AO17)</f>
        <v>104.76500000000004</v>
      </c>
      <c r="AP25" s="579">
        <f>SUM(AP10:AP17)</f>
        <v>143.29099999999994</v>
      </c>
      <c r="AQ25" s="578">
        <f>SUM(AQ10:AQ17)</f>
        <v>484.87599999999998</v>
      </c>
      <c r="AR25" s="579"/>
      <c r="AS25" s="579">
        <f>SUM(AS10:AS17)</f>
        <v>115.75499999999997</v>
      </c>
      <c r="AT25" s="579">
        <f>SUM(AT10:AT17)</f>
        <v>106.33199999999999</v>
      </c>
      <c r="AU25" s="579">
        <f>SUM(AU10:AU17)</f>
        <v>127.83900000000001</v>
      </c>
      <c r="AV25" s="579">
        <f>SUM(AV10:AV17)</f>
        <v>161.72199999999998</v>
      </c>
      <c r="AW25" s="578">
        <f>SUM(AW10:AW17)</f>
        <v>511.64800000000002</v>
      </c>
      <c r="AX25" s="579"/>
      <c r="AY25" s="579">
        <f>SUM(AY10:AY17)</f>
        <v>154.59000000000003</v>
      </c>
      <c r="AZ25" s="579">
        <f>SUM(AZ10:AZ17)</f>
        <v>112.95899999999999</v>
      </c>
      <c r="BA25" s="579">
        <f>SUM(BA10:BA17)</f>
        <v>139.09299999999993</v>
      </c>
      <c r="BB25" s="579">
        <f>SUM(BB10:BB17)</f>
        <v>153.65100000000004</v>
      </c>
      <c r="BC25" s="578">
        <f>SUM(BC10:BC17)</f>
        <v>560.29300000000001</v>
      </c>
      <c r="BD25" s="579"/>
      <c r="BE25" s="579">
        <f>SUM(BE10:BE17)</f>
        <v>159.88599999999997</v>
      </c>
      <c r="BF25" s="579">
        <f>SUM(BF10:BF17)</f>
        <v>157.01899999999992</v>
      </c>
      <c r="BG25" s="579">
        <f>SUM(BG10:BG17)</f>
        <v>139.19800000000006</v>
      </c>
      <c r="BH25" s="579">
        <f>SUM(BH10:BH17)</f>
        <v>172.97299999999998</v>
      </c>
      <c r="BI25" s="578">
        <f>SUM(BI10:BI17)</f>
        <v>629.07599999999991</v>
      </c>
      <c r="BJ25" s="579"/>
      <c r="BK25" s="579">
        <f>SUM(BK10:BK17)</f>
        <v>174.209</v>
      </c>
      <c r="BL25" s="579">
        <f>SUM(BL10:BL17)</f>
        <v>177.05100000000002</v>
      </c>
      <c r="BM25" s="579">
        <f>SUM(BM10:BM17)</f>
        <v>154.19599999999994</v>
      </c>
      <c r="BN25" s="579">
        <f>SUM(BN10:BN17)</f>
        <v>192.18399999999997</v>
      </c>
      <c r="BO25" s="578">
        <f>SUM(BO10:BO17)</f>
        <v>697.64</v>
      </c>
      <c r="BP25" s="579"/>
      <c r="BQ25" s="579">
        <f>SUM(BQ10:BQ17)</f>
        <v>74.195929795405192</v>
      </c>
      <c r="BR25" s="579">
        <f>SUM(BR10:BR17)</f>
        <v>191.31974030290314</v>
      </c>
      <c r="BS25" s="579">
        <f>SUM(BS10:BS17)</f>
        <v>199.63680533664996</v>
      </c>
      <c r="BT25" s="579">
        <f>SUM(BT10:BT17)</f>
        <v>257.45360629766844</v>
      </c>
      <c r="BU25" s="578">
        <f>SUM(BU10:BU17)</f>
        <v>722.60608173262676</v>
      </c>
      <c r="BV25" s="581"/>
      <c r="BW25" s="579">
        <f>SUM(BW10:BW17)</f>
        <v>67.69297268322795</v>
      </c>
      <c r="BX25" s="579">
        <f>SUM(BX10:BX17)</f>
        <v>206.03399500363318</v>
      </c>
      <c r="BY25" s="579">
        <f>SUM(BY10:BY17)</f>
        <v>212.53785422468439</v>
      </c>
      <c r="BZ25" s="579">
        <f>SUM(BZ10:BZ17)</f>
        <v>271.20553193044429</v>
      </c>
      <c r="CA25" s="578">
        <f>SUM(CA10:CA17)</f>
        <v>757.47035384198989</v>
      </c>
      <c r="CB25" s="581"/>
      <c r="CC25" s="579">
        <f>SUM(CC10:CC17)</f>
        <v>87.467169829531741</v>
      </c>
      <c r="CD25" s="579">
        <f>SUM(CD10:CD17)</f>
        <v>285.38085258210509</v>
      </c>
      <c r="CE25" s="579">
        <f>SUM(CE10:CE17)</f>
        <v>289.31962684093492</v>
      </c>
      <c r="CF25" s="579">
        <f>SUM(CF10:CF17)</f>
        <v>353.91285387620326</v>
      </c>
      <c r="CG25" s="578">
        <f>SUM(CG10:CG17)</f>
        <v>1016.0805031287749</v>
      </c>
      <c r="CH25" s="581"/>
      <c r="CI25" s="579">
        <f>SUM(CI10:CI17)</f>
        <v>159.62539795107699</v>
      </c>
      <c r="CJ25" s="579">
        <f>SUM(CJ10:CJ17)</f>
        <v>238.54639861721381</v>
      </c>
      <c r="CK25" s="579">
        <f>SUM(CK10:CK17)</f>
        <v>235.11889065304834</v>
      </c>
      <c r="CL25" s="579">
        <f>SUM(CL10:CL17)</f>
        <v>301.54975350753449</v>
      </c>
      <c r="CM25" s="578">
        <f>SUM(CM10:CM17)</f>
        <v>934.84044072887366</v>
      </c>
      <c r="CN25" s="97"/>
      <c r="CO25" s="97"/>
      <c r="CP25"/>
      <c r="CQ25"/>
      <c r="CR25"/>
      <c r="CS25"/>
      <c r="CT25"/>
      <c r="CU25"/>
    </row>
    <row r="26" spans="1:105" s="24" customFormat="1" ht="6" customHeight="1">
      <c r="A26" s="46"/>
      <c r="B26" s="46"/>
      <c r="C26" s="46"/>
      <c r="D26" s="46"/>
      <c r="E26" s="46"/>
      <c r="F26" s="46"/>
      <c r="G26" s="580"/>
      <c r="H26" s="581"/>
      <c r="I26" s="582"/>
      <c r="J26" s="582"/>
      <c r="K26" s="582"/>
      <c r="L26" s="582"/>
      <c r="M26" s="583"/>
      <c r="N26" s="581"/>
      <c r="O26" s="582"/>
      <c r="P26" s="582"/>
      <c r="Q26" s="582"/>
      <c r="R26" s="582"/>
      <c r="S26" s="583"/>
      <c r="T26" s="581"/>
      <c r="U26" s="582"/>
      <c r="V26" s="582"/>
      <c r="W26" s="582"/>
      <c r="X26" s="582"/>
      <c r="Y26" s="583"/>
      <c r="Z26" s="581"/>
      <c r="AA26" s="581"/>
      <c r="AB26" s="581"/>
      <c r="AC26" s="581"/>
      <c r="AD26" s="581"/>
      <c r="AE26" s="583"/>
      <c r="AF26" s="581"/>
      <c r="AG26" s="581"/>
      <c r="AH26" s="581"/>
      <c r="AI26" s="581"/>
      <c r="AJ26" s="581"/>
      <c r="AK26" s="583"/>
      <c r="AL26" s="581"/>
      <c r="AM26" s="581"/>
      <c r="AN26" s="581"/>
      <c r="AO26" s="581"/>
      <c r="AP26" s="581"/>
      <c r="AQ26" s="583"/>
      <c r="AR26" s="581"/>
      <c r="AS26" s="581"/>
      <c r="AT26" s="581"/>
      <c r="AU26" s="581"/>
      <c r="AV26" s="581"/>
      <c r="AW26" s="583"/>
      <c r="AX26" s="581"/>
      <c r="AY26" s="581"/>
      <c r="AZ26" s="581"/>
      <c r="BA26" s="581"/>
      <c r="BB26" s="581"/>
      <c r="BC26" s="583"/>
      <c r="BD26" s="581"/>
      <c r="BE26" s="581"/>
      <c r="BF26" s="581"/>
      <c r="BG26" s="581"/>
      <c r="BH26" s="581"/>
      <c r="BI26" s="583"/>
      <c r="BJ26" s="581"/>
      <c r="BK26" s="581"/>
      <c r="BL26" s="581"/>
      <c r="BM26" s="581"/>
      <c r="BN26" s="581"/>
      <c r="BO26" s="583"/>
      <c r="BP26" s="581"/>
      <c r="BQ26" s="581"/>
      <c r="BR26" s="581"/>
      <c r="BS26" s="581"/>
      <c r="BT26" s="581"/>
      <c r="BU26" s="583"/>
      <c r="BV26" s="581"/>
      <c r="BW26" s="581"/>
      <c r="BX26" s="581"/>
      <c r="BY26" s="581"/>
      <c r="BZ26" s="581"/>
      <c r="CA26" s="583"/>
      <c r="CB26" s="581"/>
      <c r="CC26" s="581"/>
      <c r="CD26" s="581"/>
      <c r="CE26" s="581"/>
      <c r="CF26" s="581"/>
      <c r="CG26" s="583"/>
      <c r="CH26" s="581"/>
      <c r="CI26" s="581"/>
      <c r="CJ26" s="581"/>
      <c r="CK26" s="581"/>
      <c r="CL26" s="581"/>
      <c r="CM26" s="583"/>
      <c r="CN26" s="97"/>
      <c r="CO26" s="97"/>
      <c r="CP26"/>
      <c r="CQ26"/>
      <c r="CR26"/>
      <c r="CS26"/>
      <c r="CT26"/>
      <c r="CU26"/>
    </row>
    <row r="27" spans="1:105" s="24" customFormat="1">
      <c r="A27" s="44" t="s">
        <v>415</v>
      </c>
      <c r="B27" s="44"/>
      <c r="C27" s="44"/>
      <c r="D27" s="44"/>
      <c r="E27" s="44"/>
      <c r="F27" s="44"/>
      <c r="G27" s="584"/>
      <c r="H27" s="585"/>
      <c r="I27" s="585"/>
      <c r="J27" s="585"/>
      <c r="K27" s="585"/>
      <c r="L27" s="585"/>
      <c r="M27" s="584"/>
      <c r="N27" s="585"/>
      <c r="O27" s="585"/>
      <c r="P27" s="585"/>
      <c r="Q27" s="585"/>
      <c r="R27" s="585"/>
      <c r="S27" s="584"/>
      <c r="T27" s="585"/>
      <c r="U27" s="585"/>
      <c r="V27" s="585"/>
      <c r="W27" s="585"/>
      <c r="X27" s="585"/>
      <c r="Y27" s="584"/>
      <c r="Z27" s="585"/>
      <c r="AA27" s="585"/>
      <c r="AB27" s="585"/>
      <c r="AC27" s="585"/>
      <c r="AD27" s="585"/>
      <c r="AE27" s="584"/>
      <c r="AF27" s="585"/>
      <c r="AG27" s="585"/>
      <c r="AH27" s="585"/>
      <c r="AI27" s="585"/>
      <c r="AJ27" s="585"/>
      <c r="AK27" s="584"/>
      <c r="AL27" s="585"/>
      <c r="AM27" s="585"/>
      <c r="AN27" s="585"/>
      <c r="AO27" s="585"/>
      <c r="AP27" s="585"/>
      <c r="AQ27" s="584"/>
      <c r="AR27" s="585"/>
      <c r="AS27" s="585"/>
      <c r="AT27" s="585"/>
      <c r="AU27" s="585"/>
      <c r="AV27" s="585"/>
      <c r="AW27" s="584"/>
      <c r="AX27" s="585"/>
      <c r="AY27" s="585"/>
      <c r="AZ27" s="585"/>
      <c r="BA27" s="585"/>
      <c r="BB27" s="585"/>
      <c r="BC27" s="584"/>
      <c r="BD27" s="585"/>
      <c r="BE27" s="585"/>
      <c r="BF27" s="585"/>
      <c r="BG27" s="585"/>
      <c r="BH27" s="585"/>
      <c r="BI27" s="584"/>
      <c r="BJ27" s="585"/>
      <c r="BK27" s="585"/>
      <c r="BL27" s="585"/>
      <c r="BM27" s="585"/>
      <c r="BN27" s="585"/>
      <c r="BO27" s="584"/>
      <c r="BP27" s="585"/>
      <c r="BQ27" s="585"/>
      <c r="BR27" s="585"/>
      <c r="BS27" s="585"/>
      <c r="BT27" s="585"/>
      <c r="BU27" s="584"/>
      <c r="BV27" s="1777"/>
      <c r="BW27" s="585"/>
      <c r="BX27" s="585"/>
      <c r="BY27" s="585"/>
      <c r="BZ27" s="585"/>
      <c r="CA27" s="584"/>
      <c r="CB27" s="1777"/>
      <c r="CC27" s="585"/>
      <c r="CD27" s="585"/>
      <c r="CE27" s="585"/>
      <c r="CF27" s="585"/>
      <c r="CG27" s="584"/>
      <c r="CH27" s="1777"/>
      <c r="CI27" s="585"/>
      <c r="CJ27" s="585"/>
      <c r="CK27" s="585"/>
      <c r="CL27" s="585"/>
      <c r="CM27" s="584"/>
      <c r="CN27" s="97"/>
      <c r="CO27" s="97"/>
      <c r="CP27"/>
      <c r="CQ27"/>
      <c r="CR27"/>
      <c r="CS27"/>
      <c r="CT27"/>
      <c r="CU27"/>
    </row>
    <row r="28" spans="1:105" s="24" customFormat="1">
      <c r="A28" s="43" t="s">
        <v>416</v>
      </c>
      <c r="B28" s="43"/>
      <c r="C28" s="43"/>
      <c r="D28" s="43"/>
      <c r="E28" s="43"/>
      <c r="F28" s="43"/>
      <c r="G28" s="586">
        <v>-60.341999999999999</v>
      </c>
      <c r="H28" s="585"/>
      <c r="I28" s="587">
        <v>-14.302</v>
      </c>
      <c r="J28" s="587">
        <f>-32.574-I28</f>
        <v>-18.271999999999998</v>
      </c>
      <c r="K28" s="587">
        <f>-49.078-I28-J28</f>
        <v>-16.504000000000005</v>
      </c>
      <c r="L28" s="569">
        <f>-69.065-SUM(I28:K28)</f>
        <v>-19.986999999999995</v>
      </c>
      <c r="M28" s="570">
        <f>SUM(I28:L28)</f>
        <v>-69.064999999999998</v>
      </c>
      <c r="N28" s="585"/>
      <c r="O28" s="587">
        <v>-22.155999999999999</v>
      </c>
      <c r="P28" s="587">
        <f>-57.754-O28</f>
        <v>-35.597999999999999</v>
      </c>
      <c r="Q28" s="587">
        <f>-80.399-O28-P28</f>
        <v>-22.645000000000003</v>
      </c>
      <c r="R28" s="569">
        <f>-93.796-SUM(O28:Q28)</f>
        <v>-13.397000000000006</v>
      </c>
      <c r="S28" s="570">
        <f>SUM(O28:R28)</f>
        <v>-93.796000000000006</v>
      </c>
      <c r="T28" s="585"/>
      <c r="U28" s="587">
        <v>-10.164999999999999</v>
      </c>
      <c r="V28" s="587">
        <f>-21.229-U28</f>
        <v>-11.064</v>
      </c>
      <c r="W28" s="587">
        <f>-47.277-U28-V28</f>
        <v>-26.048000000000002</v>
      </c>
      <c r="X28" s="569">
        <f>-62.74-U28-V28-W28</f>
        <v>-15.463000000000001</v>
      </c>
      <c r="Y28" s="570">
        <f>SUM(U28:X28)</f>
        <v>-62.74</v>
      </c>
      <c r="Z28" s="585"/>
      <c r="AA28" s="569">
        <v>-16.838999999999999</v>
      </c>
      <c r="AB28" s="569">
        <f>-35.272-AA28</f>
        <v>-18.433</v>
      </c>
      <c r="AC28" s="569">
        <f>-51.344-SUM(AA28:AB28)</f>
        <v>-16.072000000000003</v>
      </c>
      <c r="AD28" s="569">
        <f>-85.436-SUM(AA28:AC28)</f>
        <v>-34.092000000000006</v>
      </c>
      <c r="AE28" s="584">
        <f>SUM(AA28:AD28)</f>
        <v>-85.436000000000007</v>
      </c>
      <c r="AF28" s="585"/>
      <c r="AG28" s="569">
        <v>-15.534000000000001</v>
      </c>
      <c r="AH28" s="569">
        <f>-46.92-AG28</f>
        <v>-31.386000000000003</v>
      </c>
      <c r="AI28" s="569">
        <f>-73.048-SUM(AG28:AH28)</f>
        <v>-26.128</v>
      </c>
      <c r="AJ28" s="569">
        <f>-104.749-SUM(AG28:AI28)</f>
        <v>-31.700999999999993</v>
      </c>
      <c r="AK28" s="584">
        <f>SUM(AG28:AJ28)</f>
        <v>-104.749</v>
      </c>
      <c r="AL28" s="585"/>
      <c r="AM28" s="569">
        <v>-30.637</v>
      </c>
      <c r="AN28" s="569">
        <f>-61.276-AM28</f>
        <v>-30.639000000000003</v>
      </c>
      <c r="AO28" s="1252">
        <f>-92.816-AN28-AM28</f>
        <v>-31.54</v>
      </c>
      <c r="AP28" s="587">
        <f>-118.45-SUM(AM28:AO28)</f>
        <v>-25.634</v>
      </c>
      <c r="AQ28" s="584">
        <f>SUM(AM28:AP28)</f>
        <v>-118.45</v>
      </c>
      <c r="AR28" s="585"/>
      <c r="AS28" s="569">
        <v>-21.395</v>
      </c>
      <c r="AT28" s="569">
        <f>-44.151-AS28</f>
        <v>-22.756000000000004</v>
      </c>
      <c r="AU28" s="569">
        <f>-70.437-SUM(AS28:AT28)</f>
        <v>-26.285999999999994</v>
      </c>
      <c r="AV28" s="569">
        <f>-91.122-SUM(AS28:AU28)</f>
        <v>-20.685000000000002</v>
      </c>
      <c r="AW28" s="584">
        <f>SUM(AS28:AV28)</f>
        <v>-91.122</v>
      </c>
      <c r="AX28" s="585"/>
      <c r="AY28" s="569">
        <v>-21.41</v>
      </c>
      <c r="AZ28" s="569">
        <f>-45.293-AY28</f>
        <v>-23.882999999999999</v>
      </c>
      <c r="BA28" s="569">
        <f>-72.25-SUM(AY28:AZ28)</f>
        <v>-26.957000000000001</v>
      </c>
      <c r="BB28" s="569">
        <f>-100.012-SUM(AY28:BA28)</f>
        <v>-27.762</v>
      </c>
      <c r="BC28" s="584">
        <f>SUM(AY28:BB28)</f>
        <v>-100.012</v>
      </c>
      <c r="BD28" s="585"/>
      <c r="BE28" s="569">
        <v>-24.652000000000001</v>
      </c>
      <c r="BF28" s="569">
        <f>-49.696-BE28</f>
        <v>-25.043999999999997</v>
      </c>
      <c r="BG28" s="1840">
        <f>-72.296-SUM(BE28:BF28)</f>
        <v>-22.600000000000009</v>
      </c>
      <c r="BH28" s="569">
        <f>-94.967-SUM(BE28:BG28)</f>
        <v>-22.670999999999992</v>
      </c>
      <c r="BI28" s="584">
        <f>SUM(BE28:BH28)</f>
        <v>-94.966999999999999</v>
      </c>
      <c r="BJ28" s="585"/>
      <c r="BK28" s="569">
        <v>-17.710999999999999</v>
      </c>
      <c r="BL28" s="569">
        <f>-35.358-BK28</f>
        <v>-17.646999999999998</v>
      </c>
      <c r="BM28" s="569">
        <f>-55.257-SUM(BK28:BL28)</f>
        <v>-19.899000000000001</v>
      </c>
      <c r="BN28" s="569">
        <f>-85.473-SUM(BK28:BM28)</f>
        <v>-30.216000000000001</v>
      </c>
      <c r="BO28" s="584">
        <f>SUM(BK28:BN28)</f>
        <v>-85.472999999999999</v>
      </c>
      <c r="BP28" s="585"/>
      <c r="BQ28" s="585">
        <f>-BS!BQ97</f>
        <v>-24.728711267033646</v>
      </c>
      <c r="BR28" s="585">
        <f>-BS!BR97</f>
        <v>-27.756781743361028</v>
      </c>
      <c r="BS28" s="585">
        <f>-BS!BS97</f>
        <v>-27.491388877278499</v>
      </c>
      <c r="BT28" s="585">
        <f>-BS!BT97</f>
        <v>-33.454935077118385</v>
      </c>
      <c r="BU28" s="584">
        <f>SUM(BQ28:BT28)</f>
        <v>-113.43181696479155</v>
      </c>
      <c r="BV28" s="1777"/>
      <c r="BW28" s="585">
        <f>-BS!BW97</f>
        <v>-38.0529252303823</v>
      </c>
      <c r="BX28" s="585">
        <f>-BS!BX97</f>
        <v>-42.434229504652585</v>
      </c>
      <c r="BY28" s="585">
        <f>-BS!BY97</f>
        <v>-41.921707930826969</v>
      </c>
      <c r="BZ28" s="585">
        <f>-BS!BZ97</f>
        <v>-50.692551515244013</v>
      </c>
      <c r="CA28" s="584">
        <f>SUM(BW28:BZ28)</f>
        <v>-173.10141418110587</v>
      </c>
      <c r="CB28" s="1777"/>
      <c r="CC28" s="585">
        <f>-BS!CC97</f>
        <v>-39.329929125873761</v>
      </c>
      <c r="CD28" s="585">
        <f>-BS!CD97</f>
        <v>-43.568208428385979</v>
      </c>
      <c r="CE28" s="585">
        <f>-BS!CE97</f>
        <v>-42.984631253565503</v>
      </c>
      <c r="CF28" s="585">
        <f>-BS!CF97</f>
        <v>-51.641579286328998</v>
      </c>
      <c r="CG28" s="584">
        <f>SUM(CC28:CF28)</f>
        <v>-177.52434809415425</v>
      </c>
      <c r="CH28" s="1777"/>
      <c r="CI28" s="585">
        <f>-BS!CI97</f>
        <v>-28.633638806608154</v>
      </c>
      <c r="CJ28" s="585">
        <f>-BS!CJ97</f>
        <v>-31.511236872657093</v>
      </c>
      <c r="CK28" s="585">
        <f>-BS!CK97</f>
        <v>-31.046763867609126</v>
      </c>
      <c r="CL28" s="585">
        <f>-BS!CL97</f>
        <v>-37.064914716304557</v>
      </c>
      <c r="CM28" s="584">
        <f>SUM(CI28:CL28)</f>
        <v>-128.25655426317894</v>
      </c>
      <c r="CN28" s="97"/>
      <c r="CO28" s="97"/>
      <c r="CP28"/>
      <c r="CQ28"/>
      <c r="CR28"/>
      <c r="CS28"/>
      <c r="CT28"/>
      <c r="CU28"/>
      <c r="CX28" s="443"/>
      <c r="CY28" s="443"/>
      <c r="CZ28" s="443"/>
      <c r="DA28" s="443"/>
    </row>
    <row r="29" spans="1:105" s="24" customFormat="1" hidden="1" outlineLevel="1">
      <c r="A29" s="43" t="s">
        <v>417</v>
      </c>
      <c r="B29" s="43"/>
      <c r="C29" s="43"/>
      <c r="D29" s="43"/>
      <c r="E29" s="43"/>
      <c r="F29" s="43"/>
      <c r="G29" s="567">
        <v>-390.54199999999997</v>
      </c>
      <c r="H29" s="585"/>
      <c r="I29" s="569">
        <v>-19.738</v>
      </c>
      <c r="J29" s="569">
        <f>-19.738-I29</f>
        <v>0</v>
      </c>
      <c r="K29" s="569">
        <f>-19.738-I29-J29</f>
        <v>0</v>
      </c>
      <c r="L29" s="569">
        <f>-19.738-SUM(I29:K29)</f>
        <v>0</v>
      </c>
      <c r="M29" s="570">
        <f>SUM(I29:L29)</f>
        <v>-19.738</v>
      </c>
      <c r="N29" s="585"/>
      <c r="O29" s="569">
        <v>-43.119</v>
      </c>
      <c r="P29" s="569">
        <f>-147.236-O29</f>
        <v>-104.11699999999999</v>
      </c>
      <c r="Q29" s="569">
        <f>-317.342-O29-P29</f>
        <v>-170.10599999999997</v>
      </c>
      <c r="R29" s="569">
        <f>-518.39-SUM(O29:Q29)</f>
        <v>-201.048</v>
      </c>
      <c r="S29" s="570">
        <f>SUM(O29:R29)</f>
        <v>-518.39</v>
      </c>
      <c r="T29" s="585"/>
      <c r="U29" s="569">
        <v>-216.74799999999999</v>
      </c>
      <c r="V29" s="569">
        <f>-481.697-U29</f>
        <v>-264.94900000000001</v>
      </c>
      <c r="W29" s="569">
        <f>-924.727-U29-V29</f>
        <v>-443.03000000000003</v>
      </c>
      <c r="X29" s="569">
        <f>-1234.671-U29-V29-W29</f>
        <v>-309.9439999999999</v>
      </c>
      <c r="Y29" s="570">
        <f>SUM(U29:X29)</f>
        <v>-1234.671</v>
      </c>
      <c r="Z29" s="585"/>
      <c r="AA29" s="569">
        <v>-432.18900000000002</v>
      </c>
      <c r="AB29" s="569">
        <f>-829.598-AA29</f>
        <v>-397.40899999999993</v>
      </c>
      <c r="AC29" s="569">
        <f>-1297.497-SUM(AA29:AB29)</f>
        <v>-467.89900000000011</v>
      </c>
      <c r="AD29" s="569">
        <f>-1749.161-SUM(AA29:AC29)</f>
        <v>-451.66399999999999</v>
      </c>
      <c r="AE29" s="584">
        <f>SUM(AA29:AD29)</f>
        <v>-1749.1610000000001</v>
      </c>
      <c r="AF29" s="585"/>
      <c r="AG29" s="569">
        <v>-491.322</v>
      </c>
      <c r="AH29" s="587">
        <f>-941.612-AG29</f>
        <v>-450.28999999999996</v>
      </c>
      <c r="AI29" s="587">
        <f>-1384.717-SUM(AG29:AH29)</f>
        <v>-443.10500000000013</v>
      </c>
      <c r="AJ29" s="569">
        <f>-1815.988-SUM(AG29:AI29)</f>
        <v>-431.27099999999996</v>
      </c>
      <c r="AK29" s="584">
        <f>SUM(AG29:AJ29)</f>
        <v>-1815.9880000000001</v>
      </c>
      <c r="AL29" s="585"/>
      <c r="AM29" s="569">
        <v>-767.54100000000005</v>
      </c>
      <c r="AN29" s="587">
        <f>-1563.959-AM29</f>
        <v>-796.41800000000001</v>
      </c>
      <c r="AO29" s="1253">
        <f>-2270.826-AN29-AM29</f>
        <v>-706.86699999999985</v>
      </c>
      <c r="AP29" s="587">
        <f>-2972.116-SUM(AM29:AO29)</f>
        <v>-701.29</v>
      </c>
      <c r="AQ29" s="584">
        <f>SUM(AM29:AP29)</f>
        <v>-2972.116</v>
      </c>
      <c r="AR29" s="585"/>
      <c r="AS29" s="569">
        <v>-607.02800000000002</v>
      </c>
      <c r="AT29" s="569">
        <f>-1178.731-AS29</f>
        <v>-571.70299999999997</v>
      </c>
      <c r="AU29" s="569">
        <f>-1731.043-SUM(AS29:AT29)</f>
        <v>-552.3119999999999</v>
      </c>
      <c r="AV29" s="569">
        <f>-2196.153-SUM(AS29:AU29)</f>
        <v>-465.1099999999999</v>
      </c>
      <c r="AW29" s="584">
        <f>SUM(AS29:AV29)</f>
        <v>-2196.1529999999998</v>
      </c>
      <c r="AX29" s="585"/>
      <c r="AY29" s="569">
        <v>-794.42200000000003</v>
      </c>
      <c r="AZ29" s="569">
        <f>-1328.292-AY29</f>
        <v>-533.86999999999989</v>
      </c>
      <c r="BA29" s="569">
        <f>-1467.078-SUM(AY29:AZ29)</f>
        <v>-138.78600000000006</v>
      </c>
      <c r="BB29" s="569">
        <f>-2010.368-SUM(AY29:BA29)</f>
        <v>-543.29</v>
      </c>
      <c r="BC29" s="584">
        <f>SUM(AY29:BB29)</f>
        <v>-2010.3679999999999</v>
      </c>
      <c r="BD29" s="585"/>
      <c r="BE29" s="569">
        <v>-685.56799999999998</v>
      </c>
      <c r="BF29" s="569">
        <f>-1205.035-BE29</f>
        <v>-519.4670000000001</v>
      </c>
      <c r="BG29" s="1840">
        <f>-1923.054-SUM(BE29:BF29)</f>
        <v>-718.01900000000001</v>
      </c>
      <c r="BH29" s="569">
        <f>-2396.032-SUM(BE29:BG29)</f>
        <v>-472.97800000000007</v>
      </c>
      <c r="BI29" s="584">
        <f>SUM(BE29:BH29)</f>
        <v>-2396.0320000000002</v>
      </c>
      <c r="BJ29" s="585"/>
      <c r="BK29" s="569">
        <v>-823.33500000000004</v>
      </c>
      <c r="BL29" s="569">
        <f>-1554.769-BK29</f>
        <v>-731.43399999999997</v>
      </c>
      <c r="BM29" s="569">
        <f>-2345.259-SUM(BK29:BL29)</f>
        <v>-790.49</v>
      </c>
      <c r="BN29" s="569">
        <f>-2960.379-SUM(BK29:BM29)</f>
        <v>-615.11999999999989</v>
      </c>
      <c r="BO29" s="584">
        <f>SUM(BK29:BN29)</f>
        <v>-2960.3789999999999</v>
      </c>
      <c r="BP29" s="585"/>
      <c r="BQ29" s="587">
        <v>0</v>
      </c>
      <c r="BR29" s="587">
        <v>0</v>
      </c>
      <c r="BS29" s="587">
        <v>0</v>
      </c>
      <c r="BT29" s="587">
        <v>0</v>
      </c>
      <c r="BU29" s="584">
        <f>SUM(BQ29:BT29)</f>
        <v>0</v>
      </c>
      <c r="BV29" s="1777"/>
      <c r="BW29" s="587">
        <v>0</v>
      </c>
      <c r="BX29" s="587">
        <v>0</v>
      </c>
      <c r="BY29" s="587">
        <v>0</v>
      </c>
      <c r="BZ29" s="587">
        <v>0</v>
      </c>
      <c r="CA29" s="584">
        <f>SUM(BW29:BZ29)</f>
        <v>0</v>
      </c>
      <c r="CB29" s="1777"/>
      <c r="CC29" s="587">
        <v>0</v>
      </c>
      <c r="CD29" s="587">
        <v>0</v>
      </c>
      <c r="CE29" s="587">
        <v>0</v>
      </c>
      <c r="CF29" s="587">
        <v>0</v>
      </c>
      <c r="CG29" s="584">
        <f>SUM(CC29:CF29)</f>
        <v>0</v>
      </c>
      <c r="CH29" s="1777"/>
      <c r="CI29" s="587">
        <v>0</v>
      </c>
      <c r="CJ29" s="587">
        <v>0</v>
      </c>
      <c r="CK29" s="587">
        <v>0</v>
      </c>
      <c r="CL29" s="587">
        <v>0</v>
      </c>
      <c r="CM29" s="584">
        <f>SUM(CI29:CL29)</f>
        <v>0</v>
      </c>
      <c r="CN29" s="97"/>
      <c r="CO29" s="97"/>
      <c r="CP29"/>
      <c r="CQ29"/>
      <c r="CR29"/>
      <c r="CS29"/>
      <c r="CT29"/>
      <c r="CU29"/>
      <c r="CX29" s="443"/>
      <c r="CY29" s="443"/>
      <c r="CZ29" s="443"/>
      <c r="DA29" s="443"/>
    </row>
    <row r="30" spans="1:105" s="24" customFormat="1" hidden="1" outlineLevel="1">
      <c r="A30" s="43" t="s">
        <v>418</v>
      </c>
      <c r="B30" s="43"/>
      <c r="C30" s="43"/>
      <c r="D30" s="43"/>
      <c r="E30" s="43"/>
      <c r="F30" s="43"/>
      <c r="G30" s="567">
        <v>294.86099999999999</v>
      </c>
      <c r="H30" s="585"/>
      <c r="I30" s="569">
        <v>57.451000000000001</v>
      </c>
      <c r="J30" s="569">
        <f>115.419-I30</f>
        <v>57.967999999999996</v>
      </c>
      <c r="K30" s="569">
        <f>115.419-I30-J30</f>
        <v>0</v>
      </c>
      <c r="L30" s="569">
        <f>115.419-SUM(I30:K30)</f>
        <v>0</v>
      </c>
      <c r="M30" s="570">
        <f>SUM(I30:L30)</f>
        <v>115.419</v>
      </c>
      <c r="N30" s="585"/>
      <c r="O30" s="569">
        <v>0</v>
      </c>
      <c r="P30" s="569">
        <v>0</v>
      </c>
      <c r="Q30" s="569">
        <f>129.611-O30-P30</f>
        <v>129.61099999999999</v>
      </c>
      <c r="R30" s="569">
        <f>229.244-SUM(O30:Q30)</f>
        <v>99.63300000000001</v>
      </c>
      <c r="S30" s="570">
        <f>SUM(O30:R30)</f>
        <v>229.244</v>
      </c>
      <c r="T30" s="585"/>
      <c r="U30" s="569">
        <v>110.726</v>
      </c>
      <c r="V30" s="569">
        <f>327.254-U30</f>
        <v>216.52800000000002</v>
      </c>
      <c r="W30" s="569">
        <f>639.567-U30-V30</f>
        <v>312.31299999999999</v>
      </c>
      <c r="X30" s="569">
        <f>885.896-U30-V30-W30</f>
        <v>246.32899999999995</v>
      </c>
      <c r="Y30" s="570">
        <f>SUM(U30:X30)</f>
        <v>885.89599999999996</v>
      </c>
      <c r="Z30" s="585"/>
      <c r="AA30" s="569">
        <v>327.92099999999999</v>
      </c>
      <c r="AB30" s="569">
        <f>690.756-AA30</f>
        <v>362.83499999999998</v>
      </c>
      <c r="AC30" s="569">
        <f>1165.127-SUM(AA30:AB30)</f>
        <v>474.37099999999998</v>
      </c>
      <c r="AD30" s="569">
        <f>1489.721-SUM(AA30:AC30)</f>
        <v>324.59400000000005</v>
      </c>
      <c r="AE30" s="584">
        <f>SUM(AA30:AD30)</f>
        <v>1489.721</v>
      </c>
      <c r="AF30" s="585"/>
      <c r="AG30" s="569">
        <v>462.31599999999997</v>
      </c>
      <c r="AH30" s="587">
        <f>816.254-AG30</f>
        <v>353.93800000000005</v>
      </c>
      <c r="AI30" s="587">
        <f>1189.93-SUM(AG30:AH30)</f>
        <v>373.67600000000004</v>
      </c>
      <c r="AJ30" s="569">
        <f>1655.359-SUM(AG30:AI30)</f>
        <v>465.42899999999986</v>
      </c>
      <c r="AK30" s="584">
        <f>SUM(AG30:AJ30)</f>
        <v>1655.3589999999999</v>
      </c>
      <c r="AL30" s="585"/>
      <c r="AM30" s="569">
        <v>707.72500000000002</v>
      </c>
      <c r="AN30" s="587">
        <f>1427.272-AM30</f>
        <v>719.54699999999991</v>
      </c>
      <c r="AO30" s="1253">
        <f>2060.71-AN30-AM30</f>
        <v>633.43799999999999</v>
      </c>
      <c r="AP30" s="587">
        <f>2667.232-SUM(AM30:AO30)</f>
        <v>606.52199999999993</v>
      </c>
      <c r="AQ30" s="584">
        <f>SUM(AM30:AP30)</f>
        <v>2667.232</v>
      </c>
      <c r="AR30" s="585"/>
      <c r="AS30" s="569">
        <v>512.08900000000006</v>
      </c>
      <c r="AT30" s="569">
        <f>1052.736-AS30</f>
        <v>540.64700000000005</v>
      </c>
      <c r="AU30" s="569">
        <f>1504.528-SUM(AS30:AT30)</f>
        <v>451.79199999999992</v>
      </c>
      <c r="AV30" s="569">
        <f>1925.816-SUM(AS30:AU30)</f>
        <v>421.28800000000001</v>
      </c>
      <c r="AW30" s="584">
        <f>SUM(AS30:AV30)</f>
        <v>1925.816</v>
      </c>
      <c r="AX30" s="585"/>
      <c r="AY30" s="569">
        <v>759.38599999999997</v>
      </c>
      <c r="AZ30" s="569">
        <f>1118.485-AY30</f>
        <v>359.09899999999993</v>
      </c>
      <c r="BA30" s="569">
        <f>1249.073-SUM(AY30:AZ30)</f>
        <v>130.58800000000019</v>
      </c>
      <c r="BB30" s="569">
        <f>1731.981-SUM(AY30:BA30)</f>
        <v>482.9079999999999</v>
      </c>
      <c r="BC30" s="584">
        <f>SUM(AY30:BB30)</f>
        <v>1731.981</v>
      </c>
      <c r="BD30" s="585"/>
      <c r="BE30" s="569">
        <v>512.39700000000005</v>
      </c>
      <c r="BF30" s="569">
        <f>987.06-BE30</f>
        <v>474.6629999999999</v>
      </c>
      <c r="BG30" s="1840">
        <f>1558.33-SUM(BE30:BF30)</f>
        <v>571.27</v>
      </c>
      <c r="BH30" s="569">
        <f>2004.69-SUM(BE30:BG30)</f>
        <v>446.36000000000013</v>
      </c>
      <c r="BI30" s="584">
        <f>SUM(BE30:BH30)</f>
        <v>2004.69</v>
      </c>
      <c r="BJ30" s="585"/>
      <c r="BK30" s="569">
        <v>750.99699999999996</v>
      </c>
      <c r="BL30" s="569">
        <f>1308.275-BK30</f>
        <v>557.27800000000013</v>
      </c>
      <c r="BM30" s="569">
        <f>2008.528-SUM(BK30:BL30)</f>
        <v>700.25299999999993</v>
      </c>
      <c r="BN30" s="569">
        <f>2522.1-SUM(BK30:BM30)</f>
        <v>513.57199999999989</v>
      </c>
      <c r="BO30" s="584">
        <f>SUM(BK30:BN30)</f>
        <v>2522.1</v>
      </c>
      <c r="BP30" s="585"/>
      <c r="BQ30" s="587">
        <v>0</v>
      </c>
      <c r="BR30" s="587">
        <v>0</v>
      </c>
      <c r="BS30" s="587">
        <v>0</v>
      </c>
      <c r="BT30" s="587">
        <v>0</v>
      </c>
      <c r="BU30" s="584">
        <f>SUM(BQ30:BT30)</f>
        <v>0</v>
      </c>
      <c r="BV30" s="1777"/>
      <c r="BW30" s="587">
        <v>0</v>
      </c>
      <c r="BX30" s="587">
        <v>0</v>
      </c>
      <c r="BY30" s="587">
        <v>0</v>
      </c>
      <c r="BZ30" s="587">
        <v>0</v>
      </c>
      <c r="CA30" s="584">
        <f>SUM(BW30:BZ30)</f>
        <v>0</v>
      </c>
      <c r="CB30" s="1777"/>
      <c r="CC30" s="587">
        <v>0</v>
      </c>
      <c r="CD30" s="587">
        <v>0</v>
      </c>
      <c r="CE30" s="587">
        <v>0</v>
      </c>
      <c r="CF30" s="587">
        <v>0</v>
      </c>
      <c r="CG30" s="584">
        <f>SUM(CC30:CF30)</f>
        <v>0</v>
      </c>
      <c r="CH30" s="1777"/>
      <c r="CI30" s="587">
        <v>0</v>
      </c>
      <c r="CJ30" s="587">
        <v>0</v>
      </c>
      <c r="CK30" s="587">
        <v>0</v>
      </c>
      <c r="CL30" s="587">
        <v>0</v>
      </c>
      <c r="CM30" s="584">
        <f>SUM(CI30:CL30)</f>
        <v>0</v>
      </c>
      <c r="CN30" s="97"/>
      <c r="CO30" s="97"/>
      <c r="CP30"/>
      <c r="CQ30"/>
      <c r="CR30"/>
      <c r="CS30"/>
      <c r="CT30"/>
      <c r="CU30"/>
    </row>
    <row r="31" spans="1:105" s="24" customFormat="1" hidden="1" outlineLevel="1">
      <c r="A31" s="43" t="s">
        <v>382</v>
      </c>
      <c r="B31" s="43"/>
      <c r="C31" s="43"/>
      <c r="D31" s="43"/>
      <c r="E31" s="43"/>
      <c r="F31" s="43"/>
      <c r="G31" s="586">
        <f>-9.076+0.724</f>
        <v>-8.3520000000000003</v>
      </c>
      <c r="H31" s="568"/>
      <c r="I31" s="587">
        <v>0</v>
      </c>
      <c r="J31" s="587">
        <v>0</v>
      </c>
      <c r="K31" s="587">
        <f>-2.982-I31-J31</f>
        <v>-2.9820000000000002</v>
      </c>
      <c r="L31" s="569">
        <f>-7.805-SUM(I31:K31)</f>
        <v>-4.8229999999999995</v>
      </c>
      <c r="M31" s="570">
        <f>SUM(I31:L31)</f>
        <v>-7.8049999999999997</v>
      </c>
      <c r="N31" s="568"/>
      <c r="O31" s="587">
        <v>-36.085999999999999</v>
      </c>
      <c r="P31" s="587">
        <f>-36.086-O31</f>
        <v>0</v>
      </c>
      <c r="Q31" s="587">
        <f>-36.086-O31-P31</f>
        <v>0</v>
      </c>
      <c r="R31" s="569">
        <f>-36.086-SUM(O31:Q31)</f>
        <v>0</v>
      </c>
      <c r="S31" s="570">
        <f>SUM(O31:R31)</f>
        <v>-36.085999999999999</v>
      </c>
      <c r="T31" s="568"/>
      <c r="U31" s="587">
        <v>0</v>
      </c>
      <c r="V31" s="587">
        <v>0</v>
      </c>
      <c r="W31" s="587">
        <v>0</v>
      </c>
      <c r="X31" s="569">
        <v>0</v>
      </c>
      <c r="Y31" s="570">
        <f>SUM(U31:X31)</f>
        <v>0</v>
      </c>
      <c r="Z31" s="568"/>
      <c r="AA31" s="569">
        <v>0</v>
      </c>
      <c r="AB31" s="569">
        <v>0</v>
      </c>
      <c r="AC31" s="569">
        <f>-11-SUM(AA31:AB31)</f>
        <v>-11</v>
      </c>
      <c r="AD31" s="569">
        <f>-11.1-SUM(AA31:AC31)</f>
        <v>-9.9999999999999645E-2</v>
      </c>
      <c r="AE31" s="584">
        <f>SUM(AA31:AD31)</f>
        <v>-11.1</v>
      </c>
      <c r="AF31" s="568"/>
      <c r="AG31" s="569">
        <v>-18.414000000000001</v>
      </c>
      <c r="AH31" s="569">
        <f>-18.414-AG31</f>
        <v>0</v>
      </c>
      <c r="AI31" s="569">
        <f>-31.016-SUM(AG31:AH31)</f>
        <v>-12.601999999999997</v>
      </c>
      <c r="AJ31" s="569">
        <f>-31.016-SUM(AG31:AI31)</f>
        <v>0</v>
      </c>
      <c r="AK31" s="584">
        <f>SUM(AG31:AJ31)</f>
        <v>-31.015999999999998</v>
      </c>
      <c r="AL31" s="568"/>
      <c r="AM31" s="569">
        <v>0</v>
      </c>
      <c r="AN31" s="569">
        <f>0-AM31</f>
        <v>0</v>
      </c>
      <c r="AO31" s="1252">
        <f>-26.434-AN31-AM31</f>
        <v>-26.434000000000001</v>
      </c>
      <c r="AP31" s="587">
        <f>-41.395-SUM(AM31:AO31)</f>
        <v>-14.961000000000002</v>
      </c>
      <c r="AQ31" s="584">
        <f>SUM(AM31:AP31)</f>
        <v>-41.395000000000003</v>
      </c>
      <c r="AR31" s="568"/>
      <c r="AS31" s="569">
        <v>-3.6150000000000002</v>
      </c>
      <c r="AT31" s="569">
        <f>-3.615-AS31</f>
        <v>0</v>
      </c>
      <c r="AU31" s="569">
        <f>-23.672-SUM(AS31:AT31)</f>
        <v>-20.057000000000002</v>
      </c>
      <c r="AV31" s="569">
        <f>-27.008-SUM(AS31:AU31)</f>
        <v>-3.335999999999995</v>
      </c>
      <c r="AW31" s="584">
        <f>SUM(AS31:AV31)</f>
        <v>-27.007999999999999</v>
      </c>
      <c r="AX31" s="568"/>
      <c r="AY31" s="569">
        <v>0</v>
      </c>
      <c r="AZ31" s="569">
        <f>-9.408-AY31</f>
        <v>-9.4079999999999995</v>
      </c>
      <c r="BA31" s="569">
        <f>-9.408-SUM(AY31:AZ31)</f>
        <v>0</v>
      </c>
      <c r="BB31" s="569">
        <f>-23.494-SUM(AY31:BA31)</f>
        <v>-14.086</v>
      </c>
      <c r="BC31" s="584">
        <f>SUM(AY31:BB31)</f>
        <v>-23.494</v>
      </c>
      <c r="BD31" s="568"/>
      <c r="BE31" s="569">
        <v>0</v>
      </c>
      <c r="BF31" s="569">
        <f>0-BE31</f>
        <v>0</v>
      </c>
      <c r="BG31" s="1840">
        <f>-5.654-SUM(BE31:BF31)</f>
        <v>-5.6539999999999999</v>
      </c>
      <c r="BH31" s="569">
        <f>-5.609-SUM(BE31:BG31)</f>
        <v>4.4999999999999929E-2</v>
      </c>
      <c r="BI31" s="584">
        <f>SUM(BE31:BH31)</f>
        <v>-5.609</v>
      </c>
      <c r="BJ31" s="568"/>
      <c r="BK31" s="569">
        <v>0</v>
      </c>
      <c r="BL31" s="569">
        <f>0-BK31</f>
        <v>0</v>
      </c>
      <c r="BM31" s="569">
        <f t="shared" ref="BM31" si="30">0-SUM(BK31:BL31)</f>
        <v>0</v>
      </c>
      <c r="BN31" s="569">
        <f t="shared" ref="BN31" si="31">0-SUM(BK31:BM31)</f>
        <v>0</v>
      </c>
      <c r="BO31" s="584">
        <f>SUM(BK31:BN31)</f>
        <v>0</v>
      </c>
      <c r="BP31" s="568"/>
      <c r="BQ31" s="569">
        <v>0</v>
      </c>
      <c r="BR31" s="569">
        <v>0</v>
      </c>
      <c r="BS31" s="569">
        <v>0</v>
      </c>
      <c r="BT31" s="569">
        <v>0</v>
      </c>
      <c r="BU31" s="584">
        <f>SUM(BQ31:BT31)</f>
        <v>0</v>
      </c>
      <c r="BV31" s="1777"/>
      <c r="BW31" s="569">
        <v>0</v>
      </c>
      <c r="BX31" s="569">
        <v>0</v>
      </c>
      <c r="BY31" s="569">
        <v>0</v>
      </c>
      <c r="BZ31" s="569">
        <v>0</v>
      </c>
      <c r="CA31" s="584">
        <f>SUM(BW31:BZ31)</f>
        <v>0</v>
      </c>
      <c r="CB31" s="1777"/>
      <c r="CC31" s="569">
        <v>0</v>
      </c>
      <c r="CD31" s="569">
        <v>0</v>
      </c>
      <c r="CE31" s="569">
        <v>0</v>
      </c>
      <c r="CF31" s="569">
        <v>0</v>
      </c>
      <c r="CG31" s="584">
        <f>SUM(CC31:CF31)</f>
        <v>0</v>
      </c>
      <c r="CH31" s="1777"/>
      <c r="CI31" s="569">
        <v>0</v>
      </c>
      <c r="CJ31" s="569">
        <v>0</v>
      </c>
      <c r="CK31" s="569">
        <v>0</v>
      </c>
      <c r="CL31" s="569">
        <v>0</v>
      </c>
      <c r="CM31" s="584">
        <f>SUM(CI31:CL31)</f>
        <v>0</v>
      </c>
      <c r="CN31" s="97"/>
      <c r="CO31" s="97"/>
      <c r="CP31"/>
      <c r="CQ31"/>
      <c r="CR31"/>
      <c r="CS31"/>
      <c r="CT31"/>
      <c r="CU31"/>
    </row>
    <row r="32" spans="1:105" s="24" customFormat="1" collapsed="1">
      <c r="A32" s="43" t="s">
        <v>300</v>
      </c>
      <c r="B32" s="43"/>
      <c r="C32" s="43"/>
      <c r="D32" s="43"/>
      <c r="E32" s="43"/>
      <c r="F32" s="43"/>
      <c r="G32" s="586">
        <v>-3.532</v>
      </c>
      <c r="H32" s="568"/>
      <c r="I32" s="587">
        <v>0</v>
      </c>
      <c r="J32" s="587">
        <v>0</v>
      </c>
      <c r="K32" s="587">
        <v>0</v>
      </c>
      <c r="L32" s="569">
        <f>0-SUM(I32:K32)</f>
        <v>0</v>
      </c>
      <c r="M32" s="570">
        <f>SUM(I32:L32)</f>
        <v>0</v>
      </c>
      <c r="N32" s="568"/>
      <c r="O32" s="587">
        <v>0</v>
      </c>
      <c r="P32" s="587">
        <v>0</v>
      </c>
      <c r="Q32" s="587">
        <v>0</v>
      </c>
      <c r="R32" s="569">
        <f>0-SUM(O32:Q32)</f>
        <v>0</v>
      </c>
      <c r="S32" s="570">
        <f>SUM(O32:R32)</f>
        <v>0</v>
      </c>
      <c r="T32" s="568"/>
      <c r="U32" s="587">
        <v>0</v>
      </c>
      <c r="V32" s="587">
        <v>0</v>
      </c>
      <c r="W32" s="587">
        <v>0</v>
      </c>
      <c r="X32" s="569">
        <v>0</v>
      </c>
      <c r="Y32" s="570">
        <f>SUM(U32:X32)</f>
        <v>0</v>
      </c>
      <c r="Z32" s="568"/>
      <c r="AA32" s="569">
        <v>0</v>
      </c>
      <c r="AB32" s="569">
        <v>0</v>
      </c>
      <c r="AC32" s="569">
        <f>0-SUM(AA32:AB32)</f>
        <v>0</v>
      </c>
      <c r="AD32" s="569">
        <f>0-SUM(AA32:AC32)</f>
        <v>0</v>
      </c>
      <c r="AE32" s="584">
        <f>SUM(AA32:AD32)</f>
        <v>0</v>
      </c>
      <c r="AF32" s="568"/>
      <c r="AG32" s="569">
        <v>0</v>
      </c>
      <c r="AH32" s="569">
        <v>0</v>
      </c>
      <c r="AI32" s="569">
        <v>0</v>
      </c>
      <c r="AJ32" s="569">
        <f>0-SUM(AG32:AI32)</f>
        <v>0</v>
      </c>
      <c r="AK32" s="584">
        <f>SUM(AG32:AJ32)</f>
        <v>0</v>
      </c>
      <c r="AL32" s="568"/>
      <c r="AM32" s="569">
        <v>0</v>
      </c>
      <c r="AN32" s="569">
        <f>0-AM32</f>
        <v>0</v>
      </c>
      <c r="AO32" s="1252">
        <f>0-AN32-AM32</f>
        <v>0</v>
      </c>
      <c r="AP32" s="587">
        <f>0-SUM(AM32:AO32)</f>
        <v>0</v>
      </c>
      <c r="AQ32" s="584">
        <f>SUM(AM32:AP32)</f>
        <v>0</v>
      </c>
      <c r="AR32" s="568"/>
      <c r="AS32" s="569">
        <v>0</v>
      </c>
      <c r="AT32" s="569">
        <f>0-AS32</f>
        <v>0</v>
      </c>
      <c r="AU32" s="569">
        <f>-1.8-SUM(AS32:AT32)</f>
        <v>-1.8</v>
      </c>
      <c r="AV32" s="569">
        <f>-15.126+1.563-SUM(AS32:AU32)</f>
        <v>-11.762999999999998</v>
      </c>
      <c r="AW32" s="584">
        <f>SUM(AS32:AV32)</f>
        <v>-13.562999999999999</v>
      </c>
      <c r="AX32" s="568"/>
      <c r="AY32" s="569">
        <v>0</v>
      </c>
      <c r="AZ32" s="569">
        <f>0-AY32</f>
        <v>0</v>
      </c>
      <c r="BA32" s="569">
        <f>5.154-SUM(AY32:AZ32)</f>
        <v>5.1539999999999999</v>
      </c>
      <c r="BB32" s="569">
        <f>-3+5.154-SUM(AY32:BA32)</f>
        <v>-3</v>
      </c>
      <c r="BC32" s="584">
        <f>SUM(AY32:BB32)</f>
        <v>2.1539999999999999</v>
      </c>
      <c r="BD32" s="568"/>
      <c r="BE32" s="569">
        <v>0</v>
      </c>
      <c r="BF32" s="569">
        <f>0-BE32</f>
        <v>0</v>
      </c>
      <c r="BG32" s="1840">
        <f>4-SUM(BE32:BF32)</f>
        <v>4</v>
      </c>
      <c r="BH32" s="569">
        <f>4-SUM(BE32:BG32)</f>
        <v>0</v>
      </c>
      <c r="BI32" s="584">
        <f>SUM(BE32:BH32)</f>
        <v>4</v>
      </c>
      <c r="BJ32" s="568"/>
      <c r="BK32" s="569">
        <f>-7</f>
        <v>-7</v>
      </c>
      <c r="BL32" s="569">
        <f>-7-5-BK32</f>
        <v>-5</v>
      </c>
      <c r="BM32" s="569">
        <f>-7-5-SUM(BK32:BL32)</f>
        <v>0</v>
      </c>
      <c r="BN32" s="569">
        <f>-7-5-SUM(BK32:BM32)</f>
        <v>0</v>
      </c>
      <c r="BO32" s="584">
        <f>SUM(BK32:BN32)</f>
        <v>-12</v>
      </c>
      <c r="BP32" s="568"/>
      <c r="BQ32" s="569">
        <v>0</v>
      </c>
      <c r="BR32" s="569">
        <v>0</v>
      </c>
      <c r="BS32" s="569">
        <v>0</v>
      </c>
      <c r="BT32" s="569">
        <v>0</v>
      </c>
      <c r="BU32" s="584">
        <f>SUM(BQ32:BT32)</f>
        <v>0</v>
      </c>
      <c r="BV32" s="1777"/>
      <c r="BW32" s="569">
        <v>0</v>
      </c>
      <c r="BX32" s="569">
        <v>0</v>
      </c>
      <c r="BY32" s="569">
        <v>0</v>
      </c>
      <c r="BZ32" s="569">
        <v>0</v>
      </c>
      <c r="CA32" s="584">
        <f>SUM(BW32:BZ32)</f>
        <v>0</v>
      </c>
      <c r="CB32" s="1777"/>
      <c r="CC32" s="569">
        <v>0</v>
      </c>
      <c r="CD32" s="569">
        <v>0</v>
      </c>
      <c r="CE32" s="569">
        <v>0</v>
      </c>
      <c r="CF32" s="569">
        <v>0</v>
      </c>
      <c r="CG32" s="584">
        <f>SUM(CC32:CF32)</f>
        <v>0</v>
      </c>
      <c r="CH32" s="1777"/>
      <c r="CI32" s="569">
        <v>0</v>
      </c>
      <c r="CJ32" s="569">
        <v>0</v>
      </c>
      <c r="CK32" s="569">
        <v>0</v>
      </c>
      <c r="CL32" s="569">
        <v>0</v>
      </c>
      <c r="CM32" s="584">
        <f>SUM(CI32:CL32)</f>
        <v>0</v>
      </c>
      <c r="CN32" s="97"/>
      <c r="CO32" s="97"/>
      <c r="CP32"/>
      <c r="CQ32"/>
      <c r="CR32"/>
      <c r="CS32"/>
      <c r="CT32"/>
      <c r="CU32"/>
    </row>
    <row r="33" spans="1:99" s="24" customFormat="1">
      <c r="A33" s="45" t="s">
        <v>419</v>
      </c>
      <c r="B33" s="45"/>
      <c r="C33" s="45"/>
      <c r="D33" s="45"/>
      <c r="E33" s="45"/>
      <c r="F33" s="45"/>
      <c r="G33" s="578">
        <f>SUM(G28:G32)</f>
        <v>-167.90699999999998</v>
      </c>
      <c r="H33" s="579"/>
      <c r="I33" s="579">
        <f>SUM(I28:I32)</f>
        <v>23.411000000000001</v>
      </c>
      <c r="J33" s="579">
        <f t="shared" ref="J33:Y33" si="32">SUM(J28:J32)</f>
        <v>39.695999999999998</v>
      </c>
      <c r="K33" s="579">
        <f t="shared" si="32"/>
        <v>-19.486000000000004</v>
      </c>
      <c r="L33" s="579">
        <f t="shared" si="32"/>
        <v>-24.809999999999995</v>
      </c>
      <c r="M33" s="578">
        <f t="shared" si="32"/>
        <v>18.811</v>
      </c>
      <c r="N33" s="579"/>
      <c r="O33" s="579">
        <f t="shared" si="32"/>
        <v>-101.361</v>
      </c>
      <c r="P33" s="579">
        <f t="shared" si="32"/>
        <v>-139.71499999999997</v>
      </c>
      <c r="Q33" s="579">
        <f t="shared" si="32"/>
        <v>-63.139999999999986</v>
      </c>
      <c r="R33" s="579">
        <f t="shared" si="32"/>
        <v>-114.81199999999998</v>
      </c>
      <c r="S33" s="578">
        <f t="shared" si="32"/>
        <v>-419.02800000000002</v>
      </c>
      <c r="T33" s="579"/>
      <c r="U33" s="579">
        <f t="shared" si="32"/>
        <v>-116.18699999999998</v>
      </c>
      <c r="V33" s="579">
        <f t="shared" si="32"/>
        <v>-59.485000000000014</v>
      </c>
      <c r="W33" s="579">
        <f t="shared" si="32"/>
        <v>-156.76500000000004</v>
      </c>
      <c r="X33" s="579">
        <f t="shared" si="32"/>
        <v>-79.077999999999975</v>
      </c>
      <c r="Y33" s="578">
        <f t="shared" si="32"/>
        <v>-411.5150000000001</v>
      </c>
      <c r="Z33" s="579"/>
      <c r="AA33" s="579">
        <f>SUM(AA28:AA32)</f>
        <v>-121.10700000000003</v>
      </c>
      <c r="AB33" s="579">
        <f>SUM(AB28:AB32)</f>
        <v>-53.006999999999948</v>
      </c>
      <c r="AC33" s="579">
        <f>SUM(AC28:AC32)</f>
        <v>-20.600000000000136</v>
      </c>
      <c r="AD33" s="579">
        <f>SUM(AD28:AD32)</f>
        <v>-161.26199999999992</v>
      </c>
      <c r="AE33" s="578">
        <f>SUM(AE28:AE32)</f>
        <v>-355.976</v>
      </c>
      <c r="AF33" s="579"/>
      <c r="AG33" s="579">
        <f>SUM(AG28:AG32)</f>
        <v>-62.954000000000022</v>
      </c>
      <c r="AH33" s="579">
        <f>SUM(AH28:AH32)</f>
        <v>-127.73799999999994</v>
      </c>
      <c r="AI33" s="579">
        <f>SUM(AI28:AI32)</f>
        <v>-108.15900000000008</v>
      </c>
      <c r="AJ33" s="579">
        <f>SUM(AJ28:AJ32)</f>
        <v>2.4569999999998799</v>
      </c>
      <c r="AK33" s="578">
        <f>SUM(AK28:AK32)</f>
        <v>-296.39400000000018</v>
      </c>
      <c r="AL33" s="579"/>
      <c r="AM33" s="579">
        <f>SUM(AM28:AM32)</f>
        <v>-90.453000000000088</v>
      </c>
      <c r="AN33" s="579">
        <f>SUM(AN28:AN32)</f>
        <v>-107.5100000000001</v>
      </c>
      <c r="AO33" s="579">
        <f>SUM(AO28:AO32)</f>
        <v>-131.40299999999982</v>
      </c>
      <c r="AP33" s="579">
        <f>SUM(AP28:AP32)</f>
        <v>-135.36300000000006</v>
      </c>
      <c r="AQ33" s="578">
        <f>SUM(AQ28:AQ32)</f>
        <v>-464.72899999999981</v>
      </c>
      <c r="AR33" s="579"/>
      <c r="AS33" s="579">
        <f>SUM(AS28:AS32)</f>
        <v>-119.94899999999994</v>
      </c>
      <c r="AT33" s="579">
        <f>SUM(AT28:AT32)</f>
        <v>-53.811999999999898</v>
      </c>
      <c r="AU33" s="579">
        <f>SUM(AU28:AU32)</f>
        <v>-148.66299999999995</v>
      </c>
      <c r="AV33" s="579">
        <f>SUM(AV28:AV32)</f>
        <v>-79.605999999999881</v>
      </c>
      <c r="AW33" s="578">
        <f>SUM(AW28:AW32)</f>
        <v>-402.02999999999957</v>
      </c>
      <c r="AX33" s="579"/>
      <c r="AY33" s="579">
        <f>SUM(AY28:AY32)</f>
        <v>-56.446000000000026</v>
      </c>
      <c r="AZ33" s="579">
        <f>SUM(AZ28:AZ32)</f>
        <v>-208.06199999999998</v>
      </c>
      <c r="BA33" s="579">
        <f>SUM(BA28:BA32)</f>
        <v>-30.000999999999859</v>
      </c>
      <c r="BB33" s="579">
        <f>SUM(BB28:BB32)</f>
        <v>-105.23</v>
      </c>
      <c r="BC33" s="578">
        <f>SUM(BC28:BC32)</f>
        <v>-399.73900000000015</v>
      </c>
      <c r="BD33" s="579"/>
      <c r="BE33" s="579">
        <f>SUM(BE28:BE32)</f>
        <v>-197.82299999999998</v>
      </c>
      <c r="BF33" s="579">
        <f>SUM(BF28:BF32)</f>
        <v>-69.848000000000184</v>
      </c>
      <c r="BG33" s="579">
        <f>SUM(BG28:BG32)</f>
        <v>-171.00300000000004</v>
      </c>
      <c r="BH33" s="579">
        <f>SUM(BH28:BH32)</f>
        <v>-49.243999999999929</v>
      </c>
      <c r="BI33" s="578">
        <f>SUM(BI28:BI32)</f>
        <v>-487.91800000000018</v>
      </c>
      <c r="BJ33" s="579"/>
      <c r="BK33" s="579">
        <f>SUM(BK28:BK32)</f>
        <v>-97.049000000000092</v>
      </c>
      <c r="BL33" s="579">
        <f>SUM(BL28:BL32)</f>
        <v>-196.80299999999988</v>
      </c>
      <c r="BM33" s="579">
        <f>SUM(BM28:BM32)</f>
        <v>-110.13600000000008</v>
      </c>
      <c r="BN33" s="579">
        <f>SUM(BN28:BN32)</f>
        <v>-131.76400000000001</v>
      </c>
      <c r="BO33" s="578">
        <f>SUM(BO28:BO32)</f>
        <v>-535.75199999999995</v>
      </c>
      <c r="BP33" s="579"/>
      <c r="BQ33" s="579">
        <f>SUM(BQ28:BQ32)</f>
        <v>-24.728711267033646</v>
      </c>
      <c r="BR33" s="579">
        <f>SUM(BR28:BR32)</f>
        <v>-27.756781743361028</v>
      </c>
      <c r="BS33" s="579">
        <f>SUM(BS28:BS32)</f>
        <v>-27.491388877278499</v>
      </c>
      <c r="BT33" s="579">
        <f>SUM(BT28:BT32)</f>
        <v>-33.454935077118385</v>
      </c>
      <c r="BU33" s="578">
        <f>SUM(BU28:BU32)</f>
        <v>-113.43181696479155</v>
      </c>
      <c r="BV33" s="581"/>
      <c r="BW33" s="579">
        <f>SUM(BW28:BW32)</f>
        <v>-38.0529252303823</v>
      </c>
      <c r="BX33" s="579">
        <f>SUM(BX28:BX32)</f>
        <v>-42.434229504652585</v>
      </c>
      <c r="BY33" s="579">
        <f>SUM(BY28:BY32)</f>
        <v>-41.921707930826969</v>
      </c>
      <c r="BZ33" s="579">
        <f>SUM(BZ28:BZ32)</f>
        <v>-50.692551515244013</v>
      </c>
      <c r="CA33" s="578">
        <f>SUM(CA28:CA32)</f>
        <v>-173.10141418110587</v>
      </c>
      <c r="CB33" s="581"/>
      <c r="CC33" s="579">
        <f>SUM(CC28:CC32)</f>
        <v>-39.329929125873761</v>
      </c>
      <c r="CD33" s="579">
        <f>SUM(CD28:CD32)</f>
        <v>-43.568208428385979</v>
      </c>
      <c r="CE33" s="579">
        <f>SUM(CE28:CE32)</f>
        <v>-42.984631253565503</v>
      </c>
      <c r="CF33" s="579">
        <f>SUM(CF28:CF32)</f>
        <v>-51.641579286328998</v>
      </c>
      <c r="CG33" s="578">
        <f>SUM(CG28:CG32)</f>
        <v>-177.52434809415425</v>
      </c>
      <c r="CH33" s="581"/>
      <c r="CI33" s="579">
        <f>SUM(CI28:CI32)</f>
        <v>-28.633638806608154</v>
      </c>
      <c r="CJ33" s="579">
        <f>SUM(CJ28:CJ32)</f>
        <v>-31.511236872657093</v>
      </c>
      <c r="CK33" s="579">
        <f>SUM(CK28:CK32)</f>
        <v>-31.046763867609126</v>
      </c>
      <c r="CL33" s="579">
        <f>SUM(CL28:CL32)</f>
        <v>-37.064914716304557</v>
      </c>
      <c r="CM33" s="578">
        <f>SUM(CM28:CM32)</f>
        <v>-128.25655426317894</v>
      </c>
      <c r="CN33" s="97"/>
      <c r="CO33" s="97"/>
      <c r="CP33"/>
      <c r="CQ33"/>
      <c r="CR33"/>
      <c r="CS33"/>
      <c r="CT33"/>
      <c r="CU33"/>
    </row>
    <row r="34" spans="1:99" s="24" customFormat="1" ht="6" customHeight="1">
      <c r="A34" s="32"/>
      <c r="B34" s="32"/>
      <c r="C34" s="32"/>
      <c r="D34" s="32"/>
      <c r="E34" s="32"/>
      <c r="F34" s="32"/>
      <c r="G34" s="584"/>
      <c r="H34" s="571"/>
      <c r="I34" s="585"/>
      <c r="J34" s="585"/>
      <c r="K34" s="585"/>
      <c r="L34" s="585"/>
      <c r="M34" s="584"/>
      <c r="N34" s="571"/>
      <c r="O34" s="585"/>
      <c r="P34" s="585"/>
      <c r="Q34" s="585"/>
      <c r="R34" s="585"/>
      <c r="S34" s="584"/>
      <c r="T34" s="571"/>
      <c r="U34" s="585"/>
      <c r="V34" s="585"/>
      <c r="W34" s="585"/>
      <c r="X34" s="585"/>
      <c r="Y34" s="584"/>
      <c r="Z34" s="571"/>
      <c r="AA34" s="585"/>
      <c r="AB34" s="585"/>
      <c r="AC34" s="585"/>
      <c r="AD34" s="571"/>
      <c r="AE34" s="584"/>
      <c r="AF34" s="571"/>
      <c r="AG34" s="585"/>
      <c r="AH34" s="571"/>
      <c r="AI34" s="571"/>
      <c r="AJ34" s="571"/>
      <c r="AK34" s="584"/>
      <c r="AL34" s="571"/>
      <c r="AM34" s="571"/>
      <c r="AN34" s="571"/>
      <c r="AO34" s="571"/>
      <c r="AP34" s="571"/>
      <c r="AQ34" s="584"/>
      <c r="AR34" s="571"/>
      <c r="AS34" s="571"/>
      <c r="AT34" s="571"/>
      <c r="AU34" s="571"/>
      <c r="AV34" s="571"/>
      <c r="AW34" s="584"/>
      <c r="AX34" s="571"/>
      <c r="AY34" s="571"/>
      <c r="AZ34" s="571"/>
      <c r="BA34" s="571"/>
      <c r="BB34" s="571"/>
      <c r="BC34" s="584"/>
      <c r="BD34" s="571"/>
      <c r="BE34" s="571"/>
      <c r="BF34" s="571"/>
      <c r="BG34" s="571"/>
      <c r="BH34" s="571"/>
      <c r="BI34" s="584"/>
      <c r="BJ34" s="571"/>
      <c r="BK34" s="571"/>
      <c r="BL34" s="571"/>
      <c r="BM34" s="571"/>
      <c r="BN34" s="571"/>
      <c r="BO34" s="584"/>
      <c r="BP34" s="571"/>
      <c r="BQ34" s="571"/>
      <c r="BR34" s="571"/>
      <c r="BS34" s="571"/>
      <c r="BT34" s="571"/>
      <c r="BU34" s="584"/>
      <c r="BV34" s="1777"/>
      <c r="BW34" s="571"/>
      <c r="BX34" s="571"/>
      <c r="BY34" s="571"/>
      <c r="BZ34" s="571"/>
      <c r="CA34" s="584"/>
      <c r="CB34" s="1777"/>
      <c r="CC34" s="571"/>
      <c r="CD34" s="571"/>
      <c r="CE34" s="571"/>
      <c r="CF34" s="571"/>
      <c r="CG34" s="584"/>
      <c r="CH34" s="1777"/>
      <c r="CI34" s="571"/>
      <c r="CJ34" s="571"/>
      <c r="CK34" s="571"/>
      <c r="CL34" s="571"/>
      <c r="CM34" s="584"/>
      <c r="CN34" s="97"/>
      <c r="CO34" s="97"/>
      <c r="CP34"/>
      <c r="CQ34"/>
      <c r="CR34"/>
      <c r="CS34"/>
      <c r="CT34"/>
      <c r="CU34"/>
    </row>
    <row r="35" spans="1:99" s="24" customFormat="1">
      <c r="A35" s="44" t="s">
        <v>420</v>
      </c>
      <c r="B35" s="44"/>
      <c r="C35" s="44"/>
      <c r="D35" s="44"/>
      <c r="E35" s="44"/>
      <c r="F35" s="44"/>
      <c r="G35" s="584"/>
      <c r="H35" s="585"/>
      <c r="I35" s="585"/>
      <c r="J35" s="585"/>
      <c r="K35" s="585"/>
      <c r="L35" s="585"/>
      <c r="M35" s="584"/>
      <c r="N35" s="585"/>
      <c r="O35" s="585"/>
      <c r="P35" s="585"/>
      <c r="Q35" s="585"/>
      <c r="R35" s="585"/>
      <c r="S35" s="584"/>
      <c r="T35" s="585"/>
      <c r="U35" s="585"/>
      <c r="V35" s="585"/>
      <c r="W35" s="585"/>
      <c r="X35" s="585"/>
      <c r="Y35" s="584"/>
      <c r="Z35" s="585"/>
      <c r="AA35" s="585"/>
      <c r="AB35" s="585"/>
      <c r="AC35" s="585"/>
      <c r="AD35" s="585"/>
      <c r="AE35" s="584"/>
      <c r="AF35" s="585"/>
      <c r="AG35" s="585"/>
      <c r="AH35" s="585"/>
      <c r="AI35" s="585"/>
      <c r="AJ35" s="585"/>
      <c r="AK35" s="584"/>
      <c r="AL35" s="585"/>
      <c r="AM35" s="585"/>
      <c r="AN35" s="585"/>
      <c r="AO35" s="585"/>
      <c r="AP35" s="585"/>
      <c r="AQ35" s="584"/>
      <c r="AR35" s="585"/>
      <c r="AS35" s="585"/>
      <c r="AT35" s="585"/>
      <c r="AU35" s="585"/>
      <c r="AV35" s="585"/>
      <c r="AW35" s="584"/>
      <c r="AX35" s="585"/>
      <c r="AY35" s="585"/>
      <c r="AZ35" s="585"/>
      <c r="BA35" s="585"/>
      <c r="BB35" s="585"/>
      <c r="BC35" s="584"/>
      <c r="BD35" s="585"/>
      <c r="BE35" s="585"/>
      <c r="BF35" s="585"/>
      <c r="BG35" s="585"/>
      <c r="BH35" s="585"/>
      <c r="BI35" s="584"/>
      <c r="BJ35" s="585"/>
      <c r="BK35" s="585"/>
      <c r="BL35" s="585"/>
      <c r="BM35" s="585"/>
      <c r="BN35" s="585"/>
      <c r="BO35" s="584"/>
      <c r="BP35" s="585"/>
      <c r="BQ35" s="585"/>
      <c r="BR35" s="585"/>
      <c r="BS35" s="585"/>
      <c r="BT35" s="585"/>
      <c r="BU35" s="584"/>
      <c r="BV35" s="1777"/>
      <c r="BW35" s="585"/>
      <c r="BX35" s="585"/>
      <c r="BY35" s="585"/>
      <c r="BZ35" s="585"/>
      <c r="CA35" s="584"/>
      <c r="CB35" s="1777"/>
      <c r="CC35" s="585"/>
      <c r="CD35" s="585"/>
      <c r="CE35" s="585"/>
      <c r="CF35" s="585"/>
      <c r="CG35" s="584"/>
      <c r="CH35" s="1777"/>
      <c r="CI35" s="585"/>
      <c r="CJ35" s="585"/>
      <c r="CK35" s="585"/>
      <c r="CL35" s="585"/>
      <c r="CM35" s="584"/>
      <c r="CN35" s="97"/>
      <c r="CO35" s="97"/>
      <c r="CP35"/>
      <c r="CQ35"/>
      <c r="CR35"/>
      <c r="CS35"/>
      <c r="CT35"/>
      <c r="CU35"/>
    </row>
    <row r="36" spans="1:99" s="24" customFormat="1" hidden="1" outlineLevel="1">
      <c r="A36" s="43" t="s">
        <v>421</v>
      </c>
      <c r="B36" s="43"/>
      <c r="C36" s="43"/>
      <c r="D36" s="43"/>
      <c r="E36" s="43"/>
      <c r="F36" s="43"/>
      <c r="G36" s="586">
        <v>1131.8340000000001</v>
      </c>
      <c r="H36" s="585"/>
      <c r="I36" s="587">
        <v>287.01400000000001</v>
      </c>
      <c r="J36" s="587">
        <f>389.904-I36</f>
        <v>102.88999999999999</v>
      </c>
      <c r="K36" s="587">
        <f>468.429-I36-J36</f>
        <v>78.524999999999977</v>
      </c>
      <c r="L36" s="569">
        <f>469.407-SUM(I36:K36)</f>
        <v>0.97800000000000864</v>
      </c>
      <c r="M36" s="570">
        <f t="shared" ref="M36:M42" si="33">SUM(I36:L36)</f>
        <v>469.40699999999998</v>
      </c>
      <c r="N36" s="585"/>
      <c r="O36" s="587">
        <v>94.763999999999996</v>
      </c>
      <c r="P36" s="587">
        <f>143.625-O36</f>
        <v>48.861000000000004</v>
      </c>
      <c r="Q36" s="587">
        <f>169.024-O36-P36</f>
        <v>25.399000000000001</v>
      </c>
      <c r="R36" s="569">
        <f>184.309-SUM(O36:Q36)</f>
        <v>15.284999999999997</v>
      </c>
      <c r="S36" s="570">
        <f t="shared" ref="S36:S42" si="34">SUM(O36:R36)</f>
        <v>184.309</v>
      </c>
      <c r="T36" s="585"/>
      <c r="U36" s="587">
        <v>213.273</v>
      </c>
      <c r="V36" s="587">
        <f>268.538-U36</f>
        <v>55.265000000000015</v>
      </c>
      <c r="W36" s="587">
        <f>315.116-U36-V36</f>
        <v>46.577999999999975</v>
      </c>
      <c r="X36" s="569">
        <f>315.641-U36-V36-W36</f>
        <v>0.52500000000003411</v>
      </c>
      <c r="Y36" s="570">
        <f t="shared" ref="Y36:Y42" si="35">SUM(U36:X36)</f>
        <v>315.64100000000002</v>
      </c>
      <c r="Z36" s="585"/>
      <c r="AA36" s="569">
        <v>242.126</v>
      </c>
      <c r="AB36" s="569">
        <f>297.131-AA36</f>
        <v>55.004999999999967</v>
      </c>
      <c r="AC36" s="569">
        <f>558.199-SUM(AA36:AB36)</f>
        <v>261.06799999999998</v>
      </c>
      <c r="AD36" s="569">
        <f>598.528-SUM(AA36:AC36)</f>
        <v>40.329000000000065</v>
      </c>
      <c r="AE36" s="584">
        <f>SUM(AA36:AD36)</f>
        <v>598.52800000000002</v>
      </c>
      <c r="AF36" s="585"/>
      <c r="AG36" s="569">
        <v>50.094000000000001</v>
      </c>
      <c r="AH36" s="587">
        <f>137.937-AG36</f>
        <v>87.843000000000018</v>
      </c>
      <c r="AI36" s="587">
        <f>188.074-SUM(AG36:AH36)</f>
        <v>50.137</v>
      </c>
      <c r="AJ36" s="569">
        <f>218.324-SUM(AG36:AI36)</f>
        <v>30.25</v>
      </c>
      <c r="AK36" s="584">
        <f>SUM(AG36:AJ36)</f>
        <v>218.32400000000001</v>
      </c>
      <c r="AL36" s="585"/>
      <c r="AM36" s="569">
        <v>65.632000000000005</v>
      </c>
      <c r="AN36" s="587">
        <f>961.171-AM36</f>
        <v>895.53899999999999</v>
      </c>
      <c r="AO36" s="1252">
        <f>1002.023-AN36-AM36</f>
        <v>40.852000000000032</v>
      </c>
      <c r="AP36" s="587">
        <f>1032.209-SUM(AM36:AO36)</f>
        <v>30.185999999999922</v>
      </c>
      <c r="AQ36" s="584">
        <f>SUM(AM36:AP36)</f>
        <v>1032.2090000000001</v>
      </c>
      <c r="AR36" s="585"/>
      <c r="AS36" s="569">
        <v>10.053000000000001</v>
      </c>
      <c r="AT36" s="569">
        <f>76.424-AS36</f>
        <v>66.371000000000009</v>
      </c>
      <c r="AU36" s="569">
        <f>336.43-SUM(AS36:AT36)</f>
        <v>260.00599999999997</v>
      </c>
      <c r="AV36" s="569">
        <f>381.673-SUM(AS36:AU36)</f>
        <v>45.243000000000052</v>
      </c>
      <c r="AW36" s="584">
        <f>SUM(AS36:AV36)</f>
        <v>381.673</v>
      </c>
      <c r="AX36" s="585"/>
      <c r="AY36" s="569">
        <v>120.07299999999999</v>
      </c>
      <c r="AZ36" s="569">
        <f>195.073-AY36</f>
        <v>75.000000000000014</v>
      </c>
      <c r="BA36" s="569">
        <f>285.073-SUM(AY36:AZ36)</f>
        <v>89.999999999999972</v>
      </c>
      <c r="BB36" s="569">
        <f>325.219-SUM(AY36:BA36)</f>
        <v>40.146000000000015</v>
      </c>
      <c r="BC36" s="584">
        <f>SUM(AY36:BB36)</f>
        <v>325.21899999999999</v>
      </c>
      <c r="BD36" s="585"/>
      <c r="BE36" s="569">
        <v>110.17700000000001</v>
      </c>
      <c r="BF36" s="569">
        <f>400.177-BE36</f>
        <v>290</v>
      </c>
      <c r="BG36" s="1840">
        <f>440.177-SUM(BE36:BF36)</f>
        <v>40</v>
      </c>
      <c r="BH36" s="569">
        <f>485.298-SUM(BE36:BG36)</f>
        <v>45.120999999999981</v>
      </c>
      <c r="BI36" s="584">
        <f>SUM(BE36:BH36)</f>
        <v>485.298</v>
      </c>
      <c r="BJ36" s="585"/>
      <c r="BK36" s="569">
        <v>40</v>
      </c>
      <c r="BL36" s="569">
        <f>85-BK36</f>
        <v>45</v>
      </c>
      <c r="BM36" s="569">
        <f>130.19-SUM(BK36:BL36)</f>
        <v>45.19</v>
      </c>
      <c r="BN36" s="569">
        <f>1480.19-SUM(BK36:BM36)</f>
        <v>1350</v>
      </c>
      <c r="BO36" s="584">
        <f>SUM(BK36:BN36)</f>
        <v>1480.19</v>
      </c>
      <c r="BP36" s="585"/>
      <c r="BQ36" s="585">
        <f>IF(Debt!BQ31&gt;0,Debt!BQ31,0)+IF(Debt!BQ32&gt;0,Debt!BQ32,0)+IF(Debt!BQ33&gt;0,Debt!BQ33,0)+IF(Debt!BQ34&gt;0,Debt!BQ34,0)+IF(Debt!BQ35&gt;0,Debt!BQ35,0)+IF(Debt!BQ42&gt;0,Debt!BQ42,0)+IF(Debt!BQ43&gt;0,Debt!BQ43,0)</f>
        <v>0</v>
      </c>
      <c r="BR36" s="585">
        <f>IF(Debt!BR31&gt;0,Debt!BR31,0)+IF(Debt!BR32&gt;0,Debt!BR32,0)+IF(Debt!BR33&gt;0,Debt!BR33,0)+IF(Debt!BR34&gt;0,Debt!BR34,0)+IF(Debt!BR35&gt;0,Debt!BR35,0)+IF(Debt!BR42&gt;0,Debt!BR42,0)+IF(Debt!BR43&gt;0,Debt!BR43,0)</f>
        <v>0</v>
      </c>
      <c r="BS36" s="585">
        <f>IF(Debt!BS31&gt;0,Debt!BS31,0)+IF(Debt!BS32&gt;0,Debt!BS32,0)+IF(Debt!BS33&gt;0,Debt!BS33,0)+IF(Debt!BS34&gt;0,Debt!BS34,0)+IF(Debt!BS35&gt;0,Debt!BS35,0)+IF(Debt!BS42&gt;0,Debt!BS42,0)+IF(Debt!BS43&gt;0,Debt!BS43,0)</f>
        <v>0</v>
      </c>
      <c r="BT36" s="585">
        <f>IF(Debt!BT31&gt;0,Debt!BT31,0)+IF(Debt!BT32&gt;0,Debt!BT32,0)+IF(Debt!BT33&gt;0,Debt!BT33,0)+IF(Debt!BT34&gt;0,Debt!BT34,0)+IF(Debt!BT35&gt;0,Debt!BT35,0)+IF(Debt!BT42&gt;0,Debt!BT42,0)+IF(Debt!BT43&gt;0,Debt!BT43,0)</f>
        <v>0</v>
      </c>
      <c r="BU36" s="584">
        <f>SUM(BQ36:BT36)</f>
        <v>0</v>
      </c>
      <c r="BV36" s="1777"/>
      <c r="BW36" s="585">
        <f>IF(Debt!BW31&gt;0,Debt!BW31,0)+IF(Debt!BW32&gt;0,Debt!BW32,0)+IF(Debt!BW33&gt;0,Debt!BW33,0)+IF(Debt!BW34&gt;0,Debt!BW34,0)+IF(Debt!BW35&gt;0,Debt!BW35,0)+IF(Debt!BW42&gt;0,Debt!BW42,0)+IF(Debt!BW43&gt;0,Debt!BW43,0)</f>
        <v>0</v>
      </c>
      <c r="BX36" s="585">
        <f>IF(Debt!BX31&gt;0,Debt!BX31,0)+IF(Debt!BX32&gt;0,Debt!BX32,0)+IF(Debt!BX33&gt;0,Debt!BX33,0)+IF(Debt!BX34&gt;0,Debt!BX34,0)+IF(Debt!BX35&gt;0,Debt!BX35,0)+IF(Debt!BX42&gt;0,Debt!BX42,0)+IF(Debt!BX43&gt;0,Debt!BX43,0)</f>
        <v>0</v>
      </c>
      <c r="BY36" s="585">
        <f>IF(Debt!BY31&gt;0,Debt!BY31,0)+IF(Debt!BY32&gt;0,Debt!BY32,0)+IF(Debt!BY33&gt;0,Debt!BY33,0)+IF(Debt!BY34&gt;0,Debt!BY34,0)+IF(Debt!BY35&gt;0,Debt!BY35,0)+IF(Debt!BY42&gt;0,Debt!BY42,0)+IF(Debt!BY43&gt;0,Debt!BY43,0)</f>
        <v>0</v>
      </c>
      <c r="BZ36" s="585">
        <f>IF(Debt!BZ31&gt;0,Debt!BZ31,0)+IF(Debt!BZ32&gt;0,Debt!BZ32,0)+IF(Debt!BZ33&gt;0,Debt!BZ33,0)+IF(Debt!BZ34&gt;0,Debt!BZ34,0)+IF(Debt!BZ35&gt;0,Debt!BZ35,0)+IF(Debt!BZ42&gt;0,Debt!BZ42,0)+IF(Debt!BZ43&gt;0,Debt!BZ43,0)</f>
        <v>0</v>
      </c>
      <c r="CA36" s="584">
        <f>SUM(BW36:BZ36)</f>
        <v>0</v>
      </c>
      <c r="CB36" s="1777"/>
      <c r="CC36" s="585">
        <f>IF(Debt!CC31&gt;0,Debt!CC31,0)+IF(Debt!CC32&gt;0,Debt!CC32,0)+IF(Debt!CC33&gt;0,Debt!CC33,0)+IF(Debt!CC34&gt;0,Debt!CC34,0)+IF(Debt!CC35&gt;0,Debt!CC35,0)+IF(Debt!CC42&gt;0,Debt!CC42,0)+IF(Debt!CC43&gt;0,Debt!CC43,0)</f>
        <v>0</v>
      </c>
      <c r="CD36" s="585">
        <f>IF(Debt!CD31&gt;0,Debt!CD31,0)+IF(Debt!CD32&gt;0,Debt!CD32,0)+IF(Debt!CD33&gt;0,Debt!CD33,0)+IF(Debt!CD34&gt;0,Debt!CD34,0)+IF(Debt!CD35&gt;0,Debt!CD35,0)+IF(Debt!CD42&gt;0,Debt!CD42,0)+IF(Debt!CD43&gt;0,Debt!CD43,0)</f>
        <v>0</v>
      </c>
      <c r="CE36" s="585">
        <f>IF(Debt!CE31&gt;0,Debt!CE31,0)+IF(Debt!CE32&gt;0,Debt!CE32,0)+IF(Debt!CE33&gt;0,Debt!CE33,0)+IF(Debt!CE34&gt;0,Debt!CE34,0)+IF(Debt!CE35&gt;0,Debt!CE35,0)+IF(Debt!CE42&gt;0,Debt!CE42,0)+IF(Debt!CE43&gt;0,Debt!CE43,0)</f>
        <v>0</v>
      </c>
      <c r="CF36" s="585">
        <f>IF(Debt!CF31&gt;0,Debt!CF31,0)+IF(Debt!CF32&gt;0,Debt!CF32,0)+IF(Debt!CF33&gt;0,Debt!CF33,0)+IF(Debt!CF34&gt;0,Debt!CF34,0)+IF(Debt!CF35&gt;0,Debt!CF35,0)+IF(Debt!CF42&gt;0,Debt!CF42,0)+IF(Debt!CF43&gt;0,Debt!CF43,0)</f>
        <v>0</v>
      </c>
      <c r="CG36" s="584">
        <f>SUM(CC36:CF36)</f>
        <v>0</v>
      </c>
      <c r="CH36" s="1777"/>
      <c r="CI36" s="585">
        <f>IF(Debt!CI31&gt;0,Debt!CI31,0)+IF(Debt!CI32&gt;0,Debt!CI32,0)+IF(Debt!CI33&gt;0,Debt!CI33,0)+IF(Debt!CI34&gt;0,Debt!CI34,0)+IF(Debt!CI35&gt;0,Debt!CI35,0)+IF(Debt!CI42&gt;0,Debt!CI42,0)+IF(Debt!CI43&gt;0,Debt!CI43,0)</f>
        <v>0</v>
      </c>
      <c r="CJ36" s="585">
        <f>IF(Debt!CJ31&gt;0,Debt!CJ31,0)+IF(Debt!CJ32&gt;0,Debt!CJ32,0)+IF(Debt!CJ33&gt;0,Debt!CJ33,0)+IF(Debt!CJ34&gt;0,Debt!CJ34,0)+IF(Debt!CJ35&gt;0,Debt!CJ35,0)+IF(Debt!CJ42&gt;0,Debt!CJ42,0)+IF(Debt!CJ43&gt;0,Debt!CJ43,0)</f>
        <v>0</v>
      </c>
      <c r="CK36" s="585">
        <f>IF(Debt!CK31&gt;0,Debt!CK31,0)+IF(Debt!CK32&gt;0,Debt!CK32,0)+IF(Debt!CK33&gt;0,Debt!CK33,0)+IF(Debt!CK34&gt;0,Debt!CK34,0)+IF(Debt!CK35&gt;0,Debt!CK35,0)+IF(Debt!CK42&gt;0,Debt!CK42,0)+IF(Debt!CK43&gt;0,Debt!CK43,0)</f>
        <v>0</v>
      </c>
      <c r="CL36" s="585">
        <f>IF(Debt!CL31&gt;0,Debt!CL31,0)+IF(Debt!CL32&gt;0,Debt!CL32,0)+IF(Debt!CL33&gt;0,Debt!CL33,0)+IF(Debt!CL34&gt;0,Debt!CL34,0)+IF(Debt!CL35&gt;0,Debt!CL35,0)+IF(Debt!CL42&gt;0,Debt!CL42,0)+IF(Debt!CL43&gt;0,Debt!CL43,0)</f>
        <v>0</v>
      </c>
      <c r="CM36" s="584">
        <f>SUM(CI36:CL36)</f>
        <v>0</v>
      </c>
      <c r="CN36" s="97"/>
      <c r="CO36" s="97"/>
      <c r="CP36"/>
      <c r="CQ36"/>
      <c r="CR36"/>
      <c r="CS36"/>
      <c r="CT36"/>
      <c r="CU36"/>
    </row>
    <row r="37" spans="1:99" s="24" customFormat="1" hidden="1" outlineLevel="1">
      <c r="A37" s="43" t="s">
        <v>422</v>
      </c>
      <c r="B37" s="43"/>
      <c r="C37" s="43"/>
      <c r="D37" s="43"/>
      <c r="E37" s="43"/>
      <c r="F37" s="43"/>
      <c r="G37" s="586">
        <v>-1151.1189999999999</v>
      </c>
      <c r="H37" s="585"/>
      <c r="I37" s="587">
        <v>-241.88900000000001</v>
      </c>
      <c r="J37" s="587">
        <f>-290.06-I37</f>
        <v>-48.170999999999992</v>
      </c>
      <c r="K37" s="587">
        <f>-325.117-I37-J37</f>
        <v>-35.057000000000016</v>
      </c>
      <c r="L37" s="569">
        <f>-817.463-SUM(I37:K37)</f>
        <v>-492.34599999999995</v>
      </c>
      <c r="M37" s="570">
        <f t="shared" si="33"/>
        <v>-817.46299999999997</v>
      </c>
      <c r="N37" s="585"/>
      <c r="O37" s="587">
        <v>-46.723999999999997</v>
      </c>
      <c r="P37" s="587">
        <f>-52.888-O37</f>
        <v>-6.1640000000000015</v>
      </c>
      <c r="Q37" s="587">
        <f>-64.393-O37-P37</f>
        <v>-11.505000000000003</v>
      </c>
      <c r="R37" s="569">
        <f>-92.556-SUM(O37:Q37)</f>
        <v>-28.162999999999997</v>
      </c>
      <c r="S37" s="570">
        <f t="shared" si="34"/>
        <v>-92.555999999999997</v>
      </c>
      <c r="T37" s="585"/>
      <c r="U37" s="587">
        <v>-132.66300000000001</v>
      </c>
      <c r="V37" s="587">
        <f>-143.452-U37</f>
        <v>-10.788999999999987</v>
      </c>
      <c r="W37" s="587">
        <f>-154.645-U37-V37</f>
        <v>-11.193000000000012</v>
      </c>
      <c r="X37" s="569">
        <f>-181.358-U37-V37-W37</f>
        <v>-26.712999999999994</v>
      </c>
      <c r="Y37" s="570">
        <f t="shared" si="35"/>
        <v>-181.358</v>
      </c>
      <c r="Z37" s="585"/>
      <c r="AA37" s="569">
        <v>-217.83500000000001</v>
      </c>
      <c r="AB37" s="569">
        <f>-227.01-AA37</f>
        <v>-9.1749999999999829</v>
      </c>
      <c r="AC37" s="569">
        <f>-352.676-SUM(AA37:AB37)</f>
        <v>-125.666</v>
      </c>
      <c r="AD37" s="569">
        <f>-373.751-SUM(AA37:AC37)</f>
        <v>-21.074999999999989</v>
      </c>
      <c r="AE37" s="584">
        <f t="shared" ref="AE37:AE42" si="36">SUM(AA37:AD37)</f>
        <v>-373.75099999999998</v>
      </c>
      <c r="AF37" s="585"/>
      <c r="AG37" s="569">
        <v>-18.042000000000002</v>
      </c>
      <c r="AH37" s="587">
        <f>-28.147-AG37</f>
        <v>-10.104999999999997</v>
      </c>
      <c r="AI37" s="587">
        <f>-31.935-SUM(AG37:AH37)</f>
        <v>-3.7880000000000003</v>
      </c>
      <c r="AJ37" s="569">
        <f>-32.107-SUM(AG37:AI37)</f>
        <v>-0.1720000000000006</v>
      </c>
      <c r="AK37" s="584">
        <f t="shared" ref="AK37:AK42" si="37">SUM(AG37:AJ37)</f>
        <v>-32.106999999999999</v>
      </c>
      <c r="AL37" s="585"/>
      <c r="AM37" s="569">
        <v>-10.180999999999999</v>
      </c>
      <c r="AN37" s="587">
        <f>-871.043-AM37</f>
        <v>-860.86199999999997</v>
      </c>
      <c r="AO37" s="1252">
        <f>-886.043-AN37-AM37</f>
        <v>-15.000000000000041</v>
      </c>
      <c r="AP37" s="587">
        <f>-886.644-SUM(AM37:AO37)</f>
        <v>-0.60099999999999909</v>
      </c>
      <c r="AQ37" s="584">
        <f t="shared" ref="AQ37:AQ42" si="38">SUM(AM37:AP37)</f>
        <v>-886.64400000000001</v>
      </c>
      <c r="AR37" s="585"/>
      <c r="AS37" s="569">
        <v>-1.2949999999999999</v>
      </c>
      <c r="AT37" s="569">
        <f>-6.367-AS37</f>
        <v>-5.0720000000000001</v>
      </c>
      <c r="AU37" s="569">
        <f>-229.77-SUM(AS37:AT37)</f>
        <v>-223.40300000000002</v>
      </c>
      <c r="AV37" s="569">
        <f>-239.776-SUM(AS37:AU37)</f>
        <v>-10.006</v>
      </c>
      <c r="AW37" s="584">
        <f t="shared" ref="AW37:AW42" si="39">SUM(AS37:AV37)</f>
        <v>-239.77600000000001</v>
      </c>
      <c r="AX37" s="585"/>
      <c r="AY37" s="569">
        <v>-100</v>
      </c>
      <c r="AZ37" s="569">
        <f>-100.019-AY37</f>
        <v>-1.9000000000005457E-2</v>
      </c>
      <c r="BA37" s="569">
        <f>-120.14-SUM(AY37:AZ37)</f>
        <v>-20.120999999999995</v>
      </c>
      <c r="BB37" s="569">
        <f>-120.14-SUM(AY37:BA37)</f>
        <v>0</v>
      </c>
      <c r="BC37" s="584">
        <f t="shared" ref="BC37:BC42" si="40">SUM(AY37:BB37)</f>
        <v>-120.14</v>
      </c>
      <c r="BD37" s="585"/>
      <c r="BE37" s="569">
        <v>-60</v>
      </c>
      <c r="BF37" s="569">
        <f>-310.239-BE37</f>
        <v>-250.23899999999998</v>
      </c>
      <c r="BG37" s="1840">
        <f>-325.323-SUM(BE37:BF37)</f>
        <v>-15.084000000000003</v>
      </c>
      <c r="BH37" s="569">
        <f>-325.323-SUM(BE37:BG37)</f>
        <v>0</v>
      </c>
      <c r="BI37" s="584">
        <f t="shared" ref="BI37:BI42" si="41">SUM(BE37:BH37)</f>
        <v>-325.32299999999998</v>
      </c>
      <c r="BJ37" s="585"/>
      <c r="BK37" s="569">
        <v>-1.2E-2</v>
      </c>
      <c r="BL37" s="569">
        <f>-0.064-BK37</f>
        <v>-5.2000000000000005E-2</v>
      </c>
      <c r="BM37" s="569">
        <f>-0.064-SUM(BK37:BL37)</f>
        <v>0</v>
      </c>
      <c r="BN37" s="569">
        <f>-1310.214-2.984-SUM(BK37:BM37)</f>
        <v>-1313.1339999999998</v>
      </c>
      <c r="BO37" s="584">
        <f t="shared" ref="BO37:BO42" si="42">SUM(BK37:BN37)</f>
        <v>-1313.1979999999999</v>
      </c>
      <c r="BP37" s="585"/>
      <c r="BQ37" s="585">
        <f>IF(Debt!BQ31&lt;0,Debt!BQ31,0)+IF(Debt!BQ32&lt;0,Debt!BQ32,0)+IF(Debt!BQ33&lt;0,Debt!BQ33,0)+IF(Debt!BQ34&lt;0,Debt!BQ34,0)+IF(Debt!BQ35&lt;0,Debt!BQ35,0)+IF(Debt!BQ42&lt;0,Debt!BQ42,0)+IF(Debt!BQ43&lt;0,Debt!BQ43,0)</f>
        <v>-100</v>
      </c>
      <c r="BR37" s="585">
        <f>IF(Debt!BR31&lt;0,Debt!BR31,0)+IF(Debt!BR32&lt;0,Debt!BR32,0)+IF(Debt!BR33&lt;0,Debt!BR33,0)+IF(Debt!BR34&lt;0,Debt!BR34,0)+IF(Debt!BR35&lt;0,Debt!BR35,0)+IF(Debt!BR42&lt;0,Debt!BR42,0)+IF(Debt!BR43&lt;0,Debt!BR43,0)</f>
        <v>0</v>
      </c>
      <c r="BS37" s="585">
        <f>IF(Debt!BS31&lt;0,Debt!BS31,0)+IF(Debt!BS32&lt;0,Debt!BS32,0)+IF(Debt!BS33&lt;0,Debt!BS33,0)+IF(Debt!BS34&lt;0,Debt!BS34,0)+IF(Debt!BS35&lt;0,Debt!BS35,0)+IF(Debt!BS42&lt;0,Debt!BS42,0)+IF(Debt!BS43&lt;0,Debt!BS43,0)</f>
        <v>0</v>
      </c>
      <c r="BT37" s="585">
        <f>IF(Debt!BT31&lt;0,Debt!BT31,0)+IF(Debt!BT32&lt;0,Debt!BT32,0)+IF(Debt!BT33&lt;0,Debt!BT33,0)+IF(Debt!BT34&lt;0,Debt!BT34,0)+IF(Debt!BT35&lt;0,Debt!BT35,0)+IF(Debt!BT42&lt;0,Debt!BT42,0)+IF(Debt!BT43&lt;0,Debt!BT43,0)</f>
        <v>0</v>
      </c>
      <c r="BU37" s="584">
        <f t="shared" ref="BU37:BU42" si="43">SUM(BQ37:BT37)</f>
        <v>-100</v>
      </c>
      <c r="BV37" s="1777"/>
      <c r="BW37" s="585">
        <f>IF(Debt!BW31&lt;0,Debt!BW31,0)+IF(Debt!BW32&lt;0,Debt!BW32,0)+IF(Debt!BW33&lt;0,Debt!BW33,0)+IF(Debt!BW34&lt;0,Debt!BW34,0)+IF(Debt!BW35&lt;0,Debt!BW35,0)+IF(Debt!BW42&lt;0,Debt!BW42,0)+IF(Debt!BW43&lt;0,Debt!BW43,0)</f>
        <v>-100</v>
      </c>
      <c r="BX37" s="585">
        <f>IF(Debt!BX31&lt;0,Debt!BX31,0)+IF(Debt!BX32&lt;0,Debt!BX32,0)+IF(Debt!BX33&lt;0,Debt!BX33,0)+IF(Debt!BX34&lt;0,Debt!BX34,0)+IF(Debt!BX35&lt;0,Debt!BX35,0)+IF(Debt!BX42&lt;0,Debt!BX42,0)+IF(Debt!BX43&lt;0,Debt!BX43,0)</f>
        <v>0</v>
      </c>
      <c r="BY37" s="585">
        <f>IF(Debt!BY31&lt;0,Debt!BY31,0)+IF(Debt!BY32&lt;0,Debt!BY32,0)+IF(Debt!BY33&lt;0,Debt!BY33,0)+IF(Debt!BY34&lt;0,Debt!BY34,0)+IF(Debt!BY35&lt;0,Debt!BY35,0)+IF(Debt!BY42&lt;0,Debt!BY42,0)+IF(Debt!BY43&lt;0,Debt!BY43,0)</f>
        <v>0</v>
      </c>
      <c r="BZ37" s="585">
        <f>IF(Debt!BZ31&lt;0,Debt!BZ31,0)+IF(Debt!BZ32&lt;0,Debt!BZ32,0)+IF(Debt!BZ33&lt;0,Debt!BZ33,0)+IF(Debt!BZ34&lt;0,Debt!BZ34,0)+IF(Debt!BZ35&lt;0,Debt!BZ35,0)+IF(Debt!BZ42&lt;0,Debt!BZ42,0)+IF(Debt!BZ43&lt;0,Debt!BZ43,0)</f>
        <v>0</v>
      </c>
      <c r="CA37" s="584">
        <f t="shared" ref="CA37:CA42" si="44">SUM(BW37:BZ37)</f>
        <v>-100</v>
      </c>
      <c r="CB37" s="1777"/>
      <c r="CC37" s="585">
        <f>IF(Debt!CC31&lt;0,Debt!CC31,0)+IF(Debt!CC32&lt;0,Debt!CC32,0)+IF(Debt!CC33&lt;0,Debt!CC33,0)+IF(Debt!CC34&lt;0,Debt!CC34,0)+IF(Debt!CC35&lt;0,Debt!CC35,0)+IF(Debt!CC42&lt;0,Debt!CC42,0)+IF(Debt!CC43&lt;0,Debt!CC43,0)</f>
        <v>0</v>
      </c>
      <c r="CD37" s="585">
        <f>IF(Debt!CD31&lt;0,Debt!CD31,0)+IF(Debt!CD32&lt;0,Debt!CD32,0)+IF(Debt!CD33&lt;0,Debt!CD33,0)+IF(Debt!CD34&lt;0,Debt!CD34,0)+IF(Debt!CD35&lt;0,Debt!CD35,0)+IF(Debt!CD42&lt;0,Debt!CD42,0)+IF(Debt!CD43&lt;0,Debt!CD43,0)</f>
        <v>0</v>
      </c>
      <c r="CE37" s="585">
        <f>IF(Debt!CE31&lt;0,Debt!CE31,0)+IF(Debt!CE32&lt;0,Debt!CE32,0)+IF(Debt!CE33&lt;0,Debt!CE33,0)+IF(Debt!CE34&lt;0,Debt!CE34,0)+IF(Debt!CE35&lt;0,Debt!CE35,0)+IF(Debt!CE42&lt;0,Debt!CE42,0)+IF(Debt!CE43&lt;0,Debt!CE43,0)</f>
        <v>0</v>
      </c>
      <c r="CF37" s="585">
        <f>IF(Debt!CF31&lt;0,Debt!CF31,0)+IF(Debt!CF32&lt;0,Debt!CF32,0)+IF(Debt!CF33&lt;0,Debt!CF33,0)+IF(Debt!CF34&lt;0,Debt!CF34,0)+IF(Debt!CF35&lt;0,Debt!CF35,0)+IF(Debt!CF42&lt;0,Debt!CF42,0)+IF(Debt!CF43&lt;0,Debt!CF43,0)</f>
        <v>0</v>
      </c>
      <c r="CG37" s="584">
        <f t="shared" ref="CG37:CG42" si="45">SUM(CC37:CF37)</f>
        <v>0</v>
      </c>
      <c r="CH37" s="1777"/>
      <c r="CI37" s="585">
        <f>IF(Debt!CI31&lt;0,Debt!CI31,0)+IF(Debt!CI32&lt;0,Debt!CI32,0)+IF(Debt!CI33&lt;0,Debt!CI33,0)+IF(Debt!CI34&lt;0,Debt!CI34,0)+IF(Debt!CI35&lt;0,Debt!CI35,0)+IF(Debt!CI42&lt;0,Debt!CI42,0)+IF(Debt!CI43&lt;0,Debt!CI43,0)</f>
        <v>0</v>
      </c>
      <c r="CJ37" s="585">
        <f>IF(Debt!CJ31&lt;0,Debt!CJ31,0)+IF(Debt!CJ32&lt;0,Debt!CJ32,0)+IF(Debt!CJ33&lt;0,Debt!CJ33,0)+IF(Debt!CJ34&lt;0,Debt!CJ34,0)+IF(Debt!CJ35&lt;0,Debt!CJ35,0)+IF(Debt!CJ42&lt;0,Debt!CJ42,0)+IF(Debt!CJ43&lt;0,Debt!CJ43,0)</f>
        <v>0</v>
      </c>
      <c r="CK37" s="585">
        <f>IF(Debt!CK31&lt;0,Debt!CK31,0)+IF(Debt!CK32&lt;0,Debt!CK32,0)+IF(Debt!CK33&lt;0,Debt!CK33,0)+IF(Debt!CK34&lt;0,Debt!CK34,0)+IF(Debt!CK35&lt;0,Debt!CK35,0)+IF(Debt!CK42&lt;0,Debt!CK42,0)+IF(Debt!CK43&lt;0,Debt!CK43,0)</f>
        <v>0</v>
      </c>
      <c r="CL37" s="585">
        <f>IF(Debt!CL31&lt;0,Debt!CL31,0)+IF(Debt!CL32&lt;0,Debt!CL32,0)+IF(Debt!CL33&lt;0,Debt!CL33,0)+IF(Debt!CL34&lt;0,Debt!CL34,0)+IF(Debt!CL35&lt;0,Debt!CL35,0)+IF(Debt!CL42&lt;0,Debt!CL42,0)+IF(Debt!CL43&lt;0,Debt!CL43,0)</f>
        <v>0</v>
      </c>
      <c r="CM37" s="584">
        <f t="shared" ref="CM37:CM42" si="46">SUM(CI37:CL37)</f>
        <v>0</v>
      </c>
      <c r="CN37" s="97"/>
      <c r="CO37" s="97"/>
      <c r="CP37"/>
      <c r="CQ37"/>
      <c r="CR37"/>
      <c r="CS37"/>
      <c r="CT37"/>
      <c r="CU37"/>
    </row>
    <row r="38" spans="1:99" s="24" customFormat="1" hidden="1" outlineLevel="1">
      <c r="A38" s="43" t="s">
        <v>423</v>
      </c>
      <c r="B38" s="43"/>
      <c r="C38" s="43"/>
      <c r="D38" s="43"/>
      <c r="E38" s="43"/>
      <c r="F38" s="43"/>
      <c r="G38" s="586">
        <v>91.427000000000007</v>
      </c>
      <c r="H38" s="585"/>
      <c r="I38" s="587">
        <v>12.545</v>
      </c>
      <c r="J38" s="587">
        <f>16.247-I38</f>
        <v>3.702</v>
      </c>
      <c r="K38" s="587">
        <f>23.122-I38-J38</f>
        <v>6.875</v>
      </c>
      <c r="L38" s="569">
        <f>28.646-SUM(I38:K38)</f>
        <v>5.5240000000000009</v>
      </c>
      <c r="M38" s="570">
        <f t="shared" si="33"/>
        <v>28.646000000000001</v>
      </c>
      <c r="N38" s="585"/>
      <c r="O38" s="587">
        <v>0.94399999999999995</v>
      </c>
      <c r="P38" s="587">
        <f>3.955-O38</f>
        <v>3.0110000000000001</v>
      </c>
      <c r="Q38" s="587">
        <f>8.159-O38-P38</f>
        <v>4.2040000000000006</v>
      </c>
      <c r="R38" s="569">
        <f>19.099-SUM(O38:Q38)</f>
        <v>10.94</v>
      </c>
      <c r="S38" s="570">
        <f t="shared" si="34"/>
        <v>19.099</v>
      </c>
      <c r="T38" s="585"/>
      <c r="U38" s="587">
        <v>8.8520000000000003</v>
      </c>
      <c r="V38" s="587">
        <f>19.183-U38</f>
        <v>10.331</v>
      </c>
      <c r="W38" s="587">
        <f>26.85-U38-V38</f>
        <v>7.6670000000000016</v>
      </c>
      <c r="X38" s="569">
        <f>100.584-U38-V38-W38</f>
        <v>73.733999999999995</v>
      </c>
      <c r="Y38" s="570">
        <f t="shared" si="35"/>
        <v>100.584</v>
      </c>
      <c r="Z38" s="585"/>
      <c r="AA38" s="569">
        <v>14.083</v>
      </c>
      <c r="AB38" s="569">
        <f>42.974-AA38</f>
        <v>28.890999999999998</v>
      </c>
      <c r="AC38" s="569">
        <f>45.687-SUM(AA38:AB38)</f>
        <v>2.713000000000001</v>
      </c>
      <c r="AD38" s="569">
        <f>60.153-SUM(AA38:AC38)</f>
        <v>14.466000000000001</v>
      </c>
      <c r="AE38" s="584">
        <f t="shared" si="36"/>
        <v>60.152999999999999</v>
      </c>
      <c r="AF38" s="585"/>
      <c r="AG38" s="569">
        <v>14.554</v>
      </c>
      <c r="AH38" s="587">
        <f>18.685-AG38</f>
        <v>4.1309999999999985</v>
      </c>
      <c r="AI38" s="587">
        <f>21.284-SUM(AG38:AH38)</f>
        <v>2.5990000000000002</v>
      </c>
      <c r="AJ38" s="569">
        <f>28.869-SUM(AG38:AI38)</f>
        <v>7.5850000000000009</v>
      </c>
      <c r="AK38" s="584">
        <f t="shared" si="37"/>
        <v>28.869</v>
      </c>
      <c r="AL38" s="585"/>
      <c r="AM38" s="569">
        <v>7.4779999999999998</v>
      </c>
      <c r="AN38" s="587">
        <f>19.17-AM38</f>
        <v>11.692000000000002</v>
      </c>
      <c r="AO38" s="1252">
        <f>35.47-AN38-AM38</f>
        <v>16.299999999999997</v>
      </c>
      <c r="AP38" s="587">
        <f>68.958-SUM(AM38:AO38)</f>
        <v>33.488</v>
      </c>
      <c r="AQ38" s="584">
        <f t="shared" si="38"/>
        <v>68.957999999999998</v>
      </c>
      <c r="AR38" s="585"/>
      <c r="AS38" s="569">
        <v>35.322000000000003</v>
      </c>
      <c r="AT38" s="569">
        <f>40.671-AS38</f>
        <v>5.3489999999999966</v>
      </c>
      <c r="AU38" s="569">
        <f>43.287-SUM(AS38:AT38)</f>
        <v>2.6159999999999997</v>
      </c>
      <c r="AV38" s="569">
        <f>73.849-SUM(AS38:AU38)</f>
        <v>30.562000000000005</v>
      </c>
      <c r="AW38" s="584">
        <f t="shared" si="39"/>
        <v>73.849000000000004</v>
      </c>
      <c r="AX38" s="585"/>
      <c r="AY38" s="569">
        <v>11.269</v>
      </c>
      <c r="AZ38" s="569">
        <f>24.777-AY38</f>
        <v>13.508000000000001</v>
      </c>
      <c r="BA38" s="569">
        <f>28.948-SUM(AY38:AZ38)</f>
        <v>4.1709999999999994</v>
      </c>
      <c r="BB38" s="569">
        <f>52.06-SUM(AY38:BA38)</f>
        <v>23.112000000000002</v>
      </c>
      <c r="BC38" s="584">
        <f t="shared" si="40"/>
        <v>52.06</v>
      </c>
      <c r="BD38" s="585"/>
      <c r="BE38" s="569">
        <v>8.1910000000000007</v>
      </c>
      <c r="BF38" s="569">
        <f>23.272-BE38</f>
        <v>15.080999999999998</v>
      </c>
      <c r="BG38" s="1840">
        <f>58.572-SUM(BE38:BF38)</f>
        <v>35.300000000000004</v>
      </c>
      <c r="BH38" s="569">
        <f>62.189-SUM(BE38:BG38)</f>
        <v>3.6169999999999973</v>
      </c>
      <c r="BI38" s="584">
        <f t="shared" si="41"/>
        <v>62.189</v>
      </c>
      <c r="BJ38" s="585"/>
      <c r="BK38" s="569">
        <v>38.259</v>
      </c>
      <c r="BL38" s="569">
        <f>58.182-BK38</f>
        <v>19.923000000000002</v>
      </c>
      <c r="BM38" s="569">
        <f>72.821-SUM(BK38:BL38)</f>
        <v>14.638999999999996</v>
      </c>
      <c r="BN38" s="569">
        <f>97.789-SUM(BK38:BM38)</f>
        <v>24.968000000000004</v>
      </c>
      <c r="BO38" s="584">
        <f t="shared" si="42"/>
        <v>97.789000000000001</v>
      </c>
      <c r="BP38" s="585"/>
      <c r="BQ38" s="585">
        <f>BQ75</f>
        <v>19.062611</v>
      </c>
      <c r="BR38" s="585">
        <f>BR75</f>
        <v>18.903864980000005</v>
      </c>
      <c r="BS38" s="585">
        <f>BS75</f>
        <v>16.635401182400003</v>
      </c>
      <c r="BT38" s="585">
        <f>BT75</f>
        <v>14.741992040512004</v>
      </c>
      <c r="BU38" s="584">
        <f t="shared" si="43"/>
        <v>69.343869202912018</v>
      </c>
      <c r="BV38" s="1777"/>
      <c r="BW38" s="585">
        <f>BW75</f>
        <v>14.741783795650562</v>
      </c>
      <c r="BX38" s="585">
        <f>BX75</f>
        <v>15.314413770172495</v>
      </c>
      <c r="BY38" s="585">
        <f>BY75</f>
        <v>13.476684117751793</v>
      </c>
      <c r="BZ38" s="585">
        <f>BZ75</f>
        <v>11.972604923621578</v>
      </c>
      <c r="CA38" s="584">
        <f t="shared" si="44"/>
        <v>55.505486607196431</v>
      </c>
      <c r="CB38" s="1777"/>
      <c r="CC38" s="585">
        <f>CC75</f>
        <v>12.481606212786989</v>
      </c>
      <c r="CD38" s="585">
        <f>CD75</f>
        <v>13.559621900252552</v>
      </c>
      <c r="CE38" s="585">
        <f>CE75</f>
        <v>11.932467272222244</v>
      </c>
      <c r="CF38" s="585">
        <f>CF75</f>
        <v>10.625006389555574</v>
      </c>
      <c r="CG38" s="584">
        <f t="shared" si="45"/>
        <v>48.598701774817357</v>
      </c>
      <c r="CH38" s="1777"/>
      <c r="CI38" s="585">
        <f>CI75</f>
        <v>11.490290890808909</v>
      </c>
      <c r="CJ38" s="585">
        <f>CJ75</f>
        <v>12.94484526021184</v>
      </c>
      <c r="CK38" s="585">
        <f>CK75</f>
        <v>11.391463828986417</v>
      </c>
      <c r="CL38" s="585">
        <f>CL75</f>
        <v>10.161366878508048</v>
      </c>
      <c r="CM38" s="584">
        <f t="shared" si="46"/>
        <v>45.987966858515215</v>
      </c>
      <c r="CN38" s="97"/>
      <c r="CO38" s="97"/>
      <c r="CP38"/>
      <c r="CQ38"/>
      <c r="CR38"/>
      <c r="CS38"/>
      <c r="CT38"/>
      <c r="CU38"/>
    </row>
    <row r="39" spans="1:99" s="24" customFormat="1" hidden="1" outlineLevel="1">
      <c r="A39" s="43" t="s">
        <v>424</v>
      </c>
      <c r="B39" s="43"/>
      <c r="C39" s="43"/>
      <c r="D39" s="43"/>
      <c r="E39" s="43"/>
      <c r="F39" s="43"/>
      <c r="G39" s="586">
        <v>16.998999999999999</v>
      </c>
      <c r="H39" s="585"/>
      <c r="I39" s="587">
        <v>5.883</v>
      </c>
      <c r="J39" s="587">
        <f>6.168-I39</f>
        <v>0.28500000000000014</v>
      </c>
      <c r="K39" s="587">
        <f>7.787-I39-J39</f>
        <v>1.6189999999999998</v>
      </c>
      <c r="L39" s="569">
        <f>6.669-SUM(I39:K39)</f>
        <v>-1.1180000000000003</v>
      </c>
      <c r="M39" s="570">
        <f t="shared" si="33"/>
        <v>6.6689999999999996</v>
      </c>
      <c r="N39" s="585"/>
      <c r="O39" s="587">
        <v>0</v>
      </c>
      <c r="P39" s="587">
        <v>0</v>
      </c>
      <c r="Q39" s="587">
        <v>0</v>
      </c>
      <c r="R39" s="569">
        <f>5.083-SUM(O39:Q39)</f>
        <v>5.0830000000000002</v>
      </c>
      <c r="S39" s="570">
        <f t="shared" si="34"/>
        <v>5.0830000000000002</v>
      </c>
      <c r="T39" s="585"/>
      <c r="U39" s="587">
        <v>2.1819999999999999</v>
      </c>
      <c r="V39" s="587">
        <f>3.862-U39</f>
        <v>1.6800000000000002</v>
      </c>
      <c r="W39" s="587">
        <f>5.149-U39-V39</f>
        <v>1.2869999999999999</v>
      </c>
      <c r="X39" s="569">
        <f>10.809-U39-V39-W39</f>
        <v>5.6599999999999993</v>
      </c>
      <c r="Y39" s="570">
        <f t="shared" si="35"/>
        <v>10.808999999999999</v>
      </c>
      <c r="Z39" s="585"/>
      <c r="AA39" s="569">
        <v>5.8319999999999999</v>
      </c>
      <c r="AB39" s="569">
        <f>15.246-AA39</f>
        <v>9.4140000000000015</v>
      </c>
      <c r="AC39" s="569">
        <f>15.316-SUM(AA39:AB39)</f>
        <v>6.9999999999998508E-2</v>
      </c>
      <c r="AD39" s="569">
        <f>32.239-SUM(AA39:AC39)</f>
        <v>16.922999999999995</v>
      </c>
      <c r="AE39" s="584">
        <f t="shared" si="36"/>
        <v>32.238999999999997</v>
      </c>
      <c r="AF39" s="585"/>
      <c r="AG39" s="569">
        <v>5.5030000000000001</v>
      </c>
      <c r="AH39" s="587">
        <f>5.832-AG39</f>
        <v>0.32899999999999974</v>
      </c>
      <c r="AI39" s="587">
        <f>4.061-SUM(AG39:AH39)</f>
        <v>-1.7709999999999999</v>
      </c>
      <c r="AJ39" s="569">
        <f>10.568-SUM(AG39:AI39)</f>
        <v>6.5069999999999997</v>
      </c>
      <c r="AK39" s="584">
        <f t="shared" si="37"/>
        <v>10.568</v>
      </c>
      <c r="AL39" s="585"/>
      <c r="AM39" s="569">
        <v>3.1629999999999998</v>
      </c>
      <c r="AN39" s="587">
        <f>6.634-AM39</f>
        <v>3.4710000000000005</v>
      </c>
      <c r="AO39" s="1252">
        <f>8.864-AN39-AM39</f>
        <v>2.2300000000000009</v>
      </c>
      <c r="AP39" s="587">
        <f>15.842-SUM(AM39:AO39)</f>
        <v>6.9779999999999998</v>
      </c>
      <c r="AQ39" s="584">
        <f t="shared" si="38"/>
        <v>15.842000000000001</v>
      </c>
      <c r="AR39" s="585"/>
      <c r="AS39" s="569">
        <v>8.5069999999999997</v>
      </c>
      <c r="AT39" s="569">
        <f>8.871-AS39</f>
        <v>0.36400000000000077</v>
      </c>
      <c r="AU39" s="569">
        <f>8.605-SUM(AS39:AT39)</f>
        <v>-0.26600000000000001</v>
      </c>
      <c r="AV39" s="569">
        <f>15.703-SUM(AS39:AU39)</f>
        <v>7.097999999999999</v>
      </c>
      <c r="AW39" s="584">
        <f t="shared" si="39"/>
        <v>15.702999999999999</v>
      </c>
      <c r="AX39" s="585"/>
      <c r="AY39" s="569">
        <v>2.7570000000000001</v>
      </c>
      <c r="AZ39" s="569">
        <f>5.689-AY39</f>
        <v>2.9319999999999999</v>
      </c>
      <c r="BA39" s="569">
        <f>5.689-SUM(AY39:AZ39)</f>
        <v>0</v>
      </c>
      <c r="BB39" s="569">
        <f>12.955-SUM(AY39:BA39)</f>
        <v>7.266</v>
      </c>
      <c r="BC39" s="584">
        <f t="shared" si="40"/>
        <v>12.955</v>
      </c>
      <c r="BD39" s="585"/>
      <c r="BE39" s="569">
        <v>1.619</v>
      </c>
      <c r="BF39" s="569">
        <f>3.517-BE39</f>
        <v>1.8979999999999999</v>
      </c>
      <c r="BG39" s="1840">
        <f>12.914-SUM(BE39:BF39)</f>
        <v>9.3970000000000002</v>
      </c>
      <c r="BH39" s="569">
        <f>13.844-SUM(BE39:BG39)</f>
        <v>0.92999999999999972</v>
      </c>
      <c r="BI39" s="584">
        <f t="shared" si="41"/>
        <v>13.843999999999999</v>
      </c>
      <c r="BJ39" s="585"/>
      <c r="BK39" s="569">
        <v>0</v>
      </c>
      <c r="BL39" s="569">
        <f>0-BK39</f>
        <v>0</v>
      </c>
      <c r="BM39" s="569">
        <f t="shared" ref="BM39:BM42" si="47">0-SUM(BK39:BL39)</f>
        <v>0</v>
      </c>
      <c r="BN39" s="569">
        <f t="shared" ref="BN39:BN42" si="48">0-SUM(BK39:BM39)</f>
        <v>0</v>
      </c>
      <c r="BO39" s="584">
        <f t="shared" si="42"/>
        <v>0</v>
      </c>
      <c r="BP39" s="585"/>
      <c r="BQ39" s="587">
        <v>0</v>
      </c>
      <c r="BR39" s="587">
        <v>0</v>
      </c>
      <c r="BS39" s="587">
        <v>0</v>
      </c>
      <c r="BT39" s="587">
        <v>0</v>
      </c>
      <c r="BU39" s="584">
        <f t="shared" si="43"/>
        <v>0</v>
      </c>
      <c r="BV39" s="1777"/>
      <c r="BW39" s="587">
        <v>0</v>
      </c>
      <c r="BX39" s="587">
        <v>0</v>
      </c>
      <c r="BY39" s="587">
        <v>0</v>
      </c>
      <c r="BZ39" s="587">
        <v>0</v>
      </c>
      <c r="CA39" s="584">
        <f t="shared" si="44"/>
        <v>0</v>
      </c>
      <c r="CB39" s="1777"/>
      <c r="CC39" s="587">
        <v>0</v>
      </c>
      <c r="CD39" s="587">
        <v>0</v>
      </c>
      <c r="CE39" s="587">
        <v>0</v>
      </c>
      <c r="CF39" s="587">
        <v>0</v>
      </c>
      <c r="CG39" s="584">
        <f t="shared" si="45"/>
        <v>0</v>
      </c>
      <c r="CH39" s="1777"/>
      <c r="CI39" s="587">
        <v>0</v>
      </c>
      <c r="CJ39" s="587">
        <v>0</v>
      </c>
      <c r="CK39" s="587">
        <v>0</v>
      </c>
      <c r="CL39" s="587">
        <v>0</v>
      </c>
      <c r="CM39" s="584">
        <f t="shared" si="46"/>
        <v>0</v>
      </c>
      <c r="CN39" s="97"/>
      <c r="CO39" s="97"/>
      <c r="CP39"/>
      <c r="CQ39"/>
      <c r="CR39"/>
      <c r="CS39"/>
      <c r="CT39"/>
      <c r="CU39"/>
    </row>
    <row r="40" spans="1:99" s="24" customFormat="1" collapsed="1">
      <c r="A40" s="43" t="s">
        <v>425</v>
      </c>
      <c r="B40" s="43"/>
      <c r="C40" s="43"/>
      <c r="D40" s="43"/>
      <c r="E40" s="43"/>
      <c r="F40" s="43"/>
      <c r="G40" s="586">
        <v>-200.648</v>
      </c>
      <c r="H40" s="585"/>
      <c r="I40" s="587">
        <v>-76.757999999999996</v>
      </c>
      <c r="J40" s="587">
        <f>-154.336-I40</f>
        <v>-77.578000000000017</v>
      </c>
      <c r="K40" s="587">
        <f>-211.054-I40-J40</f>
        <v>-56.717999999999975</v>
      </c>
      <c r="L40" s="569">
        <f>-237.5-SUM(I40:K40)</f>
        <v>-26.446000000000026</v>
      </c>
      <c r="M40" s="570">
        <f t="shared" si="33"/>
        <v>-237.5</v>
      </c>
      <c r="N40" s="585"/>
      <c r="O40" s="587">
        <v>-63.845999999999997</v>
      </c>
      <c r="P40" s="587">
        <f>-108.885-O40</f>
        <v>-45.039000000000009</v>
      </c>
      <c r="Q40" s="587">
        <f>-157.212-O40-P40</f>
        <v>-48.326999999999977</v>
      </c>
      <c r="R40" s="569">
        <f>-211.377-SUM(O40:Q40)</f>
        <v>-54.16500000000002</v>
      </c>
      <c r="S40" s="570">
        <f t="shared" si="34"/>
        <v>-211.37700000000001</v>
      </c>
      <c r="T40" s="585"/>
      <c r="U40" s="587">
        <v>-105.01900000000001</v>
      </c>
      <c r="V40" s="587">
        <f>-179.823-U40</f>
        <v>-74.804000000000002</v>
      </c>
      <c r="W40" s="587">
        <f>-244.893-U40-V40</f>
        <v>-65.069999999999993</v>
      </c>
      <c r="X40" s="569">
        <f>-296.292-U40-V40-W40</f>
        <v>-51.398999999999972</v>
      </c>
      <c r="Y40" s="570">
        <f t="shared" si="35"/>
        <v>-296.29199999999997</v>
      </c>
      <c r="Z40" s="585"/>
      <c r="AA40" s="569">
        <v>-73.179000000000002</v>
      </c>
      <c r="AB40" s="569">
        <f>-153.82-AA40</f>
        <v>-80.640999999999991</v>
      </c>
      <c r="AC40" s="569">
        <f>-297.985-SUM(AA40:AB40)</f>
        <v>-144.16500000000002</v>
      </c>
      <c r="AD40" s="569">
        <f>-370.835-SUM(AA40:AC40)</f>
        <v>-72.849999999999966</v>
      </c>
      <c r="AE40" s="584">
        <f t="shared" si="36"/>
        <v>-370.83499999999998</v>
      </c>
      <c r="AF40" s="585"/>
      <c r="AG40" s="569">
        <v>-68.078999999999994</v>
      </c>
      <c r="AH40" s="587">
        <f>-171.319-AG40</f>
        <v>-103.24</v>
      </c>
      <c r="AI40" s="587">
        <f>-235.282-SUM(AG40:AH40)</f>
        <v>-63.963000000000022</v>
      </c>
      <c r="AJ40" s="569">
        <f>-295.878-SUM(AG40:AI40)</f>
        <v>-60.595999999999975</v>
      </c>
      <c r="AK40" s="584">
        <f t="shared" si="37"/>
        <v>-295.87799999999999</v>
      </c>
      <c r="AL40" s="585"/>
      <c r="AM40" s="569">
        <v>-101.367</v>
      </c>
      <c r="AN40" s="587">
        <f>-171.079-AM40</f>
        <v>-69.712000000000003</v>
      </c>
      <c r="AO40" s="1252">
        <f>-226.198-AN40-AM40</f>
        <v>-55.118999999999986</v>
      </c>
      <c r="AP40" s="587">
        <f>-301.58-SUM(AM40:AO40)</f>
        <v>-75.382000000000005</v>
      </c>
      <c r="AQ40" s="584">
        <f t="shared" si="38"/>
        <v>-301.58</v>
      </c>
      <c r="AR40" s="585"/>
      <c r="AS40" s="569">
        <v>-92.572000000000003</v>
      </c>
      <c r="AT40" s="569">
        <f>-185.172-AS40</f>
        <v>-92.6</v>
      </c>
      <c r="AU40" s="569">
        <f>-261.57-SUM(AS40:AT40)</f>
        <v>-76.397999999999996</v>
      </c>
      <c r="AV40" s="569">
        <f>-337.444-SUM(AS40:AU40)</f>
        <v>-75.874000000000024</v>
      </c>
      <c r="AW40" s="584">
        <f t="shared" si="39"/>
        <v>-337.44400000000002</v>
      </c>
      <c r="AX40" s="585"/>
      <c r="AY40" s="569">
        <v>-91.025000000000006</v>
      </c>
      <c r="AZ40" s="569">
        <f>-170.958-AY40</f>
        <v>-79.932999999999993</v>
      </c>
      <c r="BA40" s="569">
        <f>-255.111-SUM(AY40:AZ40)</f>
        <v>-84.152999999999992</v>
      </c>
      <c r="BB40" s="569">
        <f>-334.705-SUM(AY40:BA40)</f>
        <v>-79.593999999999994</v>
      </c>
      <c r="BC40" s="584">
        <f t="shared" si="40"/>
        <v>-334.70499999999998</v>
      </c>
      <c r="BD40" s="585"/>
      <c r="BE40" s="569">
        <v>-95.489000000000004</v>
      </c>
      <c r="BF40" s="569">
        <f>-172.392-BE40</f>
        <v>-76.902999999999992</v>
      </c>
      <c r="BG40" s="1840">
        <f>-241.924-SUM(BE40:BF40)</f>
        <v>-69.532000000000011</v>
      </c>
      <c r="BH40" s="569">
        <f>-325.759-SUM(BE40:BG40)</f>
        <v>-83.835000000000008</v>
      </c>
      <c r="BI40" s="584">
        <f t="shared" si="41"/>
        <v>-325.75900000000001</v>
      </c>
      <c r="BJ40" s="585"/>
      <c r="BK40" s="569">
        <v>-89.173000000000002</v>
      </c>
      <c r="BL40" s="569">
        <f>-165.834-BK40</f>
        <v>-76.661000000000001</v>
      </c>
      <c r="BM40" s="569">
        <f>-245.742-SUM(BK40:BL40)</f>
        <v>-79.907999999999987</v>
      </c>
      <c r="BN40" s="569">
        <f>-332.544-SUM(BK40:BM40)</f>
        <v>-86.801999999999992</v>
      </c>
      <c r="BO40" s="584">
        <f t="shared" si="42"/>
        <v>-332.54399999999998</v>
      </c>
      <c r="BP40" s="585"/>
      <c r="BQ40" s="587">
        <v>-166.25</v>
      </c>
      <c r="BR40" s="587">
        <v>-166.25</v>
      </c>
      <c r="BS40" s="587">
        <v>-166.25</v>
      </c>
      <c r="BT40" s="587">
        <v>-166.25</v>
      </c>
      <c r="BU40" s="584">
        <f t="shared" si="43"/>
        <v>-665</v>
      </c>
      <c r="BV40" s="1777"/>
      <c r="BW40" s="587">
        <v>-166.25</v>
      </c>
      <c r="BX40" s="587">
        <v>-166.25</v>
      </c>
      <c r="BY40" s="587">
        <v>-166.25</v>
      </c>
      <c r="BZ40" s="587">
        <v>-166.25</v>
      </c>
      <c r="CA40" s="584">
        <f t="shared" si="44"/>
        <v>-665</v>
      </c>
      <c r="CB40" s="1777"/>
      <c r="CC40" s="587">
        <v>-166.25</v>
      </c>
      <c r="CD40" s="587">
        <v>-166.25</v>
      </c>
      <c r="CE40" s="587">
        <v>-166.25</v>
      </c>
      <c r="CF40" s="587">
        <v>-166.25</v>
      </c>
      <c r="CG40" s="584">
        <f t="shared" si="45"/>
        <v>-665</v>
      </c>
      <c r="CH40" s="1777"/>
      <c r="CI40" s="587">
        <v>-166.25</v>
      </c>
      <c r="CJ40" s="587">
        <v>-166.25</v>
      </c>
      <c r="CK40" s="587">
        <v>-166.25</v>
      </c>
      <c r="CL40" s="587">
        <v>-166.25</v>
      </c>
      <c r="CM40" s="584">
        <f t="shared" si="46"/>
        <v>-665</v>
      </c>
      <c r="CN40" s="97"/>
      <c r="CO40" s="97"/>
      <c r="CP40"/>
      <c r="CQ40"/>
      <c r="CR40"/>
      <c r="CS40"/>
      <c r="CT40"/>
      <c r="CU40"/>
    </row>
    <row r="41" spans="1:99" s="24" customFormat="1" hidden="1" outlineLevel="1">
      <c r="A41" s="43" t="s">
        <v>426</v>
      </c>
      <c r="B41" s="43"/>
      <c r="C41" s="43"/>
      <c r="D41" s="43"/>
      <c r="E41" s="43"/>
      <c r="F41" s="43"/>
      <c r="G41" s="586">
        <v>-7.0979999999999999</v>
      </c>
      <c r="H41" s="585"/>
      <c r="I41" s="587">
        <v>-2.6619999999999999</v>
      </c>
      <c r="J41" s="587">
        <f>-0.483-I41</f>
        <v>2.1789999999999998</v>
      </c>
      <c r="K41" s="587">
        <f>-3.706-I41-J41</f>
        <v>-3.2229999999999999</v>
      </c>
      <c r="L41" s="569">
        <f>-22.196-SUM(I41:K41)</f>
        <v>-18.490000000000002</v>
      </c>
      <c r="M41" s="570">
        <f t="shared" si="33"/>
        <v>-22.196000000000002</v>
      </c>
      <c r="N41" s="585"/>
      <c r="O41" s="587">
        <v>0.82899999999999996</v>
      </c>
      <c r="P41" s="587">
        <f>8.318-O41</f>
        <v>7.4889999999999999</v>
      </c>
      <c r="Q41" s="587">
        <f>4.495-O41-P41</f>
        <v>-3.8229999999999995</v>
      </c>
      <c r="R41" s="569">
        <f>5.162-SUM(O41:Q41)</f>
        <v>0.66699999999999982</v>
      </c>
      <c r="S41" s="570">
        <f t="shared" si="34"/>
        <v>5.1619999999999999</v>
      </c>
      <c r="T41" s="585"/>
      <c r="U41" s="587">
        <v>-3.6309999999999998</v>
      </c>
      <c r="V41" s="587">
        <f>-6.967-U41</f>
        <v>-3.3359999999999999</v>
      </c>
      <c r="W41" s="587">
        <f>-4.968-U41-V41</f>
        <v>1.9989999999999997</v>
      </c>
      <c r="X41" s="569">
        <f>-8.138-U41-V41-W41</f>
        <v>-3.1699999999999995</v>
      </c>
      <c r="Y41" s="570">
        <f t="shared" si="35"/>
        <v>-8.1379999999999999</v>
      </c>
      <c r="Z41" s="585"/>
      <c r="AA41" s="569">
        <v>2.8919999999999999</v>
      </c>
      <c r="AB41" s="569">
        <f>1.97-AA41</f>
        <v>-0.92199999999999993</v>
      </c>
      <c r="AC41" s="569">
        <f>-1.971-SUM(AA41:AB41)</f>
        <v>-3.9409999999999998</v>
      </c>
      <c r="AD41" s="569">
        <f>-2.233-SUM(AA41:AC41)</f>
        <v>-0.26200000000000023</v>
      </c>
      <c r="AE41" s="584">
        <f t="shared" si="36"/>
        <v>-2.2330000000000001</v>
      </c>
      <c r="AF41" s="585"/>
      <c r="AG41" s="569">
        <v>3.9750000000000001</v>
      </c>
      <c r="AH41" s="587">
        <f>0.475-AG41</f>
        <v>-3.5</v>
      </c>
      <c r="AI41" s="587">
        <f>0.899-SUM(AG41:AH41)</f>
        <v>0.42399999999999993</v>
      </c>
      <c r="AJ41" s="569">
        <f>4.186-SUM(AG41:AI41)</f>
        <v>3.2869999999999999</v>
      </c>
      <c r="AK41" s="584">
        <f t="shared" si="37"/>
        <v>4.1859999999999999</v>
      </c>
      <c r="AL41" s="585"/>
      <c r="AM41" s="569">
        <v>0.69399999999999995</v>
      </c>
      <c r="AN41" s="587">
        <f>4.029-AM41</f>
        <v>3.335</v>
      </c>
      <c r="AO41" s="1252">
        <f>5.866-AN41-AM41</f>
        <v>1.8369999999999997</v>
      </c>
      <c r="AP41" s="587">
        <f>8.666-SUM(AM41:AO41)</f>
        <v>2.8000000000000007</v>
      </c>
      <c r="AQ41" s="584">
        <f t="shared" si="38"/>
        <v>8.6660000000000004</v>
      </c>
      <c r="AR41" s="585"/>
      <c r="AS41" s="569">
        <v>-0.314</v>
      </c>
      <c r="AT41" s="569">
        <f>-0.1-AS41</f>
        <v>0.214</v>
      </c>
      <c r="AU41" s="569">
        <f>-0.366-1.4-SUM(AS41:AT41)</f>
        <v>-1.6659999999999999</v>
      </c>
      <c r="AV41" s="569">
        <f>-1.4+0.174-SUM(AS41:AU41)</f>
        <v>0.54</v>
      </c>
      <c r="AW41" s="584">
        <f t="shared" si="39"/>
        <v>-1.226</v>
      </c>
      <c r="AX41" s="585"/>
      <c r="AY41" s="569">
        <v>-3.3479999999999999</v>
      </c>
      <c r="AZ41" s="569">
        <f>-0.805-2.309-AY41</f>
        <v>0.23399999999999954</v>
      </c>
      <c r="BA41" s="569">
        <f>-2.382-SUM(AY41:AZ41)</f>
        <v>0.73200000000000021</v>
      </c>
      <c r="BB41" s="569">
        <f>-2.382-2.601-SUM(AY41:BA41)</f>
        <v>-2.6010000000000004</v>
      </c>
      <c r="BC41" s="584">
        <f t="shared" si="40"/>
        <v>-4.9830000000000005</v>
      </c>
      <c r="BD41" s="585"/>
      <c r="BE41" s="569">
        <v>-1.895</v>
      </c>
      <c r="BF41" s="569">
        <f>-7.531-BE41</f>
        <v>-5.6359999999999992</v>
      </c>
      <c r="BG41" s="1840">
        <f>-9.525-SUM(BE41:BF41)</f>
        <v>-1.9940000000000015</v>
      </c>
      <c r="BH41" s="569">
        <f>-10.401-SUM(BE41:BG41)</f>
        <v>-0.87599999999999945</v>
      </c>
      <c r="BI41" s="584">
        <f t="shared" si="41"/>
        <v>-10.401</v>
      </c>
      <c r="BJ41" s="585"/>
      <c r="BK41" s="569">
        <v>-1.4379999999999999</v>
      </c>
      <c r="BL41" s="569">
        <f>0-BK41</f>
        <v>1.4379999999999999</v>
      </c>
      <c r="BM41" s="569">
        <f>3.301-SUM(BK41:BL41)</f>
        <v>3.3010000000000002</v>
      </c>
      <c r="BN41" s="569">
        <f>3.894-SUM(BK41:BM41)</f>
        <v>0.59299999999999997</v>
      </c>
      <c r="BO41" s="584">
        <f t="shared" si="42"/>
        <v>3.8940000000000001</v>
      </c>
      <c r="BP41" s="585"/>
      <c r="BQ41" s="587">
        <v>0</v>
      </c>
      <c r="BR41" s="587">
        <v>0</v>
      </c>
      <c r="BS41" s="587">
        <v>0</v>
      </c>
      <c r="BT41" s="587">
        <v>0</v>
      </c>
      <c r="BU41" s="584">
        <f t="shared" si="43"/>
        <v>0</v>
      </c>
      <c r="BV41" s="1777"/>
      <c r="BW41" s="587">
        <v>0</v>
      </c>
      <c r="BX41" s="587">
        <v>0</v>
      </c>
      <c r="BY41" s="587">
        <v>0</v>
      </c>
      <c r="BZ41" s="587">
        <v>0</v>
      </c>
      <c r="CA41" s="584">
        <f t="shared" si="44"/>
        <v>0</v>
      </c>
      <c r="CB41" s="1777"/>
      <c r="CC41" s="587">
        <v>0</v>
      </c>
      <c r="CD41" s="587">
        <v>0</v>
      </c>
      <c r="CE41" s="587">
        <v>0</v>
      </c>
      <c r="CF41" s="587">
        <v>0</v>
      </c>
      <c r="CG41" s="584">
        <f t="shared" si="45"/>
        <v>0</v>
      </c>
      <c r="CH41" s="1777"/>
      <c r="CI41" s="587">
        <v>0</v>
      </c>
      <c r="CJ41" s="587">
        <v>0</v>
      </c>
      <c r="CK41" s="587">
        <v>0</v>
      </c>
      <c r="CL41" s="587">
        <v>0</v>
      </c>
      <c r="CM41" s="584">
        <f t="shared" si="46"/>
        <v>0</v>
      </c>
      <c r="CN41" s="97"/>
      <c r="CO41" s="97"/>
      <c r="CP41"/>
      <c r="CQ41"/>
      <c r="CR41"/>
      <c r="CS41"/>
      <c r="CT41"/>
      <c r="CU41"/>
    </row>
    <row r="42" spans="1:99" s="24" customFormat="1" hidden="1" outlineLevel="1">
      <c r="A42" s="43" t="s">
        <v>300</v>
      </c>
      <c r="B42" s="43"/>
      <c r="C42" s="43"/>
      <c r="D42" s="43"/>
      <c r="E42" s="43"/>
      <c r="F42" s="43"/>
      <c r="G42" s="586">
        <v>-1.081</v>
      </c>
      <c r="H42" s="585"/>
      <c r="I42" s="587">
        <v>-0.46600000000000003</v>
      </c>
      <c r="J42" s="587">
        <f>-0.501-I42</f>
        <v>-3.4999999999999976E-2</v>
      </c>
      <c r="K42" s="587">
        <f>-0.501-I42-J42</f>
        <v>0</v>
      </c>
      <c r="L42" s="569">
        <f>-0.501-SUM(I42:K42)</f>
        <v>0</v>
      </c>
      <c r="M42" s="570">
        <f t="shared" si="33"/>
        <v>-0.501</v>
      </c>
      <c r="N42" s="585"/>
      <c r="O42" s="587">
        <v>0</v>
      </c>
      <c r="P42" s="587">
        <v>0</v>
      </c>
      <c r="Q42" s="587">
        <v>0</v>
      </c>
      <c r="R42" s="569">
        <f>0-SUM(O42:Q42)</f>
        <v>0</v>
      </c>
      <c r="S42" s="570">
        <f t="shared" si="34"/>
        <v>0</v>
      </c>
      <c r="T42" s="585"/>
      <c r="U42" s="587">
        <v>-1.4730000000000001</v>
      </c>
      <c r="V42" s="587">
        <f>-1.498-U42</f>
        <v>-2.4999999999999911E-2</v>
      </c>
      <c r="W42" s="587">
        <f>-1.498-U42-V42</f>
        <v>0</v>
      </c>
      <c r="X42" s="569">
        <f>-1.498-U42-V42-W42</f>
        <v>0</v>
      </c>
      <c r="Y42" s="570">
        <f t="shared" si="35"/>
        <v>-1.498</v>
      </c>
      <c r="Z42" s="585"/>
      <c r="AA42" s="569">
        <v>-1.169</v>
      </c>
      <c r="AB42" s="569">
        <f>-1.218-AA42</f>
        <v>-4.8999999999999932E-2</v>
      </c>
      <c r="AC42" s="569">
        <f>-4.523-SUM(AA42:AB42)</f>
        <v>-3.3049999999999997</v>
      </c>
      <c r="AD42" s="569">
        <f>-4.523-SUM(AA42:AC42)</f>
        <v>0</v>
      </c>
      <c r="AE42" s="584">
        <f t="shared" si="36"/>
        <v>-4.5229999999999997</v>
      </c>
      <c r="AF42" s="585"/>
      <c r="AG42" s="569">
        <v>0</v>
      </c>
      <c r="AH42" s="587">
        <v>1.0999999999999999E-2</v>
      </c>
      <c r="AI42" s="587">
        <f>-0.497-AH42-AG42</f>
        <v>-0.50800000000000001</v>
      </c>
      <c r="AJ42" s="569">
        <f>-0.497-SUM(AG42:AI42)</f>
        <v>0</v>
      </c>
      <c r="AK42" s="584">
        <f t="shared" si="37"/>
        <v>-0.497</v>
      </c>
      <c r="AL42" s="585"/>
      <c r="AM42" s="569">
        <v>0</v>
      </c>
      <c r="AN42" s="587">
        <f>-1.958-AM42</f>
        <v>-1.958</v>
      </c>
      <c r="AO42" s="1252">
        <f>-2.039-AN42-AM42</f>
        <v>-8.1000000000000183E-2</v>
      </c>
      <c r="AP42" s="587">
        <f>-2.039-SUM(AM42:AO42)</f>
        <v>0</v>
      </c>
      <c r="AQ42" s="584">
        <f t="shared" si="38"/>
        <v>-2.0390000000000001</v>
      </c>
      <c r="AR42" s="585"/>
      <c r="AS42" s="569">
        <v>0</v>
      </c>
      <c r="AT42" s="569">
        <f>0-AS42</f>
        <v>0</v>
      </c>
      <c r="AU42" s="569">
        <f>0-SUM(AS42:AT42)</f>
        <v>0</v>
      </c>
      <c r="AV42" s="569">
        <f>0-SUM(AS42:AU42)</f>
        <v>0</v>
      </c>
      <c r="AW42" s="584">
        <f t="shared" si="39"/>
        <v>0</v>
      </c>
      <c r="AX42" s="585"/>
      <c r="AY42" s="569">
        <v>0</v>
      </c>
      <c r="AZ42" s="569">
        <f>0-AY42</f>
        <v>0</v>
      </c>
      <c r="BA42" s="569">
        <f>0.005-SUM(AY42:AZ42)</f>
        <v>5.0000000000000001E-3</v>
      </c>
      <c r="BB42" s="569">
        <f>0-SUM(AY42:BA42)</f>
        <v>-5.0000000000000001E-3</v>
      </c>
      <c r="BC42" s="584">
        <f t="shared" si="40"/>
        <v>0</v>
      </c>
      <c r="BD42" s="585"/>
      <c r="BE42" s="569">
        <v>0</v>
      </c>
      <c r="BF42" s="569">
        <f>-1.705-BE42</f>
        <v>-1.7050000000000001</v>
      </c>
      <c r="BG42" s="1840">
        <f>-1.705-SUM(BE42:BF42)</f>
        <v>0</v>
      </c>
      <c r="BH42" s="569">
        <f>-1.705-SUM(BE42:BG42)</f>
        <v>0</v>
      </c>
      <c r="BI42" s="584">
        <f t="shared" si="41"/>
        <v>-1.7050000000000001</v>
      </c>
      <c r="BJ42" s="585"/>
      <c r="BK42" s="569">
        <v>0</v>
      </c>
      <c r="BL42" s="569">
        <f>0.43-BK42</f>
        <v>0.43</v>
      </c>
      <c r="BM42" s="569">
        <f t="shared" si="47"/>
        <v>-0.43</v>
      </c>
      <c r="BN42" s="569">
        <f t="shared" si="48"/>
        <v>0</v>
      </c>
      <c r="BO42" s="584">
        <f t="shared" si="42"/>
        <v>0</v>
      </c>
      <c r="BP42" s="585"/>
      <c r="BQ42" s="587">
        <v>0</v>
      </c>
      <c r="BR42" s="587">
        <v>0</v>
      </c>
      <c r="BS42" s="587">
        <v>0</v>
      </c>
      <c r="BT42" s="587">
        <v>0</v>
      </c>
      <c r="BU42" s="584">
        <f t="shared" si="43"/>
        <v>0</v>
      </c>
      <c r="BV42" s="1777"/>
      <c r="BW42" s="587">
        <v>0</v>
      </c>
      <c r="BX42" s="587">
        <v>0</v>
      </c>
      <c r="BY42" s="587">
        <v>0</v>
      </c>
      <c r="BZ42" s="587">
        <v>0</v>
      </c>
      <c r="CA42" s="584">
        <f t="shared" si="44"/>
        <v>0</v>
      </c>
      <c r="CB42" s="1777"/>
      <c r="CC42" s="587">
        <v>0</v>
      </c>
      <c r="CD42" s="587">
        <v>0</v>
      </c>
      <c r="CE42" s="587">
        <v>0</v>
      </c>
      <c r="CF42" s="587">
        <v>0</v>
      </c>
      <c r="CG42" s="584">
        <f t="shared" si="45"/>
        <v>0</v>
      </c>
      <c r="CH42" s="1777"/>
      <c r="CI42" s="587">
        <v>0</v>
      </c>
      <c r="CJ42" s="587">
        <v>0</v>
      </c>
      <c r="CK42" s="587">
        <v>0</v>
      </c>
      <c r="CL42" s="587">
        <v>0</v>
      </c>
      <c r="CM42" s="584">
        <f t="shared" si="46"/>
        <v>0</v>
      </c>
      <c r="CN42" s="97"/>
      <c r="CO42" s="97"/>
      <c r="CP42"/>
      <c r="CQ42"/>
      <c r="CR42"/>
      <c r="CS42"/>
      <c r="CT42"/>
      <c r="CU42"/>
    </row>
    <row r="43" spans="1:99" s="24" customFormat="1" collapsed="1">
      <c r="A43" s="45" t="s">
        <v>427</v>
      </c>
      <c r="B43" s="45"/>
      <c r="C43" s="45"/>
      <c r="D43" s="45"/>
      <c r="E43" s="45"/>
      <c r="F43" s="45"/>
      <c r="G43" s="578">
        <f>SUM(G36:G42)</f>
        <v>-119.68599999999985</v>
      </c>
      <c r="H43" s="579"/>
      <c r="I43" s="579">
        <f>SUM(I36:I42)</f>
        <v>-16.332999999999991</v>
      </c>
      <c r="J43" s="579">
        <f t="shared" ref="J43:X43" si="49">SUM(J36:J42)</f>
        <v>-16.72800000000003</v>
      </c>
      <c r="K43" s="579">
        <f t="shared" si="49"/>
        <v>-7.9790000000000143</v>
      </c>
      <c r="L43" s="579">
        <f t="shared" si="49"/>
        <v>-531.89799999999991</v>
      </c>
      <c r="M43" s="578">
        <f t="shared" si="49"/>
        <v>-572.93799999999999</v>
      </c>
      <c r="N43" s="579"/>
      <c r="O43" s="579">
        <f t="shared" si="49"/>
        <v>-14.032999999999994</v>
      </c>
      <c r="P43" s="579">
        <f t="shared" si="49"/>
        <v>8.1579999999999977</v>
      </c>
      <c r="Q43" s="579">
        <f t="shared" si="49"/>
        <v>-34.051999999999978</v>
      </c>
      <c r="R43" s="579">
        <f t="shared" si="49"/>
        <v>-50.353000000000023</v>
      </c>
      <c r="S43" s="578">
        <f>SUM(S36:S42)</f>
        <v>-90.28</v>
      </c>
      <c r="T43" s="579"/>
      <c r="U43" s="579">
        <f t="shared" si="49"/>
        <v>-18.479000000000013</v>
      </c>
      <c r="V43" s="579">
        <f t="shared" si="49"/>
        <v>-21.677999999999969</v>
      </c>
      <c r="W43" s="579">
        <f t="shared" si="49"/>
        <v>-18.732000000000031</v>
      </c>
      <c r="X43" s="579">
        <f t="shared" si="49"/>
        <v>-1.3629999999999405</v>
      </c>
      <c r="Y43" s="578">
        <f>SUM(Y36:Y42)</f>
        <v>-60.251999999999953</v>
      </c>
      <c r="Z43" s="579"/>
      <c r="AA43" s="579">
        <f>SUM(AA36:AA42)</f>
        <v>-27.250000000000007</v>
      </c>
      <c r="AB43" s="579">
        <f>SUM(AB36:AB42)</f>
        <v>2.5229999999999859</v>
      </c>
      <c r="AC43" s="579">
        <f>SUM(AC36:AC42)</f>
        <v>-13.226000000000045</v>
      </c>
      <c r="AD43" s="579">
        <f>SUM(AD36:AD42)</f>
        <v>-22.468999999999895</v>
      </c>
      <c r="AE43" s="578">
        <f>SUM(AE36:AE42)</f>
        <v>-60.42199999999994</v>
      </c>
      <c r="AF43" s="579"/>
      <c r="AG43" s="579">
        <f>SUM(AG36:AG42)</f>
        <v>-11.994999999999992</v>
      </c>
      <c r="AH43" s="579">
        <f>SUM(AH36:AH42)</f>
        <v>-24.530999999999974</v>
      </c>
      <c r="AI43" s="579">
        <f>SUM(AI36:AI42)</f>
        <v>-16.870000000000015</v>
      </c>
      <c r="AJ43" s="579">
        <f>SUM(AJ36:AJ42)</f>
        <v>-13.138999999999982</v>
      </c>
      <c r="AK43" s="578">
        <f>SUM(AK36:AK42)</f>
        <v>-66.534999999999954</v>
      </c>
      <c r="AL43" s="579"/>
      <c r="AM43" s="579">
        <f>SUM(AM36:AM42)</f>
        <v>-34.580999999999989</v>
      </c>
      <c r="AN43" s="579">
        <f>SUM(AN36:AN42)</f>
        <v>-18.494999999999976</v>
      </c>
      <c r="AO43" s="579">
        <f>SUM(AO36:AO42)</f>
        <v>-8.9809999999999945</v>
      </c>
      <c r="AP43" s="579">
        <f>SUM(AP36:AP42)</f>
        <v>-2.5310000000000876</v>
      </c>
      <c r="AQ43" s="578">
        <f>SUM(AQ36:AQ42)</f>
        <v>-64.587999999999923</v>
      </c>
      <c r="AR43" s="579"/>
      <c r="AS43" s="579">
        <f>SUM(AS36:AS42)</f>
        <v>-40.298999999999999</v>
      </c>
      <c r="AT43" s="579">
        <f>SUM(AT36:AT42)</f>
        <v>-25.373999999999995</v>
      </c>
      <c r="AU43" s="579">
        <f>SUM(AU36:AU42)</f>
        <v>-39.11100000000004</v>
      </c>
      <c r="AV43" s="579">
        <f>SUM(AV36:AV42)</f>
        <v>-2.4369999999999612</v>
      </c>
      <c r="AW43" s="578">
        <f>SUM(AW36:AW42)</f>
        <v>-107.22100000000003</v>
      </c>
      <c r="AX43" s="579"/>
      <c r="AY43" s="579">
        <f>SUM(AY36:AY42)</f>
        <v>-60.274000000000015</v>
      </c>
      <c r="AZ43" s="579">
        <f>SUM(AZ36:AZ42)</f>
        <v>11.722000000000014</v>
      </c>
      <c r="BA43" s="579">
        <f>SUM(BA36:BA42)</f>
        <v>-9.3660000000000085</v>
      </c>
      <c r="BB43" s="579">
        <f>SUM(BB36:BB42)</f>
        <v>-11.675999999999981</v>
      </c>
      <c r="BC43" s="578">
        <f>SUM(BC36:BC42)</f>
        <v>-69.593999999999994</v>
      </c>
      <c r="BD43" s="579"/>
      <c r="BE43" s="579">
        <f>SUM(BE36:BE42)</f>
        <v>-37.396999999999998</v>
      </c>
      <c r="BF43" s="579">
        <f>SUM(BF36:BF42)</f>
        <v>-27.503999999999969</v>
      </c>
      <c r="BG43" s="579">
        <f>SUM(BG36:BG42)</f>
        <v>-1.9130000000000127</v>
      </c>
      <c r="BH43" s="579">
        <f>SUM(BH36:BH42)</f>
        <v>-35.043000000000028</v>
      </c>
      <c r="BI43" s="578">
        <f>SUM(BI36:BI42)</f>
        <v>-101.857</v>
      </c>
      <c r="BJ43" s="579"/>
      <c r="BK43" s="579">
        <f>SUM(BK36:BK42)</f>
        <v>-12.364000000000003</v>
      </c>
      <c r="BL43" s="579">
        <f>SUM(BL36:BL42)</f>
        <v>-9.9219999999999917</v>
      </c>
      <c r="BM43" s="579">
        <f>SUM(BM36:BM42)</f>
        <v>-17.207999999999991</v>
      </c>
      <c r="BN43" s="579">
        <f>SUM(BN36:BN42)</f>
        <v>-24.374999999999776</v>
      </c>
      <c r="BO43" s="578">
        <f>SUM(BO36:BO42)</f>
        <v>-63.868999999999808</v>
      </c>
      <c r="BP43" s="579"/>
      <c r="BQ43" s="579">
        <f>SUM(BQ36:BQ42)</f>
        <v>-247.187389</v>
      </c>
      <c r="BR43" s="579">
        <f>SUM(BR36:BR42)</f>
        <v>-147.34613501999999</v>
      </c>
      <c r="BS43" s="579">
        <f>SUM(BS36:BS42)</f>
        <v>-149.61459881759998</v>
      </c>
      <c r="BT43" s="579">
        <f>SUM(BT36:BT42)</f>
        <v>-151.508007959488</v>
      </c>
      <c r="BU43" s="578">
        <f>SUM(BU36:BU42)</f>
        <v>-695.65613079708794</v>
      </c>
      <c r="BV43" s="581"/>
      <c r="BW43" s="579">
        <f>SUM(BW36:BW42)</f>
        <v>-251.50821620434942</v>
      </c>
      <c r="BX43" s="579">
        <f>SUM(BX36:BX42)</f>
        <v>-150.93558622982749</v>
      </c>
      <c r="BY43" s="579">
        <f>SUM(BY36:BY42)</f>
        <v>-152.7733158822482</v>
      </c>
      <c r="BZ43" s="579">
        <f>SUM(BZ36:BZ42)</f>
        <v>-154.27739507637841</v>
      </c>
      <c r="CA43" s="578">
        <f>SUM(CA36:CA42)</f>
        <v>-709.49451339280358</v>
      </c>
      <c r="CB43" s="581"/>
      <c r="CC43" s="579">
        <f>SUM(CC36:CC42)</f>
        <v>-153.768393787213</v>
      </c>
      <c r="CD43" s="579">
        <f>SUM(CD36:CD42)</f>
        <v>-152.69037809974745</v>
      </c>
      <c r="CE43" s="579">
        <f>SUM(CE36:CE42)</f>
        <v>-154.31753272777775</v>
      </c>
      <c r="CF43" s="579">
        <f>SUM(CF36:CF42)</f>
        <v>-155.62499361044442</v>
      </c>
      <c r="CG43" s="578">
        <f>SUM(CG36:CG42)</f>
        <v>-616.4012982251827</v>
      </c>
      <c r="CH43" s="581"/>
      <c r="CI43" s="579">
        <f>SUM(CI36:CI42)</f>
        <v>-154.75970910919108</v>
      </c>
      <c r="CJ43" s="579">
        <f>SUM(CJ36:CJ42)</f>
        <v>-153.30515473978815</v>
      </c>
      <c r="CK43" s="579">
        <f>SUM(CK36:CK42)</f>
        <v>-154.85853617101358</v>
      </c>
      <c r="CL43" s="579">
        <f>SUM(CL36:CL42)</f>
        <v>-156.08863312149197</v>
      </c>
      <c r="CM43" s="578">
        <f>SUM(CM36:CM42)</f>
        <v>-619.01203314148484</v>
      </c>
      <c r="CN43" s="97"/>
      <c r="CO43" s="97"/>
      <c r="CP43"/>
      <c r="CQ43"/>
      <c r="CR43"/>
      <c r="CS43"/>
      <c r="CT43"/>
      <c r="CU43"/>
    </row>
    <row r="44" spans="1:99" s="24" customFormat="1" ht="6" customHeight="1">
      <c r="A44" s="32"/>
      <c r="B44" s="32"/>
      <c r="C44" s="32"/>
      <c r="D44" s="32"/>
      <c r="E44" s="32"/>
      <c r="F44" s="32"/>
      <c r="G44" s="584"/>
      <c r="H44" s="585"/>
      <c r="I44" s="585"/>
      <c r="J44" s="585"/>
      <c r="K44" s="585"/>
      <c r="L44" s="585"/>
      <c r="M44" s="584"/>
      <c r="N44" s="585"/>
      <c r="O44" s="585"/>
      <c r="P44" s="585"/>
      <c r="Q44" s="585"/>
      <c r="R44" s="585"/>
      <c r="S44" s="584"/>
      <c r="T44" s="585"/>
      <c r="U44" s="585"/>
      <c r="V44" s="585"/>
      <c r="W44" s="585"/>
      <c r="X44" s="585"/>
      <c r="Y44" s="584"/>
      <c r="Z44" s="585"/>
      <c r="AA44" s="585"/>
      <c r="AB44" s="585"/>
      <c r="AC44" s="585"/>
      <c r="AD44" s="585"/>
      <c r="AE44" s="584"/>
      <c r="AF44" s="585"/>
      <c r="AG44" s="585"/>
      <c r="AH44" s="585"/>
      <c r="AI44" s="585"/>
      <c r="AJ44" s="585"/>
      <c r="AK44" s="584"/>
      <c r="AL44" s="585"/>
      <c r="AM44" s="585"/>
      <c r="AN44" s="585"/>
      <c r="AO44" s="585"/>
      <c r="AP44" s="585"/>
      <c r="AQ44" s="584"/>
      <c r="AR44" s="585"/>
      <c r="AS44" s="585"/>
      <c r="AT44" s="585"/>
      <c r="AU44" s="585"/>
      <c r="AV44" s="585"/>
      <c r="AW44" s="584"/>
      <c r="AX44" s="585"/>
      <c r="AY44" s="585"/>
      <c r="AZ44" s="585"/>
      <c r="BA44" s="585"/>
      <c r="BB44" s="585"/>
      <c r="BC44" s="584"/>
      <c r="BD44" s="585"/>
      <c r="BE44" s="585"/>
      <c r="BF44" s="585"/>
      <c r="BG44" s="585"/>
      <c r="BH44" s="585"/>
      <c r="BI44" s="584"/>
      <c r="BJ44" s="585"/>
      <c r="BK44" s="585"/>
      <c r="BL44" s="585"/>
      <c r="BM44" s="585"/>
      <c r="BN44" s="585"/>
      <c r="BO44" s="584"/>
      <c r="BP44" s="585"/>
      <c r="BQ44" s="585"/>
      <c r="BR44" s="585"/>
      <c r="BS44" s="585"/>
      <c r="BT44" s="585"/>
      <c r="BU44" s="584"/>
      <c r="BV44" s="1777"/>
      <c r="BW44" s="585"/>
      <c r="BX44" s="585"/>
      <c r="BY44" s="585"/>
      <c r="BZ44" s="585"/>
      <c r="CA44" s="584"/>
      <c r="CB44" s="1777"/>
      <c r="CC44" s="585"/>
      <c r="CD44" s="585"/>
      <c r="CE44" s="585"/>
      <c r="CF44" s="585"/>
      <c r="CG44" s="584"/>
      <c r="CH44" s="1777"/>
      <c r="CI44" s="585"/>
      <c r="CJ44" s="585"/>
      <c r="CK44" s="585"/>
      <c r="CL44" s="585"/>
      <c r="CM44" s="584"/>
      <c r="CN44" s="97"/>
      <c r="CO44" s="97"/>
      <c r="CP44"/>
      <c r="CQ44"/>
      <c r="CR44"/>
      <c r="CS44"/>
      <c r="CT44"/>
      <c r="CU44"/>
    </row>
    <row r="45" spans="1:99" s="24" customFormat="1">
      <c r="A45" s="43" t="s">
        <v>428</v>
      </c>
      <c r="B45" s="43"/>
      <c r="C45" s="43"/>
      <c r="D45" s="43"/>
      <c r="E45" s="43"/>
      <c r="F45" s="43"/>
      <c r="G45" s="567">
        <v>0.253</v>
      </c>
      <c r="H45" s="585"/>
      <c r="I45" s="569">
        <v>0.221</v>
      </c>
      <c r="J45" s="569">
        <f>0.014-I45</f>
        <v>-0.20699999999999999</v>
      </c>
      <c r="K45" s="569">
        <f>-13.344-I45-J45</f>
        <v>-13.357999999999999</v>
      </c>
      <c r="L45" s="569">
        <f>-32.932-SUM(I45:K45)</f>
        <v>-19.588000000000001</v>
      </c>
      <c r="M45" s="570">
        <f>SUM(I45:L45)</f>
        <v>-32.932000000000002</v>
      </c>
      <c r="N45" s="585"/>
      <c r="O45" s="569">
        <v>-5.6630000000000003</v>
      </c>
      <c r="P45" s="569">
        <f>3.04-O45</f>
        <v>8.7029999999999994</v>
      </c>
      <c r="Q45" s="569">
        <f>7.634-O45-P45</f>
        <v>4.5940000000000012</v>
      </c>
      <c r="R45" s="569">
        <f>3.634-SUM(O45:Q45)</f>
        <v>-4</v>
      </c>
      <c r="S45" s="570">
        <f>SUM(O45:R45)</f>
        <v>3.6340000000000003</v>
      </c>
      <c r="T45" s="585"/>
      <c r="U45" s="569">
        <v>-12.587999999999999</v>
      </c>
      <c r="V45" s="569">
        <f>-29.225-U45</f>
        <v>-16.637</v>
      </c>
      <c r="W45" s="569">
        <f>-10.762-U45-V45</f>
        <v>18.463000000000001</v>
      </c>
      <c r="X45" s="569">
        <f>-18.702-U45-V45-W45</f>
        <v>-7.9400000000000031</v>
      </c>
      <c r="Y45" s="570">
        <f>SUM(U45:X45)</f>
        <v>-18.702000000000005</v>
      </c>
      <c r="Z45" s="585"/>
      <c r="AA45" s="569">
        <v>13.958</v>
      </c>
      <c r="AB45" s="569">
        <f>15.278-AA45</f>
        <v>1.3200000000000003</v>
      </c>
      <c r="AC45" s="569">
        <f>0.783-SUM(AA45:AB45)</f>
        <v>-14.495000000000001</v>
      </c>
      <c r="AD45" s="569">
        <f>-5.484-SUM(AA45:AC45)</f>
        <v>-6.2669999999999995</v>
      </c>
      <c r="AE45" s="584">
        <f>SUM(AA45:AD45)</f>
        <v>-5.484</v>
      </c>
      <c r="AF45" s="585"/>
      <c r="AG45" s="569">
        <v>6.9470000000000001</v>
      </c>
      <c r="AH45" s="587">
        <f>-3.617-AG45</f>
        <v>-10.564</v>
      </c>
      <c r="AI45" s="587">
        <f>6.923-SUM(AG45:AH45)</f>
        <v>10.54</v>
      </c>
      <c r="AJ45" s="569">
        <f>10.694-SUM(AG45:AI45)</f>
        <v>3.7710000000000017</v>
      </c>
      <c r="AK45" s="584">
        <f>SUM(AG45:AJ45)</f>
        <v>10.694000000000001</v>
      </c>
      <c r="AL45" s="585"/>
      <c r="AM45" s="569">
        <v>-11.750999999999999</v>
      </c>
      <c r="AN45" s="1231">
        <f>-11.771-AM45</f>
        <v>-2.000000000000135E-2</v>
      </c>
      <c r="AO45" s="1252">
        <f>-0.196-AN45-AM45</f>
        <v>11.575000000000001</v>
      </c>
      <c r="AP45" s="587">
        <f>4.202-SUM(AM45:AO45)</f>
        <v>4.3979999999999997</v>
      </c>
      <c r="AQ45" s="584">
        <f>SUM(AM45:AP45)</f>
        <v>4.202</v>
      </c>
      <c r="AR45" s="585"/>
      <c r="AS45" s="569">
        <v>-0.92100000000000004</v>
      </c>
      <c r="AT45" s="569">
        <f>5.242-AS45</f>
        <v>6.1630000000000003</v>
      </c>
      <c r="AU45" s="569">
        <f>-6.546-SUM(AS45:AT45)</f>
        <v>-11.788</v>
      </c>
      <c r="AV45" s="569">
        <f>-21.016-SUM(AS45:AU45)</f>
        <v>-14.469999999999999</v>
      </c>
      <c r="AW45" s="584">
        <f>SUM(AS45:AV45)</f>
        <v>-21.015999999999998</v>
      </c>
      <c r="AX45" s="585"/>
      <c r="AY45" s="587">
        <v>-19.248999999999999</v>
      </c>
      <c r="AZ45" s="569">
        <f>-10.791-AY45</f>
        <v>8.4579999999999984</v>
      </c>
      <c r="BA45" s="569">
        <f>-16.874-SUM(AY45:AZ45)</f>
        <v>-6.0829999999999984</v>
      </c>
      <c r="BB45" s="569">
        <f>-25.472-SUM(AY45:BA45)</f>
        <v>-8.5980000000000025</v>
      </c>
      <c r="BC45" s="584">
        <f>SUM(AY45:BB45)</f>
        <v>-25.472000000000001</v>
      </c>
      <c r="BD45" s="585"/>
      <c r="BE45" s="587">
        <v>4.056</v>
      </c>
      <c r="BF45" s="569">
        <f>-8.616-BE45</f>
        <v>-12.672000000000001</v>
      </c>
      <c r="BG45" s="1840">
        <f>-8.071-SUM(BE45:BF45)</f>
        <v>0.54499999999999993</v>
      </c>
      <c r="BH45" s="569">
        <f>-21.335-SUM(BE45:BG45)</f>
        <v>-13.264000000000001</v>
      </c>
      <c r="BI45" s="584">
        <f>SUM(BE45:BH45)</f>
        <v>-21.335000000000001</v>
      </c>
      <c r="BJ45" s="585"/>
      <c r="BK45" s="587">
        <v>14.016999999999999</v>
      </c>
      <c r="BL45" s="569">
        <f>26.502-BK45</f>
        <v>12.484999999999999</v>
      </c>
      <c r="BM45" s="569">
        <f>36.202-SUM(BK45:BL45)</f>
        <v>9.6999999999999993</v>
      </c>
      <c r="BN45" s="569">
        <f>38.669-SUM(BK45:BM45)</f>
        <v>2.4669999999999987</v>
      </c>
      <c r="BO45" s="584">
        <f>SUM(BK45:BN45)</f>
        <v>38.668999999999997</v>
      </c>
      <c r="BP45" s="585"/>
      <c r="BQ45" s="587">
        <v>0</v>
      </c>
      <c r="BR45" s="587">
        <v>0</v>
      </c>
      <c r="BS45" s="587">
        <v>0</v>
      </c>
      <c r="BT45" s="587">
        <v>0</v>
      </c>
      <c r="BU45" s="584">
        <f>SUM(BQ45:BT45)</f>
        <v>0</v>
      </c>
      <c r="BV45" s="1777"/>
      <c r="BW45" s="587">
        <v>0</v>
      </c>
      <c r="BX45" s="587">
        <v>0</v>
      </c>
      <c r="BY45" s="587">
        <v>0</v>
      </c>
      <c r="BZ45" s="587">
        <v>0</v>
      </c>
      <c r="CA45" s="584">
        <f>SUM(BW45:BZ45)</f>
        <v>0</v>
      </c>
      <c r="CB45" s="1777"/>
      <c r="CC45" s="587">
        <v>0</v>
      </c>
      <c r="CD45" s="587">
        <v>0</v>
      </c>
      <c r="CE45" s="587">
        <v>0</v>
      </c>
      <c r="CF45" s="587">
        <v>0</v>
      </c>
      <c r="CG45" s="584">
        <f>SUM(CC45:CF45)</f>
        <v>0</v>
      </c>
      <c r="CH45" s="1777"/>
      <c r="CI45" s="587">
        <v>0</v>
      </c>
      <c r="CJ45" s="587">
        <v>0</v>
      </c>
      <c r="CK45" s="587">
        <v>0</v>
      </c>
      <c r="CL45" s="587">
        <v>0</v>
      </c>
      <c r="CM45" s="584">
        <f>SUM(CI45:CL45)</f>
        <v>0</v>
      </c>
      <c r="CN45" s="97"/>
      <c r="CO45" s="97"/>
      <c r="CP45"/>
      <c r="CQ45"/>
      <c r="CR45"/>
      <c r="CS45"/>
      <c r="CT45"/>
      <c r="CU45"/>
    </row>
    <row r="46" spans="1:99" s="24" customFormat="1" ht="6" customHeight="1">
      <c r="A46" s="32"/>
      <c r="B46" s="32"/>
      <c r="C46" s="32"/>
      <c r="D46" s="32"/>
      <c r="E46" s="32"/>
      <c r="F46" s="32"/>
      <c r="G46" s="586"/>
      <c r="H46" s="585"/>
      <c r="I46" s="587"/>
      <c r="J46" s="587"/>
      <c r="K46" s="587"/>
      <c r="L46" s="587"/>
      <c r="M46" s="584"/>
      <c r="N46" s="585"/>
      <c r="O46" s="587"/>
      <c r="P46" s="587"/>
      <c r="Q46" s="587"/>
      <c r="R46" s="587"/>
      <c r="S46" s="584"/>
      <c r="T46" s="585"/>
      <c r="U46" s="587"/>
      <c r="V46" s="587"/>
      <c r="W46" s="587"/>
      <c r="X46" s="587"/>
      <c r="Y46" s="584"/>
      <c r="Z46" s="585"/>
      <c r="AA46" s="587"/>
      <c r="AB46" s="587"/>
      <c r="AC46" s="587"/>
      <c r="AD46" s="585"/>
      <c r="AE46" s="584"/>
      <c r="AF46" s="585"/>
      <c r="AG46" s="587"/>
      <c r="AH46" s="585"/>
      <c r="AI46" s="585"/>
      <c r="AJ46" s="585"/>
      <c r="AK46" s="584"/>
      <c r="AL46" s="585"/>
      <c r="AM46" s="585"/>
      <c r="AN46" s="585"/>
      <c r="AO46" s="585"/>
      <c r="AP46" s="585"/>
      <c r="AQ46" s="584"/>
      <c r="AR46" s="585"/>
      <c r="AS46" s="585"/>
      <c r="AT46" s="585"/>
      <c r="AU46" s="585"/>
      <c r="AV46" s="585"/>
      <c r="AW46" s="584"/>
      <c r="AX46" s="585"/>
      <c r="AY46" s="585"/>
      <c r="AZ46" s="585"/>
      <c r="BA46" s="585"/>
      <c r="BB46" s="585"/>
      <c r="BC46" s="584"/>
      <c r="BD46" s="585"/>
      <c r="BE46" s="585"/>
      <c r="BF46" s="585"/>
      <c r="BG46" s="585"/>
      <c r="BH46" s="585"/>
      <c r="BI46" s="584"/>
      <c r="BJ46" s="585"/>
      <c r="BK46" s="585"/>
      <c r="BL46" s="585"/>
      <c r="BM46" s="585"/>
      <c r="BN46" s="585"/>
      <c r="BO46" s="584"/>
      <c r="BP46" s="585"/>
      <c r="BQ46" s="585"/>
      <c r="BR46" s="585"/>
      <c r="BS46" s="585"/>
      <c r="BT46" s="585"/>
      <c r="BU46" s="584"/>
      <c r="BV46" s="1777"/>
      <c r="BW46" s="585"/>
      <c r="BX46" s="585"/>
      <c r="BY46" s="585"/>
      <c r="BZ46" s="585"/>
      <c r="CA46" s="584"/>
      <c r="CB46" s="1777"/>
      <c r="CC46" s="585"/>
      <c r="CD46" s="585"/>
      <c r="CE46" s="585"/>
      <c r="CF46" s="585"/>
      <c r="CG46" s="584"/>
      <c r="CH46" s="1777"/>
      <c r="CI46" s="585"/>
      <c r="CJ46" s="585"/>
      <c r="CK46" s="585"/>
      <c r="CL46" s="585"/>
      <c r="CM46" s="584"/>
      <c r="CN46" s="97"/>
      <c r="CO46" s="97"/>
      <c r="CP46"/>
      <c r="CQ46"/>
      <c r="CR46"/>
      <c r="CS46"/>
      <c r="CT46"/>
      <c r="CU46"/>
    </row>
    <row r="47" spans="1:99" s="24" customFormat="1" ht="13.5" thickBot="1">
      <c r="A47" s="588" t="s">
        <v>429</v>
      </c>
      <c r="B47" s="588"/>
      <c r="C47" s="588"/>
      <c r="D47" s="588"/>
      <c r="E47" s="588"/>
      <c r="F47" s="588"/>
      <c r="G47" s="589">
        <f>(G25+G33+G43+G45)</f>
        <v>83.167000000000229</v>
      </c>
      <c r="H47" s="590"/>
      <c r="I47" s="590">
        <f>(I25+I33+I43+I45)</f>
        <v>103.227</v>
      </c>
      <c r="J47" s="590">
        <f>(J25+J33+J43+J45)</f>
        <v>130.12099999999995</v>
      </c>
      <c r="K47" s="590">
        <f>(K25+K33+K43+K45)</f>
        <v>61.91899999999999</v>
      </c>
      <c r="L47" s="590">
        <f>(L25+L33+L43+L45)</f>
        <v>-464.07799999999992</v>
      </c>
      <c r="M47" s="589">
        <f>(M25+M33+M43+M45)</f>
        <v>-168.81100000000004</v>
      </c>
      <c r="N47" s="590"/>
      <c r="O47" s="590">
        <f>(O25+O33+O43+O45)</f>
        <v>-40.369000000000014</v>
      </c>
      <c r="P47" s="590">
        <f>(P25+P33+P43+P45)</f>
        <v>-29.707999999999974</v>
      </c>
      <c r="Q47" s="590">
        <f>(Q25+Q33+Q43+Q45)</f>
        <v>31.972000000000072</v>
      </c>
      <c r="R47" s="590">
        <f>(R25+R33+R43+R45)</f>
        <v>-49.306000000000026</v>
      </c>
      <c r="S47" s="589">
        <f>(S25+S33+S43+S45)</f>
        <v>-87.410999999999987</v>
      </c>
      <c r="T47" s="590"/>
      <c r="U47" s="590">
        <f>(U25+U33+U43+U45)</f>
        <v>-44.099000000000011</v>
      </c>
      <c r="V47" s="590">
        <f>(V25+V33+V43+V45)</f>
        <v>13.872000000000014</v>
      </c>
      <c r="W47" s="590">
        <f>(W25+W33+W43+W45)</f>
        <v>-48.092000000000063</v>
      </c>
      <c r="X47" s="590">
        <f>(X25+X33+X43+X45)</f>
        <v>45.706000000000095</v>
      </c>
      <c r="Y47" s="589">
        <f>(Y25+Y33+Y43+Y45)</f>
        <v>-32.613000000000063</v>
      </c>
      <c r="Z47" s="590"/>
      <c r="AA47" s="590">
        <f>(AA25+AA33+AA43+AA45)</f>
        <v>-11.638000000000025</v>
      </c>
      <c r="AB47" s="590">
        <f>(AB25+AB33+AB43+AB45)</f>
        <v>48.054000000000059</v>
      </c>
      <c r="AC47" s="590">
        <f>(AC25+AC33+AC43+AC45)</f>
        <v>79.011999999999844</v>
      </c>
      <c r="AD47" s="590">
        <f>(AD25+AD33+AD43+AD45)</f>
        <v>-39.935999999999822</v>
      </c>
      <c r="AE47" s="589">
        <f>(AE25+AE33+AE43+AE45)</f>
        <v>75.492000000000147</v>
      </c>
      <c r="AF47" s="590"/>
      <c r="AG47" s="590">
        <f>(AG25+AG33+AG43+AG45)</f>
        <v>43.195999999999984</v>
      </c>
      <c r="AH47" s="590">
        <f>(AH25+AH33+AH43+AH45)</f>
        <v>-57.756999999999898</v>
      </c>
      <c r="AI47" s="590">
        <f>(AI25+AI33+AI43+AI45)</f>
        <v>-13.13600000000007</v>
      </c>
      <c r="AJ47" s="590">
        <f>(AJ25+AJ33+AJ43+AJ45)</f>
        <v>124.74199999999986</v>
      </c>
      <c r="AK47" s="589">
        <f>(AK25+AK33+AK43+AK45)</f>
        <v>97.044999999999845</v>
      </c>
      <c r="AL47" s="590"/>
      <c r="AM47" s="590">
        <f>(AM25+AM33+AM43+AM45)</f>
        <v>-8.9870000000000605</v>
      </c>
      <c r="AN47" s="590">
        <f>(AN25+AN33+AN43+AN45)</f>
        <v>-17.003000000000064</v>
      </c>
      <c r="AO47" s="590">
        <f>(AO25+AO33+AO43+AO45)</f>
        <v>-24.04399999999977</v>
      </c>
      <c r="AP47" s="590">
        <f>(AP25+AP33+AP43+AP45)</f>
        <v>9.7949999999997956</v>
      </c>
      <c r="AQ47" s="589">
        <f>(AQ25+AQ33+AQ43+AQ45)</f>
        <v>-40.238999999999763</v>
      </c>
      <c r="AR47" s="590"/>
      <c r="AS47" s="590">
        <f>(AS25+AS33+AS43+AS45)</f>
        <v>-45.413999999999973</v>
      </c>
      <c r="AT47" s="590">
        <f>(AT25+AT33+AT43+AT45)</f>
        <v>33.309000000000097</v>
      </c>
      <c r="AU47" s="590">
        <f>(AU25+AU33+AU43+AU45)</f>
        <v>-71.722999999999985</v>
      </c>
      <c r="AV47" s="590">
        <f>(AV25+AV33+AV43+AV45)</f>
        <v>65.209000000000145</v>
      </c>
      <c r="AW47" s="589">
        <f>(AW25+AW33+AW43+AW45)</f>
        <v>-18.618999999999581</v>
      </c>
      <c r="AX47" s="590"/>
      <c r="AY47" s="590">
        <f>(AY25+AY33+AY43+AY45)</f>
        <v>18.620999999999992</v>
      </c>
      <c r="AZ47" s="590">
        <f>(AZ25+AZ33+AZ43+AZ45)</f>
        <v>-74.922999999999988</v>
      </c>
      <c r="BA47" s="590">
        <f>(BA25+BA33+BA43+BA45)</f>
        <v>93.643000000000058</v>
      </c>
      <c r="BB47" s="590">
        <f>(BB25+BB33+BB43+BB45)</f>
        <v>28.147000000000052</v>
      </c>
      <c r="BC47" s="589">
        <f>(BC25+BC33+BC43+BC45)</f>
        <v>65.487999999999857</v>
      </c>
      <c r="BD47" s="590"/>
      <c r="BE47" s="590">
        <f>(BE25+BE33+BE43+BE45)</f>
        <v>-71.278000000000006</v>
      </c>
      <c r="BF47" s="590">
        <f>(BF25+BF33+BF43+BF45)</f>
        <v>46.994999999999763</v>
      </c>
      <c r="BG47" s="590">
        <f>(BG25+BG33+BG43+BG45)</f>
        <v>-33.172999999999988</v>
      </c>
      <c r="BH47" s="590">
        <f>(BH25+BH33+BH43+BH45)</f>
        <v>75.42200000000004</v>
      </c>
      <c r="BI47" s="589">
        <f>(BI25+BI33+BI43+BI45)</f>
        <v>17.965999999999731</v>
      </c>
      <c r="BJ47" s="590"/>
      <c r="BK47" s="590">
        <f>(BK25+BK33+BK43+BK45)</f>
        <v>78.812999999999903</v>
      </c>
      <c r="BL47" s="590">
        <f>(BL25+BL33+BL43+BL45)</f>
        <v>-17.188999999999858</v>
      </c>
      <c r="BM47" s="590">
        <f>(BM25+BM33+BM43+BM45)</f>
        <v>36.551999999999865</v>
      </c>
      <c r="BN47" s="590">
        <f>(BN25+BN33+BN43+BN45)</f>
        <v>38.512000000000185</v>
      </c>
      <c r="BO47" s="589">
        <f>(BO25+BO33+BO43+BO45)</f>
        <v>136.68800000000022</v>
      </c>
      <c r="BP47" s="590"/>
      <c r="BQ47" s="590">
        <f>(BQ25+BQ33+BQ43+BQ45)</f>
        <v>-197.72017047162845</v>
      </c>
      <c r="BR47" s="590">
        <f>(BR25+BR33+BR43+BR45)</f>
        <v>16.216823539542133</v>
      </c>
      <c r="BS47" s="590">
        <f>(BS25+BS33+BS43+BS45)</f>
        <v>22.530817641771478</v>
      </c>
      <c r="BT47" s="590">
        <f>(BT25+BT33+BT43+BT45)</f>
        <v>72.490663261062053</v>
      </c>
      <c r="BU47" s="589">
        <f>(BU25+BU33+BU43+BU45)</f>
        <v>-86.481866029252728</v>
      </c>
      <c r="BV47" s="1778"/>
      <c r="BW47" s="590">
        <f>(BW25+BW33+BW43+BW45)</f>
        <v>-221.86816875150379</v>
      </c>
      <c r="BX47" s="590">
        <f>(BX25+BX33+BX43+BX45)</f>
        <v>12.664179269153095</v>
      </c>
      <c r="BY47" s="590">
        <f>(BY25+BY33+BY43+BY45)</f>
        <v>17.842830411609214</v>
      </c>
      <c r="BZ47" s="590">
        <f>(BZ25+BZ33+BZ43+BZ45)</f>
        <v>66.235585338821863</v>
      </c>
      <c r="CA47" s="589">
        <f>(CA25+CA33+CA43+CA45)</f>
        <v>-125.12557373191953</v>
      </c>
      <c r="CB47" s="1778"/>
      <c r="CC47" s="590">
        <f>(CC25+CC33+CC43+CC45)</f>
        <v>-105.63115308355502</v>
      </c>
      <c r="CD47" s="590">
        <f>(CD25+CD33+CD43+CD45)</f>
        <v>89.122266053971657</v>
      </c>
      <c r="CE47" s="590">
        <f>(CE25+CE33+CE43+CE45)</f>
        <v>92.01746285959166</v>
      </c>
      <c r="CF47" s="590">
        <f>(CF25+CF33+CF43+CF45)</f>
        <v>146.64628097942986</v>
      </c>
      <c r="CG47" s="589">
        <f>(CG25+CG33+CG43+CG45)</f>
        <v>222.154856809438</v>
      </c>
      <c r="CH47" s="1778"/>
      <c r="CI47" s="590">
        <f>(CI25+CI33+CI43+CI45)</f>
        <v>-23.767949964722249</v>
      </c>
      <c r="CJ47" s="590">
        <f>(CJ25+CJ33+CJ43+CJ45)</f>
        <v>53.730007004768567</v>
      </c>
      <c r="CK47" s="590">
        <f>(CK25+CK33+CK43+CK45)</f>
        <v>49.213590614425641</v>
      </c>
      <c r="CL47" s="590">
        <f>(CL25+CL33+CL43+CL45)</f>
        <v>108.39620566973798</v>
      </c>
      <c r="CM47" s="589">
        <f>(CM25+CM33+CM43+CM45)</f>
        <v>187.57185332420988</v>
      </c>
      <c r="CN47" s="97"/>
      <c r="CO47" s="97"/>
      <c r="CP47"/>
      <c r="CQ47"/>
      <c r="CR47"/>
      <c r="CS47"/>
      <c r="CT47"/>
      <c r="CU47"/>
    </row>
    <row r="48" spans="1:99">
      <c r="A48" s="27" t="s">
        <v>430</v>
      </c>
      <c r="B48" s="27"/>
      <c r="C48" s="27"/>
      <c r="D48" s="27"/>
      <c r="E48" s="27"/>
      <c r="F48" s="27"/>
      <c r="G48" s="28">
        <v>514.16600000000005</v>
      </c>
      <c r="H48" s="30"/>
      <c r="I48" s="30">
        <f>G49</f>
        <v>597.33300000000031</v>
      </c>
      <c r="J48" s="30">
        <f>I49</f>
        <v>700.56000000000029</v>
      </c>
      <c r="K48" s="30">
        <f>J49</f>
        <v>830.68100000000027</v>
      </c>
      <c r="L48" s="30">
        <f>K49</f>
        <v>892.60000000000025</v>
      </c>
      <c r="M48" s="29">
        <f>G49</f>
        <v>597.33300000000031</v>
      </c>
      <c r="N48" s="30"/>
      <c r="O48" s="30">
        <f>M49</f>
        <v>428.52200000000028</v>
      </c>
      <c r="P48" s="30">
        <f>O49</f>
        <v>388.15300000000025</v>
      </c>
      <c r="Q48" s="30">
        <f>P49</f>
        <v>358.44500000000028</v>
      </c>
      <c r="R48" s="30">
        <f>Q49</f>
        <v>390.41700000000037</v>
      </c>
      <c r="S48" s="29">
        <f>M49</f>
        <v>428.52200000000028</v>
      </c>
      <c r="T48" s="30"/>
      <c r="U48" s="30">
        <f>S49</f>
        <v>341.11100000000027</v>
      </c>
      <c r="V48" s="30">
        <f>U49</f>
        <v>297.01200000000028</v>
      </c>
      <c r="W48" s="30">
        <f>V49</f>
        <v>310.8840000000003</v>
      </c>
      <c r="X48" s="30">
        <f>W49</f>
        <v>262.79200000000026</v>
      </c>
      <c r="Y48" s="29">
        <f>S49</f>
        <v>341.11100000000027</v>
      </c>
      <c r="Z48" s="30"/>
      <c r="AA48" s="30">
        <f>Y49</f>
        <v>308.49800000000022</v>
      </c>
      <c r="AB48" s="30">
        <f>AA49</f>
        <v>296.86000000000018</v>
      </c>
      <c r="AC48" s="30">
        <f>AB49</f>
        <v>344.91400000000021</v>
      </c>
      <c r="AD48" s="30">
        <f>AC49</f>
        <v>423.92600000000004</v>
      </c>
      <c r="AE48" s="29">
        <f>Y49</f>
        <v>308.49800000000022</v>
      </c>
      <c r="AF48" s="30"/>
      <c r="AG48" s="30">
        <f>AD49</f>
        <v>383.99000000000024</v>
      </c>
      <c r="AH48" s="30">
        <f>AG49</f>
        <v>427.18600000000021</v>
      </c>
      <c r="AI48" s="30">
        <f>AH49</f>
        <v>369.42900000000031</v>
      </c>
      <c r="AJ48" s="30">
        <f>AI49</f>
        <v>356.29300000000023</v>
      </c>
      <c r="AK48" s="29">
        <f>AE49</f>
        <v>383.99000000000035</v>
      </c>
      <c r="AL48" s="30"/>
      <c r="AM48" s="30">
        <f>AJ49</f>
        <v>481.03500000000008</v>
      </c>
      <c r="AN48" s="30">
        <f>AM49</f>
        <v>472.048</v>
      </c>
      <c r="AO48" s="30">
        <f>AN49</f>
        <v>455.04499999999996</v>
      </c>
      <c r="AP48" s="30">
        <f>AO49</f>
        <v>431.0010000000002</v>
      </c>
      <c r="AQ48" s="29">
        <f>AK49</f>
        <v>481.0350000000002</v>
      </c>
      <c r="AR48" s="30"/>
      <c r="AS48" s="30">
        <f>AP49</f>
        <v>440.79599999999999</v>
      </c>
      <c r="AT48" s="30">
        <f>AS49</f>
        <v>395.38200000000001</v>
      </c>
      <c r="AU48" s="30">
        <f>AT49</f>
        <v>428.69100000000009</v>
      </c>
      <c r="AV48" s="30">
        <f>AU49</f>
        <v>356.96800000000007</v>
      </c>
      <c r="AW48" s="29">
        <f>AQ49</f>
        <v>440.79600000000045</v>
      </c>
      <c r="AX48" s="30"/>
      <c r="AY48" s="30">
        <f>AV49</f>
        <v>422.17700000000025</v>
      </c>
      <c r="AZ48" s="30">
        <f>AY49</f>
        <v>440.79800000000023</v>
      </c>
      <c r="BA48" s="30">
        <f>AZ49</f>
        <v>365.87500000000023</v>
      </c>
      <c r="BB48" s="30">
        <f>BA49</f>
        <v>459.51800000000026</v>
      </c>
      <c r="BC48" s="29">
        <f>AW49</f>
        <v>422.17700000000087</v>
      </c>
      <c r="BD48" s="30"/>
      <c r="BE48" s="30">
        <f>BB49</f>
        <v>487.6650000000003</v>
      </c>
      <c r="BF48" s="30">
        <f>BE49</f>
        <v>416.38700000000028</v>
      </c>
      <c r="BG48" s="30">
        <f>BF49</f>
        <v>463.38200000000006</v>
      </c>
      <c r="BH48" s="30">
        <f>BG49</f>
        <v>430.20900000000006</v>
      </c>
      <c r="BI48" s="29">
        <f>BC49</f>
        <v>487.66500000000076</v>
      </c>
      <c r="BJ48" s="30"/>
      <c r="BK48" s="30">
        <f>BH49</f>
        <v>505.63100000000009</v>
      </c>
      <c r="BL48" s="30">
        <f>BK49</f>
        <v>584.44399999999996</v>
      </c>
      <c r="BM48" s="30">
        <f>BL49</f>
        <v>567.25500000000011</v>
      </c>
      <c r="BN48" s="30">
        <f>BM49</f>
        <v>603.80700000000002</v>
      </c>
      <c r="BO48" s="29">
        <f>BI49</f>
        <v>505.63100000000048</v>
      </c>
      <c r="BP48" s="30"/>
      <c r="BQ48" s="30">
        <f>BN49</f>
        <v>642.31900000000019</v>
      </c>
      <c r="BR48" s="30">
        <f>BQ49</f>
        <v>444.59882952837177</v>
      </c>
      <c r="BS48" s="30">
        <f>BR49</f>
        <v>460.8156530679139</v>
      </c>
      <c r="BT48" s="30">
        <f>BS49</f>
        <v>483.34647070968538</v>
      </c>
      <c r="BU48" s="29">
        <f>BO49</f>
        <v>642.31900000000064</v>
      </c>
      <c r="BV48" s="1779"/>
      <c r="BW48" s="30">
        <f>BT49</f>
        <v>555.83713397074746</v>
      </c>
      <c r="BX48" s="30">
        <f>BW49</f>
        <v>333.96896521924367</v>
      </c>
      <c r="BY48" s="30">
        <f>BX49</f>
        <v>346.63314448839674</v>
      </c>
      <c r="BZ48" s="30">
        <f>BY49</f>
        <v>364.47597490000595</v>
      </c>
      <c r="CA48" s="29">
        <f>BU49</f>
        <v>555.83713397074791</v>
      </c>
      <c r="CB48" s="1779"/>
      <c r="CC48" s="30">
        <f>BZ49</f>
        <v>430.71156023882781</v>
      </c>
      <c r="CD48" s="30">
        <f>CC49</f>
        <v>325.08040715527278</v>
      </c>
      <c r="CE48" s="30">
        <f>CD49</f>
        <v>414.20267320924444</v>
      </c>
      <c r="CF48" s="30">
        <f>CE49</f>
        <v>506.2201360688361</v>
      </c>
      <c r="CG48" s="29">
        <f>CA49</f>
        <v>430.71156023882838</v>
      </c>
      <c r="CH48" s="1779"/>
      <c r="CI48" s="30">
        <f>CF49</f>
        <v>652.86641704826593</v>
      </c>
      <c r="CJ48" s="30">
        <f>CI49</f>
        <v>629.09846708354371</v>
      </c>
      <c r="CK48" s="30">
        <f>CJ49</f>
        <v>682.8284740883123</v>
      </c>
      <c r="CL48" s="30">
        <f>CK49</f>
        <v>732.04206470273789</v>
      </c>
      <c r="CM48" s="29">
        <f>CG49</f>
        <v>652.86641704826638</v>
      </c>
      <c r="CN48" s="97"/>
      <c r="CO48" s="97"/>
    </row>
    <row r="49" spans="1:105">
      <c r="A49" s="55" t="s">
        <v>431</v>
      </c>
      <c r="B49" s="55"/>
      <c r="C49" s="55"/>
      <c r="D49" s="55"/>
      <c r="E49" s="55"/>
      <c r="F49" s="55"/>
      <c r="G49" s="56">
        <f>G48+G47</f>
        <v>597.33300000000031</v>
      </c>
      <c r="H49" s="57"/>
      <c r="I49" s="58">
        <f>I48+I47</f>
        <v>700.56000000000029</v>
      </c>
      <c r="J49" s="58">
        <f>J48+J47</f>
        <v>830.68100000000027</v>
      </c>
      <c r="K49" s="58">
        <f>K48+K47</f>
        <v>892.60000000000025</v>
      </c>
      <c r="L49" s="58">
        <f>L48+L47</f>
        <v>428.52200000000033</v>
      </c>
      <c r="M49" s="59">
        <f>M48+M47</f>
        <v>428.52200000000028</v>
      </c>
      <c r="N49" s="57"/>
      <c r="O49" s="58">
        <f>O48+O47</f>
        <v>388.15300000000025</v>
      </c>
      <c r="P49" s="58">
        <f>P48+P47</f>
        <v>358.44500000000028</v>
      </c>
      <c r="Q49" s="58">
        <f>Q48+Q47</f>
        <v>390.41700000000037</v>
      </c>
      <c r="R49" s="58">
        <f>R48+R47</f>
        <v>341.11100000000033</v>
      </c>
      <c r="S49" s="59">
        <f>S48+S47</f>
        <v>341.11100000000027</v>
      </c>
      <c r="T49" s="57"/>
      <c r="U49" s="58">
        <f>U48+U47</f>
        <v>297.01200000000028</v>
      </c>
      <c r="V49" s="58">
        <f>V48+V47</f>
        <v>310.8840000000003</v>
      </c>
      <c r="W49" s="58">
        <f>W48+W47</f>
        <v>262.79200000000026</v>
      </c>
      <c r="X49" s="58">
        <f>X48+X47</f>
        <v>308.49800000000033</v>
      </c>
      <c r="Y49" s="59">
        <f>Y48+Y47</f>
        <v>308.49800000000022</v>
      </c>
      <c r="Z49" s="57"/>
      <c r="AA49" s="58">
        <f>AA48+AA47</f>
        <v>296.86000000000018</v>
      </c>
      <c r="AB49" s="58">
        <f>AB48+AB47</f>
        <v>344.91400000000021</v>
      </c>
      <c r="AC49" s="58">
        <f>AC48+AC47</f>
        <v>423.92600000000004</v>
      </c>
      <c r="AD49" s="58">
        <f>AD48+AD47</f>
        <v>383.99000000000024</v>
      </c>
      <c r="AE49" s="59">
        <f>AE48+AE47</f>
        <v>383.99000000000035</v>
      </c>
      <c r="AF49" s="57"/>
      <c r="AG49" s="58">
        <f>AG48+AG47</f>
        <v>427.18600000000021</v>
      </c>
      <c r="AH49" s="58">
        <f>AH48+AH47</f>
        <v>369.42900000000031</v>
      </c>
      <c r="AI49" s="58">
        <f>AI48+AI47</f>
        <v>356.29300000000023</v>
      </c>
      <c r="AJ49" s="58">
        <f>AJ48+AJ47</f>
        <v>481.03500000000008</v>
      </c>
      <c r="AK49" s="59">
        <f>AK48+AK47</f>
        <v>481.0350000000002</v>
      </c>
      <c r="AL49" s="57"/>
      <c r="AM49" s="58">
        <f>AM48+AM47</f>
        <v>472.048</v>
      </c>
      <c r="AN49" s="58">
        <f>AN48+AN47</f>
        <v>455.04499999999996</v>
      </c>
      <c r="AO49" s="58">
        <f>AO48+AO47</f>
        <v>431.0010000000002</v>
      </c>
      <c r="AP49" s="58">
        <f>AP48+AP47</f>
        <v>440.79599999999999</v>
      </c>
      <c r="AQ49" s="59">
        <f>AQ48+AQ47</f>
        <v>440.79600000000045</v>
      </c>
      <c r="AR49" s="57"/>
      <c r="AS49" s="58">
        <f>AS48+AS47</f>
        <v>395.38200000000001</v>
      </c>
      <c r="AT49" s="58">
        <f>AT48+AT47</f>
        <v>428.69100000000009</v>
      </c>
      <c r="AU49" s="58">
        <f>AU48+AU47</f>
        <v>356.96800000000007</v>
      </c>
      <c r="AV49" s="58">
        <f>AV48+AV47</f>
        <v>422.17700000000025</v>
      </c>
      <c r="AW49" s="59">
        <f>AW48+AW47</f>
        <v>422.17700000000087</v>
      </c>
      <c r="AX49" s="57"/>
      <c r="AY49" s="58">
        <f>AY48+AY47</f>
        <v>440.79800000000023</v>
      </c>
      <c r="AZ49" s="58">
        <f>AZ48+AZ47</f>
        <v>365.87500000000023</v>
      </c>
      <c r="BA49" s="58">
        <f>BA48+BA47</f>
        <v>459.51800000000026</v>
      </c>
      <c r="BB49" s="58">
        <f>BB48+BB47</f>
        <v>487.6650000000003</v>
      </c>
      <c r="BC49" s="59">
        <f>BC48+BC47</f>
        <v>487.66500000000076</v>
      </c>
      <c r="BD49" s="57"/>
      <c r="BE49" s="58">
        <f>BE48+BE47</f>
        <v>416.38700000000028</v>
      </c>
      <c r="BF49" s="58">
        <f>BF48+BF47</f>
        <v>463.38200000000006</v>
      </c>
      <c r="BG49" s="58">
        <f>BG48+BG47</f>
        <v>430.20900000000006</v>
      </c>
      <c r="BH49" s="58">
        <f>BH48+BH47</f>
        <v>505.63100000000009</v>
      </c>
      <c r="BI49" s="59">
        <f>BI48+BI47</f>
        <v>505.63100000000048</v>
      </c>
      <c r="BJ49" s="57"/>
      <c r="BK49" s="58">
        <f>BK48+BK47</f>
        <v>584.44399999999996</v>
      </c>
      <c r="BL49" s="58">
        <f>BL48+BL47</f>
        <v>567.25500000000011</v>
      </c>
      <c r="BM49" s="58">
        <f>BM48+BM47</f>
        <v>603.80700000000002</v>
      </c>
      <c r="BN49" s="58">
        <f>BN48+BN47</f>
        <v>642.31900000000019</v>
      </c>
      <c r="BO49" s="59">
        <f>BO48+BO47</f>
        <v>642.31900000000064</v>
      </c>
      <c r="BP49" s="57"/>
      <c r="BQ49" s="58">
        <f>BQ48+BQ47</f>
        <v>444.59882952837177</v>
      </c>
      <c r="BR49" s="58">
        <f>BR48+BR47</f>
        <v>460.8156530679139</v>
      </c>
      <c r="BS49" s="58">
        <f>BS48+BS47</f>
        <v>483.34647070968538</v>
      </c>
      <c r="BT49" s="58">
        <f>BT48+BT47</f>
        <v>555.83713397074746</v>
      </c>
      <c r="BU49" s="59">
        <f>BU48+BU47</f>
        <v>555.83713397074791</v>
      </c>
      <c r="BV49" s="1780"/>
      <c r="BW49" s="58">
        <f>BW48+BW47</f>
        <v>333.96896521924367</v>
      </c>
      <c r="BX49" s="58">
        <f>BX48+BX47</f>
        <v>346.63314448839674</v>
      </c>
      <c r="BY49" s="58">
        <f>BY48+BY47</f>
        <v>364.47597490000595</v>
      </c>
      <c r="BZ49" s="58">
        <f>BZ48+BZ47</f>
        <v>430.71156023882781</v>
      </c>
      <c r="CA49" s="59">
        <f>CA48+CA47</f>
        <v>430.71156023882838</v>
      </c>
      <c r="CB49" s="1780"/>
      <c r="CC49" s="58">
        <f>CC48+CC47</f>
        <v>325.08040715527278</v>
      </c>
      <c r="CD49" s="58">
        <f>CD48+CD47</f>
        <v>414.20267320924444</v>
      </c>
      <c r="CE49" s="58">
        <f>CE48+CE47</f>
        <v>506.2201360688361</v>
      </c>
      <c r="CF49" s="58">
        <f>CF48+CF47</f>
        <v>652.86641704826593</v>
      </c>
      <c r="CG49" s="59">
        <f>CG48+CG47</f>
        <v>652.86641704826638</v>
      </c>
      <c r="CH49" s="1780"/>
      <c r="CI49" s="58">
        <f>CI48+CI47</f>
        <v>629.09846708354371</v>
      </c>
      <c r="CJ49" s="58">
        <f>CJ48+CJ47</f>
        <v>682.8284740883123</v>
      </c>
      <c r="CK49" s="58">
        <f>CK48+CK47</f>
        <v>732.04206470273789</v>
      </c>
      <c r="CL49" s="58">
        <f>CL48+CL47</f>
        <v>840.43827037247593</v>
      </c>
      <c r="CM49" s="59">
        <f>CM48+CM47</f>
        <v>840.43827037247627</v>
      </c>
      <c r="CN49" s="263"/>
      <c r="CO49" s="263"/>
    </row>
    <row r="50" spans="1:105" s="24" customFormat="1" hidden="1" outlineLevel="1">
      <c r="A50" s="1936" t="s">
        <v>116</v>
      </c>
      <c r="B50" s="1936"/>
      <c r="C50" s="1936"/>
      <c r="D50" s="1936"/>
      <c r="E50" s="1936"/>
      <c r="F50" s="1936"/>
      <c r="G50" s="1937"/>
      <c r="H50" s="1937"/>
      <c r="I50" s="1937"/>
      <c r="J50" s="1937"/>
      <c r="K50" s="1937"/>
      <c r="L50" s="1937"/>
      <c r="M50" s="1937">
        <f>M49-BS!M11</f>
        <v>0</v>
      </c>
      <c r="N50" s="1937"/>
      <c r="O50" s="1937">
        <f>O49-BS!O11</f>
        <v>0</v>
      </c>
      <c r="P50" s="1937">
        <f>P49-BS!P11</f>
        <v>0</v>
      </c>
      <c r="Q50" s="1937">
        <f>Q49-BS!Q11</f>
        <v>0</v>
      </c>
      <c r="R50" s="1937">
        <f>R49-BS!R11</f>
        <v>0</v>
      </c>
      <c r="S50" s="1937">
        <f>S49-BS!S11</f>
        <v>0</v>
      </c>
      <c r="T50" s="1937"/>
      <c r="U50" s="1937">
        <f>U49-BS!U11</f>
        <v>0</v>
      </c>
      <c r="V50" s="1937">
        <f>V49-BS!V11</f>
        <v>0</v>
      </c>
      <c r="W50" s="1937">
        <f>W49-BS!W11</f>
        <v>0</v>
      </c>
      <c r="X50" s="1937">
        <f>X49-BS!X11</f>
        <v>0</v>
      </c>
      <c r="Y50" s="1937">
        <f>Y49-BS!Y11</f>
        <v>0</v>
      </c>
      <c r="Z50" s="1937"/>
      <c r="AA50" s="1937">
        <f>AA49-BS!AA11</f>
        <v>0</v>
      </c>
      <c r="AB50" s="1937">
        <f>AB49-BS!AB11</f>
        <v>0</v>
      </c>
      <c r="AC50" s="1937">
        <f>AC49-BS!AC11</f>
        <v>0</v>
      </c>
      <c r="AD50" s="1937">
        <f>AD49-BS!AD11</f>
        <v>0</v>
      </c>
      <c r="AE50" s="1937">
        <f>AE49-BS!AE11</f>
        <v>0</v>
      </c>
      <c r="AF50" s="1937"/>
      <c r="AG50" s="1937">
        <f>AG49-BS!AG11</f>
        <v>0</v>
      </c>
      <c r="AH50" s="1937">
        <f>AH49-BS!AH11</f>
        <v>0</v>
      </c>
      <c r="AI50" s="1937">
        <f>AI49-BS!AI11</f>
        <v>0</v>
      </c>
      <c r="AJ50" s="1937">
        <f>AJ49-BS!AJ11</f>
        <v>0</v>
      </c>
      <c r="AK50" s="1937">
        <f>AK49-BS!AK11</f>
        <v>0</v>
      </c>
      <c r="AL50" s="1937"/>
      <c r="AM50" s="1937">
        <f>AM49-BS!AM11</f>
        <v>0</v>
      </c>
      <c r="AN50" s="1937">
        <f>AN49-BS!AN11</f>
        <v>0</v>
      </c>
      <c r="AO50" s="1937">
        <f>AO49-BS!AO11</f>
        <v>0</v>
      </c>
      <c r="AP50" s="1937">
        <f>AP49-BS!AP11</f>
        <v>0</v>
      </c>
      <c r="AQ50" s="1937">
        <f>AQ49-BS!AQ11</f>
        <v>4.5474735088646412E-13</v>
      </c>
      <c r="AR50" s="1937"/>
      <c r="AS50" s="1937">
        <f>AS49-BS!AS11</f>
        <v>0</v>
      </c>
      <c r="AT50" s="1937">
        <f>AT49-BS!AT11</f>
        <v>0</v>
      </c>
      <c r="AU50" s="1937">
        <f>AU49-BS!AU11</f>
        <v>0</v>
      </c>
      <c r="AV50" s="1937">
        <f>AV49-BS!AV11</f>
        <v>0</v>
      </c>
      <c r="AW50" s="1938">
        <f>AW49-BS!AW11</f>
        <v>8.5265128291212022E-13</v>
      </c>
      <c r="AX50" s="1938"/>
      <c r="AY50" s="1938">
        <f>AY49-BS!AY11</f>
        <v>0</v>
      </c>
      <c r="AZ50" s="1938">
        <f>AZ49-BS!AZ11</f>
        <v>0</v>
      </c>
      <c r="BA50" s="1938">
        <f>BA49-BS!BA11</f>
        <v>0</v>
      </c>
      <c r="BB50" s="1937">
        <f>BB49-BS!BB11</f>
        <v>0</v>
      </c>
      <c r="BC50" s="1939">
        <f>BC49-BS!BC11</f>
        <v>7.3896444519050419E-13</v>
      </c>
      <c r="BD50" s="1938"/>
      <c r="BE50" s="1938">
        <f>BE49-BS!BE11</f>
        <v>0</v>
      </c>
      <c r="BF50" s="1938">
        <f>BF49-BS!BF11</f>
        <v>0</v>
      </c>
      <c r="BG50" s="1938">
        <f>BG49-BS!BG11</f>
        <v>0</v>
      </c>
      <c r="BH50" s="1937">
        <f>BH49-BS!BH11</f>
        <v>0</v>
      </c>
      <c r="BI50" s="1938">
        <f>BI49-BS!BI11</f>
        <v>5.1159076974727213E-13</v>
      </c>
      <c r="BJ50" s="1937"/>
      <c r="BK50" s="1938">
        <f>BK49-BS!BK11</f>
        <v>0</v>
      </c>
      <c r="BL50" s="1938">
        <f>BL49-BS!BL11</f>
        <v>0</v>
      </c>
      <c r="BM50" s="1938">
        <f>BM49-BS!BM11</f>
        <v>0</v>
      </c>
      <c r="BN50" s="1937">
        <f>BN49-BS!BN11</f>
        <v>0</v>
      </c>
      <c r="BO50" s="1938">
        <f>BO49-BS!BO11</f>
        <v>0</v>
      </c>
      <c r="BP50" s="1937"/>
      <c r="BQ50" s="1937">
        <f>BQ49-BS!BQ11</f>
        <v>0</v>
      </c>
      <c r="BR50" s="1937">
        <f>BR49-BS!BR11</f>
        <v>0</v>
      </c>
      <c r="BS50" s="1937">
        <f>BS49-BS!BS11</f>
        <v>0</v>
      </c>
      <c r="BT50" s="1937">
        <f>BT49-BS!BT11</f>
        <v>0</v>
      </c>
      <c r="BU50" s="1938">
        <f>BU49-BS!BU11</f>
        <v>0</v>
      </c>
      <c r="BV50" s="1938"/>
      <c r="BW50" s="1937">
        <f>BW49-BS!BW11</f>
        <v>0</v>
      </c>
      <c r="BX50" s="1937">
        <f>BX49-BS!BX11</f>
        <v>0</v>
      </c>
      <c r="BY50" s="1937">
        <f>BY49-BS!BY11</f>
        <v>0</v>
      </c>
      <c r="BZ50" s="1937">
        <f>BZ49-BS!BZ11</f>
        <v>0</v>
      </c>
      <c r="CA50" s="1938">
        <f>CA49-BS!CA11</f>
        <v>5.6843418860808015E-13</v>
      </c>
      <c r="CB50" s="1938"/>
      <c r="CC50" s="1937">
        <f>CC49-BS!CC11</f>
        <v>0</v>
      </c>
      <c r="CD50" s="1937">
        <f>CD49-BS!CD11</f>
        <v>0</v>
      </c>
      <c r="CE50" s="1937">
        <f>CE49-BS!CE11</f>
        <v>0</v>
      </c>
      <c r="CF50" s="1937">
        <f>CF49-BS!CF11</f>
        <v>0</v>
      </c>
      <c r="CG50" s="1938">
        <f>CG49-BS!CG11</f>
        <v>0</v>
      </c>
      <c r="CH50" s="1938"/>
      <c r="CI50" s="1937">
        <f>CI49-BS!CI11</f>
        <v>0</v>
      </c>
      <c r="CJ50" s="1937">
        <f>CJ49-BS!CJ11</f>
        <v>0</v>
      </c>
      <c r="CK50" s="1937">
        <f>CK49-BS!CK11</f>
        <v>0</v>
      </c>
      <c r="CL50" s="1937">
        <f>CL49-BS!CL11</f>
        <v>0</v>
      </c>
      <c r="CM50" s="1938">
        <f>CM49-BS!CM11</f>
        <v>0</v>
      </c>
      <c r="CN50" s="1628"/>
      <c r="CO50" s="1628"/>
      <c r="CP50"/>
      <c r="CQ50"/>
      <c r="CR50"/>
      <c r="CS50"/>
      <c r="CT50"/>
      <c r="CU50"/>
    </row>
    <row r="51" spans="1:105" s="24" customFormat="1" hidden="1" outlineLevel="1">
      <c r="A51" s="592" t="s">
        <v>432</v>
      </c>
      <c r="B51" s="592"/>
      <c r="C51" s="592"/>
      <c r="D51" s="592"/>
      <c r="E51" s="592"/>
      <c r="F51" s="59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591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97"/>
      <c r="CO51" s="97"/>
      <c r="CP51"/>
      <c r="CQ51"/>
      <c r="CR51"/>
      <c r="CS51"/>
      <c r="CT51"/>
      <c r="CU51"/>
    </row>
    <row r="52" spans="1:105" s="24" customFormat="1" collapsed="1">
      <c r="A52" s="592"/>
      <c r="B52" s="592"/>
      <c r="C52" s="592"/>
      <c r="D52" s="592"/>
      <c r="E52" s="592"/>
      <c r="F52" s="592"/>
      <c r="G52" s="32"/>
      <c r="H52" s="32"/>
      <c r="I52" s="32"/>
      <c r="J52" s="32"/>
      <c r="K52" s="32"/>
      <c r="L52" s="32"/>
      <c r="M52" s="496"/>
      <c r="N52" s="32"/>
      <c r="O52" s="32"/>
      <c r="P52" s="32"/>
      <c r="Q52" s="32"/>
      <c r="R52" s="32"/>
      <c r="S52" s="496"/>
      <c r="T52" s="32"/>
      <c r="U52" s="32"/>
      <c r="V52" s="32"/>
      <c r="W52" s="32"/>
      <c r="X52" s="32"/>
      <c r="Y52" s="496"/>
      <c r="Z52" s="32"/>
      <c r="AA52" s="32"/>
      <c r="AB52" s="32"/>
      <c r="AC52" s="32"/>
      <c r="AD52" s="32"/>
      <c r="AE52" s="496"/>
      <c r="AF52" s="32"/>
      <c r="AG52" s="32"/>
      <c r="AH52" s="32"/>
      <c r="AI52" s="32"/>
      <c r="AJ52" s="32"/>
      <c r="AK52" s="496"/>
      <c r="AL52" s="32"/>
      <c r="AM52" s="32"/>
      <c r="AN52" s="32"/>
      <c r="AO52" s="32"/>
      <c r="AP52" s="32"/>
      <c r="AQ52" s="593"/>
      <c r="AR52" s="32"/>
      <c r="AS52" s="32"/>
      <c r="AT52" s="32"/>
      <c r="AU52" s="32"/>
      <c r="AV52" s="32"/>
      <c r="AW52" s="593"/>
      <c r="AX52" s="32"/>
      <c r="AY52" s="1651"/>
      <c r="AZ52" s="1651"/>
      <c r="BA52" s="1651"/>
      <c r="BB52" s="1651"/>
      <c r="BC52" s="1652"/>
      <c r="BD52" s="1651"/>
      <c r="BE52" s="1651"/>
      <c r="BF52" s="1651"/>
      <c r="BG52" s="1651"/>
      <c r="BH52" s="1651"/>
      <c r="BI52" s="1652"/>
      <c r="BJ52" s="1651"/>
      <c r="BK52" s="1651"/>
      <c r="BL52" s="1651"/>
      <c r="BM52" s="1651"/>
      <c r="BN52" s="1651"/>
      <c r="BO52" s="1652"/>
      <c r="BP52" s="1651"/>
      <c r="BQ52" s="1651"/>
      <c r="BR52" s="1651"/>
      <c r="BS52" s="1651"/>
      <c r="BT52" s="1651"/>
      <c r="BU52" s="1652"/>
      <c r="BV52" s="1652"/>
      <c r="BW52" s="1651"/>
      <c r="BX52" s="1651"/>
      <c r="BY52" s="1651"/>
      <c r="BZ52" s="1651"/>
      <c r="CA52" s="1652"/>
      <c r="CB52" s="1652"/>
      <c r="CC52" s="1651"/>
      <c r="CD52" s="1651"/>
      <c r="CE52" s="1651"/>
      <c r="CF52" s="1651"/>
      <c r="CG52" s="1652"/>
      <c r="CH52" s="1652"/>
      <c r="CI52" s="1651"/>
      <c r="CJ52" s="1651"/>
      <c r="CK52" s="1651"/>
      <c r="CL52" s="1651"/>
      <c r="CM52" s="1652"/>
      <c r="CN52" s="97"/>
      <c r="CO52" s="97"/>
      <c r="CP52"/>
      <c r="CQ52"/>
      <c r="CR52"/>
      <c r="CS52"/>
      <c r="CT52"/>
      <c r="CU52"/>
    </row>
    <row r="53" spans="1:105" s="24" customFormat="1">
      <c r="A53" s="594" t="s">
        <v>340</v>
      </c>
      <c r="B53" s="594"/>
      <c r="C53" s="594"/>
      <c r="D53" s="594"/>
      <c r="E53" s="594"/>
      <c r="F53" s="594"/>
      <c r="G53" s="1559"/>
      <c r="H53" s="1559"/>
      <c r="I53" s="1559"/>
      <c r="J53" s="1559"/>
      <c r="K53" s="1559"/>
      <c r="L53" s="1559"/>
      <c r="M53" s="1559"/>
      <c r="N53" s="1559"/>
      <c r="O53" s="1559"/>
      <c r="P53" s="1559"/>
      <c r="Q53" s="1559"/>
      <c r="R53" s="1559"/>
      <c r="S53" s="1559"/>
      <c r="T53" s="1559"/>
      <c r="U53" s="1559"/>
      <c r="V53" s="1559"/>
      <c r="W53" s="1559"/>
      <c r="X53" s="1559"/>
      <c r="Y53" s="1559"/>
      <c r="Z53" s="1559"/>
      <c r="AA53" s="1559"/>
      <c r="AB53" s="1559"/>
      <c r="AC53" s="1559"/>
      <c r="AD53" s="1559"/>
      <c r="AE53" s="1559"/>
      <c r="AF53" s="1559"/>
      <c r="AG53" s="1559"/>
      <c r="AH53" s="1559"/>
      <c r="AI53" s="1559"/>
      <c r="AJ53" s="1559"/>
      <c r="AK53" s="1844"/>
      <c r="AL53" s="1559"/>
      <c r="AM53" s="1559"/>
      <c r="AN53" s="1559"/>
      <c r="AO53" s="1559"/>
      <c r="AP53" s="1559"/>
      <c r="AQ53" s="1844"/>
      <c r="AR53" s="1559"/>
      <c r="AS53" s="1559"/>
      <c r="AT53" s="1559"/>
      <c r="AU53" s="1559"/>
      <c r="AV53" s="1559"/>
      <c r="AW53" s="1844"/>
      <c r="AX53" s="1559"/>
      <c r="AY53" s="1651"/>
      <c r="AZ53" s="1651"/>
      <c r="BA53" s="1651"/>
      <c r="BB53" s="1651"/>
      <c r="BC53" s="1844"/>
      <c r="BD53" s="1651"/>
      <c r="BE53" s="1651"/>
      <c r="BF53" s="1651"/>
      <c r="BG53" s="1651"/>
      <c r="BH53" s="1651"/>
      <c r="BI53" s="1844"/>
      <c r="BJ53" s="1651"/>
      <c r="BK53" s="1651"/>
      <c r="BL53" s="1651"/>
      <c r="BM53" s="1651"/>
      <c r="BN53" s="1651"/>
      <c r="BO53" s="1844"/>
      <c r="BP53" s="1651"/>
      <c r="BQ53" s="1651"/>
      <c r="BR53" s="1651"/>
      <c r="BS53" s="1651"/>
      <c r="BT53" s="1651"/>
      <c r="BU53" s="1844"/>
      <c r="BV53" s="1651"/>
      <c r="BW53" s="1651"/>
      <c r="BX53" s="1651"/>
      <c r="BY53" s="1651"/>
      <c r="BZ53" s="1651"/>
      <c r="CA53" s="1844"/>
      <c r="CB53" s="1651"/>
      <c r="CC53" s="1651"/>
      <c r="CD53" s="1651"/>
      <c r="CE53" s="1651"/>
      <c r="CF53" s="1651"/>
      <c r="CG53" s="1844"/>
      <c r="CH53" s="1651"/>
      <c r="CI53" s="1651"/>
      <c r="CJ53" s="1651"/>
      <c r="CK53" s="1651"/>
      <c r="CL53" s="1651"/>
      <c r="CM53" s="1844"/>
      <c r="CN53" s="97"/>
      <c r="CO53" s="97"/>
      <c r="CP53"/>
      <c r="CQ53"/>
      <c r="CR53"/>
      <c r="CS53"/>
      <c r="CT53"/>
      <c r="CU53"/>
    </row>
    <row r="54" spans="1:105" s="24" customFormat="1">
      <c r="A54" s="595" t="s">
        <v>433</v>
      </c>
      <c r="B54" s="595"/>
      <c r="C54" s="595"/>
      <c r="D54" s="595"/>
      <c r="E54" s="595"/>
      <c r="F54" s="595"/>
      <c r="G54" s="596">
        <f t="shared" ref="G54:AW54" si="50">G25+G28</f>
        <v>310.16500000000008</v>
      </c>
      <c r="H54" s="597"/>
      <c r="I54" s="598">
        <f t="shared" si="50"/>
        <v>81.626000000000005</v>
      </c>
      <c r="J54" s="598">
        <f t="shared" si="50"/>
        <v>89.087999999999994</v>
      </c>
      <c r="K54" s="598">
        <f t="shared" si="50"/>
        <v>86.238</v>
      </c>
      <c r="L54" s="598">
        <f t="shared" si="50"/>
        <v>92.230999999999995</v>
      </c>
      <c r="M54" s="596">
        <f t="shared" si="50"/>
        <v>349.18299999999999</v>
      </c>
      <c r="N54" s="597"/>
      <c r="O54" s="598">
        <f t="shared" si="50"/>
        <v>58.531999999999989</v>
      </c>
      <c r="P54" s="598">
        <f t="shared" si="50"/>
        <v>57.548000000000002</v>
      </c>
      <c r="Q54" s="598">
        <f t="shared" si="50"/>
        <v>101.92500000000004</v>
      </c>
      <c r="R54" s="598">
        <f t="shared" si="50"/>
        <v>106.46199999999997</v>
      </c>
      <c r="S54" s="596">
        <f t="shared" si="50"/>
        <v>324.46700000000004</v>
      </c>
      <c r="T54" s="597"/>
      <c r="U54" s="598">
        <f t="shared" si="50"/>
        <v>92.989999999999981</v>
      </c>
      <c r="V54" s="598">
        <f t="shared" si="50"/>
        <v>100.608</v>
      </c>
      <c r="W54" s="598">
        <f t="shared" si="50"/>
        <v>82.894000000000005</v>
      </c>
      <c r="X54" s="598">
        <f t="shared" si="50"/>
        <v>118.62400000000002</v>
      </c>
      <c r="Y54" s="596">
        <f t="shared" si="50"/>
        <v>395.11599999999999</v>
      </c>
      <c r="Z54" s="597"/>
      <c r="AA54" s="598">
        <f t="shared" si="50"/>
        <v>105.92200000000001</v>
      </c>
      <c r="AB54" s="598">
        <f t="shared" si="50"/>
        <v>78.785000000000025</v>
      </c>
      <c r="AC54" s="598">
        <f t="shared" si="50"/>
        <v>111.26100000000002</v>
      </c>
      <c r="AD54" s="598">
        <f t="shared" si="50"/>
        <v>115.96999999999997</v>
      </c>
      <c r="AE54" s="596">
        <f t="shared" si="50"/>
        <v>411.9380000000001</v>
      </c>
      <c r="AF54" s="597"/>
      <c r="AG54" s="598">
        <f t="shared" si="50"/>
        <v>95.663999999999987</v>
      </c>
      <c r="AH54" s="598">
        <f t="shared" si="50"/>
        <v>73.690000000000026</v>
      </c>
      <c r="AI54" s="598">
        <f t="shared" si="50"/>
        <v>75.225000000000023</v>
      </c>
      <c r="AJ54" s="598">
        <f t="shared" si="50"/>
        <v>99.95199999999997</v>
      </c>
      <c r="AK54" s="596">
        <f t="shared" si="50"/>
        <v>344.53099999999995</v>
      </c>
      <c r="AL54" s="597"/>
      <c r="AM54" s="598">
        <f t="shared" si="50"/>
        <v>97.161000000000016</v>
      </c>
      <c r="AN54" s="598">
        <f t="shared" si="50"/>
        <v>78.38300000000001</v>
      </c>
      <c r="AO54" s="598">
        <f>AO25+AO28</f>
        <v>73.225000000000051</v>
      </c>
      <c r="AP54" s="598">
        <f t="shared" si="50"/>
        <v>117.65699999999994</v>
      </c>
      <c r="AQ54" s="596">
        <f t="shared" si="50"/>
        <v>366.42599999999999</v>
      </c>
      <c r="AR54" s="597"/>
      <c r="AS54" s="598">
        <f t="shared" si="50"/>
        <v>94.359999999999971</v>
      </c>
      <c r="AT54" s="598">
        <f t="shared" si="50"/>
        <v>83.575999999999993</v>
      </c>
      <c r="AU54" s="598">
        <f t="shared" si="50"/>
        <v>101.55300000000003</v>
      </c>
      <c r="AV54" s="598">
        <f t="shared" si="50"/>
        <v>141.03699999999998</v>
      </c>
      <c r="AW54" s="596">
        <f t="shared" si="50"/>
        <v>420.52600000000001</v>
      </c>
      <c r="AX54" s="597"/>
      <c r="AY54" s="598">
        <f>AY25+AY28</f>
        <v>133.18000000000004</v>
      </c>
      <c r="AZ54" s="598">
        <f>AZ25+AZ28</f>
        <v>89.075999999999993</v>
      </c>
      <c r="BA54" s="598">
        <f>BA25+BA28</f>
        <v>112.13599999999994</v>
      </c>
      <c r="BB54" s="598">
        <f>BB25+BB28</f>
        <v>125.88900000000004</v>
      </c>
      <c r="BC54" s="596">
        <f>BC25+BC28</f>
        <v>460.28100000000001</v>
      </c>
      <c r="BD54" s="597"/>
      <c r="BE54" s="598">
        <f>BE25+BE28</f>
        <v>135.23399999999998</v>
      </c>
      <c r="BF54" s="598">
        <f>BF25+BF28</f>
        <v>131.97499999999991</v>
      </c>
      <c r="BG54" s="598">
        <f>BG25+BG28</f>
        <v>116.59800000000006</v>
      </c>
      <c r="BH54" s="598">
        <f>BH25+BH28</f>
        <v>150.30199999999999</v>
      </c>
      <c r="BI54" s="596">
        <f>BI25+BI28</f>
        <v>534.10899999999992</v>
      </c>
      <c r="BJ54" s="597"/>
      <c r="BK54" s="598">
        <f>BK25+BK28</f>
        <v>156.49799999999999</v>
      </c>
      <c r="BL54" s="598">
        <f>BL25+BL28</f>
        <v>159.40400000000002</v>
      </c>
      <c r="BM54" s="598">
        <f>BM25+BM28</f>
        <v>134.29699999999994</v>
      </c>
      <c r="BN54" s="598">
        <f>BN25+BN28</f>
        <v>161.96799999999996</v>
      </c>
      <c r="BO54" s="596">
        <f>BO25+BO28</f>
        <v>612.16700000000003</v>
      </c>
      <c r="BP54" s="597"/>
      <c r="BQ54" s="598">
        <f>BQ25+BQ28</f>
        <v>49.467218528371546</v>
      </c>
      <c r="BR54" s="598">
        <f>BR25+BR28</f>
        <v>163.56295855954212</v>
      </c>
      <c r="BS54" s="598">
        <f>BS25+BS28</f>
        <v>172.14541645937146</v>
      </c>
      <c r="BT54" s="598">
        <f>BT25+BT28</f>
        <v>223.99867122055005</v>
      </c>
      <c r="BU54" s="596">
        <f>BU25+BU28</f>
        <v>609.17426476783521</v>
      </c>
      <c r="BV54" s="614"/>
      <c r="BW54" s="598">
        <f>BW25+BW28</f>
        <v>29.64004745284565</v>
      </c>
      <c r="BX54" s="598">
        <f>BX25+BX28</f>
        <v>163.59976549898059</v>
      </c>
      <c r="BY54" s="598">
        <f>BY25+BY28</f>
        <v>170.61614629385741</v>
      </c>
      <c r="BZ54" s="598">
        <f>BZ25+BZ28</f>
        <v>220.51298041520027</v>
      </c>
      <c r="CA54" s="596">
        <f>CA25+CA28</f>
        <v>584.36893966088405</v>
      </c>
      <c r="CB54" s="614"/>
      <c r="CC54" s="598">
        <f>CC25+CC28</f>
        <v>48.13724070365798</v>
      </c>
      <c r="CD54" s="598">
        <f>CD25+CD28</f>
        <v>241.81264415371911</v>
      </c>
      <c r="CE54" s="598">
        <f>CE25+CE28</f>
        <v>246.33499558736941</v>
      </c>
      <c r="CF54" s="598">
        <f>CF25+CF28</f>
        <v>302.27127458987428</v>
      </c>
      <c r="CG54" s="596">
        <f>CG25+CG28</f>
        <v>838.5561550346207</v>
      </c>
      <c r="CH54" s="614"/>
      <c r="CI54" s="598">
        <f>CI25+CI28</f>
        <v>130.99175914446883</v>
      </c>
      <c r="CJ54" s="598">
        <f>CJ25+CJ28</f>
        <v>207.03516174455672</v>
      </c>
      <c r="CK54" s="598">
        <f>CK25+CK28</f>
        <v>204.07212678543922</v>
      </c>
      <c r="CL54" s="598">
        <f>CL25+CL28</f>
        <v>264.48483879122995</v>
      </c>
      <c r="CM54" s="596">
        <f>CM25+CM28</f>
        <v>806.58388646569472</v>
      </c>
      <c r="CN54" s="97"/>
      <c r="CO54" s="97"/>
      <c r="CP54"/>
      <c r="CQ54"/>
      <c r="CR54"/>
      <c r="CS54"/>
      <c r="CT54"/>
      <c r="CU54"/>
      <c r="CX54" s="1496"/>
      <c r="DA54" s="1496"/>
    </row>
    <row r="55" spans="1:105" s="24" customFormat="1">
      <c r="A55" s="599" t="s">
        <v>434</v>
      </c>
      <c r="B55" s="599"/>
      <c r="C55" s="599"/>
      <c r="D55" s="599"/>
      <c r="E55" s="599"/>
      <c r="F55" s="599"/>
      <c r="G55" s="600">
        <f>G54/IS!G40</f>
        <v>3.0258523974440279</v>
      </c>
      <c r="H55" s="601"/>
      <c r="I55" s="601">
        <f>I54/IS!I40</f>
        <v>0.80038830001078609</v>
      </c>
      <c r="J55" s="601">
        <f>J54/IS!J40</f>
        <v>0.88175384767654774</v>
      </c>
      <c r="K55" s="601">
        <f>K54/IS!K40</f>
        <v>0.8575264005727582</v>
      </c>
      <c r="L55" s="601">
        <f>L54/IS!L40</f>
        <v>0.93331376934052479</v>
      </c>
      <c r="M55" s="600">
        <f>M54/IS!M40</f>
        <v>3.472557306946447</v>
      </c>
      <c r="N55" s="601"/>
      <c r="O55" s="601">
        <f>O54/IS!O40</f>
        <v>0.59771053948349262</v>
      </c>
      <c r="P55" s="601">
        <f>P54/IS!P40</f>
        <v>0.59330281661099427</v>
      </c>
      <c r="Q55" s="601">
        <f>Q54/IS!Q40</f>
        <v>1.0560753473625317</v>
      </c>
      <c r="R55" s="601">
        <f>R54/IS!R40</f>
        <v>1.1076983904027631</v>
      </c>
      <c r="S55" s="600">
        <f>S54/IS!S40</f>
        <v>3.3497862939026661</v>
      </c>
      <c r="T55" s="601"/>
      <c r="U55" s="601">
        <f>U54/IS!U40</f>
        <v>0.97654978314062757</v>
      </c>
      <c r="V55" s="601">
        <f>V54/IS!V40</f>
        <v>1.0671418570610323</v>
      </c>
      <c r="W55" s="601">
        <f>W54/IS!W40</f>
        <v>0.88860064747121759</v>
      </c>
      <c r="X55" s="601">
        <f>X54/IS!X40</f>
        <v>1.2708261912924241</v>
      </c>
      <c r="Y55" s="600">
        <f>Y54/IS!Y40</f>
        <v>4.2008143997788574</v>
      </c>
      <c r="Z55" s="601"/>
      <c r="AA55" s="601">
        <f>AA54/IS!AA40</f>
        <v>1.1351258667066755</v>
      </c>
      <c r="AB55" s="601">
        <f>AB54/IS!AB40</f>
        <v>0.84468913167007997</v>
      </c>
      <c r="AC55" s="601">
        <f>AC54/IS!AC40</f>
        <v>1.2085704975016296</v>
      </c>
      <c r="AD55" s="601">
        <f>AD54/IS!AD40</f>
        <v>1.28050261687609</v>
      </c>
      <c r="AE55" s="600">
        <f>AE54/IS!AE40</f>
        <v>4.4618250744652057</v>
      </c>
      <c r="AF55" s="601"/>
      <c r="AG55" s="601">
        <f>AG54/IS!AG40</f>
        <v>1.0597658110757844</v>
      </c>
      <c r="AH55" s="601">
        <f>AH54/IS!AH40</f>
        <v>0.82444814893545637</v>
      </c>
      <c r="AI55" s="601">
        <f>AI54/IS!AI40</f>
        <v>0.85047088218335609</v>
      </c>
      <c r="AJ55" s="601">
        <f>AJ54/IS!AJ40</f>
        <v>1.137744590272165</v>
      </c>
      <c r="AK55" s="600">
        <f>AK54/IS!AK40</f>
        <v>3.8290156592093707</v>
      </c>
      <c r="AL55" s="601"/>
      <c r="AM55" s="601">
        <f>AM54/IS!AM40</f>
        <v>1.1140400160522848</v>
      </c>
      <c r="AN55" s="601">
        <f>AN54/IS!AN40</f>
        <v>0.90536638329329167</v>
      </c>
      <c r="AO55" s="601">
        <f>AO54/IS!AO40</f>
        <v>0.84786485109536436</v>
      </c>
      <c r="AP55" s="601">
        <f>AP54/IS!AP40</f>
        <v>1.3678342653196456</v>
      </c>
      <c r="AQ55" s="600">
        <f>AQ54/IS!AQ40</f>
        <v>4.234033948441815</v>
      </c>
      <c r="AR55" s="601"/>
      <c r="AS55" s="601">
        <f>AS54/IS!AS40</f>
        <v>1.0988319960872448</v>
      </c>
      <c r="AT55" s="601">
        <f>AT54/IS!AT40</f>
        <v>0.97706282587855686</v>
      </c>
      <c r="AU55" s="601">
        <f>AU54/IS!AU40</f>
        <v>1.2032203409912208</v>
      </c>
      <c r="AV55" s="601">
        <f>AV54/IS!AV40</f>
        <v>1.6787121347378442</v>
      </c>
      <c r="AW55" s="600">
        <f>AW54/IS!AW40</f>
        <v>4.9385914434357794</v>
      </c>
      <c r="AX55" s="601"/>
      <c r="AY55" s="601">
        <f>AY54/IS!AY40</f>
        <v>1.5901709809914992</v>
      </c>
      <c r="AZ55" s="601">
        <f>AZ54/IS!AZ40</f>
        <v>1.0689291028656458</v>
      </c>
      <c r="BA55" s="601">
        <f>BA54/IS!BA40</f>
        <v>1.35456126787785</v>
      </c>
      <c r="BB55" s="601">
        <f>BB54/IS!BB40</f>
        <v>1.5281129372921274</v>
      </c>
      <c r="BC55" s="600">
        <f>BC54/IS!BC40</f>
        <v>5.5413814898419869</v>
      </c>
      <c r="BD55" s="601"/>
      <c r="BE55" s="601">
        <f>BE54/IS!BE40</f>
        <v>1.6497182033327638</v>
      </c>
      <c r="BF55" s="601">
        <f>BF54/IS!BF40</f>
        <v>1.6202197532379832</v>
      </c>
      <c r="BG55" s="601">
        <f>BG54/IS!BG40</f>
        <v>1.432619059320785</v>
      </c>
      <c r="BH55" s="601">
        <f>BH54/IS!BH40</f>
        <v>1.8566346320132421</v>
      </c>
      <c r="BI55" s="600">
        <f>BI54/IS!BI40</f>
        <v>6.5580914200465958</v>
      </c>
      <c r="BJ55" s="601"/>
      <c r="BK55" s="601">
        <f>BK54/IS!BK40</f>
        <v>1.937599821713776</v>
      </c>
      <c r="BL55" s="601">
        <f>BL54/IS!BL40</f>
        <v>1.9738966764079453</v>
      </c>
      <c r="BM55" s="601">
        <f>BM54/IS!BM40</f>
        <v>1.6678506228188912</v>
      </c>
      <c r="BN55" s="601">
        <f>BN54/IS!BN40</f>
        <v>2.0385128502026326</v>
      </c>
      <c r="BO55" s="600">
        <f>BO54/IS!BO40</f>
        <v>7.6163856920684294</v>
      </c>
      <c r="BP55" s="601"/>
      <c r="BQ55" s="601">
        <f>BQ54/IS!BQ40</f>
        <v>0.62885521484282891</v>
      </c>
      <c r="BR55" s="601">
        <f>BR54/IS!BR40</f>
        <v>2.0999945069105292</v>
      </c>
      <c r="BS55" s="601">
        <f>BS54/IS!BS40</f>
        <v>2.2319262837717542</v>
      </c>
      <c r="BT55" s="601">
        <f>BT54/IS!BT40</f>
        <v>2.9324610021066793</v>
      </c>
      <c r="BU55" s="600">
        <f>BU54/IS!BU40</f>
        <v>7.8586858489106604</v>
      </c>
      <c r="BV55" s="601"/>
      <c r="BW55" s="601">
        <f>BW54/IS!BW40</f>
        <v>0.39175942176112127</v>
      </c>
      <c r="BX55" s="601">
        <f>BX54/IS!BX40</f>
        <v>2.1828727548595435</v>
      </c>
      <c r="BY55" s="601">
        <f>BY54/IS!BY40</f>
        <v>2.2978549487491975</v>
      </c>
      <c r="BZ55" s="601">
        <f>BZ54/IS!BZ40</f>
        <v>2.9974024353635582</v>
      </c>
      <c r="CA55" s="600">
        <f>CA54/IS!CA40</f>
        <v>7.8327336395417966</v>
      </c>
      <c r="CB55" s="601"/>
      <c r="CC55" s="601">
        <f>CC54/IS!CC40</f>
        <v>0.66031675119251354</v>
      </c>
      <c r="CD55" s="601">
        <f>CD54/IS!CD40</f>
        <v>3.3470508583253751</v>
      </c>
      <c r="CE55" s="601">
        <f>CE54/IS!CE40</f>
        <v>3.4401209816309284</v>
      </c>
      <c r="CF55" s="601">
        <f>CF54/IS!CF40</f>
        <v>4.2585431736787305</v>
      </c>
      <c r="CG55" s="600">
        <f>CG54/IS!CG40</f>
        <v>11.657413748652626</v>
      </c>
      <c r="CH55" s="601"/>
      <c r="CI55" s="601">
        <f>CI54/IS!CI40</f>
        <v>1.861560616355167</v>
      </c>
      <c r="CJ55" s="601">
        <f>CJ54/IS!CJ40</f>
        <v>2.9675564509534276</v>
      </c>
      <c r="CK55" s="601">
        <f>CK54/IS!CK40</f>
        <v>2.9499392821736112</v>
      </c>
      <c r="CL55" s="601">
        <f>CL54/IS!CL40</f>
        <v>3.8552958970236277</v>
      </c>
      <c r="CM55" s="600">
        <f>CM54/IS!CM40</f>
        <v>11.609104237525909</v>
      </c>
      <c r="CN55" s="97"/>
      <c r="CO55" s="97"/>
      <c r="CP55"/>
      <c r="CQ55"/>
      <c r="CR55"/>
      <c r="CS55"/>
      <c r="CT55"/>
      <c r="CU55"/>
      <c r="CX55" s="1496"/>
      <c r="DA55" s="1496"/>
    </row>
    <row r="56" spans="1:105" s="24" customFormat="1">
      <c r="A56" s="602" t="s">
        <v>435</v>
      </c>
      <c r="B56" s="602"/>
      <c r="C56" s="602"/>
      <c r="D56" s="602"/>
      <c r="E56" s="602"/>
      <c r="F56" s="602"/>
      <c r="G56" s="487">
        <f>G55/G60</f>
        <v>4.7792546212733801E-2</v>
      </c>
      <c r="H56" s="495"/>
      <c r="I56" s="603">
        <f>I55/I60</f>
        <v>1.2754160493603251E-2</v>
      </c>
      <c r="J56" s="603">
        <f>J55/J60</f>
        <v>1.4523994163133814E-2</v>
      </c>
      <c r="K56" s="603">
        <f>K55/K60</f>
        <v>1.3194808629162088E-2</v>
      </c>
      <c r="L56" s="603">
        <f>L55/L60</f>
        <v>2.2278118336647321E-2</v>
      </c>
      <c r="M56" s="487">
        <f>M55/M60</f>
        <v>6.0365128918609477E-2</v>
      </c>
      <c r="N56" s="495"/>
      <c r="O56" s="603">
        <f>O55/O60</f>
        <v>1.6486258239518131E-2</v>
      </c>
      <c r="P56" s="603">
        <f>P55/P60</f>
        <v>1.3462933153801357E-2</v>
      </c>
      <c r="Q56" s="603">
        <f>Q55/Q60</f>
        <v>2.0377722563582838E-2</v>
      </c>
      <c r="R56" s="603">
        <f>R55/R60</f>
        <v>1.8732036900016749E-2</v>
      </c>
      <c r="S56" s="487">
        <f>S55/S60</f>
        <v>6.9825900781980504E-2</v>
      </c>
      <c r="T56" s="495"/>
      <c r="U56" s="603">
        <f>U55/U60</f>
        <v>1.5873173750657679E-2</v>
      </c>
      <c r="V56" s="603">
        <f>V55/V60</f>
        <v>1.5455337165572184E-2</v>
      </c>
      <c r="W56" s="603">
        <f>W55/W60</f>
        <v>1.3620195781922988E-2</v>
      </c>
      <c r="X56" s="603">
        <f>X55/X60</f>
        <v>1.6679768036923805E-2</v>
      </c>
      <c r="Y56" s="487">
        <f>Y55/Y60</f>
        <v>6.1780429528698694E-2</v>
      </c>
      <c r="Z56" s="495"/>
      <c r="AA56" s="603">
        <f>AA55/AA60</f>
        <v>1.4099192090022796E-2</v>
      </c>
      <c r="AB56" s="603">
        <f>AB55/AB60</f>
        <v>9.0030518783359957E-3</v>
      </c>
      <c r="AC56" s="603">
        <f>AC55/AC60</f>
        <v>1.4552982142275721E-2</v>
      </c>
      <c r="AD56" s="603">
        <f>AD55/AD60</f>
        <v>1.6705841200041635E-2</v>
      </c>
      <c r="AE56" s="487">
        <f>AE55/AE60</f>
        <v>5.3423990716759233E-2</v>
      </c>
      <c r="AF56" s="495"/>
      <c r="AG56" s="603">
        <f>AG55/AG60</f>
        <v>1.2242406536082872E-2</v>
      </c>
      <c r="AH56" s="603">
        <f>AH55/AH60</f>
        <v>9.8968471675299954E-3</v>
      </c>
      <c r="AI56" s="603">
        <f>AI55/AI60</f>
        <v>1.0733730570336966E-2</v>
      </c>
      <c r="AJ56" s="603">
        <f>AJ55/AJ60</f>
        <v>1.3553505802206985E-2</v>
      </c>
      <c r="AK56" s="487">
        <f>AK55/AK60</f>
        <v>4.5996439979111022E-2</v>
      </c>
      <c r="AL56" s="495"/>
      <c r="AM56" s="603">
        <f>AM55/AM60</f>
        <v>1.208041873883272E-2</v>
      </c>
      <c r="AN56" s="603">
        <f>AN55/AN60</f>
        <v>9.4548916504680162E-3</v>
      </c>
      <c r="AO56" s="603">
        <f>AO55/AO60</f>
        <v>8.2681722440053652E-3</v>
      </c>
      <c r="AP56" s="603">
        <f>AP55/AP60</f>
        <v>1.3569196083100385E-2</v>
      </c>
      <c r="AQ56" s="487">
        <f>AQ55/AQ60</f>
        <v>4.3248559228210567E-2</v>
      </c>
      <c r="AR56" s="495"/>
      <c r="AS56" s="603">
        <f>AS55/AS60</f>
        <v>1.0136826532170155E-2</v>
      </c>
      <c r="AT56" s="603">
        <f>AT55/AT60</f>
        <v>9.2894354998912035E-3</v>
      </c>
      <c r="AU56" s="603">
        <f>AU55/AU60</f>
        <v>1.1671464438653143E-2</v>
      </c>
      <c r="AV56" s="603">
        <f>AV55/AV60</f>
        <v>1.5323750850679121E-2</v>
      </c>
      <c r="AW56" s="487">
        <f>AW55/AW60</f>
        <v>4.6355636390145991E-2</v>
      </c>
      <c r="AX56" s="495"/>
      <c r="AY56" s="603">
        <f>AY55/AY60</f>
        <v>1.3330606623494935E-2</v>
      </c>
      <c r="AZ56" s="603">
        <f>AZ55/AZ60</f>
        <v>8.2375277635508351E-3</v>
      </c>
      <c r="BA56" s="603">
        <f>BA55/BA60</f>
        <v>1.0709223947791216E-2</v>
      </c>
      <c r="BB56" s="603">
        <f>BB55/BB60</f>
        <v>1.1892377302653573E-2</v>
      </c>
      <c r="BC56" s="487">
        <f>BC55/BC60</f>
        <v>4.3976496537287649E-2</v>
      </c>
      <c r="BD56" s="495"/>
      <c r="BE56" s="603">
        <f>BE55/BE60</f>
        <v>1.3224714852700806E-2</v>
      </c>
      <c r="BF56" s="603">
        <f>BF55/BF60</f>
        <v>1.1977298442971679E-2</v>
      </c>
      <c r="BG56" s="603">
        <f>BG55/BG60</f>
        <v>9.258018237221494E-3</v>
      </c>
      <c r="BH56" s="603">
        <f>BH55/BH60</f>
        <v>1.3009263371149176E-2</v>
      </c>
      <c r="BI56" s="487">
        <f>BI55/BI60</f>
        <v>4.7055320986505902E-2</v>
      </c>
      <c r="BJ56" s="495"/>
      <c r="BK56" s="603">
        <f>BK55/BK60</f>
        <v>1.2973662531956533E-2</v>
      </c>
      <c r="BL56" s="603">
        <f>BL55/BL60</f>
        <v>1.1359725839508701E-2</v>
      </c>
      <c r="BM56" s="603">
        <f>BM55/BM60</f>
        <v>9.1981401608797961E-3</v>
      </c>
      <c r="BN56" s="603">
        <f>BN55/BN60</f>
        <v>1.0557085056734309E-2</v>
      </c>
      <c r="BO56" s="487">
        <f>BO55/BO60</f>
        <v>4.3676289154362703E-2</v>
      </c>
      <c r="BP56" s="495"/>
      <c r="BQ56" s="603">
        <f>BQ55/BQ60</f>
        <v>2.9945486421087092E-3</v>
      </c>
      <c r="BR56" s="603">
        <f>BR55/BR60</f>
        <v>9.7895298720172448E-3</v>
      </c>
      <c r="BS56" s="603">
        <f>BS55/BS60</f>
        <v>1.0185597157924171E-2</v>
      </c>
      <c r="BT56" s="603">
        <f>BT55/BT60</f>
        <v>1.3100922164170659E-2</v>
      </c>
      <c r="BU56" s="487">
        <f>BU55/BU60</f>
        <v>3.6237006178539817E-2</v>
      </c>
      <c r="BV56" s="603"/>
      <c r="BW56" s="603">
        <f>BW55/BW60</f>
        <v>1.7133734900857274E-3</v>
      </c>
      <c r="BX56" s="603">
        <f>BX55/BX60</f>
        <v>9.3459614505899454E-3</v>
      </c>
      <c r="BY56" s="603">
        <f>BY55/BY60</f>
        <v>9.6312165452498901E-3</v>
      </c>
      <c r="BZ56" s="603">
        <f>BZ55/BZ60</f>
        <v>1.2298908337166023E-2</v>
      </c>
      <c r="CA56" s="487">
        <f>CA55/CA60</f>
        <v>3.3171692267454179E-2</v>
      </c>
      <c r="CB56" s="603"/>
      <c r="CC56" s="603">
        <f>CC55/CC60</f>
        <v>2.6523864197514854E-3</v>
      </c>
      <c r="CD56" s="603">
        <f>CD55/CD60</f>
        <v>1.316163262399752E-2</v>
      </c>
      <c r="CE56" s="603">
        <f>CE55/CE60</f>
        <v>1.3242931749431343E-2</v>
      </c>
      <c r="CF56" s="603">
        <f>CF55/CF60</f>
        <v>1.6048500173439909E-2</v>
      </c>
      <c r="CG56" s="487">
        <f>CG55/CG60</f>
        <v>4.5342803469061901E-2</v>
      </c>
      <c r="CH56" s="603"/>
      <c r="CI56" s="603">
        <f>CI55/CI60</f>
        <v>6.8677353476957158E-3</v>
      </c>
      <c r="CJ56" s="603">
        <f>CJ55/CJ60</f>
        <v>1.0717619382993817E-2</v>
      </c>
      <c r="CK56" s="603">
        <f>CK55/CK60</f>
        <v>1.0429785809997864E-2</v>
      </c>
      <c r="CL56" s="603">
        <f>CL55/CL60</f>
        <v>1.3343906820134057E-2</v>
      </c>
      <c r="CM56" s="487">
        <f>CM55/CM60</f>
        <v>4.1472169607347675E-2</v>
      </c>
      <c r="CN56" s="97"/>
      <c r="CO56" s="1099"/>
      <c r="CP56"/>
      <c r="CQ56"/>
      <c r="CR56"/>
      <c r="CS56"/>
      <c r="CT56"/>
      <c r="CU56"/>
    </row>
    <row r="57" spans="1:105" s="24" customFormat="1">
      <c r="A57" s="686" t="s">
        <v>545</v>
      </c>
      <c r="B57" s="602"/>
      <c r="C57" s="602"/>
      <c r="D57" s="602"/>
      <c r="E57" s="602"/>
      <c r="F57" s="602"/>
      <c r="G57" s="487"/>
      <c r="H57" s="495"/>
      <c r="I57" s="603"/>
      <c r="J57" s="603"/>
      <c r="K57" s="603"/>
      <c r="L57" s="603"/>
      <c r="M57" s="487">
        <f>M55/G55-1</f>
        <v>0.14762944480694307</v>
      </c>
      <c r="N57" s="495"/>
      <c r="O57" s="603">
        <f>O55/I55-1</f>
        <v>-0.2532242919150145</v>
      </c>
      <c r="P57" s="603">
        <f>P55/J55-1</f>
        <v>-0.32713328308760092</v>
      </c>
      <c r="Q57" s="603">
        <f>Q55/K55-1</f>
        <v>0.23153683275192338</v>
      </c>
      <c r="R57" s="603">
        <f>R55/L55-1</f>
        <v>0.18684458195174569</v>
      </c>
      <c r="S57" s="487">
        <f>S55/M55-1</f>
        <v>-3.5354639878279803E-2</v>
      </c>
      <c r="T57" s="495"/>
      <c r="U57" s="603">
        <f>U55/O55-1</f>
        <v>0.6338172386662384</v>
      </c>
      <c r="V57" s="603">
        <f>V55/P55-1</f>
        <v>0.79864620086696125</v>
      </c>
      <c r="W57" s="603">
        <f>W55/Q55-1</f>
        <v>-0.15858215070503212</v>
      </c>
      <c r="X57" s="603">
        <f>X55/R55-1</f>
        <v>0.14726734488649673</v>
      </c>
      <c r="Y57" s="487">
        <f>Y55/S55-1</f>
        <v>0.25405444742109262</v>
      </c>
      <c r="Z57" s="495"/>
      <c r="AA57" s="603">
        <f>AA55/U55-1</f>
        <v>0.16238402414678754</v>
      </c>
      <c r="AB57" s="603">
        <f>AB55/V55-1</f>
        <v>-0.20845656453172912</v>
      </c>
      <c r="AC57" s="603">
        <f>AC55/W55-1</f>
        <v>0.36008284592294992</v>
      </c>
      <c r="AD57" s="603">
        <f>AD55/X55-1</f>
        <v>7.6142793168474387E-3</v>
      </c>
      <c r="AE57" s="487">
        <f>AE55/Y55-1</f>
        <v>6.2133350785525954E-2</v>
      </c>
      <c r="AF57" s="495"/>
      <c r="AG57" s="603">
        <f>AG55/AA55-1</f>
        <v>-6.6389162507178301E-2</v>
      </c>
      <c r="AH57" s="603">
        <f>AH55/AB55-1</f>
        <v>-2.3962641373879268E-2</v>
      </c>
      <c r="AI57" s="603">
        <f>AI55/AC55-1</f>
        <v>-0.2963001463783379</v>
      </c>
      <c r="AJ57" s="603">
        <f>AJ55/AD55-1</f>
        <v>-0.11148593116677652</v>
      </c>
      <c r="AK57" s="487">
        <f>AK55/AE55-1</f>
        <v>-0.14182748195965156</v>
      </c>
      <c r="AL57" s="495"/>
      <c r="AM57" s="603">
        <f>AM55/AG55-1</f>
        <v>5.1213394892788422E-2</v>
      </c>
      <c r="AN57" s="603">
        <f>AN55/AH55-1</f>
        <v>9.8148360769950704E-2</v>
      </c>
      <c r="AO57" s="603">
        <f>AO55/AI55-1</f>
        <v>-3.0642214126148648E-3</v>
      </c>
      <c r="AP57" s="603">
        <f>AP55/AJ55-1</f>
        <v>0.20223315233908501</v>
      </c>
      <c r="AQ57" s="487">
        <f>AQ55/AK55-1</f>
        <v>0.10577608588732534</v>
      </c>
      <c r="AR57" s="495"/>
      <c r="AS57" s="603">
        <f>AS55/AM55-1</f>
        <v>-1.3651233120809403E-2</v>
      </c>
      <c r="AT57" s="603">
        <f>AT55/AN55-1</f>
        <v>7.9190528727682175E-2</v>
      </c>
      <c r="AU57" s="603">
        <f>AU55/AO55-1</f>
        <v>0.41911808165743558</v>
      </c>
      <c r="AV57" s="603">
        <f>AV55/AP55-1</f>
        <v>0.22727743945320045</v>
      </c>
      <c r="AW57" s="487">
        <f>AW55/AQ55-1</f>
        <v>0.1664033646336851</v>
      </c>
      <c r="AX57" s="495"/>
      <c r="AY57" s="603">
        <f>AY55/AS55-1</f>
        <v>0.44714659443284277</v>
      </c>
      <c r="AZ57" s="603">
        <f>AZ55/AT55-1</f>
        <v>9.4022896536345435E-2</v>
      </c>
      <c r="BA57" s="603">
        <f>BA55/AU55-1</f>
        <v>0.12577989394856282</v>
      </c>
      <c r="BB57" s="603">
        <f>BB55/AV55-1</f>
        <v>-8.9711150785977467E-2</v>
      </c>
      <c r="BC57" s="487">
        <f>BC55/AW55-1</f>
        <v>0.12205707909031771</v>
      </c>
      <c r="BD57" s="495"/>
      <c r="BE57" s="603">
        <f>BE55/AY55-1</f>
        <v>3.7447056356251673E-2</v>
      </c>
      <c r="BF57" s="603">
        <f>BF55/AZ55-1</f>
        <v>0.5157410803900897</v>
      </c>
      <c r="BG57" s="603">
        <f>BG55/BA55-1</f>
        <v>5.7625884700827079E-2</v>
      </c>
      <c r="BH57" s="603">
        <f>BH55/BB55-1</f>
        <v>0.21498521915747104</v>
      </c>
      <c r="BI57" s="487">
        <f>BI55/BC55-1</f>
        <v>0.18347589532833286</v>
      </c>
      <c r="BJ57" s="495"/>
      <c r="BK57" s="603">
        <f>BK55/BE55-1</f>
        <v>0.17450351084168991</v>
      </c>
      <c r="BL57" s="603">
        <f>BL55/BF55-1</f>
        <v>0.21828947737684623</v>
      </c>
      <c r="BM57" s="603">
        <f>BM55/BG55-1</f>
        <v>0.16419686864254834</v>
      </c>
      <c r="BN57" s="603">
        <f>BN55/BH55-1</f>
        <v>9.796123321914485E-2</v>
      </c>
      <c r="BO57" s="487">
        <f>BO55/BI55-1</f>
        <v>0.16137229633409333</v>
      </c>
      <c r="BP57" s="495"/>
      <c r="BQ57" s="603">
        <f>BQ55/BK55-1</f>
        <v>-0.67544628782706195</v>
      </c>
      <c r="BR57" s="603">
        <f>BR55/BL55-1</f>
        <v>6.3882690522613306E-2</v>
      </c>
      <c r="BS57" s="603">
        <f>BS55/BM55-1</f>
        <v>0.33820514453476624</v>
      </c>
      <c r="BT57" s="603">
        <f>BT55/BN55-1</f>
        <v>0.43852956424345635</v>
      </c>
      <c r="BU57" s="487">
        <f>BU55/BO55-1</f>
        <v>3.1813010348800796E-2</v>
      </c>
      <c r="BV57" s="603"/>
      <c r="BW57" s="603">
        <f>BW55/BQ55-1</f>
        <v>-0.37702763288838348</v>
      </c>
      <c r="BX57" s="603">
        <f>BX55/BR55-1</f>
        <v>3.9465935589966472E-2</v>
      </c>
      <c r="BY57" s="603">
        <f>BY55/BS55-1</f>
        <v>2.9538907918602808E-2</v>
      </c>
      <c r="BZ57" s="603">
        <f>BZ55/BT55-1</f>
        <v>2.2145710790433482E-2</v>
      </c>
      <c r="CA57" s="487">
        <f>CA55/BU55-1</f>
        <v>-3.3023599451378338E-3</v>
      </c>
      <c r="CB57" s="603"/>
      <c r="CC57" s="603">
        <f>CC55/BW55-1</f>
        <v>0.68551594298387397</v>
      </c>
      <c r="CD57" s="603">
        <f>CD55/BX55-1</f>
        <v>0.53332385081728706</v>
      </c>
      <c r="CE57" s="603">
        <f>CE55/BY55-1</f>
        <v>0.49710101740908663</v>
      </c>
      <c r="CF57" s="603">
        <f>CF55/BZ55-1</f>
        <v>0.42074454982625875</v>
      </c>
      <c r="CG57" s="487">
        <f>CG55/CA55-1</f>
        <v>0.48829441739251678</v>
      </c>
      <c r="CH57" s="603"/>
      <c r="CI57" s="603">
        <f>CI55/CC55-1</f>
        <v>1.8191933840739929</v>
      </c>
      <c r="CJ57" s="603">
        <f>CJ55/CD55-1</f>
        <v>-0.11338172720859685</v>
      </c>
      <c r="CK57" s="603">
        <f>CK55/CE55-1</f>
        <v>-0.14248966884441572</v>
      </c>
      <c r="CL57" s="603">
        <f>CL55/CF55-1</f>
        <v>-9.4691367495696621E-2</v>
      </c>
      <c r="CM57" s="487">
        <f>CM55/CG55-1</f>
        <v>-4.144101956774171E-3</v>
      </c>
      <c r="CN57" s="97"/>
      <c r="CO57" s="2115"/>
      <c r="CP57"/>
      <c r="CQ57"/>
      <c r="CR57"/>
      <c r="CS57"/>
      <c r="CT57"/>
      <c r="CU57"/>
    </row>
    <row r="58" spans="1:105" s="24" customFormat="1">
      <c r="A58" s="1050" t="s">
        <v>547</v>
      </c>
      <c r="B58" s="602"/>
      <c r="C58" s="602"/>
      <c r="D58" s="602"/>
      <c r="E58" s="602"/>
      <c r="F58" s="602"/>
      <c r="G58" s="487"/>
      <c r="H58" s="495"/>
      <c r="I58" s="603">
        <f>I54/IS!I33</f>
        <v>1.1870973371533273</v>
      </c>
      <c r="J58" s="603">
        <f>J54/IS!J33</f>
        <v>1.0751369747290673</v>
      </c>
      <c r="K58" s="603">
        <f>K54/IS!K33</f>
        <v>1.2060752695691097</v>
      </c>
      <c r="L58" s="603">
        <f>L54/IS!L33</f>
        <v>0.92090102143720187</v>
      </c>
      <c r="M58" s="487">
        <f>M54/IS!M33</f>
        <v>1.0801289288818638</v>
      </c>
      <c r="N58" s="495"/>
      <c r="O58" s="603">
        <f>O54/IS!O33</f>
        <v>0.79850481569397791</v>
      </c>
      <c r="P58" s="603">
        <f>P54/IS!P33</f>
        <v>0.8232079763113852</v>
      </c>
      <c r="Q58" s="603">
        <f>Q54/IS!Q33</f>
        <v>1.3422487357774968</v>
      </c>
      <c r="R58" s="603">
        <f>R54/IS!R33</f>
        <v>1.0224638168320159</v>
      </c>
      <c r="S58" s="487">
        <f>S54/IS!S33</f>
        <v>1.0037089968694701</v>
      </c>
      <c r="T58" s="495"/>
      <c r="U58" s="603">
        <f>U54/IS!U33</f>
        <v>1.2313620593765722</v>
      </c>
      <c r="V58" s="603">
        <f>V54/IS!V33</f>
        <v>1.1847106756788583</v>
      </c>
      <c r="W58" s="603">
        <f>W54/IS!W33</f>
        <v>0.87515704346540835</v>
      </c>
      <c r="X58" s="603">
        <f>X54/IS!X33</f>
        <v>0.93696881615114869</v>
      </c>
      <c r="Y58" s="487">
        <f>Y54/IS!Y33</f>
        <v>1.0349771978950291</v>
      </c>
      <c r="Z58" s="495"/>
      <c r="AA58" s="603">
        <f>AA54/IS!AA33</f>
        <v>1.1209982114320185</v>
      </c>
      <c r="AB58" s="603">
        <f>AB54/IS!AB33</f>
        <v>0.78725955533349967</v>
      </c>
      <c r="AC58" s="603">
        <f>AC54/IS!AC33</f>
        <v>1.098798107785141</v>
      </c>
      <c r="AD58" s="603">
        <f>AD54/IS!AD33</f>
        <v>0.84508992333926014</v>
      </c>
      <c r="AE58" s="487">
        <f>AE54/IS!AE33</f>
        <v>0.95125032040254109</v>
      </c>
      <c r="AF58" s="495"/>
      <c r="AG58" s="603">
        <f>AG54/IS!AG33</f>
        <v>1.0789254054541757</v>
      </c>
      <c r="AH58" s="603">
        <f>AH54/IS!AH33</f>
        <v>0.75406246162662216</v>
      </c>
      <c r="AI58" s="603">
        <f>AI54/IS!AI33</f>
        <v>0.75901280408439209</v>
      </c>
      <c r="AJ58" s="603">
        <f>AJ54/IS!AJ33</f>
        <v>0.56808984676942675</v>
      </c>
      <c r="AK58" s="487">
        <f>AK54/IS!AK33</f>
        <v>0.74663826301406644</v>
      </c>
      <c r="AL58" s="495"/>
      <c r="AM58" s="603">
        <f>AM54/IS!AM33</f>
        <v>0.80259212450127615</v>
      </c>
      <c r="AN58" s="603">
        <f>AN54/IS!AN33</f>
        <v>0.8776115726537832</v>
      </c>
      <c r="AO58" s="603">
        <f>AO54/IS!AO33</f>
        <v>0.74682808420365565</v>
      </c>
      <c r="AP58" s="603">
        <f>AP54/IS!AP33</f>
        <v>0.83101665465949059</v>
      </c>
      <c r="AQ58" s="487">
        <f>AQ54/IS!AQ33</f>
        <v>0.81427457150285654</v>
      </c>
      <c r="AR58" s="495"/>
      <c r="AS58" s="603">
        <f>AS54/IS!AS33</f>
        <v>1.3422093254814944</v>
      </c>
      <c r="AT58" s="603">
        <f>AT54/IS!AT33</f>
        <v>0.86581234654870565</v>
      </c>
      <c r="AU58" s="603">
        <f>AU54/IS!AU33</f>
        <v>0.89476373824858813</v>
      </c>
      <c r="AV58" s="603">
        <f>AV54/IS!AV33</f>
        <v>0.93221716944716182</v>
      </c>
      <c r="AW58" s="487">
        <f>AW54/IS!AW33</f>
        <v>0.97429683517909282</v>
      </c>
      <c r="AX58" s="495"/>
      <c r="AY58" s="603">
        <f>AY54/IS!AY33</f>
        <v>1.3864107181894836</v>
      </c>
      <c r="AZ58" s="603">
        <f>AZ54/IS!AZ33</f>
        <v>0.84306766234134967</v>
      </c>
      <c r="BA58" s="603">
        <f>BA54/IS!BA33</f>
        <v>0.96435359173037727</v>
      </c>
      <c r="BB58" s="603">
        <f>BB54/IS!BB33</f>
        <v>0.83340394825691499</v>
      </c>
      <c r="BC58" s="487">
        <f>BC54/IS!BC33</f>
        <v>0.98129848865693259</v>
      </c>
      <c r="BD58" s="495"/>
      <c r="BE58" s="603">
        <f>BE54/IS!BE33</f>
        <v>1.4378641602517759</v>
      </c>
      <c r="BF58" s="603">
        <f>BF54/IS!BF33</f>
        <v>1.0293096859230835</v>
      </c>
      <c r="BG58" s="603">
        <f>BG54/IS!BG33</f>
        <v>0.93385980649708467</v>
      </c>
      <c r="BH58" s="603">
        <f>BH54/IS!BH33</f>
        <v>0.86193212446524237</v>
      </c>
      <c r="BI58" s="487">
        <f>BI54/IS!BI33</f>
        <v>1.0241724400434902</v>
      </c>
      <c r="BJ58" s="495"/>
      <c r="BK58" s="603">
        <f>BK54/IS!BK33</f>
        <v>1.4825923434731942</v>
      </c>
      <c r="BL58" s="603">
        <f>BL54/IS!BL33</f>
        <v>1.2092366979715072</v>
      </c>
      <c r="BM58" s="603">
        <f>BM54/IS!BM33</f>
        <v>0.98672338799741377</v>
      </c>
      <c r="BN58" s="603">
        <f>BN54/IS!BN33</f>
        <v>-0.45860940278391249</v>
      </c>
      <c r="BO58" s="487">
        <f>BO54/IS!BO33</f>
        <v>30.139678006991065</v>
      </c>
      <c r="BP58" s="495"/>
      <c r="BQ58" s="603">
        <f>BQ54/IS!BQ33</f>
        <v>0.40992195394533287</v>
      </c>
      <c r="BR58" s="603">
        <f>BR54/IS!BR33</f>
        <v>1.0785647377116623</v>
      </c>
      <c r="BS58" s="603">
        <f>BS54/IS!BS33</f>
        <v>1.1624639632643738</v>
      </c>
      <c r="BT58" s="603">
        <f>BT54/IS!BT33</f>
        <v>1.0585997827149292</v>
      </c>
      <c r="BU58" s="487">
        <f>BU54/IS!BU33</f>
        <v>0.96386941404659621</v>
      </c>
      <c r="BV58" s="603"/>
      <c r="BW58" s="603">
        <f>BW54/IS!BW33</f>
        <v>0.22524456489942118</v>
      </c>
      <c r="BX58" s="603">
        <f>BX54/IS!BX33</f>
        <v>1.0069177249493653</v>
      </c>
      <c r="BY58" s="603">
        <f>BY54/IS!BY33</f>
        <v>1.0780457578824882</v>
      </c>
      <c r="BZ58" s="603">
        <f>BZ54/IS!BZ33</f>
        <v>0.98376857064299661</v>
      </c>
      <c r="CA58" s="487">
        <f>CA54/IS!CA33</f>
        <v>0.86383531797561641</v>
      </c>
      <c r="CB58" s="603"/>
      <c r="CC58" s="603">
        <f>CC54/IS!CC33</f>
        <v>0.34318112715656263</v>
      </c>
      <c r="CD58" s="603">
        <f>CD54/IS!CD33</f>
        <v>1.0241305209147105</v>
      </c>
      <c r="CE58" s="603">
        <f>CE54/IS!CE33</f>
        <v>1.0545160913417793</v>
      </c>
      <c r="CF58" s="603">
        <f>CF54/IS!CF33</f>
        <v>0.99562229549876624</v>
      </c>
      <c r="CG58" s="487">
        <f>CG54/IS!CG33</f>
        <v>0.91787608226580419</v>
      </c>
      <c r="CH58" s="603"/>
      <c r="CI58" s="603">
        <f>CI54/IS!CI33</f>
        <v>0.59187284357597636</v>
      </c>
      <c r="CJ58" s="603">
        <f>CJ54/IS!CJ33</f>
        <v>1.1274882181282062</v>
      </c>
      <c r="CK58" s="603">
        <f>CK54/IS!CK33</f>
        <v>1.1418980167402921</v>
      </c>
      <c r="CL58" s="603">
        <f>CL54/IS!CL33</f>
        <v>1.0634823741502881</v>
      </c>
      <c r="CM58" s="487">
        <f>CM54/IS!CM33</f>
        <v>0.96904113112406765</v>
      </c>
      <c r="CN58" s="97"/>
      <c r="CO58" s="925"/>
      <c r="CP58"/>
      <c r="CQ58"/>
      <c r="CR58"/>
      <c r="CS58"/>
      <c r="CT58"/>
      <c r="CU58"/>
    </row>
    <row r="59" spans="1:105" s="24" customFormat="1">
      <c r="A59" s="1050" t="s">
        <v>548</v>
      </c>
      <c r="B59" s="602"/>
      <c r="C59" s="602"/>
      <c r="D59" s="602"/>
      <c r="E59" s="602"/>
      <c r="F59" s="602"/>
      <c r="G59" s="487"/>
      <c r="H59" s="495"/>
      <c r="I59" s="603">
        <f>I54/IS!I9</f>
        <v>0.21942591089199404</v>
      </c>
      <c r="J59" s="603">
        <f>J54/IS!J9</f>
        <v>0.22356675910009158</v>
      </c>
      <c r="K59" s="603">
        <f>K54/IS!K9</f>
        <v>0.22323522559602396</v>
      </c>
      <c r="L59" s="603">
        <f>L54/IS!L9</f>
        <v>0.22047373969416567</v>
      </c>
      <c r="M59" s="487">
        <f>M54/IS!M9</f>
        <v>0.22168603868647802</v>
      </c>
      <c r="N59" s="495"/>
      <c r="O59" s="603">
        <f>O54/IS!O9</f>
        <v>0.17574432821301175</v>
      </c>
      <c r="P59" s="603">
        <f>P54/IS!P9</f>
        <v>0.15860565488084183</v>
      </c>
      <c r="Q59" s="603">
        <f>Q54/IS!Q9</f>
        <v>0.27255370183681282</v>
      </c>
      <c r="R59" s="603">
        <f>R54/IS!R9</f>
        <v>0.24825112860500684</v>
      </c>
      <c r="S59" s="487">
        <f>S54/IS!S9</f>
        <v>0.21649896577033431</v>
      </c>
      <c r="T59" s="495"/>
      <c r="U59" s="603">
        <f>U54/IS!U9</f>
        <v>0.25289638292085936</v>
      </c>
      <c r="V59" s="603">
        <f>V54/IS!V9</f>
        <v>0.25727327358044266</v>
      </c>
      <c r="W59" s="603">
        <f>W54/IS!W9</f>
        <v>0.20669861708865495</v>
      </c>
      <c r="X59" s="603">
        <f>X54/IS!X9</f>
        <v>0.24530479054051266</v>
      </c>
      <c r="Y59" s="487">
        <f>Y54/IS!Y9</f>
        <v>0.24043018892264739</v>
      </c>
      <c r="Z59" s="495"/>
      <c r="AA59" s="603">
        <f>AA54/IS!AA9</f>
        <v>0.24771107779879936</v>
      </c>
      <c r="AB59" s="603">
        <f>AB54/IS!AB9</f>
        <v>0.17600591563958387</v>
      </c>
      <c r="AC59" s="603">
        <f>AC54/IS!AC9</f>
        <v>0.24478036846528539</v>
      </c>
      <c r="AD59" s="603">
        <f>AD54/IS!AD9</f>
        <v>0.22241187526370293</v>
      </c>
      <c r="AE59" s="487">
        <f>AE54/IS!AE9</f>
        <v>0.22252677205507401</v>
      </c>
      <c r="AF59" s="495"/>
      <c r="AG59" s="603">
        <f>AG54/IS!AG9</f>
        <v>0.22752331980839938</v>
      </c>
      <c r="AH59" s="603">
        <f>AH54/IS!AH9</f>
        <v>0.16322417020145533</v>
      </c>
      <c r="AI59" s="603">
        <f>AI54/IS!AI9</f>
        <v>0.1671844996799659</v>
      </c>
      <c r="AJ59" s="603">
        <f>AJ54/IS!AJ9</f>
        <v>0.19156480107941104</v>
      </c>
      <c r="AK59" s="487">
        <f>AK54/IS!AK9</f>
        <v>0.18687531900190976</v>
      </c>
      <c r="AL59" s="495"/>
      <c r="AM59" s="603">
        <f>AM54/IS!AM9</f>
        <v>0.22577834167561314</v>
      </c>
      <c r="AN59" s="603">
        <f>AN54/IS!AN9</f>
        <v>0.17375392084058391</v>
      </c>
      <c r="AO59" s="603">
        <f>AO54/IS!AO9</f>
        <v>0.16011869228565753</v>
      </c>
      <c r="AP59" s="603">
        <f>AP54/IS!AP9</f>
        <v>0.20807748899987258</v>
      </c>
      <c r="AQ59" s="487">
        <f>AQ54/IS!AQ9</f>
        <v>0.19242859798615494</v>
      </c>
      <c r="AR59" s="495"/>
      <c r="AS59" s="603">
        <f>AS54/IS!AS9</f>
        <v>0.21918291878431986</v>
      </c>
      <c r="AT59" s="603">
        <f>AT54/IS!AT9</f>
        <v>0.17346580849769924</v>
      </c>
      <c r="AU59" s="603">
        <f>AU54/IS!AU9</f>
        <v>0.20592093923940269</v>
      </c>
      <c r="AV59" s="603">
        <f>AV54/IS!AV9</f>
        <v>0.24155548324113241</v>
      </c>
      <c r="AW59" s="487">
        <f>AW54/IS!AW9</f>
        <v>0.21138928209500218</v>
      </c>
      <c r="AX59" s="495"/>
      <c r="AY59" s="603">
        <f>AY54/IS!AY9</f>
        <v>0.2892676866404289</v>
      </c>
      <c r="AZ59" s="603">
        <f>AZ54/IS!AZ9</f>
        <v>0.18004608481222459</v>
      </c>
      <c r="BA59" s="603">
        <f>BA54/IS!BA9</f>
        <v>0.22401304092469096</v>
      </c>
      <c r="BB59" s="603">
        <f>BB54/IS!BB9</f>
        <v>0.21460425154702448</v>
      </c>
      <c r="BC59" s="487">
        <f>BC54/IS!BC9</f>
        <v>0.22537031197670115</v>
      </c>
      <c r="BD59" s="495"/>
      <c r="BE59" s="603">
        <f>BE54/IS!BE9</f>
        <v>0.28455578794981962</v>
      </c>
      <c r="BF59" s="603">
        <f>BF54/IS!BF9</f>
        <v>0.2459650365289994</v>
      </c>
      <c r="BG59" s="603">
        <f>BG54/IS!BG9</f>
        <v>0.22131997038893012</v>
      </c>
      <c r="BH59" s="603">
        <f>BH54/IS!BH9</f>
        <v>0.23903484009688494</v>
      </c>
      <c r="BI59" s="487">
        <f>BI54/IS!BI9</f>
        <v>0.24642582458523324</v>
      </c>
      <c r="BJ59" s="495"/>
      <c r="BK59" s="603">
        <f>BK54/IS!BK9</f>
        <v>0.31427257520046425</v>
      </c>
      <c r="BL59" s="603">
        <f>BL54/IS!BL9</f>
        <v>0.28554231974921634</v>
      </c>
      <c r="BM59" s="603">
        <f>BM54/IS!BM9</f>
        <v>0.237448371948287</v>
      </c>
      <c r="BN59" s="603">
        <f>BN54/IS!BN9</f>
        <v>0.23566694554581494</v>
      </c>
      <c r="BO59" s="487">
        <f>BO54/IS!BO9</f>
        <v>0.2651131750421597</v>
      </c>
      <c r="BP59" s="495"/>
      <c r="BQ59" s="603">
        <f>BQ54/IS!BQ9</f>
        <v>9.1418103528925154E-2</v>
      </c>
      <c r="BR59" s="603">
        <f>BR54/IS!BR9</f>
        <v>0.26929732975830067</v>
      </c>
      <c r="BS59" s="603">
        <f>BS54/IS!BS9</f>
        <v>0.28616399001562814</v>
      </c>
      <c r="BT59" s="603">
        <f>BT54/IS!BT9</f>
        <v>0.30598592557964904</v>
      </c>
      <c r="BU59" s="487">
        <f>BU54/IS!BU9</f>
        <v>0.24542729407685657</v>
      </c>
      <c r="BV59" s="603"/>
      <c r="BW59" s="603">
        <f>BW54/IS!BW9</f>
        <v>5.1408482266322719E-2</v>
      </c>
      <c r="BX59" s="603">
        <f>BX54/IS!BX9</f>
        <v>0.25445459123391995</v>
      </c>
      <c r="BY59" s="603">
        <f>BY54/IS!BY9</f>
        <v>0.26861180546306179</v>
      </c>
      <c r="BZ59" s="603">
        <f>BZ54/IS!BZ9</f>
        <v>0.28710049647089975</v>
      </c>
      <c r="CA59" s="487">
        <f>CA54/IS!CA9</f>
        <v>0.22280782742344638</v>
      </c>
      <c r="CB59" s="603"/>
      <c r="CC59" s="603">
        <f>CC54/IS!CC9</f>
        <v>7.8943748295324745E-2</v>
      </c>
      <c r="CD59" s="603">
        <f>CD54/IS!CD9</f>
        <v>0.3579884532904738</v>
      </c>
      <c r="CE59" s="603">
        <f>CE54/IS!CE9</f>
        <v>0.36963460548628979</v>
      </c>
      <c r="CF59" s="603">
        <f>CF54/IS!CF9</f>
        <v>0.37753487558828724</v>
      </c>
      <c r="CG59" s="487">
        <f>CG54/IS!CG9</f>
        <v>0.30467297911747171</v>
      </c>
      <c r="CH59" s="603"/>
      <c r="CI59" s="603">
        <f>CI54/IS!CI9</f>
        <v>0.20311893103408762</v>
      </c>
      <c r="CJ59" s="603">
        <f>CJ54/IS!CJ9</f>
        <v>0.2917169268412535</v>
      </c>
      <c r="CK59" s="603">
        <f>CK54/IS!CK9</f>
        <v>0.29184369964969437</v>
      </c>
      <c r="CL59" s="603">
        <f>CL54/IS!CL9</f>
        <v>0.31682595069252656</v>
      </c>
      <c r="CM59" s="487">
        <f>CM54/IS!CM9</f>
        <v>0.27922412827020865</v>
      </c>
      <c r="CN59" s="97"/>
      <c r="CO59" s="97"/>
      <c r="CP59"/>
      <c r="CQ59"/>
      <c r="CR59"/>
      <c r="CS59"/>
      <c r="CT59"/>
      <c r="CU59"/>
    </row>
    <row r="60" spans="1:105" s="24" customFormat="1">
      <c r="A60" s="101" t="s">
        <v>436</v>
      </c>
      <c r="B60" s="101"/>
      <c r="C60" s="101"/>
      <c r="D60" s="101"/>
      <c r="E60" s="101"/>
      <c r="F60" s="101"/>
      <c r="G60" s="1133">
        <v>63.31222412749004</v>
      </c>
      <c r="H60" s="604"/>
      <c r="I60" s="1134">
        <v>62.755075131147564</v>
      </c>
      <c r="J60" s="1134">
        <v>60.710148859375018</v>
      </c>
      <c r="K60" s="1134">
        <v>64.98968076562501</v>
      </c>
      <c r="L60" s="1134">
        <v>41.893743234375023</v>
      </c>
      <c r="M60" s="1133">
        <v>57.525882395256851</v>
      </c>
      <c r="N60" s="604"/>
      <c r="O60" s="1134">
        <v>36.255075639344277</v>
      </c>
      <c r="P60" s="1134">
        <v>44.069357682539703</v>
      </c>
      <c r="Q60" s="1134">
        <v>51.824993890624995</v>
      </c>
      <c r="R60" s="1134">
        <v>59.133899656250016</v>
      </c>
      <c r="S60" s="1133">
        <v>47.97340609126983</v>
      </c>
      <c r="T60" s="604"/>
      <c r="U60" s="1134">
        <v>61.522024421875045</v>
      </c>
      <c r="V60" s="1134">
        <v>69.046818301587322</v>
      </c>
      <c r="W60" s="1134">
        <v>65.24140046875003</v>
      </c>
      <c r="X60" s="1134">
        <v>76.18968012500001</v>
      </c>
      <c r="Y60" s="1133">
        <v>67.995875584313708</v>
      </c>
      <c r="Z60" s="604"/>
      <c r="AA60" s="1134">
        <v>80.509993725806467</v>
      </c>
      <c r="AB60" s="1134">
        <v>93.822532968253995</v>
      </c>
      <c r="AC60" s="1134">
        <v>83.046243421875005</v>
      </c>
      <c r="AD60" s="1134">
        <v>76.649993349206426</v>
      </c>
      <c r="AE60" s="1133">
        <v>83.517255349206266</v>
      </c>
      <c r="AF60" s="604"/>
      <c r="AG60" s="1134">
        <v>86.565154322580696</v>
      </c>
      <c r="AH60" s="1134">
        <v>83.304120492063532</v>
      </c>
      <c r="AI60" s="1134">
        <v>79.233485190476244</v>
      </c>
      <c r="AJ60" s="1134">
        <v>83.944671354838718</v>
      </c>
      <c r="AK60" s="1133">
        <v>83.245913399999935</v>
      </c>
      <c r="AL60" s="604"/>
      <c r="AM60" s="1134">
        <v>92.21865898333337</v>
      </c>
      <c r="AN60" s="1134">
        <v>95.756399625000043</v>
      </c>
      <c r="AO60" s="1134">
        <v>102.54562024999998</v>
      </c>
      <c r="AP60" s="1134">
        <v>100.80437020312505</v>
      </c>
      <c r="AQ60" s="1274" t="s">
        <v>148</v>
      </c>
      <c r="AR60" s="604"/>
      <c r="AS60" s="1443">
        <v>108.4</v>
      </c>
      <c r="AT60" s="1443">
        <v>105.18</v>
      </c>
      <c r="AU60" s="1134">
        <v>103.09077728125001</v>
      </c>
      <c r="AV60" s="1134">
        <v>109.54968865625003</v>
      </c>
      <c r="AW60" s="1274">
        <v>106.5370217738095</v>
      </c>
      <c r="AX60" s="604"/>
      <c r="AY60" s="1134">
        <v>119.28721819672135</v>
      </c>
      <c r="AZ60" s="1134">
        <v>129.76333841269843</v>
      </c>
      <c r="BA60" s="1134">
        <v>126.48547406250003</v>
      </c>
      <c r="BB60" s="1653">
        <v>128.49516109375003</v>
      </c>
      <c r="BC60" s="605">
        <f>AVERAGE(AY60:BB60)</f>
        <v>126.00779794141746</v>
      </c>
      <c r="BD60" s="604"/>
      <c r="BE60" s="1134">
        <v>124.74508688524588</v>
      </c>
      <c r="BF60" s="1134">
        <v>135.2742240625</v>
      </c>
      <c r="BG60" s="1134">
        <v>154.74359874999999</v>
      </c>
      <c r="BH60" s="1134">
        <v>142.71635365079368</v>
      </c>
      <c r="BI60" s="605">
        <f>AVERAGE(BE60:BH60)</f>
        <v>139.36981583713489</v>
      </c>
      <c r="BJ60" s="604"/>
      <c r="BK60" s="2094">
        <v>149.34871451612904</v>
      </c>
      <c r="BL60" s="2094">
        <v>173.76270380952386</v>
      </c>
      <c r="BM60" s="2094">
        <v>181.3247671428571</v>
      </c>
      <c r="BN60" s="2094">
        <v>193.09429063492067</v>
      </c>
      <c r="BO60" s="605">
        <f>AVERAGE(BK60:BN60)</f>
        <v>174.38261902585765</v>
      </c>
      <c r="BP60" s="604"/>
      <c r="BQ60" s="2110">
        <v>210</v>
      </c>
      <c r="BR60" s="1134">
        <v>214.51433668058274</v>
      </c>
      <c r="BS60" s="1134">
        <v>219.12571734052574</v>
      </c>
      <c r="BT60" s="1134">
        <v>223.83622811885593</v>
      </c>
      <c r="BU60" s="605">
        <f>AVERAGE(BQ60:BT60)</f>
        <v>216.8690705349911</v>
      </c>
      <c r="BV60" s="1781"/>
      <c r="BW60" s="1134">
        <v>228.64799999999991</v>
      </c>
      <c r="BX60" s="1134">
        <v>233.5632097778184</v>
      </c>
      <c r="BY60" s="1134">
        <v>238.58408104036434</v>
      </c>
      <c r="BZ60" s="1134">
        <v>243.71288517581024</v>
      </c>
      <c r="CA60" s="605">
        <f>AVERAGE(BW60:BZ60)</f>
        <v>236.12704399849824</v>
      </c>
      <c r="CB60" s="1781"/>
      <c r="CC60" s="1134">
        <v>248.95194239999981</v>
      </c>
      <c r="CD60" s="1134">
        <v>254.30362280608858</v>
      </c>
      <c r="CE60" s="1134">
        <v>259.77034743674858</v>
      </c>
      <c r="CF60" s="1134">
        <v>265.35458937942207</v>
      </c>
      <c r="CG60" s="605">
        <f>AVERAGE(CC60:CF60)</f>
        <v>257.09512550556474</v>
      </c>
      <c r="CH60" s="1781"/>
      <c r="CI60" s="1134">
        <v>271.05887488511968</v>
      </c>
      <c r="CJ60" s="1134">
        <v>276.88578451126915</v>
      </c>
      <c r="CK60" s="1134">
        <v>282.8379542891318</v>
      </c>
      <c r="CL60" s="1134">
        <v>288.9180769163147</v>
      </c>
      <c r="CM60" s="605">
        <f>AVERAGE(CI60:CL60)</f>
        <v>279.92517265045882</v>
      </c>
      <c r="CN60" s="263"/>
      <c r="CO60" s="263"/>
      <c r="CP60"/>
      <c r="CQ60"/>
      <c r="CR60"/>
      <c r="CS60"/>
      <c r="CT60"/>
      <c r="CU60"/>
    </row>
    <row r="61" spans="1:105" s="24" customFormat="1">
      <c r="A61" s="31"/>
      <c r="B61" s="31"/>
      <c r="C61" s="31"/>
      <c r="D61" s="31"/>
      <c r="E61" s="31"/>
      <c r="F61" s="31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1558"/>
      <c r="AL61" s="32"/>
      <c r="AM61" s="32"/>
      <c r="AN61" s="32"/>
      <c r="AO61" s="32"/>
      <c r="AP61" s="32"/>
      <c r="AQ61" s="1558"/>
      <c r="AR61" s="32"/>
      <c r="AS61" s="1558"/>
      <c r="AT61" s="1558"/>
      <c r="AU61" s="1558"/>
      <c r="AV61" s="1558"/>
      <c r="AW61" s="1558"/>
      <c r="AX61" s="32"/>
      <c r="AY61" s="1558"/>
      <c r="AZ61" s="1558"/>
      <c r="BA61" s="1558"/>
      <c r="BB61" s="1558"/>
      <c r="BC61" s="1558"/>
      <c r="BD61" s="1558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1558"/>
      <c r="BP61" s="32"/>
      <c r="BQ61" s="32"/>
      <c r="BR61" s="32"/>
      <c r="BS61" s="32"/>
      <c r="BT61" s="32"/>
      <c r="BU61" s="1558"/>
      <c r="BV61" s="1558"/>
      <c r="BW61" s="32"/>
      <c r="BX61" s="32"/>
      <c r="BY61" s="32"/>
      <c r="BZ61" s="32"/>
      <c r="CA61" s="1558"/>
      <c r="CB61" s="1558"/>
      <c r="CC61" s="32"/>
      <c r="CD61" s="32"/>
      <c r="CE61" s="32"/>
      <c r="CF61" s="32"/>
      <c r="CG61" s="1558"/>
      <c r="CH61" s="1558"/>
      <c r="CI61" s="32"/>
      <c r="CJ61" s="32"/>
      <c r="CK61" s="32"/>
      <c r="CL61" s="32"/>
      <c r="CM61" s="1558"/>
      <c r="CN61" s="97"/>
      <c r="CO61" s="97"/>
      <c r="CP61"/>
      <c r="CQ61"/>
      <c r="CR61"/>
      <c r="CS61"/>
      <c r="CT61"/>
      <c r="CU61"/>
    </row>
    <row r="62" spans="1:105" s="24" customFormat="1">
      <c r="A62" s="594" t="s">
        <v>165</v>
      </c>
      <c r="B62" s="594"/>
      <c r="C62" s="594"/>
      <c r="D62" s="594"/>
      <c r="E62" s="594"/>
      <c r="F62" s="594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1505"/>
      <c r="AL62" s="32"/>
      <c r="AM62" s="32"/>
      <c r="AN62" s="32"/>
      <c r="AO62" s="32"/>
      <c r="AP62" s="32"/>
      <c r="AQ62" s="1505"/>
      <c r="AR62" s="32"/>
      <c r="AS62" s="32"/>
      <c r="AT62" s="32"/>
      <c r="AU62" s="32"/>
      <c r="AV62" s="32"/>
      <c r="AW62" s="1505"/>
      <c r="AX62" s="32"/>
      <c r="AY62" s="32"/>
      <c r="AZ62" s="32"/>
      <c r="BA62" s="32"/>
      <c r="BB62" s="32"/>
      <c r="BC62" s="1505"/>
      <c r="BD62" s="1505"/>
      <c r="BE62" s="1505"/>
      <c r="BF62" s="1505"/>
      <c r="BG62" s="1505"/>
      <c r="BH62" s="1505"/>
      <c r="BI62" s="1505"/>
      <c r="BJ62" s="32"/>
      <c r="BK62" s="32"/>
      <c r="BL62" s="32"/>
      <c r="BM62" s="32"/>
      <c r="BN62" s="32"/>
      <c r="BO62" s="1558"/>
      <c r="BP62" s="32"/>
      <c r="BQ62" s="32"/>
      <c r="BR62" s="32"/>
      <c r="BS62" s="32"/>
      <c r="BT62" s="32"/>
      <c r="BU62" s="1558"/>
      <c r="BV62" s="1558"/>
      <c r="BW62" s="32"/>
      <c r="BX62" s="32"/>
      <c r="BY62" s="32"/>
      <c r="BZ62" s="32"/>
      <c r="CA62" s="1558"/>
      <c r="CB62" s="1558"/>
      <c r="CC62" s="32"/>
      <c r="CD62" s="32"/>
      <c r="CE62" s="32"/>
      <c r="CF62" s="32"/>
      <c r="CG62" s="1558"/>
      <c r="CH62" s="1558"/>
      <c r="CI62" s="32"/>
      <c r="CJ62" s="32"/>
      <c r="CK62" s="32"/>
      <c r="CL62" s="32"/>
      <c r="CM62" s="1558"/>
      <c r="CN62" s="97"/>
      <c r="CO62" s="97"/>
      <c r="CP62"/>
      <c r="CQ62"/>
      <c r="CR62"/>
      <c r="CS62"/>
      <c r="CT62"/>
      <c r="CU62"/>
    </row>
    <row r="63" spans="1:105" s="24" customFormat="1" hidden="1" outlineLevel="1">
      <c r="A63" s="606" t="s">
        <v>437</v>
      </c>
      <c r="B63" s="606"/>
      <c r="C63" s="606"/>
      <c r="D63" s="606"/>
      <c r="E63" s="606"/>
      <c r="F63" s="606"/>
      <c r="G63" s="607">
        <v>9.5069999999999997</v>
      </c>
      <c r="H63" s="597"/>
      <c r="I63" s="608">
        <f>G67</f>
        <v>7.0969999999999995</v>
      </c>
      <c r="J63" s="608">
        <f>I67</f>
        <v>6.81</v>
      </c>
      <c r="K63" s="608">
        <f>J67</f>
        <v>6.7189999999999994</v>
      </c>
      <c r="L63" s="608">
        <f>K67</f>
        <v>6.5110000000000001</v>
      </c>
      <c r="M63" s="609">
        <f>G67</f>
        <v>7.0969999999999995</v>
      </c>
      <c r="N63" s="597"/>
      <c r="O63" s="608">
        <f>M67</f>
        <v>6.835</v>
      </c>
      <c r="P63" s="608">
        <f>O67</f>
        <v>6.8040000000000003</v>
      </c>
      <c r="Q63" s="608">
        <f>P67</f>
        <v>6.7190000000000003</v>
      </c>
      <c r="R63" s="608">
        <f>Q67</f>
        <v>6.6220000000000008</v>
      </c>
      <c r="S63" s="609">
        <f>M67</f>
        <v>6.835</v>
      </c>
      <c r="T63" s="597"/>
      <c r="U63" s="608">
        <f>S67</f>
        <v>6.8569999999999993</v>
      </c>
      <c r="V63" s="608">
        <f>U67</f>
        <v>6.6709999999999994</v>
      </c>
      <c r="W63" s="608">
        <f>V67</f>
        <v>6.4079999999999995</v>
      </c>
      <c r="X63" s="608">
        <f>W67</f>
        <v>6.2149999999999999</v>
      </c>
      <c r="Y63" s="609">
        <f>S67</f>
        <v>6.8569999999999993</v>
      </c>
      <c r="Z63" s="597"/>
      <c r="AA63" s="608">
        <f>Y67</f>
        <v>5.56</v>
      </c>
      <c r="AB63" s="608">
        <f>AA67</f>
        <v>5.234</v>
      </c>
      <c r="AC63" s="608">
        <f>AB67</f>
        <v>4.5720000000000001</v>
      </c>
      <c r="AD63" s="608">
        <f>AC67</f>
        <v>4.5229999999999997</v>
      </c>
      <c r="AE63" s="609">
        <f>Y67</f>
        <v>5.56</v>
      </c>
      <c r="AF63" s="597"/>
      <c r="AG63" s="608">
        <f>AE67</f>
        <v>4.8090000000000002</v>
      </c>
      <c r="AH63" s="608">
        <f>AG67</f>
        <v>4.4240000000000004</v>
      </c>
      <c r="AI63" s="608">
        <f>AH67</f>
        <v>4.3580000000000005</v>
      </c>
      <c r="AJ63" s="608">
        <f>AI67</f>
        <v>4.3090000000000002</v>
      </c>
      <c r="AK63" s="609">
        <f>AE67</f>
        <v>4.8090000000000002</v>
      </c>
      <c r="AL63" s="597"/>
      <c r="AM63" s="608">
        <f>AK67</f>
        <v>4.8090000000000002</v>
      </c>
      <c r="AN63" s="608">
        <f>AM67</f>
        <v>4.6970000000000001</v>
      </c>
      <c r="AO63" s="608">
        <f>AN67</f>
        <v>4.4190000000000005</v>
      </c>
      <c r="AP63" s="608">
        <f>AO67</f>
        <v>4.2000000000000011</v>
      </c>
      <c r="AQ63" s="609">
        <f>AK67</f>
        <v>4.8090000000000002</v>
      </c>
      <c r="AR63" s="597"/>
      <c r="AS63" s="608">
        <f>AQ67</f>
        <v>3.9170000000000003</v>
      </c>
      <c r="AT63" s="608">
        <f>AS67</f>
        <v>3.3510000000000004</v>
      </c>
      <c r="AU63" s="608">
        <f>AT67</f>
        <v>3.2920000000000003</v>
      </c>
      <c r="AV63" s="608">
        <f>AU67</f>
        <v>3.274</v>
      </c>
      <c r="AW63" s="609">
        <f>AQ67</f>
        <v>3.9170000000000003</v>
      </c>
      <c r="AX63" s="597"/>
      <c r="AY63" s="608">
        <f>AV67</f>
        <v>3.28</v>
      </c>
      <c r="AZ63" s="608">
        <f>AY67</f>
        <v>3.1049999999999995</v>
      </c>
      <c r="BA63" s="608">
        <f>AZ67</f>
        <v>2.9489999999999994</v>
      </c>
      <c r="BB63" s="608">
        <f>BA67</f>
        <v>2.980999999999999</v>
      </c>
      <c r="BC63" s="609">
        <f>AW67</f>
        <v>3.2800000000000007</v>
      </c>
      <c r="BD63" s="597"/>
      <c r="BE63" s="608">
        <f>BB67</f>
        <v>3.153999999999999</v>
      </c>
      <c r="BF63" s="608">
        <f>BE67</f>
        <v>3.101999999999999</v>
      </c>
      <c r="BG63" s="608">
        <f>BF67</f>
        <v>2.9379999999999988</v>
      </c>
      <c r="BH63" s="608">
        <f>BG67</f>
        <v>2.4899999999999989</v>
      </c>
      <c r="BI63" s="609">
        <f>BC67</f>
        <v>3.1540000000000008</v>
      </c>
      <c r="BJ63" s="597"/>
      <c r="BK63" s="608">
        <f>BH67</f>
        <v>2.6969999999999987</v>
      </c>
      <c r="BL63" s="608">
        <f>BK67</f>
        <v>2.4459999999999984</v>
      </c>
      <c r="BM63" s="608">
        <f>BL67</f>
        <v>2.2409999999999983</v>
      </c>
      <c r="BN63" s="608">
        <f>BM67</f>
        <v>2.1199999999999983</v>
      </c>
      <c r="BO63" s="609">
        <f>BI67</f>
        <v>2.6970000000000005</v>
      </c>
      <c r="BP63" s="597"/>
      <c r="BQ63" s="608">
        <f>BO67</f>
        <v>2.0390000000000001</v>
      </c>
      <c r="BR63" s="608">
        <f>BQ67</f>
        <v>2.0220200000000004</v>
      </c>
      <c r="BS63" s="608">
        <f>BR67</f>
        <v>1.7793776000000003</v>
      </c>
      <c r="BT63" s="608">
        <f>BS67</f>
        <v>1.5768522880000004</v>
      </c>
      <c r="BU63" s="609">
        <f>BO67</f>
        <v>2.0390000000000001</v>
      </c>
      <c r="BV63" s="617"/>
      <c r="BW63" s="608">
        <f>BU67</f>
        <v>1.5768300134400002</v>
      </c>
      <c r="BX63" s="608">
        <f>BW67</f>
        <v>1.6380804118272001</v>
      </c>
      <c r="BY63" s="608">
        <f>BX67</f>
        <v>1.441510762407936</v>
      </c>
      <c r="BZ63" s="608">
        <f>BY67</f>
        <v>1.2806294709189836</v>
      </c>
      <c r="CA63" s="609">
        <f>BU67</f>
        <v>1.5768300134400002</v>
      </c>
      <c r="CB63" s="617"/>
      <c r="CC63" s="608">
        <f>CA67</f>
        <v>1.3350739344087057</v>
      </c>
      <c r="CD63" s="608">
        <f>CC67</f>
        <v>1.450382062279661</v>
      </c>
      <c r="CE63" s="608">
        <f>CD67</f>
        <v>1.2763362148061017</v>
      </c>
      <c r="CF63" s="608">
        <f>CE67</f>
        <v>1.1364858690293693</v>
      </c>
      <c r="CG63" s="609">
        <f>CA67</f>
        <v>1.3350739344087057</v>
      </c>
      <c r="CH63" s="617"/>
      <c r="CI63" s="608">
        <f>CG67</f>
        <v>1.2290395647458454</v>
      </c>
      <c r="CJ63" s="608">
        <f>CI67</f>
        <v>1.3846235169763439</v>
      </c>
      <c r="CK63" s="608">
        <f>CJ67</f>
        <v>1.2184686949391825</v>
      </c>
      <c r="CL63" s="608">
        <f>CK67</f>
        <v>1.0868934515464808</v>
      </c>
      <c r="CM63" s="609">
        <f>CG67</f>
        <v>1.2290395647458454</v>
      </c>
      <c r="CN63" s="97"/>
      <c r="CO63" s="97"/>
      <c r="CP63"/>
      <c r="CQ63"/>
      <c r="CR63"/>
      <c r="CS63"/>
      <c r="CT63"/>
      <c r="CU63"/>
    </row>
    <row r="64" spans="1:105" s="24" customFormat="1" hidden="1" outlineLevel="1">
      <c r="A64" s="610" t="s">
        <v>438</v>
      </c>
      <c r="B64" s="610"/>
      <c r="C64" s="610"/>
      <c r="D64" s="610"/>
      <c r="E64" s="610"/>
      <c r="F64" s="610"/>
      <c r="G64" s="560">
        <v>0.51600000000000001</v>
      </c>
      <c r="H64" s="611"/>
      <c r="I64" s="612">
        <v>2.8000000000000001E-2</v>
      </c>
      <c r="J64" s="612">
        <f>0.028-I64</f>
        <v>0</v>
      </c>
      <c r="K64" s="612">
        <f>0.028-I64-J64</f>
        <v>0</v>
      </c>
      <c r="L64" s="612">
        <f>0.583-I64-J64-K64</f>
        <v>0.55499999999999994</v>
      </c>
      <c r="M64" s="613">
        <f>SUM(I64:L64)</f>
        <v>0.58299999999999996</v>
      </c>
      <c r="N64" s="611"/>
      <c r="O64" s="612">
        <v>2.8000000000000001E-2</v>
      </c>
      <c r="P64" s="612">
        <f>0.028-O64</f>
        <v>0</v>
      </c>
      <c r="Q64" s="612">
        <f>0.028-O64-P64</f>
        <v>0</v>
      </c>
      <c r="R64" s="612">
        <f>0.608-O64-P64-Q64</f>
        <v>0.57999999999999996</v>
      </c>
      <c r="S64" s="613">
        <f>SUM(O64:R64)</f>
        <v>0.60799999999999998</v>
      </c>
      <c r="T64" s="611"/>
      <c r="U64" s="612">
        <v>3.2000000000000001E-2</v>
      </c>
      <c r="V64" s="612">
        <f>0.032-U64</f>
        <v>0</v>
      </c>
      <c r="W64" s="612">
        <f>0.032-U64-V64</f>
        <v>0</v>
      </c>
      <c r="X64" s="612">
        <f>0.667-U64-V64-W64</f>
        <v>0.63500000000000001</v>
      </c>
      <c r="Y64" s="613">
        <f>SUM(U64:X64)</f>
        <v>0.66700000000000004</v>
      </c>
      <c r="Z64" s="611"/>
      <c r="AA64" s="612">
        <v>3.2000000000000001E-2</v>
      </c>
      <c r="AB64" s="612">
        <f>0.032-AA64</f>
        <v>0</v>
      </c>
      <c r="AC64" s="1674">
        <f>0.032-SUM(AA64:AB64)</f>
        <v>0</v>
      </c>
      <c r="AD64" s="1674">
        <f>0.658-SUM(AA64:AC64)</f>
        <v>0.626</v>
      </c>
      <c r="AE64" s="613">
        <f>SUM(AA64:AD64)</f>
        <v>0.65800000000000003</v>
      </c>
      <c r="AF64" s="611"/>
      <c r="AG64" s="1674">
        <v>3.2000000000000001E-2</v>
      </c>
      <c r="AH64" s="1674">
        <f>0.032-AG64</f>
        <v>0</v>
      </c>
      <c r="AI64" s="1674">
        <f>0.032-SUM(AG64:AH64)</f>
        <v>0</v>
      </c>
      <c r="AJ64" s="1674">
        <f>0.699-SUM(AG64:AI64)</f>
        <v>0.66699999999999993</v>
      </c>
      <c r="AK64" s="613">
        <f>SUM(AG64:AJ64)</f>
        <v>0.69899999999999995</v>
      </c>
      <c r="AL64" s="611"/>
      <c r="AM64" s="1674">
        <v>3.2000000000000001E-2</v>
      </c>
      <c r="AN64" s="1674">
        <f>0.032-AM64</f>
        <v>0</v>
      </c>
      <c r="AO64" s="1674">
        <f>0.08-SUM(AM64:AN64)</f>
        <v>4.8000000000000001E-2</v>
      </c>
      <c r="AP64" s="1674">
        <f>0.428-SUM(AM64:AO64)</f>
        <v>0.34799999999999998</v>
      </c>
      <c r="AQ64" s="613">
        <f>SUM(AM64:AP64)</f>
        <v>0.42799999999999999</v>
      </c>
      <c r="AR64" s="611"/>
      <c r="AS64" s="1674">
        <v>3.2000000000000001E-2</v>
      </c>
      <c r="AT64" s="1674">
        <f>0.032-AS64</f>
        <v>0</v>
      </c>
      <c r="AU64" s="1674">
        <f>0.032-SUM(AS64:AT64)</f>
        <v>0</v>
      </c>
      <c r="AV64" s="1674">
        <f>0.569-SUM(AS64:AU64)</f>
        <v>0.53699999999999992</v>
      </c>
      <c r="AW64" s="613">
        <f>SUM(AS64:AV64)</f>
        <v>0.56899999999999995</v>
      </c>
      <c r="AX64" s="611"/>
      <c r="AY64" s="1674">
        <v>3.2000000000000001E-2</v>
      </c>
      <c r="AZ64" s="1674">
        <f>0.037-AY64</f>
        <v>4.9999999999999975E-3</v>
      </c>
      <c r="BA64" s="1674">
        <f>0.115-SUM(AY64:AZ64)</f>
        <v>7.8000000000000014E-2</v>
      </c>
      <c r="BB64" s="1674">
        <f>0.673-SUM(AY64:BA64)</f>
        <v>0.55800000000000005</v>
      </c>
      <c r="BC64" s="613">
        <f>SUM(AY64:BB64)</f>
        <v>0.67300000000000004</v>
      </c>
      <c r="BD64" s="611"/>
      <c r="BE64" s="1674">
        <v>8.5999999999999993E-2</v>
      </c>
      <c r="BF64" s="1674">
        <f>0.086-BE64</f>
        <v>0</v>
      </c>
      <c r="BG64" s="1674">
        <f>0.086-SUM(BE64:BF64)</f>
        <v>0</v>
      </c>
      <c r="BH64" s="1674">
        <f>0.324-SUM(BE64:BG64)</f>
        <v>0.23800000000000002</v>
      </c>
      <c r="BI64" s="613">
        <f>SUM(BE64:BH64)</f>
        <v>0.32400000000000001</v>
      </c>
      <c r="BJ64" s="611"/>
      <c r="BK64" s="1674">
        <v>0.20699999999999999</v>
      </c>
      <c r="BL64" s="1674">
        <f>0.207-BK64</f>
        <v>0</v>
      </c>
      <c r="BM64" s="1674">
        <f>0.217-SUM(BK64:BL64)</f>
        <v>1.0000000000000009E-2</v>
      </c>
      <c r="BN64" s="1674">
        <f>0.389-SUM(BK64:BM64)</f>
        <v>0.17200000000000001</v>
      </c>
      <c r="BO64" s="613">
        <f>SUM(BK64:BN64)</f>
        <v>0.38900000000000001</v>
      </c>
      <c r="BP64" s="611"/>
      <c r="BQ64" s="614">
        <f>BK64*(1+BQ73)</f>
        <v>0.22770000000000001</v>
      </c>
      <c r="BR64" s="614">
        <f>BL64*(1+BR73)</f>
        <v>0</v>
      </c>
      <c r="BS64" s="614">
        <f>BM64*(1+BS73)</f>
        <v>1.1000000000000012E-2</v>
      </c>
      <c r="BT64" s="614">
        <f>BN64*(1+BT73)</f>
        <v>0.18920000000000003</v>
      </c>
      <c r="BU64" s="613">
        <f>SUM(BQ64:BT64)</f>
        <v>0.42790000000000006</v>
      </c>
      <c r="BV64" s="614"/>
      <c r="BW64" s="614">
        <f>BQ64*(1+BW73)</f>
        <v>0.25047000000000003</v>
      </c>
      <c r="BX64" s="614">
        <f>BR64*(1+BX73)</f>
        <v>0</v>
      </c>
      <c r="BY64" s="614">
        <f>BS64*(1+BY73)</f>
        <v>1.2100000000000014E-2</v>
      </c>
      <c r="BZ64" s="614">
        <f>BT64*(1+BZ73)</f>
        <v>0.20812000000000005</v>
      </c>
      <c r="CA64" s="613">
        <f>SUM(BW64:BZ64)</f>
        <v>0.47069000000000005</v>
      </c>
      <c r="CB64" s="614"/>
      <c r="CC64" s="614">
        <f>BW64*(1+CC73)</f>
        <v>0.27551700000000007</v>
      </c>
      <c r="CD64" s="614">
        <f>BX64*(1+CD73)</f>
        <v>0</v>
      </c>
      <c r="CE64" s="614">
        <f>BY64*(1+CE73)</f>
        <v>1.3310000000000016E-2</v>
      </c>
      <c r="CF64" s="614">
        <f>BZ64*(1+CF73)</f>
        <v>0.22893200000000008</v>
      </c>
      <c r="CG64" s="613">
        <f>SUM(CC64:CF64)</f>
        <v>0.51775900000000008</v>
      </c>
      <c r="CH64" s="614"/>
      <c r="CI64" s="614">
        <f>CC64*(1+CI73)</f>
        <v>0.30306870000000008</v>
      </c>
      <c r="CJ64" s="614">
        <f>CD64*(1+CJ73)</f>
        <v>0</v>
      </c>
      <c r="CK64" s="614">
        <f>CE64*(1+CK73)</f>
        <v>1.4641000000000019E-2</v>
      </c>
      <c r="CL64" s="614">
        <f>CF64*(1+CL73)</f>
        <v>0.25182520000000008</v>
      </c>
      <c r="CM64" s="613">
        <f>SUM(CI64:CL64)</f>
        <v>0.56953490000000018</v>
      </c>
      <c r="CN64" s="97"/>
      <c r="CO64" s="97"/>
      <c r="CP64"/>
      <c r="CQ64"/>
      <c r="CR64"/>
      <c r="CS64"/>
      <c r="CT64"/>
      <c r="CU64"/>
    </row>
    <row r="65" spans="1:99" s="24" customFormat="1" hidden="1" outlineLevel="1">
      <c r="A65" s="610" t="s">
        <v>439</v>
      </c>
      <c r="B65" s="610"/>
      <c r="C65" s="610"/>
      <c r="D65" s="610"/>
      <c r="E65" s="610"/>
      <c r="F65" s="610"/>
      <c r="G65" s="560">
        <v>-2.8420000000000001</v>
      </c>
      <c r="H65" s="611"/>
      <c r="I65" s="612">
        <v>-0.30499999999999999</v>
      </c>
      <c r="J65" s="612">
        <f>-0.391-I65</f>
        <v>-8.6000000000000021E-2</v>
      </c>
      <c r="K65" s="612">
        <f>-0.595-I65-J65</f>
        <v>-0.20399999999999996</v>
      </c>
      <c r="L65" s="612">
        <f>-0.825-I65-J65-K65</f>
        <v>-0.23000000000000004</v>
      </c>
      <c r="M65" s="613">
        <f>SUM(I65:L65)</f>
        <v>-0.82499999999999996</v>
      </c>
      <c r="N65" s="611"/>
      <c r="O65" s="612">
        <v>-7.0000000000000001E-3</v>
      </c>
      <c r="P65" s="612">
        <f>-0.079-O65</f>
        <v>-7.1999999999999995E-2</v>
      </c>
      <c r="Q65" s="612">
        <f>-0.174-O65-P65</f>
        <v>-9.4999999999999987E-2</v>
      </c>
      <c r="R65" s="612">
        <f>-0.514-O65-P65-Q65</f>
        <v>-0.34</v>
      </c>
      <c r="S65" s="613">
        <f>SUM(O65:R65)</f>
        <v>-0.51400000000000001</v>
      </c>
      <c r="T65" s="611"/>
      <c r="U65" s="612">
        <v>-0.21</v>
      </c>
      <c r="V65" s="612">
        <f>-0.465-U65</f>
        <v>-0.255</v>
      </c>
      <c r="W65" s="612">
        <f>-0.648-U65-V65</f>
        <v>-0.18300000000000005</v>
      </c>
      <c r="X65" s="612">
        <f>-1.933-U65-V65-W65</f>
        <v>-1.2849999999999999</v>
      </c>
      <c r="Y65" s="613">
        <f>SUM(U65:X65)</f>
        <v>-1.9329999999999998</v>
      </c>
      <c r="Z65" s="611"/>
      <c r="AA65" s="612">
        <v>-0.33400000000000002</v>
      </c>
      <c r="AB65" s="612">
        <f>-0.996-AA65</f>
        <v>-0.66199999999999992</v>
      </c>
      <c r="AC65" s="1674">
        <f>-1.045-SUM(AA65:AB65)</f>
        <v>-4.8999999999999932E-2</v>
      </c>
      <c r="AD65" s="1674">
        <f>-1.381-SUM(AA65:AC65)</f>
        <v>-0.33600000000000008</v>
      </c>
      <c r="AE65" s="613">
        <f>SUM(AA65:AD65)</f>
        <v>-1.381</v>
      </c>
      <c r="AF65" s="611"/>
      <c r="AG65" s="1674">
        <v>-0.35699999999999998</v>
      </c>
      <c r="AH65" s="1674">
        <f>-0.415-AG65</f>
        <v>-5.7999999999999996E-2</v>
      </c>
      <c r="AI65" s="1674">
        <f>-0.464-SUM(AG65:AH65)</f>
        <v>-4.9000000000000044E-2</v>
      </c>
      <c r="AJ65" s="1674">
        <f>-0.63-SUM(AG65:AI65)</f>
        <v>-0.16599999999999998</v>
      </c>
      <c r="AK65" s="613">
        <f>SUM(AG65:AJ65)</f>
        <v>-0.63</v>
      </c>
      <c r="AL65" s="611"/>
      <c r="AM65" s="1674">
        <v>-0.13800000000000001</v>
      </c>
      <c r="AN65" s="1674">
        <f>-0.384-AM65</f>
        <v>-0.246</v>
      </c>
      <c r="AO65" s="1674">
        <f>-0.652-SUM(AM65:AN65)</f>
        <v>-0.26800000000000002</v>
      </c>
      <c r="AP65" s="1674">
        <f>-1.281-SUM(AM65:AO65)</f>
        <v>-0.62899999999999989</v>
      </c>
      <c r="AQ65" s="613">
        <f>SUM(AM65:AP65)</f>
        <v>-1.2809999999999999</v>
      </c>
      <c r="AR65" s="611"/>
      <c r="AS65" s="1674">
        <v>-0.57699999999999996</v>
      </c>
      <c r="AT65" s="1674">
        <f>-0.636-AS65</f>
        <v>-5.9000000000000052E-2</v>
      </c>
      <c r="AU65" s="1674">
        <f>-0.654-SUM(AS65:AT65)</f>
        <v>-1.8000000000000016E-2</v>
      </c>
      <c r="AV65" s="1674">
        <f>-1.185-SUM(AS65:AU65)</f>
        <v>-0.53100000000000003</v>
      </c>
      <c r="AW65" s="613">
        <f>SUM(AS65:AV65)</f>
        <v>-1.1850000000000001</v>
      </c>
      <c r="AX65" s="611"/>
      <c r="AY65" s="1674">
        <v>-0.13500000000000001</v>
      </c>
      <c r="AZ65" s="1674">
        <f>-0.296-AY65</f>
        <v>-0.16099999999999998</v>
      </c>
      <c r="BA65" s="1674">
        <f>-0.342-SUM(AY65:AZ65)</f>
        <v>-4.6000000000000041E-2</v>
      </c>
      <c r="BB65" s="1674">
        <f>-0.727-SUM(AY65:BA65)</f>
        <v>-0.38499999999999995</v>
      </c>
      <c r="BC65" s="613">
        <f>SUM(AY65:BB65)</f>
        <v>-0.72699999999999998</v>
      </c>
      <c r="BD65" s="611"/>
      <c r="BE65" s="1674">
        <v>-8.4000000000000005E-2</v>
      </c>
      <c r="BF65" s="1674">
        <f>-0.252-BE65</f>
        <v>-0.16799999999999998</v>
      </c>
      <c r="BG65" s="1674">
        <f>-0.7-SUM(BE65:BF65)</f>
        <v>-0.44799999999999995</v>
      </c>
      <c r="BH65" s="1674">
        <f>-0.73-SUM(BE65:BG65)</f>
        <v>-3.0000000000000027E-2</v>
      </c>
      <c r="BI65" s="613">
        <f>SUM(BE65:BH65)</f>
        <v>-0.73</v>
      </c>
      <c r="BJ65" s="611"/>
      <c r="BK65" s="1674">
        <v>-0.41499999999999998</v>
      </c>
      <c r="BL65" s="1674">
        <f>-0.619-BK65</f>
        <v>-0.20400000000000001</v>
      </c>
      <c r="BM65" s="1674">
        <f>-0.751-SUM(BK65:BL65)</f>
        <v>-0.13200000000000001</v>
      </c>
      <c r="BN65" s="1674">
        <f>-0.972-SUM(BK65:BM65)</f>
        <v>-0.22099999999999997</v>
      </c>
      <c r="BO65" s="613">
        <f>SUM(BK65:BN65)</f>
        <v>-0.97199999999999998</v>
      </c>
      <c r="BP65" s="611"/>
      <c r="BQ65" s="614">
        <f>BQ63*BQ71</f>
        <v>-0.20390000000000003</v>
      </c>
      <c r="BR65" s="614">
        <f>BR63*BR71</f>
        <v>-0.20220200000000005</v>
      </c>
      <c r="BS65" s="614">
        <f>BS63*BS71</f>
        <v>-0.17793776000000006</v>
      </c>
      <c r="BT65" s="614">
        <f>BT63*BT71</f>
        <v>-0.15768522880000005</v>
      </c>
      <c r="BU65" s="613">
        <f>SUM(BQ65:BT65)</f>
        <v>-0.74172498880000015</v>
      </c>
      <c r="BV65" s="614"/>
      <c r="BW65" s="614">
        <f>BW63*BW71</f>
        <v>-0.15768300134400004</v>
      </c>
      <c r="BX65" s="614">
        <f>BX63*BX71</f>
        <v>-0.16380804118272002</v>
      </c>
      <c r="BY65" s="614">
        <f>BY63*BY71</f>
        <v>-0.1441510762407936</v>
      </c>
      <c r="BZ65" s="614">
        <f>BZ63*BZ71</f>
        <v>-0.12806294709189836</v>
      </c>
      <c r="CA65" s="613">
        <f>SUM(BW65:BZ65)</f>
        <v>-0.59370506585941207</v>
      </c>
      <c r="CB65" s="614"/>
      <c r="CC65" s="614">
        <f>CC63*CC71</f>
        <v>-0.13350739344087056</v>
      </c>
      <c r="CD65" s="614">
        <f>CD63*CD71</f>
        <v>-0.14503820622796612</v>
      </c>
      <c r="CE65" s="614">
        <f>CE63*CE71</f>
        <v>-0.12763362148061017</v>
      </c>
      <c r="CF65" s="614">
        <f>CF63*CF71</f>
        <v>-0.11364858690293694</v>
      </c>
      <c r="CG65" s="613">
        <f>SUM(CC65:CF65)</f>
        <v>-0.51982780805238371</v>
      </c>
      <c r="CH65" s="614"/>
      <c r="CI65" s="614">
        <f>CI63*CI71</f>
        <v>-0.12290395647458455</v>
      </c>
      <c r="CJ65" s="614">
        <f>CJ63*CJ71</f>
        <v>-0.13846235169763441</v>
      </c>
      <c r="CK65" s="614">
        <f>CK63*CK71</f>
        <v>-0.12184686949391826</v>
      </c>
      <c r="CL65" s="614">
        <f>CL63*CL71</f>
        <v>-0.10868934515464808</v>
      </c>
      <c r="CM65" s="613">
        <f>SUM(CI65:CL65)</f>
        <v>-0.49190252282078528</v>
      </c>
      <c r="CN65" s="97"/>
      <c r="CO65" s="97"/>
      <c r="CP65"/>
      <c r="CQ65"/>
      <c r="CR65"/>
      <c r="CS65"/>
      <c r="CT65"/>
      <c r="CU65"/>
    </row>
    <row r="66" spans="1:99" s="24" customFormat="1" hidden="1" outlineLevel="1">
      <c r="A66" s="610" t="s">
        <v>440</v>
      </c>
      <c r="B66" s="610"/>
      <c r="C66" s="610"/>
      <c r="D66" s="610"/>
      <c r="E66" s="610"/>
      <c r="F66" s="610"/>
      <c r="G66" s="560">
        <v>-8.4000000000000005E-2</v>
      </c>
      <c r="H66" s="611"/>
      <c r="I66" s="612">
        <v>-0.01</v>
      </c>
      <c r="J66" s="612">
        <f>-0.015-I66</f>
        <v>-4.9999999999999992E-3</v>
      </c>
      <c r="K66" s="612">
        <f>-0.019-I66-J66</f>
        <v>-4.0000000000000001E-3</v>
      </c>
      <c r="L66" s="612">
        <f>-0.02-I66-J66-K66</f>
        <v>-1.0000000000000009E-3</v>
      </c>
      <c r="M66" s="613">
        <f>SUM(I66:L66)</f>
        <v>-0.02</v>
      </c>
      <c r="N66" s="611"/>
      <c r="O66" s="612">
        <v>-5.1999999999999998E-2</v>
      </c>
      <c r="P66" s="612">
        <f>-0.065-O66</f>
        <v>-1.3000000000000005E-2</v>
      </c>
      <c r="Q66" s="612">
        <f>-0.067-O66-P66</f>
        <v>-2.0000000000000018E-3</v>
      </c>
      <c r="R66" s="612">
        <f>-0.072-O66-P66-Q66</f>
        <v>-4.9999999999999906E-3</v>
      </c>
      <c r="S66" s="613">
        <f>SUM(O66:R66)</f>
        <v>-7.1999999999999995E-2</v>
      </c>
      <c r="T66" s="611"/>
      <c r="U66" s="612">
        <v>-8.0000000000000002E-3</v>
      </c>
      <c r="V66" s="612">
        <f>-0.016-U66</f>
        <v>-8.0000000000000002E-3</v>
      </c>
      <c r="W66" s="612">
        <f>-0.026-U66-V66</f>
        <v>-9.9999999999999985E-3</v>
      </c>
      <c r="X66" s="612">
        <f>-0.031-U66-V66-W66</f>
        <v>-5.000000000000001E-3</v>
      </c>
      <c r="Y66" s="613">
        <f>SUM(U66:X66)</f>
        <v>-3.1E-2</v>
      </c>
      <c r="Z66" s="611"/>
      <c r="AA66" s="612">
        <v>-2.4E-2</v>
      </c>
      <c r="AB66" s="612">
        <f>-0.024-AA66</f>
        <v>0</v>
      </c>
      <c r="AC66" s="1674">
        <f>-0.024-SUM(AA66:AB66)</f>
        <v>0</v>
      </c>
      <c r="AD66" s="1674">
        <f>-0.028-SUM(AA66:AC66)</f>
        <v>-4.0000000000000001E-3</v>
      </c>
      <c r="AE66" s="613">
        <f>SUM(AA66:AD66)</f>
        <v>-2.8000000000000001E-2</v>
      </c>
      <c r="AF66" s="611"/>
      <c r="AG66" s="1674">
        <v>-0.06</v>
      </c>
      <c r="AH66" s="1674">
        <f>-0.068-AG66</f>
        <v>-8.0000000000000071E-3</v>
      </c>
      <c r="AI66" s="1674">
        <f>-0.068-SUM(AG66:AH66)</f>
        <v>0</v>
      </c>
      <c r="AJ66" s="1674">
        <f>-0.069-SUM(AG66:AI66)</f>
        <v>-1.0000000000000009E-3</v>
      </c>
      <c r="AK66" s="613">
        <f>SUM(AG66:AJ66)</f>
        <v>-6.9000000000000006E-2</v>
      </c>
      <c r="AL66" s="611"/>
      <c r="AM66" s="1674">
        <v>-6.0000000000000001E-3</v>
      </c>
      <c r="AN66" s="1674">
        <f>-0.038-AM66</f>
        <v>-3.2000000000000001E-2</v>
      </c>
      <c r="AO66" s="1674">
        <f>-0.037-SUM(AM66:AN66)</f>
        <v>1.0000000000000009E-3</v>
      </c>
      <c r="AP66" s="1674">
        <f>-0.039-SUM(AM66:AO66)</f>
        <v>-2.0000000000000018E-3</v>
      </c>
      <c r="AQ66" s="613">
        <f>SUM(AM66:AP66)</f>
        <v>-3.9E-2</v>
      </c>
      <c r="AR66" s="611"/>
      <c r="AS66" s="1674">
        <v>-2.1000000000000001E-2</v>
      </c>
      <c r="AT66" s="1674">
        <f>-0.021-AS66</f>
        <v>0</v>
      </c>
      <c r="AU66" s="1674">
        <f>-0.021-SUM(AS66:AT66)</f>
        <v>0</v>
      </c>
      <c r="AV66" s="1674">
        <f>-0.021-SUM(AS66:AU66)</f>
        <v>0</v>
      </c>
      <c r="AW66" s="613">
        <f>SUM(AS66:AV66)</f>
        <v>-2.1000000000000001E-2</v>
      </c>
      <c r="AX66" s="611"/>
      <c r="AY66" s="1674">
        <v>-7.1999999999999995E-2</v>
      </c>
      <c r="AZ66" s="1674">
        <f>-0.072-AY66</f>
        <v>0</v>
      </c>
      <c r="BA66" s="1674">
        <f>-0.072-SUM(AY66:AZ66)</f>
        <v>0</v>
      </c>
      <c r="BB66" s="1674">
        <f>-0.072-SUM(AY66:BA66)</f>
        <v>0</v>
      </c>
      <c r="BC66" s="613">
        <f>SUM(AY66:BB66)</f>
        <v>-7.1999999999999995E-2</v>
      </c>
      <c r="BD66" s="611"/>
      <c r="BE66" s="1674">
        <v>-5.3999999999999999E-2</v>
      </c>
      <c r="BF66" s="1674">
        <f>-0.05-BE66</f>
        <v>3.9999999999999966E-3</v>
      </c>
      <c r="BG66" s="1674">
        <f>-0.05-SUM(BE66:BF66)</f>
        <v>0</v>
      </c>
      <c r="BH66" s="1674">
        <f>-0.051-SUM(BE66:BG66)</f>
        <v>-9.9999999999999395E-4</v>
      </c>
      <c r="BI66" s="613">
        <f>SUM(BE66:BH66)</f>
        <v>-5.0999999999999997E-2</v>
      </c>
      <c r="BJ66" s="611"/>
      <c r="BK66" s="1674">
        <v>-4.2999999999999997E-2</v>
      </c>
      <c r="BL66" s="1674">
        <f>-0.044-BK66</f>
        <v>-1.0000000000000009E-3</v>
      </c>
      <c r="BM66" s="1674">
        <f>-0.043-SUM(BK66:BL66)</f>
        <v>1.0000000000000009E-3</v>
      </c>
      <c r="BN66" s="1674">
        <f>-0.075-SUM(BK66:BM66)</f>
        <v>-3.2000000000000001E-2</v>
      </c>
      <c r="BO66" s="613">
        <f>SUM(BK66:BN66)</f>
        <v>-7.4999999999999997E-2</v>
      </c>
      <c r="BP66" s="611"/>
      <c r="BQ66" s="614">
        <f>BQ63*BQ72</f>
        <v>-4.0780000000000004E-2</v>
      </c>
      <c r="BR66" s="614">
        <f>BR63*BR72</f>
        <v>-4.0440400000000008E-2</v>
      </c>
      <c r="BS66" s="614">
        <f>BS63*BS72</f>
        <v>-3.5587552000000008E-2</v>
      </c>
      <c r="BT66" s="614">
        <f>BT63*BT72</f>
        <v>-3.1537045760000007E-2</v>
      </c>
      <c r="BU66" s="613">
        <f>SUM(BQ66:BT66)</f>
        <v>-0.14834499776000004</v>
      </c>
      <c r="BV66" s="614"/>
      <c r="BW66" s="614">
        <f>BW63*BW72</f>
        <v>-3.1536600268800001E-2</v>
      </c>
      <c r="BX66" s="614">
        <f>BX63*BX72</f>
        <v>-3.2761608236544004E-2</v>
      </c>
      <c r="BY66" s="614">
        <f>BY63*BY72</f>
        <v>-2.8830215248158719E-2</v>
      </c>
      <c r="BZ66" s="614">
        <f>BZ63*BZ72</f>
        <v>-2.5612589418379673E-2</v>
      </c>
      <c r="CA66" s="613">
        <f>SUM(BW66:BZ66)</f>
        <v>-0.1187410131718824</v>
      </c>
      <c r="CB66" s="614"/>
      <c r="CC66" s="614">
        <f>CC63*CC72</f>
        <v>-2.6701478688174116E-2</v>
      </c>
      <c r="CD66" s="614">
        <f>CD63*CD72</f>
        <v>-2.900764124559322E-2</v>
      </c>
      <c r="CE66" s="614">
        <f>CE63*CE72</f>
        <v>-2.5526724296122034E-2</v>
      </c>
      <c r="CF66" s="614">
        <f>CF63*CF72</f>
        <v>-2.2729717380587388E-2</v>
      </c>
      <c r="CG66" s="613">
        <f>SUM(CC66:CF66)</f>
        <v>-0.10396556161047676</v>
      </c>
      <c r="CH66" s="614"/>
      <c r="CI66" s="614">
        <f>CI63*CI72</f>
        <v>-2.4580791294916908E-2</v>
      </c>
      <c r="CJ66" s="614">
        <f>CJ63*CJ72</f>
        <v>-2.7692470339526879E-2</v>
      </c>
      <c r="CK66" s="614">
        <f>CK63*CK72</f>
        <v>-2.4369373898783651E-2</v>
      </c>
      <c r="CL66" s="614">
        <f>CL63*CL72</f>
        <v>-2.1737869030929616E-2</v>
      </c>
      <c r="CM66" s="613">
        <f>SUM(CI66:CL66)</f>
        <v>-9.8380504564157062E-2</v>
      </c>
      <c r="CN66" s="97"/>
      <c r="CO66" s="97"/>
      <c r="CP66"/>
      <c r="CQ66"/>
      <c r="CR66"/>
      <c r="CS66"/>
      <c r="CT66"/>
      <c r="CU66"/>
    </row>
    <row r="67" spans="1:99" s="24" customFormat="1" hidden="1" outlineLevel="1">
      <c r="A67" s="606" t="s">
        <v>441</v>
      </c>
      <c r="B67" s="606"/>
      <c r="C67" s="606"/>
      <c r="D67" s="606"/>
      <c r="E67" s="606"/>
      <c r="F67" s="606"/>
      <c r="G67" s="615">
        <f>SUM(G63:G66)</f>
        <v>7.0969999999999995</v>
      </c>
      <c r="H67" s="616"/>
      <c r="I67" s="617">
        <f>SUM(I63:I66)</f>
        <v>6.81</v>
      </c>
      <c r="J67" s="617">
        <f>SUM(J63:J66)</f>
        <v>6.7189999999999994</v>
      </c>
      <c r="K67" s="617">
        <f>SUM(K63:K66)</f>
        <v>6.5110000000000001</v>
      </c>
      <c r="L67" s="617">
        <f>SUM(L63:L66)</f>
        <v>6.8349999999999991</v>
      </c>
      <c r="M67" s="615">
        <f>SUM(M63:M66)</f>
        <v>6.835</v>
      </c>
      <c r="N67" s="616"/>
      <c r="O67" s="617">
        <f>SUM(O63:O66)</f>
        <v>6.8040000000000003</v>
      </c>
      <c r="P67" s="617">
        <f>SUM(P63:P66)</f>
        <v>6.7190000000000003</v>
      </c>
      <c r="Q67" s="617">
        <f>SUM(Q63:Q66)</f>
        <v>6.6220000000000008</v>
      </c>
      <c r="R67" s="617">
        <f>SUM(R63:R66)</f>
        <v>6.8570000000000011</v>
      </c>
      <c r="S67" s="615">
        <f>SUM(S63:S66)</f>
        <v>6.8569999999999993</v>
      </c>
      <c r="T67" s="616"/>
      <c r="U67" s="617">
        <f>SUM(U63:U66)</f>
        <v>6.6709999999999994</v>
      </c>
      <c r="V67" s="617">
        <f>SUM(V63:V66)</f>
        <v>6.4079999999999995</v>
      </c>
      <c r="W67" s="617">
        <f>SUM(W63:W66)</f>
        <v>6.2149999999999999</v>
      </c>
      <c r="X67" s="617">
        <f>SUM(X63:X66)</f>
        <v>5.56</v>
      </c>
      <c r="Y67" s="615">
        <f>SUM(Y63:Y66)</f>
        <v>5.56</v>
      </c>
      <c r="Z67" s="616"/>
      <c r="AA67" s="617">
        <f>SUM(AA63:AA66)</f>
        <v>5.234</v>
      </c>
      <c r="AB67" s="617">
        <f>SUM(AB63:AB66)</f>
        <v>4.5720000000000001</v>
      </c>
      <c r="AC67" s="617">
        <f>SUM(AC63:AC66)</f>
        <v>4.5229999999999997</v>
      </c>
      <c r="AD67" s="617">
        <f>SUM(AD63:AD66)</f>
        <v>4.8090000000000002</v>
      </c>
      <c r="AE67" s="615">
        <f>SUM(AE63:AE66)</f>
        <v>4.8090000000000002</v>
      </c>
      <c r="AF67" s="616"/>
      <c r="AG67" s="617">
        <f>SUM(AG63:AG66)</f>
        <v>4.4240000000000004</v>
      </c>
      <c r="AH67" s="617">
        <f>SUM(AH63:AH66)</f>
        <v>4.3580000000000005</v>
      </c>
      <c r="AI67" s="617">
        <f>SUM(AI63:AI66)</f>
        <v>4.3090000000000002</v>
      </c>
      <c r="AJ67" s="617">
        <f>SUM(AJ63:AJ66)</f>
        <v>4.8089999999999993</v>
      </c>
      <c r="AK67" s="615">
        <f>SUM(AK63:AK66)</f>
        <v>4.8090000000000002</v>
      </c>
      <c r="AL67" s="616"/>
      <c r="AM67" s="617">
        <f>SUM(AM63:AM66)</f>
        <v>4.6970000000000001</v>
      </c>
      <c r="AN67" s="617">
        <f>SUM(AN63:AN66)</f>
        <v>4.4190000000000005</v>
      </c>
      <c r="AO67" s="617">
        <f>SUM(AO63:AO66)</f>
        <v>4.2000000000000011</v>
      </c>
      <c r="AP67" s="617">
        <f>SUM(AP63:AP66)</f>
        <v>3.9170000000000007</v>
      </c>
      <c r="AQ67" s="615">
        <f>SUM(AQ63:AQ66)</f>
        <v>3.9170000000000003</v>
      </c>
      <c r="AR67" s="616"/>
      <c r="AS67" s="617">
        <f>SUM(AS63:AS66)</f>
        <v>3.3510000000000004</v>
      </c>
      <c r="AT67" s="617">
        <f>SUM(AT63:AT66)</f>
        <v>3.2920000000000003</v>
      </c>
      <c r="AU67" s="617">
        <f>SUM(AU63:AU66)</f>
        <v>3.274</v>
      </c>
      <c r="AV67" s="617">
        <f>SUM(AV63:AV66)</f>
        <v>3.28</v>
      </c>
      <c r="AW67" s="615">
        <f>SUM(AW63:AW66)</f>
        <v>3.2800000000000007</v>
      </c>
      <c r="AX67" s="616"/>
      <c r="AY67" s="617">
        <f>SUM(AY63:AY66)</f>
        <v>3.1049999999999995</v>
      </c>
      <c r="AZ67" s="617">
        <f>SUM(AZ63:AZ66)</f>
        <v>2.9489999999999994</v>
      </c>
      <c r="BA67" s="617">
        <f>SUM(BA63:BA66)</f>
        <v>2.980999999999999</v>
      </c>
      <c r="BB67" s="617">
        <f>SUM(BB63:BB66)</f>
        <v>3.153999999999999</v>
      </c>
      <c r="BC67" s="615">
        <f>SUM(BC63:BC66)</f>
        <v>3.1540000000000008</v>
      </c>
      <c r="BD67" s="616"/>
      <c r="BE67" s="617">
        <f>SUM(BE63:BE66)</f>
        <v>3.101999999999999</v>
      </c>
      <c r="BF67" s="617">
        <f>SUM(BF63:BF66)</f>
        <v>2.9379999999999988</v>
      </c>
      <c r="BG67" s="617">
        <f>SUM(BG63:BG66)</f>
        <v>2.4899999999999989</v>
      </c>
      <c r="BH67" s="617">
        <f>SUM(BH63:BH66)</f>
        <v>2.6969999999999987</v>
      </c>
      <c r="BI67" s="615">
        <f>SUM(BI63:BI66)</f>
        <v>2.6970000000000005</v>
      </c>
      <c r="BJ67" s="616"/>
      <c r="BK67" s="617">
        <f>SUM(BK63:BK66)</f>
        <v>2.4459999999999984</v>
      </c>
      <c r="BL67" s="617">
        <f>SUM(BL63:BL66)</f>
        <v>2.2409999999999983</v>
      </c>
      <c r="BM67" s="617">
        <f>SUM(BM63:BM66)</f>
        <v>2.1199999999999983</v>
      </c>
      <c r="BN67" s="617">
        <f>SUM(BN63:BN66)</f>
        <v>2.0389999999999984</v>
      </c>
      <c r="BO67" s="615">
        <f>SUM(BO63:BO66)</f>
        <v>2.0390000000000001</v>
      </c>
      <c r="BP67" s="616"/>
      <c r="BQ67" s="617">
        <f>SUM(BQ63:BQ66)</f>
        <v>2.0220200000000004</v>
      </c>
      <c r="BR67" s="617">
        <f>SUM(BR63:BR66)</f>
        <v>1.7793776000000003</v>
      </c>
      <c r="BS67" s="617">
        <f>SUM(BS63:BS66)</f>
        <v>1.5768522880000004</v>
      </c>
      <c r="BT67" s="617">
        <f>SUM(BT63:BT66)</f>
        <v>1.5768300134400004</v>
      </c>
      <c r="BU67" s="615">
        <f>SUM(BU63:BU66)</f>
        <v>1.5768300134400002</v>
      </c>
      <c r="BV67" s="617"/>
      <c r="BW67" s="617">
        <f>SUM(BW63:BW66)</f>
        <v>1.6380804118272001</v>
      </c>
      <c r="BX67" s="617">
        <f>SUM(BX63:BX66)</f>
        <v>1.441510762407936</v>
      </c>
      <c r="BY67" s="617">
        <f>SUM(BY63:BY66)</f>
        <v>1.2806294709189836</v>
      </c>
      <c r="BZ67" s="617">
        <f>SUM(BZ63:BZ66)</f>
        <v>1.3350739344087057</v>
      </c>
      <c r="CA67" s="615">
        <f>SUM(CA63:CA66)</f>
        <v>1.3350739344087057</v>
      </c>
      <c r="CB67" s="617"/>
      <c r="CC67" s="617">
        <f>SUM(CC63:CC66)</f>
        <v>1.450382062279661</v>
      </c>
      <c r="CD67" s="617">
        <f>SUM(CD63:CD66)</f>
        <v>1.2763362148061017</v>
      </c>
      <c r="CE67" s="617">
        <f>SUM(CE63:CE66)</f>
        <v>1.1364858690293693</v>
      </c>
      <c r="CF67" s="617">
        <f>SUM(CF63:CF66)</f>
        <v>1.2290395647458452</v>
      </c>
      <c r="CG67" s="615">
        <f>SUM(CG63:CG66)</f>
        <v>1.2290395647458454</v>
      </c>
      <c r="CH67" s="617"/>
      <c r="CI67" s="617">
        <f>SUM(CI63:CI66)</f>
        <v>1.3846235169763439</v>
      </c>
      <c r="CJ67" s="617">
        <f>SUM(CJ63:CJ66)</f>
        <v>1.2184686949391825</v>
      </c>
      <c r="CK67" s="617">
        <f>SUM(CK63:CK66)</f>
        <v>1.0868934515464808</v>
      </c>
      <c r="CL67" s="617">
        <f>SUM(CL63:CL66)</f>
        <v>1.2082914373609033</v>
      </c>
      <c r="CM67" s="615">
        <f>SUM(CM63:CM66)</f>
        <v>1.2082914373609033</v>
      </c>
      <c r="CN67" s="97"/>
      <c r="CO67" s="97"/>
      <c r="CP67"/>
      <c r="CQ67"/>
      <c r="CR67"/>
      <c r="CS67"/>
      <c r="CT67"/>
      <c r="CU67"/>
    </row>
    <row r="68" spans="1:99" s="24" customFormat="1" hidden="1" outlineLevel="1">
      <c r="A68" s="618" t="s">
        <v>442</v>
      </c>
      <c r="B68" s="618"/>
      <c r="C68" s="618"/>
      <c r="D68" s="618"/>
      <c r="E68" s="618"/>
      <c r="F68" s="618"/>
      <c r="G68" s="619">
        <v>31.16</v>
      </c>
      <c r="H68" s="620"/>
      <c r="I68" s="621">
        <v>38.54</v>
      </c>
      <c r="J68" s="621">
        <v>37.17</v>
      </c>
      <c r="K68" s="621">
        <v>34.54</v>
      </c>
      <c r="L68" s="621">
        <v>30.57</v>
      </c>
      <c r="M68" s="622">
        <f>L68</f>
        <v>30.57</v>
      </c>
      <c r="N68" s="620"/>
      <c r="O68" s="621">
        <v>19.600000000000001</v>
      </c>
      <c r="P68" s="621">
        <v>29.1</v>
      </c>
      <c r="Q68" s="621">
        <v>32.79</v>
      </c>
      <c r="R68" s="621">
        <v>30.84</v>
      </c>
      <c r="S68" s="619">
        <v>30.84</v>
      </c>
      <c r="T68" s="620"/>
      <c r="U68" s="621">
        <v>38.39</v>
      </c>
      <c r="V68" s="621">
        <v>37.67</v>
      </c>
      <c r="W68" s="621">
        <v>37.61</v>
      </c>
      <c r="X68" s="621">
        <v>50.31</v>
      </c>
      <c r="Y68" s="619">
        <v>50.31</v>
      </c>
      <c r="Z68" s="620"/>
      <c r="AA68" s="621">
        <v>39.69</v>
      </c>
      <c r="AB68" s="621">
        <v>40.98</v>
      </c>
      <c r="AC68" s="1675">
        <v>40.950000000000003</v>
      </c>
      <c r="AD68" s="1675">
        <v>40.64</v>
      </c>
      <c r="AE68" s="1676">
        <v>40.64</v>
      </c>
      <c r="AF68" s="620"/>
      <c r="AG68" s="1675">
        <v>38.53</v>
      </c>
      <c r="AH68" s="1675">
        <v>39.24</v>
      </c>
      <c r="AI68" s="1675">
        <v>38.57</v>
      </c>
      <c r="AJ68" s="1675">
        <v>38.4</v>
      </c>
      <c r="AK68" s="1676">
        <v>38.4</v>
      </c>
      <c r="AL68" s="620"/>
      <c r="AM68" s="1675">
        <v>46.53</v>
      </c>
      <c r="AN68" s="1675">
        <v>43.6</v>
      </c>
      <c r="AO68" s="1675">
        <v>48.99</v>
      </c>
      <c r="AP68" s="1675">
        <v>50.89</v>
      </c>
      <c r="AQ68" s="1676">
        <v>50.89</v>
      </c>
      <c r="AR68" s="620"/>
      <c r="AS68" s="1675">
        <v>59.77</v>
      </c>
      <c r="AT68" s="1675">
        <v>74.33</v>
      </c>
      <c r="AU68" s="1675">
        <v>60.4</v>
      </c>
      <c r="AV68" s="1675">
        <v>58.12</v>
      </c>
      <c r="AW68" s="1676">
        <v>58.12</v>
      </c>
      <c r="AX68" s="620"/>
      <c r="AY68" s="1675">
        <v>75.5</v>
      </c>
      <c r="AZ68" s="1675">
        <v>74.33</v>
      </c>
      <c r="BA68" s="1675">
        <v>74.44</v>
      </c>
      <c r="BB68" s="1675">
        <v>64.05</v>
      </c>
      <c r="BC68" s="1676">
        <v>64.05</v>
      </c>
      <c r="BD68" s="620"/>
      <c r="BE68" s="1675">
        <v>81.97</v>
      </c>
      <c r="BF68" s="1675">
        <v>79.209999999999994</v>
      </c>
      <c r="BG68" s="1675">
        <v>76.98</v>
      </c>
      <c r="BH68" s="1675">
        <v>76.55</v>
      </c>
      <c r="BI68" s="1676">
        <v>76.55</v>
      </c>
      <c r="BJ68" s="620"/>
      <c r="BK68" s="1675">
        <v>89.05</v>
      </c>
      <c r="BL68" s="1675">
        <v>88.36</v>
      </c>
      <c r="BM68" s="1675">
        <v>90.28</v>
      </c>
      <c r="BN68" s="1675">
        <v>93.49</v>
      </c>
      <c r="BO68" s="1676">
        <v>93.49</v>
      </c>
      <c r="BP68" s="620"/>
      <c r="BQ68" s="620">
        <f>BN68</f>
        <v>93.49</v>
      </c>
      <c r="BR68" s="620">
        <f>BQ68</f>
        <v>93.49</v>
      </c>
      <c r="BS68" s="620">
        <f>BR68</f>
        <v>93.49</v>
      </c>
      <c r="BT68" s="620">
        <f>BS68</f>
        <v>93.49</v>
      </c>
      <c r="BU68" s="623">
        <f>AVERAGE(BQ68:BT68)</f>
        <v>93.49</v>
      </c>
      <c r="BV68" s="620"/>
      <c r="BW68" s="620">
        <f>BT68</f>
        <v>93.49</v>
      </c>
      <c r="BX68" s="620">
        <f>BW68</f>
        <v>93.49</v>
      </c>
      <c r="BY68" s="620">
        <f>BX68</f>
        <v>93.49</v>
      </c>
      <c r="BZ68" s="620">
        <f>BY68</f>
        <v>93.49</v>
      </c>
      <c r="CA68" s="623">
        <f>AVERAGE(BW68:BZ68)</f>
        <v>93.49</v>
      </c>
      <c r="CB68" s="620"/>
      <c r="CC68" s="620">
        <f>BZ68</f>
        <v>93.49</v>
      </c>
      <c r="CD68" s="620">
        <f>CC68</f>
        <v>93.49</v>
      </c>
      <c r="CE68" s="620">
        <f>CD68</f>
        <v>93.49</v>
      </c>
      <c r="CF68" s="620">
        <f>CE68</f>
        <v>93.49</v>
      </c>
      <c r="CG68" s="623">
        <f>AVERAGE(CC68:CF68)</f>
        <v>93.49</v>
      </c>
      <c r="CH68" s="620"/>
      <c r="CI68" s="620">
        <f>CF68</f>
        <v>93.49</v>
      </c>
      <c r="CJ68" s="620">
        <f>CI68</f>
        <v>93.49</v>
      </c>
      <c r="CK68" s="620">
        <f>CJ68</f>
        <v>93.49</v>
      </c>
      <c r="CL68" s="620">
        <f>CK68</f>
        <v>93.49</v>
      </c>
      <c r="CM68" s="623">
        <f>AVERAGE(CI68:CL68)</f>
        <v>93.49</v>
      </c>
      <c r="CN68" s="263"/>
      <c r="CO68" s="263"/>
      <c r="CP68"/>
      <c r="CQ68"/>
      <c r="CR68"/>
      <c r="CS68"/>
      <c r="CT68"/>
      <c r="CU68"/>
    </row>
    <row r="69" spans="1:99" s="24" customFormat="1" hidden="1" outlineLevel="1">
      <c r="A69" s="624" t="s">
        <v>443</v>
      </c>
      <c r="B69" s="624"/>
      <c r="C69" s="624"/>
      <c r="D69" s="624"/>
      <c r="E69" s="624"/>
      <c r="F69" s="624"/>
      <c r="G69" s="625"/>
      <c r="H69" s="611"/>
      <c r="I69" s="611"/>
      <c r="J69" s="611"/>
      <c r="K69" s="611"/>
      <c r="L69" s="611"/>
      <c r="M69" s="625">
        <f>M68/G68-1</f>
        <v>-1.8934531450577663E-2</v>
      </c>
      <c r="N69" s="611"/>
      <c r="O69" s="626">
        <f>O68/I68-1</f>
        <v>-0.49143746756616502</v>
      </c>
      <c r="P69" s="626">
        <f>P68/J68-1</f>
        <v>-0.21711057304277648</v>
      </c>
      <c r="Q69" s="626">
        <f>Q68/K68-1</f>
        <v>-5.06658946149392E-2</v>
      </c>
      <c r="R69" s="626">
        <f>R68/L68-1</f>
        <v>8.8321884200195377E-3</v>
      </c>
      <c r="S69" s="625">
        <f>S68/M68-1</f>
        <v>8.8321884200195377E-3</v>
      </c>
      <c r="T69" s="611"/>
      <c r="U69" s="626">
        <f>U68/O68-1</f>
        <v>0.958673469387755</v>
      </c>
      <c r="V69" s="626">
        <f>V68/P68-1</f>
        <v>0.29450171821305848</v>
      </c>
      <c r="W69" s="626">
        <f>W68/Q68-1</f>
        <v>0.1469960353766393</v>
      </c>
      <c r="X69" s="626">
        <f>X68/R68-1</f>
        <v>0.63132295719844356</v>
      </c>
      <c r="Y69" s="625">
        <f>Y68/S68-1</f>
        <v>0.63132295719844356</v>
      </c>
      <c r="Z69" s="611"/>
      <c r="AA69" s="626">
        <f>AA68/U68-1</f>
        <v>3.3862985152383285E-2</v>
      </c>
      <c r="AB69" s="626">
        <f>AB68/V68-1</f>
        <v>8.7868330236262171E-2</v>
      </c>
      <c r="AC69" s="626">
        <f>AC68/W68-1</f>
        <v>8.8806168572188371E-2</v>
      </c>
      <c r="AD69" s="626">
        <f>AD68/X68-1</f>
        <v>-0.19220830848737824</v>
      </c>
      <c r="AE69" s="625">
        <f>AE68/Y68-1</f>
        <v>-0.19220830848737824</v>
      </c>
      <c r="AF69" s="611"/>
      <c r="AG69" s="626">
        <f>AG68/AA68-1</f>
        <v>-2.9226505416981574E-2</v>
      </c>
      <c r="AH69" s="626">
        <f>AH68/AB68-1</f>
        <v>-4.2459736456808117E-2</v>
      </c>
      <c r="AI69" s="626">
        <f>AI68/AC68-1</f>
        <v>-5.8119658119658135E-2</v>
      </c>
      <c r="AJ69" s="626">
        <f>AJ68/AD68-1</f>
        <v>-5.5118110236220486E-2</v>
      </c>
      <c r="AK69" s="625">
        <f>AK68/AE68-1</f>
        <v>-5.5118110236220486E-2</v>
      </c>
      <c r="AL69" s="611"/>
      <c r="AM69" s="626">
        <f>AM68/AG68-1</f>
        <v>0.20763041785621583</v>
      </c>
      <c r="AN69" s="626">
        <f>AN68/AH68-1</f>
        <v>0.11111111111111116</v>
      </c>
      <c r="AO69" s="626">
        <f>AO68/AI68-1</f>
        <v>0.27015815400570387</v>
      </c>
      <c r="AP69" s="626">
        <f>AP68/AJ68-1</f>
        <v>0.32526041666666683</v>
      </c>
      <c r="AQ69" s="625">
        <f>AQ68/AK68-1</f>
        <v>0.32526041666666683</v>
      </c>
      <c r="AR69" s="611"/>
      <c r="AS69" s="626">
        <f>AS68/AM68-1</f>
        <v>0.28454760369653997</v>
      </c>
      <c r="AT69" s="626">
        <f>AT68/AN68-1</f>
        <v>0.7048165137614677</v>
      </c>
      <c r="AU69" s="626">
        <f>AU68/AO68-1</f>
        <v>0.23290467442335161</v>
      </c>
      <c r="AV69" s="626">
        <f>AV68/AP68-1</f>
        <v>0.14207113381803893</v>
      </c>
      <c r="AW69" s="625">
        <f>AW68/AQ68-1</f>
        <v>0.14207113381803893</v>
      </c>
      <c r="AX69" s="611"/>
      <c r="AY69" s="626">
        <f>AY68/AS68-1</f>
        <v>0.26317550610674245</v>
      </c>
      <c r="AZ69" s="626">
        <f>AZ68/AT68-1</f>
        <v>0</v>
      </c>
      <c r="BA69" s="626">
        <f>BA68/AU68-1</f>
        <v>0.23245033112582791</v>
      </c>
      <c r="BB69" s="626">
        <f>BB68/AV68-1</f>
        <v>0.10203028217481069</v>
      </c>
      <c r="BC69" s="625">
        <f>BC68/AW68-1</f>
        <v>0.10203028217481069</v>
      </c>
      <c r="BD69" s="611"/>
      <c r="BE69" s="626">
        <f>BE68/AY68-1</f>
        <v>8.5695364238410621E-2</v>
      </c>
      <c r="BF69" s="626">
        <f>BF68/AZ68-1</f>
        <v>6.5653168303511311E-2</v>
      </c>
      <c r="BG69" s="626">
        <f>BG68/BA68-1</f>
        <v>3.4121440085975285E-2</v>
      </c>
      <c r="BH69" s="626">
        <f>BH68/BB68-1</f>
        <v>0.19516003122560499</v>
      </c>
      <c r="BI69" s="625">
        <f>BI68/BC68-1</f>
        <v>0.19516003122560499</v>
      </c>
      <c r="BJ69" s="611"/>
      <c r="BK69" s="626">
        <f>BK68/BE68-1</f>
        <v>8.6373063315847265E-2</v>
      </c>
      <c r="BL69" s="626">
        <f>BL68/BF68-1</f>
        <v>0.1155157177124102</v>
      </c>
      <c r="BM69" s="626">
        <f>BM68/BG68-1</f>
        <v>0.17277214861002843</v>
      </c>
      <c r="BN69" s="626">
        <f>BN68/BH68-1</f>
        <v>0.22129327237099927</v>
      </c>
      <c r="BO69" s="625">
        <f>BO68/BI68-1</f>
        <v>0.22129327237099927</v>
      </c>
      <c r="BP69" s="611"/>
      <c r="BQ69" s="626">
        <f>BQ68/BK68-1</f>
        <v>4.9859629421673102E-2</v>
      </c>
      <c r="BR69" s="626">
        <f>BR68/BL68-1</f>
        <v>5.8057944771389813E-2</v>
      </c>
      <c r="BS69" s="626">
        <f>BS68/BM68-1</f>
        <v>3.5556047851129646E-2</v>
      </c>
      <c r="BT69" s="626">
        <f>BT68/BN68-1</f>
        <v>0</v>
      </c>
      <c r="BU69" s="625">
        <f>BU68/BO68-1</f>
        <v>0</v>
      </c>
      <c r="BV69" s="626"/>
      <c r="BW69" s="626">
        <f>BW68/BQ68-1</f>
        <v>0</v>
      </c>
      <c r="BX69" s="626">
        <f>BX68/BR68-1</f>
        <v>0</v>
      </c>
      <c r="BY69" s="626">
        <f>BY68/BS68-1</f>
        <v>0</v>
      </c>
      <c r="BZ69" s="626">
        <f>BZ68/BT68-1</f>
        <v>0</v>
      </c>
      <c r="CA69" s="625">
        <f>CA68/BU68-1</f>
        <v>0</v>
      </c>
      <c r="CB69" s="626"/>
      <c r="CC69" s="626">
        <f>CC68/BW68-1</f>
        <v>0</v>
      </c>
      <c r="CD69" s="626">
        <f>CD68/BX68-1</f>
        <v>0</v>
      </c>
      <c r="CE69" s="626">
        <f>CE68/BY68-1</f>
        <v>0</v>
      </c>
      <c r="CF69" s="626">
        <f>CF68/BZ68-1</f>
        <v>0</v>
      </c>
      <c r="CG69" s="625">
        <f>CG68/CA68-1</f>
        <v>0</v>
      </c>
      <c r="CH69" s="626"/>
      <c r="CI69" s="626">
        <f>CI68/CC68-1</f>
        <v>0</v>
      </c>
      <c r="CJ69" s="626">
        <f>CJ68/CD68-1</f>
        <v>0</v>
      </c>
      <c r="CK69" s="626">
        <f>CK68/CE68-1</f>
        <v>0</v>
      </c>
      <c r="CL69" s="626">
        <f>CL68/CF68-1</f>
        <v>0</v>
      </c>
      <c r="CM69" s="625">
        <f>CM68/CG68-1</f>
        <v>0</v>
      </c>
      <c r="CN69" s="97"/>
      <c r="CO69" s="97"/>
      <c r="CP69"/>
      <c r="CQ69"/>
      <c r="CR69"/>
      <c r="CS69"/>
      <c r="CT69"/>
      <c r="CU69"/>
    </row>
    <row r="70" spans="1:99" s="24" customFormat="1" hidden="1" outlineLevel="1">
      <c r="A70" s="606"/>
      <c r="B70" s="606"/>
      <c r="C70" s="606"/>
      <c r="D70" s="606"/>
      <c r="E70" s="606"/>
      <c r="F70" s="606"/>
      <c r="G70" s="627"/>
      <c r="H70" s="611"/>
      <c r="I70" s="611"/>
      <c r="J70" s="611"/>
      <c r="K70" s="611"/>
      <c r="L70" s="611"/>
      <c r="M70" s="627"/>
      <c r="N70" s="611"/>
      <c r="O70" s="611"/>
      <c r="P70" s="611"/>
      <c r="Q70" s="611"/>
      <c r="R70" s="611"/>
      <c r="S70" s="627"/>
      <c r="T70" s="611"/>
      <c r="U70" s="611"/>
      <c r="V70" s="611"/>
      <c r="W70" s="611"/>
      <c r="X70" s="611"/>
      <c r="Y70" s="627"/>
      <c r="Z70" s="611"/>
      <c r="AA70" s="611"/>
      <c r="AB70" s="611"/>
      <c r="AC70" s="611"/>
      <c r="AD70" s="611"/>
      <c r="AE70" s="627"/>
      <c r="AF70" s="611"/>
      <c r="AG70" s="611"/>
      <c r="AH70" s="611"/>
      <c r="AI70" s="611"/>
      <c r="AJ70" s="611"/>
      <c r="AK70" s="627"/>
      <c r="AL70" s="611"/>
      <c r="AM70" s="611"/>
      <c r="AN70" s="611"/>
      <c r="AO70" s="611"/>
      <c r="AP70" s="611"/>
      <c r="AQ70" s="627"/>
      <c r="AR70" s="611"/>
      <c r="AS70" s="611"/>
      <c r="AT70" s="611"/>
      <c r="AU70" s="611"/>
      <c r="AV70" s="611"/>
      <c r="AW70" s="627"/>
      <c r="AX70" s="611"/>
      <c r="AY70" s="611"/>
      <c r="AZ70" s="611"/>
      <c r="BA70" s="611"/>
      <c r="BB70" s="611"/>
      <c r="BC70" s="627"/>
      <c r="BD70" s="611"/>
      <c r="BE70" s="611"/>
      <c r="BF70" s="611"/>
      <c r="BG70" s="611"/>
      <c r="BH70" s="611"/>
      <c r="BI70" s="627"/>
      <c r="BJ70" s="611"/>
      <c r="BK70" s="611"/>
      <c r="BL70" s="611"/>
      <c r="BM70" s="611"/>
      <c r="BN70" s="611"/>
      <c r="BO70" s="627"/>
      <c r="BP70" s="611"/>
      <c r="BQ70" s="611"/>
      <c r="BR70" s="611"/>
      <c r="BS70" s="611"/>
      <c r="BT70" s="611"/>
      <c r="BU70" s="627"/>
      <c r="BV70" s="611"/>
      <c r="BW70" s="611"/>
      <c r="BX70" s="611"/>
      <c r="BY70" s="611"/>
      <c r="BZ70" s="611"/>
      <c r="CA70" s="627"/>
      <c r="CB70" s="611"/>
      <c r="CC70" s="611"/>
      <c r="CD70" s="611"/>
      <c r="CE70" s="611"/>
      <c r="CF70" s="611"/>
      <c r="CG70" s="627"/>
      <c r="CH70" s="611"/>
      <c r="CI70" s="611"/>
      <c r="CJ70" s="611"/>
      <c r="CK70" s="611"/>
      <c r="CL70" s="611"/>
      <c r="CM70" s="627"/>
      <c r="CN70" s="97"/>
      <c r="CO70" s="97"/>
      <c r="CP70"/>
      <c r="CQ70"/>
      <c r="CR70"/>
      <c r="CS70"/>
      <c r="CT70"/>
      <c r="CU70"/>
    </row>
    <row r="71" spans="1:99" s="24" customFormat="1" hidden="1" outlineLevel="1">
      <c r="A71" s="606" t="s">
        <v>444</v>
      </c>
      <c r="B71" s="606"/>
      <c r="C71" s="606"/>
      <c r="D71" s="606"/>
      <c r="E71" s="606"/>
      <c r="F71" s="606"/>
      <c r="G71" s="487">
        <f>G65/G63</f>
        <v>-0.29893762490796255</v>
      </c>
      <c r="H71" s="611"/>
      <c r="I71" s="603">
        <f>I65/I63</f>
        <v>-4.2975905312103706E-2</v>
      </c>
      <c r="J71" s="603">
        <f>J65/J63</f>
        <v>-1.2628487518355363E-2</v>
      </c>
      <c r="K71" s="603">
        <f>K65/K63</f>
        <v>-3.0361660961452593E-2</v>
      </c>
      <c r="L71" s="603">
        <f>L65/L63</f>
        <v>-3.5324834894793433E-2</v>
      </c>
      <c r="M71" s="487">
        <f>M65/M63</f>
        <v>-0.11624630125405101</v>
      </c>
      <c r="N71" s="611"/>
      <c r="O71" s="603">
        <f>O65/O63</f>
        <v>-1.0241404535479151E-3</v>
      </c>
      <c r="P71" s="603">
        <f>P65/P63</f>
        <v>-1.0582010582010581E-2</v>
      </c>
      <c r="Q71" s="603">
        <f>Q65/Q63</f>
        <v>-1.4139008781068609E-2</v>
      </c>
      <c r="R71" s="603">
        <f>R65/R63</f>
        <v>-5.1344004832376923E-2</v>
      </c>
      <c r="S71" s="487">
        <f>S65/S63</f>
        <v>-7.5201170446232632E-2</v>
      </c>
      <c r="T71" s="611"/>
      <c r="U71" s="603">
        <f>U65/U63</f>
        <v>-3.0625638034125713E-2</v>
      </c>
      <c r="V71" s="603">
        <f>V65/V63</f>
        <v>-3.8225153650127422E-2</v>
      </c>
      <c r="W71" s="603">
        <f>W65/W63</f>
        <v>-2.855805243445694E-2</v>
      </c>
      <c r="X71" s="603">
        <f>X65/X63</f>
        <v>-0.20675784392598551</v>
      </c>
      <c r="Y71" s="487">
        <f>Y65/Y63</f>
        <v>-0.28190170628554762</v>
      </c>
      <c r="Z71" s="611"/>
      <c r="AA71" s="603">
        <f>AA65/AA63</f>
        <v>-6.0071942446043171E-2</v>
      </c>
      <c r="AB71" s="603">
        <f>AB65/AB63</f>
        <v>-0.12648070309514711</v>
      </c>
      <c r="AC71" s="495">
        <f>AC65/AC63</f>
        <v>-1.0717410323709521E-2</v>
      </c>
      <c r="AD71" s="495">
        <f>AD65/AD63</f>
        <v>-7.4286977669688281E-2</v>
      </c>
      <c r="AE71" s="487">
        <f>AE65/AE63</f>
        <v>-0.2483812949640288</v>
      </c>
      <c r="AF71" s="611"/>
      <c r="AG71" s="495">
        <f>AG65/AG63</f>
        <v>-7.4235807860262001E-2</v>
      </c>
      <c r="AH71" s="495">
        <f>AH65/AH63</f>
        <v>-1.311030741410488E-2</v>
      </c>
      <c r="AI71" s="495">
        <f>AI65/AI63</f>
        <v>-1.1243689765947692E-2</v>
      </c>
      <c r="AJ71" s="495">
        <f>AJ65/AJ63</f>
        <v>-3.852401949408215E-2</v>
      </c>
      <c r="AK71" s="487">
        <f>AK65/AK63</f>
        <v>-0.13100436681222707</v>
      </c>
      <c r="AL71" s="611"/>
      <c r="AM71" s="495">
        <f>AM65/AM63</f>
        <v>-2.8696194635059267E-2</v>
      </c>
      <c r="AN71" s="495">
        <f>AN65/AN63</f>
        <v>-5.2373855652544175E-2</v>
      </c>
      <c r="AO71" s="495">
        <f>AO65/AO63</f>
        <v>-6.0647205250056568E-2</v>
      </c>
      <c r="AP71" s="495">
        <f>AP65/AP63</f>
        <v>-0.14976190476190471</v>
      </c>
      <c r="AQ71" s="487">
        <f>AQ65/AQ63</f>
        <v>-0.26637554585152834</v>
      </c>
      <c r="AR71" s="611"/>
      <c r="AS71" s="495">
        <f>AS65/AS63</f>
        <v>-0.14730661220321672</v>
      </c>
      <c r="AT71" s="495">
        <f>AT65/AT63</f>
        <v>-1.7606684571769636E-2</v>
      </c>
      <c r="AU71" s="495">
        <f>AU65/AU63</f>
        <v>-5.4678007290401018E-3</v>
      </c>
      <c r="AV71" s="495">
        <f>AV65/AV63</f>
        <v>-0.16218692730604767</v>
      </c>
      <c r="AW71" s="487">
        <f>AW65/AW63</f>
        <v>-0.30252744447281082</v>
      </c>
      <c r="AX71" s="611"/>
      <c r="AY71" s="495">
        <f>AY65/AY63</f>
        <v>-4.1158536585365856E-2</v>
      </c>
      <c r="AZ71" s="495">
        <f>AZ65/AZ63</f>
        <v>-5.185185185185185E-2</v>
      </c>
      <c r="BA71" s="495">
        <f>BA65/BA63</f>
        <v>-1.5598507968803001E-2</v>
      </c>
      <c r="BB71" s="495">
        <f>BB65/BB63</f>
        <v>-0.12915129151291516</v>
      </c>
      <c r="BC71" s="487">
        <f>BC65/BC63</f>
        <v>-0.22164634146341458</v>
      </c>
      <c r="BD71" s="611"/>
      <c r="BE71" s="495">
        <f>BE65/BE63</f>
        <v>-2.6632847178186439E-2</v>
      </c>
      <c r="BF71" s="495">
        <f>BF65/BF63</f>
        <v>-5.4158607350096727E-2</v>
      </c>
      <c r="BG71" s="495">
        <f>BG65/BG63</f>
        <v>-0.15248468345813482</v>
      </c>
      <c r="BH71" s="495">
        <f>BH65/BH63</f>
        <v>-1.2048192771084354E-2</v>
      </c>
      <c r="BI71" s="487">
        <f>BI65/BI63</f>
        <v>-0.2314521242866201</v>
      </c>
      <c r="BJ71" s="611"/>
      <c r="BK71" s="495">
        <f>BK65/BK63</f>
        <v>-0.15387467556544315</v>
      </c>
      <c r="BL71" s="495">
        <f>BL65/BL63</f>
        <v>-8.3401471790678722E-2</v>
      </c>
      <c r="BM71" s="495">
        <f>BM65/BM63</f>
        <v>-5.8902275769745695E-2</v>
      </c>
      <c r="BN71" s="495">
        <f>BN65/BN63</f>
        <v>-0.104245283018868</v>
      </c>
      <c r="BO71" s="487">
        <f>BO65/BO63</f>
        <v>-0.36040044493882084</v>
      </c>
      <c r="BP71" s="611"/>
      <c r="BQ71" s="104">
        <v>-0.1</v>
      </c>
      <c r="BR71" s="104">
        <v>-0.1</v>
      </c>
      <c r="BS71" s="104">
        <v>-0.1</v>
      </c>
      <c r="BT71" s="104">
        <v>-0.1</v>
      </c>
      <c r="BU71" s="487">
        <f>BU65/BU63</f>
        <v>-0.36376899892103975</v>
      </c>
      <c r="BV71" s="603"/>
      <c r="BW71" s="104">
        <v>-0.1</v>
      </c>
      <c r="BX71" s="104">
        <v>-0.1</v>
      </c>
      <c r="BY71" s="104">
        <v>-0.1</v>
      </c>
      <c r="BZ71" s="104">
        <v>-0.1</v>
      </c>
      <c r="CA71" s="487">
        <f>CA65/CA63</f>
        <v>-0.37651811596621609</v>
      </c>
      <c r="CB71" s="603"/>
      <c r="CC71" s="104">
        <v>-0.1</v>
      </c>
      <c r="CD71" s="104">
        <v>-0.1</v>
      </c>
      <c r="CE71" s="104">
        <v>-0.1</v>
      </c>
      <c r="CF71" s="104">
        <v>-0.1</v>
      </c>
      <c r="CG71" s="487">
        <f>CG65/CG63</f>
        <v>-0.38936256236821187</v>
      </c>
      <c r="CH71" s="603"/>
      <c r="CI71" s="104">
        <v>-0.1</v>
      </c>
      <c r="CJ71" s="104">
        <v>-0.1</v>
      </c>
      <c r="CK71" s="104">
        <v>-0.1</v>
      </c>
      <c r="CL71" s="104">
        <v>-0.1</v>
      </c>
      <c r="CM71" s="487">
        <f>CM65/CM63</f>
        <v>-0.40023326907503293</v>
      </c>
      <c r="CN71" s="97"/>
      <c r="CO71" s="97"/>
      <c r="CP71"/>
      <c r="CQ71"/>
      <c r="CR71"/>
      <c r="CS71"/>
      <c r="CT71"/>
      <c r="CU71"/>
    </row>
    <row r="72" spans="1:99" s="24" customFormat="1" hidden="1" outlineLevel="1">
      <c r="A72" s="606" t="s">
        <v>445</v>
      </c>
      <c r="B72" s="606"/>
      <c r="C72" s="606"/>
      <c r="D72" s="606"/>
      <c r="E72" s="606"/>
      <c r="F72" s="606"/>
      <c r="G72" s="487">
        <f>G66/G63</f>
        <v>-8.8355948248658896E-3</v>
      </c>
      <c r="H72" s="611"/>
      <c r="I72" s="603">
        <f>I66/I63</f>
        <v>-1.409046075806679E-3</v>
      </c>
      <c r="J72" s="603">
        <f>J66/J63</f>
        <v>-7.3421439060205576E-4</v>
      </c>
      <c r="K72" s="603">
        <f>K66/K63</f>
        <v>-5.9532668551867847E-4</v>
      </c>
      <c r="L72" s="603">
        <f>L66/L63</f>
        <v>-1.5358623867301504E-4</v>
      </c>
      <c r="M72" s="487">
        <f>M66/M63</f>
        <v>-2.8180921516133581E-3</v>
      </c>
      <c r="N72" s="611"/>
      <c r="O72" s="603">
        <f>O66/O63</f>
        <v>-7.6079005120702264E-3</v>
      </c>
      <c r="P72" s="603">
        <f>P66/P63</f>
        <v>-1.9106407995296891E-3</v>
      </c>
      <c r="Q72" s="603">
        <f>Q66/Q63</f>
        <v>-2.9766334275933945E-4</v>
      </c>
      <c r="R72" s="603">
        <f>R66/R63</f>
        <v>-7.5505889459377684E-4</v>
      </c>
      <c r="S72" s="487">
        <f>S66/S63</f>
        <v>-1.0534016093635698E-2</v>
      </c>
      <c r="T72" s="611"/>
      <c r="U72" s="603">
        <f>U66/U63</f>
        <v>-1.1666909727285986E-3</v>
      </c>
      <c r="V72" s="603">
        <f>V66/V63</f>
        <v>-1.1992205066706642E-3</v>
      </c>
      <c r="W72" s="603">
        <f>W66/W63</f>
        <v>-1.560549313358302E-3</v>
      </c>
      <c r="X72" s="603">
        <f>X66/X63</f>
        <v>-8.0450522928399051E-4</v>
      </c>
      <c r="Y72" s="487">
        <f>Y66/Y63</f>
        <v>-4.5209275193233197E-3</v>
      </c>
      <c r="Z72" s="611"/>
      <c r="AA72" s="603">
        <f>AA66/AA63</f>
        <v>-4.3165467625899288E-3</v>
      </c>
      <c r="AB72" s="603">
        <f>AB66/AB63</f>
        <v>0</v>
      </c>
      <c r="AC72" s="495">
        <f>AC66/AC63</f>
        <v>0</v>
      </c>
      <c r="AD72" s="495">
        <f>AD66/AD63</f>
        <v>-8.8436878178200313E-4</v>
      </c>
      <c r="AE72" s="487">
        <f>AE66/AE63</f>
        <v>-5.0359712230215832E-3</v>
      </c>
      <c r="AF72" s="611"/>
      <c r="AG72" s="495">
        <f>AG66/AG63</f>
        <v>-1.2476606363069244E-2</v>
      </c>
      <c r="AH72" s="495">
        <f>AH66/AH63</f>
        <v>-1.808318264014468E-3</v>
      </c>
      <c r="AI72" s="495">
        <f>AI66/AI63</f>
        <v>0</v>
      </c>
      <c r="AJ72" s="495">
        <f>AJ66/AJ63</f>
        <v>-2.3207240659085655E-4</v>
      </c>
      <c r="AK72" s="487">
        <f>AK66/AK63</f>
        <v>-1.4348097317529633E-2</v>
      </c>
      <c r="AL72" s="611"/>
      <c r="AM72" s="495">
        <f>AM66/AM63</f>
        <v>-1.2476606363069245E-3</v>
      </c>
      <c r="AN72" s="495">
        <f>AN66/AN63</f>
        <v>-6.8128592718756653E-3</v>
      </c>
      <c r="AO72" s="495">
        <f>AO66/AO63</f>
        <v>2.2629554197782322E-4</v>
      </c>
      <c r="AP72" s="495">
        <f>AP66/AP63</f>
        <v>-4.7619047619047652E-4</v>
      </c>
      <c r="AQ72" s="487">
        <f>AQ66/AQ63</f>
        <v>-8.1097941359950087E-3</v>
      </c>
      <c r="AR72" s="611"/>
      <c r="AS72" s="495">
        <f>AS66/AS63</f>
        <v>-5.3612458514169003E-3</v>
      </c>
      <c r="AT72" s="495">
        <f>AT66/AT63</f>
        <v>0</v>
      </c>
      <c r="AU72" s="495">
        <f>AU66/AU63</f>
        <v>0</v>
      </c>
      <c r="AV72" s="495">
        <f>AV66/AV63</f>
        <v>0</v>
      </c>
      <c r="AW72" s="487">
        <f>AW66/AW63</f>
        <v>-5.3612458514169003E-3</v>
      </c>
      <c r="AX72" s="611"/>
      <c r="AY72" s="495">
        <f>AY66/AY63</f>
        <v>-2.1951219512195121E-2</v>
      </c>
      <c r="AZ72" s="495">
        <f>AZ66/AZ63</f>
        <v>0</v>
      </c>
      <c r="BA72" s="495">
        <f>BA66/BA63</f>
        <v>0</v>
      </c>
      <c r="BB72" s="495">
        <f>BB66/BB63</f>
        <v>0</v>
      </c>
      <c r="BC72" s="487">
        <f>BC66/BC63</f>
        <v>-2.1951219512195117E-2</v>
      </c>
      <c r="BD72" s="611"/>
      <c r="BE72" s="495">
        <f>BE66/BE63</f>
        <v>-1.7121116043119854E-2</v>
      </c>
      <c r="BF72" s="495">
        <f>BF66/BF63</f>
        <v>1.2894906511927782E-3</v>
      </c>
      <c r="BG72" s="495">
        <f>BG66/BG63</f>
        <v>0</v>
      </c>
      <c r="BH72" s="495">
        <f>BH66/BH63</f>
        <v>-4.0160642570280899E-4</v>
      </c>
      <c r="BI72" s="487">
        <f>BI66/BI63</f>
        <v>-1.6169942929613185E-2</v>
      </c>
      <c r="BJ72" s="611"/>
      <c r="BK72" s="495">
        <f>BK66/BK63</f>
        <v>-1.5943641082684472E-2</v>
      </c>
      <c r="BL72" s="495">
        <f>BL66/BL63</f>
        <v>-4.0883074407195482E-4</v>
      </c>
      <c r="BM72" s="495">
        <f>BM66/BM63</f>
        <v>4.4622936189201324E-4</v>
      </c>
      <c r="BN72" s="495">
        <f>BN66/BN63</f>
        <v>-1.5094339622641522E-2</v>
      </c>
      <c r="BO72" s="487">
        <f>BO66/BO63</f>
        <v>-2.7808676307007781E-2</v>
      </c>
      <c r="BP72" s="611"/>
      <c r="BQ72" s="104">
        <v>-0.02</v>
      </c>
      <c r="BR72" s="104">
        <v>-0.02</v>
      </c>
      <c r="BS72" s="104">
        <v>-0.02</v>
      </c>
      <c r="BT72" s="104">
        <v>-0.02</v>
      </c>
      <c r="BU72" s="487">
        <f>BU66/BU63</f>
        <v>-7.2753799784207956E-2</v>
      </c>
      <c r="BV72" s="603"/>
      <c r="BW72" s="104">
        <v>-0.02</v>
      </c>
      <c r="BX72" s="104">
        <v>-0.02</v>
      </c>
      <c r="BY72" s="104">
        <v>-0.02</v>
      </c>
      <c r="BZ72" s="104">
        <v>-0.02</v>
      </c>
      <c r="CA72" s="487">
        <f>CA66/CA63</f>
        <v>-7.5303623193243213E-2</v>
      </c>
      <c r="CB72" s="603"/>
      <c r="CC72" s="104">
        <v>-0.02</v>
      </c>
      <c r="CD72" s="104">
        <v>-0.02</v>
      </c>
      <c r="CE72" s="104">
        <v>-0.02</v>
      </c>
      <c r="CF72" s="104">
        <v>-0.02</v>
      </c>
      <c r="CG72" s="487">
        <f>CG66/CG63</f>
        <v>-7.7872512473642394E-2</v>
      </c>
      <c r="CH72" s="603"/>
      <c r="CI72" s="104">
        <v>-0.02</v>
      </c>
      <c r="CJ72" s="104">
        <v>-0.02</v>
      </c>
      <c r="CK72" s="104">
        <v>-0.02</v>
      </c>
      <c r="CL72" s="104">
        <v>-0.02</v>
      </c>
      <c r="CM72" s="487">
        <f>CM66/CM63</f>
        <v>-8.0046653815006585E-2</v>
      </c>
      <c r="CN72" s="97"/>
      <c r="CO72" s="97"/>
      <c r="CP72"/>
      <c r="CQ72"/>
      <c r="CR72"/>
      <c r="CS72"/>
      <c r="CT72"/>
      <c r="CU72"/>
    </row>
    <row r="73" spans="1:99" s="24" customFormat="1" hidden="1" outlineLevel="1">
      <c r="A73" s="606" t="s">
        <v>446</v>
      </c>
      <c r="B73" s="606"/>
      <c r="C73" s="606"/>
      <c r="D73" s="606"/>
      <c r="E73" s="606"/>
      <c r="F73" s="606"/>
      <c r="G73" s="487"/>
      <c r="H73" s="611"/>
      <c r="I73" s="611"/>
      <c r="J73" s="611"/>
      <c r="K73" s="611"/>
      <c r="L73" s="611"/>
      <c r="M73" s="487">
        <f>M64/G64-1</f>
        <v>0.12984496124030986</v>
      </c>
      <c r="N73" s="611"/>
      <c r="O73" s="603">
        <f>O64/I64-1</f>
        <v>0</v>
      </c>
      <c r="P73" s="628" t="str">
        <f>IF(ISERROR(P64/J64-1),"NM",P64/J64-1)</f>
        <v>NM</v>
      </c>
      <c r="Q73" s="628" t="str">
        <f>IF(ISERROR(Q64/K64-1),"NM",Q64/K64-1)</f>
        <v>NM</v>
      </c>
      <c r="R73" s="603">
        <f>R64/L64-1</f>
        <v>4.5045045045045029E-2</v>
      </c>
      <c r="S73" s="487">
        <f>S64/M64-1</f>
        <v>4.2881646655231531E-2</v>
      </c>
      <c r="T73" s="611"/>
      <c r="U73" s="603">
        <f>U64/O64-1</f>
        <v>0.14285714285714279</v>
      </c>
      <c r="V73" s="628" t="str">
        <f>IF(ISERROR(V64/P64-1),"NM",V64/P64-1)</f>
        <v>NM</v>
      </c>
      <c r="W73" s="628" t="str">
        <f>IF(ISERROR(W64/Q64-1),"NM",W64/Q64-1)</f>
        <v>NM</v>
      </c>
      <c r="X73" s="603">
        <f>X64/R64-1</f>
        <v>9.4827586206896575E-2</v>
      </c>
      <c r="Y73" s="487">
        <f>Y64/S64-1</f>
        <v>9.703947368421062E-2</v>
      </c>
      <c r="Z73" s="611"/>
      <c r="AA73" s="603">
        <f>AA64/U64-1</f>
        <v>0</v>
      </c>
      <c r="AB73" s="628" t="str">
        <f>IF(ISERROR(AB64/V64-1),"NM",AB64/V64-1)</f>
        <v>NM</v>
      </c>
      <c r="AC73" s="628" t="str">
        <f>IF(ISERROR(AC64/W64-1),"NM",AC64/W64-1)</f>
        <v>NM</v>
      </c>
      <c r="AD73" s="628">
        <f>IF(ISERROR(AD64/X64-1),"NM",AD64/X64-1)</f>
        <v>-1.4173228346456734E-2</v>
      </c>
      <c r="AE73" s="487">
        <f>AE64/Y64-1</f>
        <v>-1.3493253373313308E-2</v>
      </c>
      <c r="AF73" s="611"/>
      <c r="AG73" s="495">
        <f>IF(ISERROR(AG64/AA64-1),"NM",AG64/AA64-1)</f>
        <v>0</v>
      </c>
      <c r="AH73" s="628" t="str">
        <f>IF(ISERROR(AH64/AB64-1),"NM",AH64/AB64-1)</f>
        <v>NM</v>
      </c>
      <c r="AI73" s="628" t="str">
        <f>IF(ISERROR(AI64/AC64-1),"NM",AI64/AC64-1)</f>
        <v>NM</v>
      </c>
      <c r="AJ73" s="628">
        <f>IF(ISERROR(AJ64/AD64-1),"NM",AJ64/AD64-1)</f>
        <v>6.5495207667731536E-2</v>
      </c>
      <c r="AK73" s="487">
        <f>AK64/AE64-1</f>
        <v>6.2310030395136717E-2</v>
      </c>
      <c r="AL73" s="611"/>
      <c r="AM73" s="495">
        <f>IF(ISERROR(AM64/AG64-1),"NM",AM64/AG64-1)</f>
        <v>0</v>
      </c>
      <c r="AN73" s="628" t="str">
        <f>IF(ISERROR(AN64/AH64-1),"NM",AN64/AH64-1)</f>
        <v>NM</v>
      </c>
      <c r="AO73" s="628" t="str">
        <f>IF(ISERROR(AO64/AI64-1),"NM",AO64/AI64-1)</f>
        <v>NM</v>
      </c>
      <c r="AP73" s="628">
        <f>IF(ISERROR(AP64/AJ64-1),"NM",AP64/AJ64-1)</f>
        <v>-0.47826086956521741</v>
      </c>
      <c r="AQ73" s="487">
        <f>AQ64/AK64-1</f>
        <v>-0.38769670958512159</v>
      </c>
      <c r="AR73" s="611"/>
      <c r="AS73" s="495">
        <f>IF(ISERROR(AS64/AM64-1),"NM",AS64/AM64-1)</f>
        <v>0</v>
      </c>
      <c r="AT73" s="628" t="str">
        <f>IF(ISERROR(AT64/AN64-1),"NM",AT64/AN64-1)</f>
        <v>NM</v>
      </c>
      <c r="AU73" s="628">
        <f>IF(ISERROR(AU64/AO64-1),"NM",AU64/AO64-1)</f>
        <v>-1</v>
      </c>
      <c r="AV73" s="628">
        <f>IF(ISERROR(AV64/AP64-1),"NM",AV64/AP64-1)</f>
        <v>0.54310344827586188</v>
      </c>
      <c r="AW73" s="487">
        <f>AW64/AQ64-1</f>
        <v>0.32943925233644844</v>
      </c>
      <c r="AX73" s="611"/>
      <c r="AY73" s="495">
        <f>IF(ISERROR(AY64/AS64-1),"NM",AY64/AS64-1)</f>
        <v>0</v>
      </c>
      <c r="AZ73" s="628" t="str">
        <f>IF(ISERROR(AZ64/AT64-1),"NM",AZ64/AT64-1)</f>
        <v>NM</v>
      </c>
      <c r="BA73" s="628" t="str">
        <f>IF(ISERROR(BA64/AU64-1),"NM",BA64/AU64-1)</f>
        <v>NM</v>
      </c>
      <c r="BB73" s="628">
        <f>IF(ISERROR(BB64/AV64-1),"NM",BB64/AV64-1)</f>
        <v>3.9106145251396995E-2</v>
      </c>
      <c r="BC73" s="487">
        <f>BC64/AW64-1</f>
        <v>0.18277680140597563</v>
      </c>
      <c r="BD73" s="611"/>
      <c r="BE73" s="495">
        <f>IF(ISERROR(BE64/AY64-1),"NM",BE64/AY64-1)</f>
        <v>1.6874999999999996</v>
      </c>
      <c r="BF73" s="628">
        <f>IF(ISERROR(BF64/AZ64-1),"NM",BF64/AZ64-1)</f>
        <v>-1</v>
      </c>
      <c r="BG73" s="628">
        <f>IF(ISERROR(BG64/BA64-1),"NM",BG64/BA64-1)</f>
        <v>-1</v>
      </c>
      <c r="BH73" s="628">
        <f>IF(ISERROR(BH64/BB64-1),"NM",BH64/BB64-1)</f>
        <v>-0.57347670250896066</v>
      </c>
      <c r="BI73" s="487">
        <f>BI64/BC64-1</f>
        <v>-0.51857355126300142</v>
      </c>
      <c r="BJ73" s="611"/>
      <c r="BK73" s="495">
        <f>IF(ISERROR(BK64/BE64-1),"NM",BK64/BE64-1)</f>
        <v>1.4069767441860468</v>
      </c>
      <c r="BL73" s="628" t="str">
        <f>IF(ISERROR(BL64/BF64-1),"NM",BL64/BF64-1)</f>
        <v>NM</v>
      </c>
      <c r="BM73" s="628" t="str">
        <f>IF(ISERROR(BM64/BG64-1),"NM",BM64/BG64-1)</f>
        <v>NM</v>
      </c>
      <c r="BN73" s="628">
        <f>IF(ISERROR(BN64/BH64-1),"NM",BN64/BH64-1)</f>
        <v>-0.27731092436974791</v>
      </c>
      <c r="BO73" s="487">
        <f>BO64/BI64-1</f>
        <v>0.20061728395061729</v>
      </c>
      <c r="BP73" s="611"/>
      <c r="BQ73" s="104">
        <v>0.1</v>
      </c>
      <c r="BR73" s="104">
        <v>0.1</v>
      </c>
      <c r="BS73" s="104">
        <v>0.1</v>
      </c>
      <c r="BT73" s="104">
        <v>0.1</v>
      </c>
      <c r="BU73" s="487">
        <f>BU64/BO64-1</f>
        <v>0.10000000000000009</v>
      </c>
      <c r="BV73" s="603"/>
      <c r="BW73" s="104">
        <v>0.1</v>
      </c>
      <c r="BX73" s="104">
        <v>0.1</v>
      </c>
      <c r="BY73" s="104">
        <v>0.1</v>
      </c>
      <c r="BZ73" s="104">
        <v>0.1</v>
      </c>
      <c r="CA73" s="487">
        <f>CA64/BU64-1</f>
        <v>9.9999999999999867E-2</v>
      </c>
      <c r="CB73" s="603"/>
      <c r="CC73" s="104">
        <v>0.1</v>
      </c>
      <c r="CD73" s="104">
        <v>0.1</v>
      </c>
      <c r="CE73" s="104">
        <v>0.1</v>
      </c>
      <c r="CF73" s="104">
        <v>0.1</v>
      </c>
      <c r="CG73" s="487">
        <f>CG64/CA64-1</f>
        <v>0.10000000000000009</v>
      </c>
      <c r="CH73" s="603"/>
      <c r="CI73" s="104">
        <v>0.1</v>
      </c>
      <c r="CJ73" s="104">
        <v>0.1</v>
      </c>
      <c r="CK73" s="104">
        <v>0.1</v>
      </c>
      <c r="CL73" s="104">
        <v>0.1</v>
      </c>
      <c r="CM73" s="487">
        <f>CM64/CG64-1</f>
        <v>0.10000000000000009</v>
      </c>
      <c r="CN73" s="97"/>
      <c r="CO73" s="97"/>
      <c r="CP73"/>
      <c r="CQ73"/>
      <c r="CR73"/>
      <c r="CS73"/>
      <c r="CT73"/>
      <c r="CU73"/>
    </row>
    <row r="74" spans="1:99" s="24" customFormat="1" hidden="1" outlineLevel="1">
      <c r="A74" s="606"/>
      <c r="B74" s="606"/>
      <c r="C74" s="606"/>
      <c r="D74" s="606"/>
      <c r="E74" s="606"/>
      <c r="F74" s="606"/>
      <c r="G74" s="627"/>
      <c r="H74" s="611"/>
      <c r="I74" s="611"/>
      <c r="J74" s="611"/>
      <c r="K74" s="611"/>
      <c r="L74" s="611"/>
      <c r="M74" s="627"/>
      <c r="N74" s="611"/>
      <c r="O74" s="611"/>
      <c r="P74" s="611"/>
      <c r="Q74" s="611"/>
      <c r="R74" s="611"/>
      <c r="S74" s="627"/>
      <c r="T74" s="611"/>
      <c r="U74" s="611"/>
      <c r="V74" s="611"/>
      <c r="W74" s="611"/>
      <c r="X74" s="611"/>
      <c r="Y74" s="627"/>
      <c r="Z74" s="611"/>
      <c r="AA74" s="611"/>
      <c r="AB74" s="611"/>
      <c r="AC74" s="611"/>
      <c r="AD74" s="611"/>
      <c r="AE74" s="627"/>
      <c r="AF74" s="611"/>
      <c r="AG74" s="611"/>
      <c r="AH74" s="611"/>
      <c r="AI74" s="611"/>
      <c r="AJ74" s="611"/>
      <c r="AK74" s="627"/>
      <c r="AL74" s="611"/>
      <c r="AM74" s="611"/>
      <c r="AN74" s="611"/>
      <c r="AO74" s="611"/>
      <c r="AP74" s="611"/>
      <c r="AQ74" s="629"/>
      <c r="AR74" s="611"/>
      <c r="AS74" s="611"/>
      <c r="AT74" s="611"/>
      <c r="AU74" s="611"/>
      <c r="AV74" s="611"/>
      <c r="AW74" s="629"/>
      <c r="AX74" s="611"/>
      <c r="AY74" s="611"/>
      <c r="AZ74" s="611"/>
      <c r="BA74" s="611"/>
      <c r="BB74" s="611"/>
      <c r="BC74" s="629"/>
      <c r="BD74" s="611"/>
      <c r="BE74" s="611"/>
      <c r="BF74" s="611"/>
      <c r="BG74" s="611"/>
      <c r="BH74" s="611"/>
      <c r="BI74" s="629"/>
      <c r="BJ74" s="611"/>
      <c r="BK74" s="611"/>
      <c r="BL74" s="611"/>
      <c r="BM74" s="611"/>
      <c r="BN74" s="611"/>
      <c r="BO74" s="629"/>
      <c r="BP74" s="611"/>
      <c r="BQ74" s="611"/>
      <c r="BR74" s="611"/>
      <c r="BS74" s="611"/>
      <c r="BT74" s="611"/>
      <c r="BU74" s="629"/>
      <c r="BV74" s="1782"/>
      <c r="BW74" s="611"/>
      <c r="BX74" s="611"/>
      <c r="BY74" s="611"/>
      <c r="BZ74" s="611"/>
      <c r="CA74" s="629"/>
      <c r="CB74" s="1782"/>
      <c r="CC74" s="611"/>
      <c r="CD74" s="611"/>
      <c r="CE74" s="611"/>
      <c r="CF74" s="611"/>
      <c r="CG74" s="629"/>
      <c r="CH74" s="1782"/>
      <c r="CI74" s="611"/>
      <c r="CJ74" s="611"/>
      <c r="CK74" s="611"/>
      <c r="CL74" s="611"/>
      <c r="CM74" s="629"/>
      <c r="CN74" s="97"/>
      <c r="CO74" s="97"/>
      <c r="CP74"/>
      <c r="CQ74"/>
      <c r="CR74"/>
      <c r="CS74"/>
      <c r="CT74"/>
      <c r="CU74"/>
    </row>
    <row r="75" spans="1:99" s="24" customFormat="1" hidden="1" outlineLevel="1">
      <c r="A75" s="606" t="s">
        <v>447</v>
      </c>
      <c r="B75" s="606"/>
      <c r="C75" s="606"/>
      <c r="D75" s="606"/>
      <c r="E75" s="606"/>
      <c r="F75" s="606"/>
      <c r="G75" s="630">
        <f t="shared" ref="G75:AB75" si="51">G38</f>
        <v>91.427000000000007</v>
      </c>
      <c r="H75" s="631"/>
      <c r="I75" s="632">
        <f t="shared" si="51"/>
        <v>12.545</v>
      </c>
      <c r="J75" s="632">
        <f t="shared" si="51"/>
        <v>3.702</v>
      </c>
      <c r="K75" s="632">
        <f t="shared" si="51"/>
        <v>6.875</v>
      </c>
      <c r="L75" s="632">
        <f t="shared" si="51"/>
        <v>5.5240000000000009</v>
      </c>
      <c r="M75" s="630">
        <f t="shared" si="51"/>
        <v>28.646000000000001</v>
      </c>
      <c r="N75" s="631"/>
      <c r="O75" s="632">
        <f t="shared" si="51"/>
        <v>0.94399999999999995</v>
      </c>
      <c r="P75" s="632">
        <f t="shared" si="51"/>
        <v>3.0110000000000001</v>
      </c>
      <c r="Q75" s="632">
        <f t="shared" si="51"/>
        <v>4.2040000000000006</v>
      </c>
      <c r="R75" s="632">
        <f t="shared" si="51"/>
        <v>10.94</v>
      </c>
      <c r="S75" s="630">
        <f t="shared" si="51"/>
        <v>19.099</v>
      </c>
      <c r="T75" s="631"/>
      <c r="U75" s="632">
        <f t="shared" si="51"/>
        <v>8.8520000000000003</v>
      </c>
      <c r="V75" s="632">
        <f t="shared" si="51"/>
        <v>10.331</v>
      </c>
      <c r="W75" s="632">
        <f t="shared" si="51"/>
        <v>7.6670000000000016</v>
      </c>
      <c r="X75" s="632">
        <f t="shared" si="51"/>
        <v>73.733999999999995</v>
      </c>
      <c r="Y75" s="630">
        <f t="shared" si="51"/>
        <v>100.584</v>
      </c>
      <c r="Z75" s="631"/>
      <c r="AA75" s="632">
        <f t="shared" si="51"/>
        <v>14.083</v>
      </c>
      <c r="AB75" s="632">
        <f t="shared" si="51"/>
        <v>28.890999999999998</v>
      </c>
      <c r="AC75" s="632">
        <f>-AC68*AC65</f>
        <v>2.0065499999999972</v>
      </c>
      <c r="AD75" s="632">
        <f>-AD68*AD65</f>
        <v>13.655040000000003</v>
      </c>
      <c r="AE75" s="630">
        <f>SUM(AA75:AD75)</f>
        <v>58.635589999999993</v>
      </c>
      <c r="AF75" s="631"/>
      <c r="AG75" s="632">
        <f>-AG68*AG65</f>
        <v>13.75521</v>
      </c>
      <c r="AH75" s="632">
        <f>-AH68*AH65</f>
        <v>2.2759200000000002</v>
      </c>
      <c r="AI75" s="632">
        <f>-AI68*AI65</f>
        <v>1.8899300000000017</v>
      </c>
      <c r="AJ75" s="632">
        <f>-AJ68*AJ65</f>
        <v>6.3743999999999987</v>
      </c>
      <c r="AK75" s="630">
        <f>SUM(AG75:AJ75)</f>
        <v>24.295460000000002</v>
      </c>
      <c r="AL75" s="631"/>
      <c r="AM75" s="632">
        <f>-AM68*AM65</f>
        <v>6.4211400000000003</v>
      </c>
      <c r="AN75" s="632">
        <f>-AN68*AN65</f>
        <v>10.7256</v>
      </c>
      <c r="AO75" s="632">
        <f>-AO68*AO65</f>
        <v>13.129320000000002</v>
      </c>
      <c r="AP75" s="632">
        <f>-AP68*AP65</f>
        <v>32.009809999999995</v>
      </c>
      <c r="AQ75" s="630">
        <f>SUM(AM75:AP75)</f>
        <v>62.285869999999996</v>
      </c>
      <c r="AR75" s="631"/>
      <c r="AS75" s="632">
        <f>-AS68*AS65</f>
        <v>34.487290000000002</v>
      </c>
      <c r="AT75" s="632">
        <f>-AT68*AT65</f>
        <v>4.3854700000000042</v>
      </c>
      <c r="AU75" s="632">
        <f>-AU68*AU65</f>
        <v>1.0872000000000008</v>
      </c>
      <c r="AV75" s="632">
        <f>-AV68*AV65</f>
        <v>30.861720000000002</v>
      </c>
      <c r="AW75" s="630">
        <f>SUM(AS75:AV75)</f>
        <v>70.821680000000015</v>
      </c>
      <c r="AX75" s="631"/>
      <c r="AY75" s="632">
        <f>-AY68*AY65</f>
        <v>10.192500000000001</v>
      </c>
      <c r="AZ75" s="632">
        <f>-AZ68*AZ65</f>
        <v>11.967129999999997</v>
      </c>
      <c r="BA75" s="632">
        <f>-BA68*BA65</f>
        <v>3.4242400000000028</v>
      </c>
      <c r="BB75" s="632">
        <f>-BB68*BB65</f>
        <v>24.659249999999997</v>
      </c>
      <c r="BC75" s="630">
        <f>SUM(AY75:BB75)</f>
        <v>50.243120000000005</v>
      </c>
      <c r="BD75" s="631"/>
      <c r="BE75" s="632">
        <f>-BE68*BE65</f>
        <v>6.8854800000000003</v>
      </c>
      <c r="BF75" s="632">
        <f>-BF68*BF65</f>
        <v>13.307279999999997</v>
      </c>
      <c r="BG75" s="632">
        <f>-BG68*BG65</f>
        <v>34.48704</v>
      </c>
      <c r="BH75" s="632">
        <f>-BH68*BH65</f>
        <v>2.2965000000000018</v>
      </c>
      <c r="BI75" s="630">
        <f>SUM(BE75:BH75)</f>
        <v>56.976300000000002</v>
      </c>
      <c r="BJ75" s="631"/>
      <c r="BK75" s="632">
        <f>-BK68*BK65</f>
        <v>36.955749999999995</v>
      </c>
      <c r="BL75" s="632">
        <f>-BL68*BL65</f>
        <v>18.02544</v>
      </c>
      <c r="BM75" s="632">
        <f>-BM68*BM65</f>
        <v>11.916960000000001</v>
      </c>
      <c r="BN75" s="632">
        <f>-BN68*BN65</f>
        <v>20.661289999999997</v>
      </c>
      <c r="BO75" s="630">
        <f>SUM(BK75:BN75)</f>
        <v>87.559439999999995</v>
      </c>
      <c r="BP75" s="631"/>
      <c r="BQ75" s="632">
        <f>-BQ68*BQ65</f>
        <v>19.062611</v>
      </c>
      <c r="BR75" s="632">
        <f>-BR68*BR65</f>
        <v>18.903864980000005</v>
      </c>
      <c r="BS75" s="632">
        <f>-BS68*BS65</f>
        <v>16.635401182400003</v>
      </c>
      <c r="BT75" s="632">
        <f>-BT68*BT65</f>
        <v>14.741992040512004</v>
      </c>
      <c r="BU75" s="630">
        <f>SUM(BQ75:BT75)</f>
        <v>69.343869202912018</v>
      </c>
      <c r="BV75" s="614"/>
      <c r="BW75" s="632">
        <f>-BW68*BW65</f>
        <v>14.741783795650562</v>
      </c>
      <c r="BX75" s="632">
        <f>-BX68*BX65</f>
        <v>15.314413770172495</v>
      </c>
      <c r="BY75" s="632">
        <f>-BY68*BY65</f>
        <v>13.476684117751793</v>
      </c>
      <c r="BZ75" s="632">
        <f>-BZ68*BZ65</f>
        <v>11.972604923621578</v>
      </c>
      <c r="CA75" s="630">
        <f>SUM(BW75:BZ75)</f>
        <v>55.505486607196431</v>
      </c>
      <c r="CB75" s="614"/>
      <c r="CC75" s="632">
        <f>-CC68*CC65</f>
        <v>12.481606212786989</v>
      </c>
      <c r="CD75" s="632">
        <f>-CD68*CD65</f>
        <v>13.559621900252552</v>
      </c>
      <c r="CE75" s="632">
        <f>-CE68*CE65</f>
        <v>11.932467272222244</v>
      </c>
      <c r="CF75" s="632">
        <f>-CF68*CF65</f>
        <v>10.625006389555574</v>
      </c>
      <c r="CG75" s="630">
        <f>SUM(CC75:CF75)</f>
        <v>48.598701774817357</v>
      </c>
      <c r="CH75" s="614"/>
      <c r="CI75" s="632">
        <f>-CI68*CI65</f>
        <v>11.490290890808909</v>
      </c>
      <c r="CJ75" s="632">
        <f>-CJ68*CJ65</f>
        <v>12.94484526021184</v>
      </c>
      <c r="CK75" s="632">
        <f>-CK68*CK65</f>
        <v>11.391463828986417</v>
      </c>
      <c r="CL75" s="632">
        <f>-CL68*CL65</f>
        <v>10.161366878508048</v>
      </c>
      <c r="CM75" s="630">
        <f>SUM(CI75:CL75)</f>
        <v>45.987966858515215</v>
      </c>
      <c r="CN75" s="97"/>
      <c r="CO75" s="97"/>
      <c r="CP75"/>
      <c r="CQ75"/>
      <c r="CR75"/>
      <c r="CS75"/>
      <c r="CT75"/>
      <c r="CU75"/>
    </row>
    <row r="76" spans="1:99" s="24" customFormat="1" collapsed="1">
      <c r="A76" s="606"/>
      <c r="B76" s="606"/>
      <c r="C76" s="606"/>
      <c r="D76" s="606"/>
      <c r="E76" s="606"/>
      <c r="F76" s="606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593"/>
      <c r="AR76" s="32"/>
      <c r="AS76" s="32"/>
      <c r="AT76" s="32"/>
      <c r="AU76" s="32"/>
      <c r="AV76" s="32"/>
      <c r="AW76" s="593"/>
      <c r="AX76" s="32"/>
      <c r="AY76" s="32"/>
      <c r="AZ76" s="32"/>
      <c r="BA76" s="32"/>
      <c r="BB76" s="32"/>
      <c r="BC76" s="593"/>
      <c r="BD76" s="32"/>
      <c r="BE76" s="32"/>
      <c r="BF76" s="32"/>
      <c r="BG76" s="32"/>
      <c r="BH76" s="32"/>
      <c r="BI76" s="593"/>
      <c r="BJ76" s="32"/>
      <c r="BK76" s="32"/>
      <c r="BL76" s="32"/>
      <c r="BM76" s="32"/>
      <c r="BN76" s="32"/>
      <c r="BO76" s="593"/>
      <c r="BP76" s="32"/>
      <c r="BQ76" s="32"/>
      <c r="BR76" s="32"/>
      <c r="BS76" s="32"/>
      <c r="BT76" s="32"/>
      <c r="BU76" s="593"/>
      <c r="BV76" s="593"/>
      <c r="BW76" s="32"/>
      <c r="BX76" s="32"/>
      <c r="BY76" s="32"/>
      <c r="BZ76" s="32"/>
      <c r="CA76" s="593"/>
      <c r="CB76" s="593"/>
      <c r="CC76" s="32"/>
      <c r="CD76" s="32"/>
      <c r="CE76" s="32"/>
      <c r="CF76" s="32"/>
      <c r="CG76" s="593"/>
      <c r="CH76" s="593"/>
      <c r="CI76" s="32"/>
      <c r="CJ76" s="32"/>
      <c r="CK76" s="32"/>
      <c r="CL76" s="32"/>
      <c r="CM76" s="593"/>
      <c r="CN76" s="97"/>
      <c r="CO76" s="97"/>
      <c r="CP76"/>
      <c r="CQ76"/>
      <c r="CR76"/>
      <c r="CS76"/>
      <c r="CT76"/>
      <c r="CU76"/>
    </row>
    <row r="77" spans="1:99" s="24" customFormat="1">
      <c r="A77" s="594" t="s">
        <v>448</v>
      </c>
      <c r="B77" s="594"/>
      <c r="C77" s="594"/>
      <c r="D77" s="594"/>
      <c r="E77" s="594"/>
      <c r="F77" s="594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593"/>
      <c r="AR77" s="32"/>
      <c r="AS77" s="32"/>
      <c r="AT77" s="32"/>
      <c r="AU77" s="32"/>
      <c r="AV77" s="32"/>
      <c r="AW77" s="593"/>
      <c r="AX77" s="32"/>
      <c r="AY77" s="32"/>
      <c r="AZ77" s="32"/>
      <c r="BA77" s="32"/>
      <c r="BB77" s="32"/>
      <c r="BC77" s="593"/>
      <c r="BD77" s="32"/>
      <c r="BE77" s="32"/>
      <c r="BF77" s="32"/>
      <c r="BG77" s="32"/>
      <c r="BH77" s="32"/>
      <c r="BI77" s="593"/>
      <c r="BJ77" s="32"/>
      <c r="BK77" s="32"/>
      <c r="BL77" s="32"/>
      <c r="BM77" s="32"/>
      <c r="BN77" s="32"/>
      <c r="BO77" s="593"/>
      <c r="BP77" s="32"/>
      <c r="BQ77" s="32"/>
      <c r="BR77" s="32"/>
      <c r="BS77" s="32"/>
      <c r="BT77" s="32"/>
      <c r="BU77" s="593"/>
      <c r="BV77" s="593"/>
      <c r="BW77" s="32"/>
      <c r="BX77" s="32"/>
      <c r="BY77" s="32"/>
      <c r="BZ77" s="32"/>
      <c r="CA77" s="593"/>
      <c r="CB77" s="593"/>
      <c r="CC77" s="32"/>
      <c r="CD77" s="32"/>
      <c r="CE77" s="32"/>
      <c r="CF77" s="32"/>
      <c r="CG77" s="593"/>
      <c r="CH77" s="593"/>
      <c r="CI77" s="32"/>
      <c r="CJ77" s="32"/>
      <c r="CK77" s="32"/>
      <c r="CL77" s="32"/>
      <c r="CM77" s="593"/>
      <c r="CN77" s="97"/>
      <c r="CO77" s="97"/>
      <c r="CP77"/>
      <c r="CQ77"/>
      <c r="CR77"/>
      <c r="CS77"/>
      <c r="CT77"/>
      <c r="CU77"/>
    </row>
    <row r="78" spans="1:99" s="24" customFormat="1" hidden="1" outlineLevel="1">
      <c r="A78" s="606" t="s">
        <v>449</v>
      </c>
      <c r="B78" s="606"/>
      <c r="C78" s="606"/>
      <c r="D78" s="606"/>
      <c r="E78" s="606"/>
      <c r="F78" s="606"/>
      <c r="G78" s="596">
        <f>-G79/G80</f>
        <v>3.1691826146552802</v>
      </c>
      <c r="H78" s="597"/>
      <c r="I78" s="598">
        <f>-I79/I80</f>
        <v>1.2231361342423488</v>
      </c>
      <c r="J78" s="598">
        <f>-J79/J80</f>
        <v>1.2778423617391645</v>
      </c>
      <c r="K78" s="598">
        <f>-K79/K80</f>
        <v>0.87272316669079297</v>
      </c>
      <c r="L78" s="598">
        <f>-L79/L80</f>
        <v>0.63126371525331548</v>
      </c>
      <c r="M78" s="596">
        <f>-M79/M80</f>
        <v>4.1285763922429197</v>
      </c>
      <c r="N78" s="597"/>
      <c r="O78" s="598">
        <f>-O79/O80</f>
        <v>1.7610223913231571</v>
      </c>
      <c r="P78" s="598">
        <f>-P79/P80</f>
        <v>1.0220026423903263</v>
      </c>
      <c r="Q78" s="598">
        <f>-Q79/Q80</f>
        <v>0.93250372787293667</v>
      </c>
      <c r="R78" s="598">
        <f>-R79/R80</f>
        <v>0.91597206196218084</v>
      </c>
      <c r="S78" s="596">
        <f>-S79/S80</f>
        <v>4.4061286704940938</v>
      </c>
      <c r="T78" s="597"/>
      <c r="U78" s="598">
        <f>-U79/U80</f>
        <v>1.7070146989938613</v>
      </c>
      <c r="V78" s="598">
        <f>-V79/V80</f>
        <v>1.083380839842121</v>
      </c>
      <c r="W78" s="598">
        <f>-W79/W80</f>
        <v>0.9973728266481322</v>
      </c>
      <c r="X78" s="598">
        <f>-X79/X80</f>
        <v>0.67461892366095511</v>
      </c>
      <c r="Y78" s="596">
        <f>-Y79/Y80</f>
        <v>4.357499590289164</v>
      </c>
      <c r="Z78" s="597"/>
      <c r="AA78" s="598">
        <f>-AA79/AA80</f>
        <v>0.90894305928312835</v>
      </c>
      <c r="AB78" s="598">
        <f>-AB79/AB80</f>
        <v>0.85950568001916838</v>
      </c>
      <c r="AC78" s="598">
        <f>-AC79/AC80</f>
        <v>1.735960521027323</v>
      </c>
      <c r="AD78" s="598">
        <f>-AD79/AD80</f>
        <v>0.95042408768524955</v>
      </c>
      <c r="AE78" s="596">
        <f>SUM(AA78:AD78)</f>
        <v>4.4548333480148692</v>
      </c>
      <c r="AF78" s="597"/>
      <c r="AG78" s="598">
        <f>-AG79/AG80</f>
        <v>0.78644808679375799</v>
      </c>
      <c r="AH78" s="598">
        <f>-AH79/AH80</f>
        <v>1.2393144467545969</v>
      </c>
      <c r="AI78" s="598">
        <f>-AI79/AI80</f>
        <v>0.80727232742865995</v>
      </c>
      <c r="AJ78" s="598">
        <f>-AJ79/AJ80</f>
        <v>0.72185642068759037</v>
      </c>
      <c r="AK78" s="596">
        <f>-AK79/AK80</f>
        <v>3.5542645628536067</v>
      </c>
      <c r="AL78" s="597"/>
      <c r="AM78" s="598">
        <f>-AM79/AM80</f>
        <v>1.0992027114417269</v>
      </c>
      <c r="AN78" s="598">
        <f>-AN79/AN80</f>
        <v>0.72801400504828107</v>
      </c>
      <c r="AO78" s="598">
        <f>-AO79/AO80</f>
        <v>0.53750711015861252</v>
      </c>
      <c r="AP78" s="598">
        <f>-AP79/AP80</f>
        <v>0.7478048803648305</v>
      </c>
      <c r="AQ78" s="596">
        <f>-AQ79/AQ80</f>
        <v>3.0804902962206331</v>
      </c>
      <c r="AR78" s="597"/>
      <c r="AS78" s="598">
        <f>-AS79/AS80</f>
        <v>0.85398523985239849</v>
      </c>
      <c r="AT78" s="598">
        <f>-AT79/AT80</f>
        <v>0.88039551245483916</v>
      </c>
      <c r="AU78" s="598">
        <f>-AU79/AU80</f>
        <v>0.74107502159550742</v>
      </c>
      <c r="AV78" s="598">
        <f>-AV79/AV80</f>
        <v>0.69259895605984689</v>
      </c>
      <c r="AW78" s="596">
        <f>-AW79/AW80</f>
        <v>3.1673872085183019</v>
      </c>
      <c r="AX78" s="597"/>
      <c r="AY78" s="598">
        <f>-AY79/AY80</f>
        <v>0.7630742117725221</v>
      </c>
      <c r="AZ78" s="598">
        <f>-AZ79/AZ80</f>
        <v>0.61599062553231809</v>
      </c>
      <c r="BA78" s="598">
        <f>-BA79/BA80</f>
        <v>0.66531750482602947</v>
      </c>
      <c r="BB78" s="598">
        <f>-BB79/BB80</f>
        <v>0.61943188616984757</v>
      </c>
      <c r="BC78" s="596">
        <f>-BC79/BC80</f>
        <v>2.656224499340972</v>
      </c>
      <c r="BD78" s="597"/>
      <c r="BE78" s="598">
        <f>-BE79/BE80</f>
        <v>0.76547303292065672</v>
      </c>
      <c r="BF78" s="598">
        <f>-BF79/BF80</f>
        <v>0.56849706980739312</v>
      </c>
      <c r="BG78" s="598">
        <f>-BG79/BG80</f>
        <v>0.44933684211606212</v>
      </c>
      <c r="BH78" s="598">
        <f>-BH79/BH80</f>
        <v>0.58742392063303517</v>
      </c>
      <c r="BI78" s="596">
        <f>-BI79/BI80</f>
        <v>2.3373712452965871</v>
      </c>
      <c r="BJ78" s="597"/>
      <c r="BK78" s="598">
        <f>-BK79/BK80</f>
        <v>0.59707912645186978</v>
      </c>
      <c r="BL78" s="598">
        <f>-BL79/BL80</f>
        <v>0.44118213125893041</v>
      </c>
      <c r="BM78" s="598">
        <f>-BM79/BM80</f>
        <v>0.44068993584888655</v>
      </c>
      <c r="BN78" s="598">
        <f>-BN79/BN80</f>
        <v>0.44953167550725109</v>
      </c>
      <c r="BO78" s="596">
        <f>-BO79/BO80</f>
        <v>1.9069790433110194</v>
      </c>
      <c r="BP78" s="597"/>
      <c r="BQ78" s="598">
        <f>-BQ79/BQ80</f>
        <v>0.79166666666666663</v>
      </c>
      <c r="BR78" s="598">
        <f>-BR79/BR80</f>
        <v>0.77500647542989376</v>
      </c>
      <c r="BS78" s="598">
        <f>-BS79/BS80</f>
        <v>0.75869688878938923</v>
      </c>
      <c r="BT78" s="598">
        <f>-BT79/BT80</f>
        <v>0.74273052846352505</v>
      </c>
      <c r="BU78" s="596">
        <f>-BU79/BU80</f>
        <v>3.0663662566520959</v>
      </c>
      <c r="BV78" s="614"/>
      <c r="BW78" s="598">
        <f>-BW79/BW80</f>
        <v>0.727100171442567</v>
      </c>
      <c r="BX78" s="598">
        <f>-BX79/BX80</f>
        <v>0.71179874672106358</v>
      </c>
      <c r="BY78" s="598">
        <f>-BY79/BY80</f>
        <v>0.69681933209899849</v>
      </c>
      <c r="BZ78" s="598">
        <f>-BZ79/BZ80</f>
        <v>0.68215515105026203</v>
      </c>
      <c r="CA78" s="596">
        <f>-CA79/CA80</f>
        <v>2.816280544316768</v>
      </c>
      <c r="CB78" s="614"/>
      <c r="CC78" s="598">
        <f>-CC79/CC80</f>
        <v>0.66779956965702358</v>
      </c>
      <c r="CD78" s="598">
        <f>-CD79/CD80</f>
        <v>0.65374609360861846</v>
      </c>
      <c r="CE78" s="598">
        <f>-CE79/CE80</f>
        <v>0.63998836526359182</v>
      </c>
      <c r="CF78" s="598">
        <f>-CF79/CF80</f>
        <v>0.62652016077356942</v>
      </c>
      <c r="CG78" s="596">
        <f>-CG79/CG80</f>
        <v>2.5865912420249537</v>
      </c>
      <c r="CH78" s="614"/>
      <c r="CI78" s="598">
        <f>-CI79/CI80</f>
        <v>0.61333538726765602</v>
      </c>
      <c r="CJ78" s="598">
        <f>-CJ79/CJ80</f>
        <v>0.60042808009608628</v>
      </c>
      <c r="CK78" s="598">
        <f>-CK79/CK80</f>
        <v>0.58779240013188094</v>
      </c>
      <c r="CL78" s="598">
        <f>-CL79/CL80</f>
        <v>0.5754226311292886</v>
      </c>
      <c r="CM78" s="596">
        <f>-CM79/CM80</f>
        <v>2.3756348659303401</v>
      </c>
      <c r="CN78" s="97"/>
      <c r="CO78" s="97"/>
      <c r="CP78"/>
      <c r="CQ78"/>
      <c r="CR78"/>
      <c r="CS78"/>
      <c r="CT78"/>
      <c r="CU78"/>
    </row>
    <row r="79" spans="1:99" s="24" customFormat="1" hidden="1" outlineLevel="1">
      <c r="A79" s="606" t="s">
        <v>450</v>
      </c>
      <c r="B79" s="606"/>
      <c r="C79" s="606"/>
      <c r="D79" s="606"/>
      <c r="E79" s="606"/>
      <c r="F79" s="606"/>
      <c r="G79" s="613">
        <f>G40</f>
        <v>-200.648</v>
      </c>
      <c r="H79" s="611"/>
      <c r="I79" s="614">
        <f>I40</f>
        <v>-76.757999999999996</v>
      </c>
      <c r="J79" s="614">
        <f>J40</f>
        <v>-77.578000000000017</v>
      </c>
      <c r="K79" s="614">
        <f>K40</f>
        <v>-56.717999999999975</v>
      </c>
      <c r="L79" s="614">
        <f>L40</f>
        <v>-26.446000000000026</v>
      </c>
      <c r="M79" s="613">
        <f>M40</f>
        <v>-237.5</v>
      </c>
      <c r="N79" s="611"/>
      <c r="O79" s="614">
        <f>O40</f>
        <v>-63.845999999999997</v>
      </c>
      <c r="P79" s="614">
        <f>P40</f>
        <v>-45.039000000000009</v>
      </c>
      <c r="Q79" s="614">
        <f>Q40</f>
        <v>-48.326999999999977</v>
      </c>
      <c r="R79" s="614">
        <f>R40</f>
        <v>-54.16500000000002</v>
      </c>
      <c r="S79" s="613">
        <f>S40</f>
        <v>-211.37700000000001</v>
      </c>
      <c r="T79" s="611"/>
      <c r="U79" s="614">
        <f>U40</f>
        <v>-105.01900000000001</v>
      </c>
      <c r="V79" s="614">
        <f>V40</f>
        <v>-74.804000000000002</v>
      </c>
      <c r="W79" s="614">
        <f>W40</f>
        <v>-65.069999999999993</v>
      </c>
      <c r="X79" s="614">
        <f>X40</f>
        <v>-51.398999999999972</v>
      </c>
      <c r="Y79" s="613">
        <f>Y40</f>
        <v>-296.29199999999997</v>
      </c>
      <c r="Z79" s="611"/>
      <c r="AA79" s="614">
        <f>AA40</f>
        <v>-73.179000000000002</v>
      </c>
      <c r="AB79" s="614">
        <f>AB40</f>
        <v>-80.640999999999991</v>
      </c>
      <c r="AC79" s="614">
        <f>AC40</f>
        <v>-144.16500000000002</v>
      </c>
      <c r="AD79" s="614">
        <f>AD40</f>
        <v>-72.849999999999966</v>
      </c>
      <c r="AE79" s="613">
        <f>SUM(AA79:AD79)</f>
        <v>-370.83499999999998</v>
      </c>
      <c r="AF79" s="611"/>
      <c r="AG79" s="614">
        <f>AG40</f>
        <v>-68.078999999999994</v>
      </c>
      <c r="AH79" s="614">
        <f>AH40</f>
        <v>-103.24</v>
      </c>
      <c r="AI79" s="614">
        <f>AI40</f>
        <v>-63.963000000000022</v>
      </c>
      <c r="AJ79" s="614">
        <f>AJ40</f>
        <v>-60.595999999999975</v>
      </c>
      <c r="AK79" s="613">
        <f>SUM(AG79:AJ79)</f>
        <v>-295.87799999999999</v>
      </c>
      <c r="AL79" s="611"/>
      <c r="AM79" s="614">
        <f>AM40</f>
        <v>-101.367</v>
      </c>
      <c r="AN79" s="614">
        <f>AN40</f>
        <v>-69.712000000000003</v>
      </c>
      <c r="AO79" s="614">
        <f>AO40</f>
        <v>-55.118999999999986</v>
      </c>
      <c r="AP79" s="614">
        <f>AP40</f>
        <v>-75.382000000000005</v>
      </c>
      <c r="AQ79" s="613">
        <f>SUM(AM79:AP79)</f>
        <v>-301.58</v>
      </c>
      <c r="AR79" s="611"/>
      <c r="AS79" s="614">
        <f>AS40</f>
        <v>-92.572000000000003</v>
      </c>
      <c r="AT79" s="614">
        <f>AT40</f>
        <v>-92.6</v>
      </c>
      <c r="AU79" s="614">
        <f>AU40</f>
        <v>-76.397999999999996</v>
      </c>
      <c r="AV79" s="614">
        <f>AV40</f>
        <v>-75.874000000000024</v>
      </c>
      <c r="AW79" s="613">
        <f>SUM(AS79:AV79)</f>
        <v>-337.44400000000002</v>
      </c>
      <c r="AX79" s="611"/>
      <c r="AY79" s="614">
        <f>AY40</f>
        <v>-91.025000000000006</v>
      </c>
      <c r="AZ79" s="614">
        <f>AZ40</f>
        <v>-79.932999999999993</v>
      </c>
      <c r="BA79" s="614">
        <f>BA40</f>
        <v>-84.152999999999992</v>
      </c>
      <c r="BB79" s="614">
        <f>BB40</f>
        <v>-79.593999999999994</v>
      </c>
      <c r="BC79" s="613">
        <f>SUM(AY79:BB79)</f>
        <v>-334.70499999999998</v>
      </c>
      <c r="BD79" s="611"/>
      <c r="BE79" s="614">
        <f>BE40</f>
        <v>-95.489000000000004</v>
      </c>
      <c r="BF79" s="614">
        <f>BF40</f>
        <v>-76.902999999999992</v>
      </c>
      <c r="BG79" s="614">
        <f>BG40</f>
        <v>-69.532000000000011</v>
      </c>
      <c r="BH79" s="614">
        <f>BH40</f>
        <v>-83.835000000000008</v>
      </c>
      <c r="BI79" s="613">
        <f>SUM(BE79:BH79)</f>
        <v>-325.75900000000001</v>
      </c>
      <c r="BJ79" s="611"/>
      <c r="BK79" s="614">
        <f>BK40</f>
        <v>-89.173000000000002</v>
      </c>
      <c r="BL79" s="614">
        <f>BL40</f>
        <v>-76.661000000000001</v>
      </c>
      <c r="BM79" s="614">
        <f>BM40</f>
        <v>-79.907999999999987</v>
      </c>
      <c r="BN79" s="614">
        <f>BN40</f>
        <v>-86.801999999999992</v>
      </c>
      <c r="BO79" s="613">
        <f>SUM(BK79:BN79)</f>
        <v>-332.54399999999998</v>
      </c>
      <c r="BP79" s="611"/>
      <c r="BQ79" s="614">
        <f>BQ40</f>
        <v>-166.25</v>
      </c>
      <c r="BR79" s="614">
        <f>BR40</f>
        <v>-166.25</v>
      </c>
      <c r="BS79" s="614">
        <f>BS40</f>
        <v>-166.25</v>
      </c>
      <c r="BT79" s="614">
        <f>BT40</f>
        <v>-166.25</v>
      </c>
      <c r="BU79" s="613">
        <f>SUM(BQ79:BT79)</f>
        <v>-665</v>
      </c>
      <c r="BV79" s="614"/>
      <c r="BW79" s="614">
        <f>BW40</f>
        <v>-166.25</v>
      </c>
      <c r="BX79" s="614">
        <f>BX40</f>
        <v>-166.25</v>
      </c>
      <c r="BY79" s="614">
        <f>BY40</f>
        <v>-166.25</v>
      </c>
      <c r="BZ79" s="614">
        <f>BZ40</f>
        <v>-166.25</v>
      </c>
      <c r="CA79" s="613">
        <f>SUM(BW79:BZ79)</f>
        <v>-665</v>
      </c>
      <c r="CB79" s="614"/>
      <c r="CC79" s="614">
        <f>CC40</f>
        <v>-166.25</v>
      </c>
      <c r="CD79" s="614">
        <f>CD40</f>
        <v>-166.25</v>
      </c>
      <c r="CE79" s="614">
        <f>CE40</f>
        <v>-166.25</v>
      </c>
      <c r="CF79" s="614">
        <f>CF40</f>
        <v>-166.25</v>
      </c>
      <c r="CG79" s="613">
        <f>SUM(CC79:CF79)</f>
        <v>-665</v>
      </c>
      <c r="CH79" s="614"/>
      <c r="CI79" s="614">
        <f>CI40</f>
        <v>-166.25</v>
      </c>
      <c r="CJ79" s="614">
        <f>CJ40</f>
        <v>-166.25</v>
      </c>
      <c r="CK79" s="614">
        <f>CK40</f>
        <v>-166.25</v>
      </c>
      <c r="CL79" s="614">
        <f>CL40</f>
        <v>-166.25</v>
      </c>
      <c r="CM79" s="613">
        <f>SUM(CI79:CL79)</f>
        <v>-665</v>
      </c>
      <c r="CN79" s="97"/>
      <c r="CO79" s="97"/>
      <c r="CP79"/>
      <c r="CQ79"/>
      <c r="CR79"/>
      <c r="CS79"/>
      <c r="CT79"/>
      <c r="CU79"/>
    </row>
    <row r="80" spans="1:99" s="24" customFormat="1" hidden="1" outlineLevel="1">
      <c r="A80" s="606" t="s">
        <v>451</v>
      </c>
      <c r="B80" s="606"/>
      <c r="C80" s="606"/>
      <c r="D80" s="606"/>
      <c r="E80" s="606"/>
      <c r="F80" s="606"/>
      <c r="G80" s="613">
        <f t="shared" ref="G80:AK80" si="52">G60</f>
        <v>63.31222412749004</v>
      </c>
      <c r="H80" s="611"/>
      <c r="I80" s="614">
        <f t="shared" si="52"/>
        <v>62.755075131147564</v>
      </c>
      <c r="J80" s="614">
        <f t="shared" si="52"/>
        <v>60.710148859375018</v>
      </c>
      <c r="K80" s="614">
        <f t="shared" si="52"/>
        <v>64.98968076562501</v>
      </c>
      <c r="L80" s="614">
        <f t="shared" si="52"/>
        <v>41.893743234375023</v>
      </c>
      <c r="M80" s="613">
        <f t="shared" si="52"/>
        <v>57.525882395256851</v>
      </c>
      <c r="N80" s="611"/>
      <c r="O80" s="614">
        <f t="shared" si="52"/>
        <v>36.255075639344277</v>
      </c>
      <c r="P80" s="614">
        <f t="shared" si="52"/>
        <v>44.069357682539703</v>
      </c>
      <c r="Q80" s="614">
        <f t="shared" si="52"/>
        <v>51.824993890624995</v>
      </c>
      <c r="R80" s="614">
        <f t="shared" si="52"/>
        <v>59.133899656250016</v>
      </c>
      <c r="S80" s="613">
        <f t="shared" si="52"/>
        <v>47.97340609126983</v>
      </c>
      <c r="T80" s="611"/>
      <c r="U80" s="614">
        <f t="shared" si="52"/>
        <v>61.522024421875045</v>
      </c>
      <c r="V80" s="614">
        <f t="shared" si="52"/>
        <v>69.046818301587322</v>
      </c>
      <c r="W80" s="614">
        <f t="shared" si="52"/>
        <v>65.24140046875003</v>
      </c>
      <c r="X80" s="614">
        <f t="shared" si="52"/>
        <v>76.18968012500001</v>
      </c>
      <c r="Y80" s="613">
        <f t="shared" si="52"/>
        <v>67.995875584313708</v>
      </c>
      <c r="Z80" s="611"/>
      <c r="AA80" s="614">
        <f t="shared" si="52"/>
        <v>80.509993725806467</v>
      </c>
      <c r="AB80" s="614">
        <f t="shared" si="52"/>
        <v>93.822532968253995</v>
      </c>
      <c r="AC80" s="614">
        <f>AC60</f>
        <v>83.046243421875005</v>
      </c>
      <c r="AD80" s="614">
        <f>AD60</f>
        <v>76.649993349206426</v>
      </c>
      <c r="AE80" s="613">
        <f t="shared" si="52"/>
        <v>83.517255349206266</v>
      </c>
      <c r="AF80" s="611"/>
      <c r="AG80" s="614">
        <f t="shared" si="52"/>
        <v>86.565154322580696</v>
      </c>
      <c r="AH80" s="614">
        <f t="shared" si="52"/>
        <v>83.304120492063532</v>
      </c>
      <c r="AI80" s="614">
        <f t="shared" si="52"/>
        <v>79.233485190476244</v>
      </c>
      <c r="AJ80" s="614">
        <f t="shared" si="52"/>
        <v>83.944671354838718</v>
      </c>
      <c r="AK80" s="613">
        <f t="shared" si="52"/>
        <v>83.245913399999935</v>
      </c>
      <c r="AL80" s="611"/>
      <c r="AM80" s="614">
        <f>AM60</f>
        <v>92.21865898333337</v>
      </c>
      <c r="AN80" s="614">
        <f>AN60</f>
        <v>95.756399625000043</v>
      </c>
      <c r="AO80" s="614">
        <f>AO60</f>
        <v>102.54562024999998</v>
      </c>
      <c r="AP80" s="614">
        <f>AP60</f>
        <v>100.80437020312505</v>
      </c>
      <c r="AQ80" s="1485" t="str">
        <f>AQ60</f>
        <v xml:space="preserve">$97.9 </v>
      </c>
      <c r="AR80" s="611"/>
      <c r="AS80" s="614">
        <f>AS60</f>
        <v>108.4</v>
      </c>
      <c r="AT80" s="614">
        <f>AT60</f>
        <v>105.18</v>
      </c>
      <c r="AU80" s="614">
        <f>AU60</f>
        <v>103.09077728125001</v>
      </c>
      <c r="AV80" s="614">
        <f>AV60</f>
        <v>109.54968865625003</v>
      </c>
      <c r="AW80" s="613">
        <f>AW60</f>
        <v>106.5370217738095</v>
      </c>
      <c r="AX80" s="611"/>
      <c r="AY80" s="614">
        <f>AY60</f>
        <v>119.28721819672135</v>
      </c>
      <c r="AZ80" s="614">
        <f>AZ60</f>
        <v>129.76333841269843</v>
      </c>
      <c r="BA80" s="614">
        <f>BA60</f>
        <v>126.48547406250003</v>
      </c>
      <c r="BB80" s="1650">
        <f>BB60</f>
        <v>128.49516109375003</v>
      </c>
      <c r="BC80" s="613">
        <f>BC60</f>
        <v>126.00779794141746</v>
      </c>
      <c r="BD80" s="611"/>
      <c r="BE80" s="614">
        <f>BE60</f>
        <v>124.74508688524588</v>
      </c>
      <c r="BF80" s="614">
        <f>BF60</f>
        <v>135.2742240625</v>
      </c>
      <c r="BG80" s="614">
        <f>BG60</f>
        <v>154.74359874999999</v>
      </c>
      <c r="BH80" s="614">
        <f>BH60</f>
        <v>142.71635365079368</v>
      </c>
      <c r="BI80" s="613">
        <f>BI60</f>
        <v>139.36981583713489</v>
      </c>
      <c r="BJ80" s="611"/>
      <c r="BK80" s="614">
        <f>BK60</f>
        <v>149.34871451612904</v>
      </c>
      <c r="BL80" s="614">
        <f>BL60</f>
        <v>173.76270380952386</v>
      </c>
      <c r="BM80" s="614">
        <f>BM60</f>
        <v>181.3247671428571</v>
      </c>
      <c r="BN80" s="614">
        <f>BN60</f>
        <v>193.09429063492067</v>
      </c>
      <c r="BO80" s="613">
        <f>BO60</f>
        <v>174.38261902585765</v>
      </c>
      <c r="BP80" s="611"/>
      <c r="BQ80" s="614">
        <f>BQ60</f>
        <v>210</v>
      </c>
      <c r="BR80" s="614">
        <f>BR60</f>
        <v>214.51433668058274</v>
      </c>
      <c r="BS80" s="614">
        <f>BS60</f>
        <v>219.12571734052574</v>
      </c>
      <c r="BT80" s="614">
        <f>BT60</f>
        <v>223.83622811885593</v>
      </c>
      <c r="BU80" s="613">
        <f>BU60</f>
        <v>216.8690705349911</v>
      </c>
      <c r="BV80" s="614"/>
      <c r="BW80" s="614">
        <f>BW60</f>
        <v>228.64799999999991</v>
      </c>
      <c r="BX80" s="614">
        <f>BX60</f>
        <v>233.5632097778184</v>
      </c>
      <c r="BY80" s="614">
        <f>BY60</f>
        <v>238.58408104036434</v>
      </c>
      <c r="BZ80" s="614">
        <f>BZ60</f>
        <v>243.71288517581024</v>
      </c>
      <c r="CA80" s="613">
        <f>CA60</f>
        <v>236.12704399849824</v>
      </c>
      <c r="CB80" s="614"/>
      <c r="CC80" s="614">
        <f>CC60</f>
        <v>248.95194239999981</v>
      </c>
      <c r="CD80" s="614">
        <f>CD60</f>
        <v>254.30362280608858</v>
      </c>
      <c r="CE80" s="614">
        <f>CE60</f>
        <v>259.77034743674858</v>
      </c>
      <c r="CF80" s="614">
        <f>CF60</f>
        <v>265.35458937942207</v>
      </c>
      <c r="CG80" s="613">
        <f>CG60</f>
        <v>257.09512550556474</v>
      </c>
      <c r="CH80" s="614"/>
      <c r="CI80" s="614">
        <f>CI60</f>
        <v>271.05887488511968</v>
      </c>
      <c r="CJ80" s="614">
        <f>CJ60</f>
        <v>276.88578451126915</v>
      </c>
      <c r="CK80" s="614">
        <f>CK60</f>
        <v>282.8379542891318</v>
      </c>
      <c r="CL80" s="614">
        <f>CL60</f>
        <v>288.9180769163147</v>
      </c>
      <c r="CM80" s="613">
        <f>CM60</f>
        <v>279.92517265045882</v>
      </c>
      <c r="CN80" s="97"/>
      <c r="CO80" s="97"/>
      <c r="CP80"/>
      <c r="CQ80"/>
      <c r="CR80"/>
      <c r="CS80"/>
      <c r="CT80"/>
      <c r="CU80"/>
    </row>
    <row r="81" spans="1:99" s="24" customFormat="1" hidden="1" outlineLevel="1">
      <c r="A81" s="633" t="s">
        <v>452</v>
      </c>
      <c r="B81" s="633"/>
      <c r="C81" s="633"/>
      <c r="D81" s="633"/>
      <c r="E81" s="633"/>
      <c r="F81" s="633"/>
      <c r="G81" s="634"/>
      <c r="H81" s="635"/>
      <c r="I81" s="635"/>
      <c r="J81" s="635"/>
      <c r="K81" s="635"/>
      <c r="L81" s="635"/>
      <c r="M81" s="634">
        <f>M80/G80-1</f>
        <v>-9.1393752343645329E-2</v>
      </c>
      <c r="N81" s="635"/>
      <c r="O81" s="636">
        <f>O80/I80-1</f>
        <v>-0.4222765957402288</v>
      </c>
      <c r="P81" s="636">
        <f>P80/J80-1</f>
        <v>-0.27410229573610412</v>
      </c>
      <c r="Q81" s="636">
        <f>Q80/K80-1</f>
        <v>-0.20256580306151017</v>
      </c>
      <c r="R81" s="636">
        <f>R80/L80-1</f>
        <v>0.41152103132500573</v>
      </c>
      <c r="S81" s="634">
        <f>S80/M80-1</f>
        <v>-0.16605527644673979</v>
      </c>
      <c r="T81" s="635"/>
      <c r="U81" s="636">
        <f>U80/O80-1</f>
        <v>0.69692169543044313</v>
      </c>
      <c r="V81" s="636">
        <f>V80/P80-1</f>
        <v>0.56677614407218146</v>
      </c>
      <c r="W81" s="636">
        <f>W80/Q80-1</f>
        <v>0.25887907688788037</v>
      </c>
      <c r="X81" s="636">
        <f>X80/R80-1</f>
        <v>0.28842644520142557</v>
      </c>
      <c r="Y81" s="634">
        <f>Y80/S80-1</f>
        <v>0.41736601847596466</v>
      </c>
      <c r="Z81" s="635"/>
      <c r="AA81" s="636">
        <f>AA80/U80-1</f>
        <v>0.30863693908583367</v>
      </c>
      <c r="AB81" s="636">
        <f>AB80/V80-1</f>
        <v>0.35882485646839868</v>
      </c>
      <c r="AC81" s="636">
        <f>AC80/W80-1</f>
        <v>0.27290712377722959</v>
      </c>
      <c r="AD81" s="636">
        <f>AD80/X80-1</f>
        <v>6.04167419329249E-3</v>
      </c>
      <c r="AE81" s="634">
        <f>AE80/Y80-1</f>
        <v>0.22826943004280187</v>
      </c>
      <c r="AF81" s="635"/>
      <c r="AG81" s="636">
        <f>AG80/AA80-1</f>
        <v>7.5210049293958914E-2</v>
      </c>
      <c r="AH81" s="636">
        <f>AH80/AB80-1</f>
        <v>-0.11210966218263896</v>
      </c>
      <c r="AI81" s="636">
        <f>AI80/AC80-1</f>
        <v>-4.5911266714737997E-2</v>
      </c>
      <c r="AJ81" s="636">
        <f>AJ80/AD80-1</f>
        <v>9.5168671083881051E-2</v>
      </c>
      <c r="AK81" s="634">
        <f>AK80/AE80-1</f>
        <v>-3.2489327872639029E-3</v>
      </c>
      <c r="AL81" s="635"/>
      <c r="AM81" s="636">
        <f>AM80/AG80-1</f>
        <v>6.5309242558329705E-2</v>
      </c>
      <c r="AN81" s="636">
        <f>AN80/AH80-1</f>
        <v>0.14947975033387273</v>
      </c>
      <c r="AO81" s="636">
        <f>AO80/AI80-1</f>
        <v>0.29422074522509867</v>
      </c>
      <c r="AP81" s="636">
        <f>AP80/AJ80-1</f>
        <v>0.20084299070061817</v>
      </c>
      <c r="AQ81" s="634">
        <f>AQ80/AK80-1</f>
        <v>0.17603370545754715</v>
      </c>
      <c r="AR81" s="635"/>
      <c r="AS81" s="636">
        <f>AS80/AM80-1</f>
        <v>0.17546710389261988</v>
      </c>
      <c r="AT81" s="636">
        <f>AT80/AN80-1</f>
        <v>9.8412225312402457E-2</v>
      </c>
      <c r="AU81" s="636">
        <f>AU80/AO80-1</f>
        <v>5.3162390545882232E-3</v>
      </c>
      <c r="AV81" s="636">
        <f>AV80/AP80-1</f>
        <v>8.675535034347015E-2</v>
      </c>
      <c r="AW81" s="634">
        <f>AW80/AQ80-1</f>
        <v>8.822289860888155E-2</v>
      </c>
      <c r="AX81" s="635"/>
      <c r="AY81" s="636">
        <f>AY80/AS80-1</f>
        <v>0.10043559222067655</v>
      </c>
      <c r="AZ81" s="636">
        <f>AZ80/AT80-1</f>
        <v>0.23372635874404279</v>
      </c>
      <c r="BA81" s="636">
        <f>BA80/AU80-1</f>
        <v>0.22693297497820897</v>
      </c>
      <c r="BB81" s="636">
        <f>BB80/AV80-1</f>
        <v>0.17293953702550402</v>
      </c>
      <c r="BC81" s="634">
        <f>BC80/AW80-1</f>
        <v>0.18276065768899286</v>
      </c>
      <c r="BD81" s="635"/>
      <c r="BE81" s="636">
        <f>BE80/AY80-1</f>
        <v>4.5754010958020119E-2</v>
      </c>
      <c r="BF81" s="636">
        <f>BF80/AZ80-1</f>
        <v>4.2468741304071411E-2</v>
      </c>
      <c r="BG81" s="636">
        <f>BG80/BA80-1</f>
        <v>0.22341003895464562</v>
      </c>
      <c r="BH81" s="636">
        <f>BH80/BB80-1</f>
        <v>0.11067492686878588</v>
      </c>
      <c r="BI81" s="634">
        <f>BI80/BC80-1</f>
        <v>0.10604119835448267</v>
      </c>
      <c r="BJ81" s="635"/>
      <c r="BK81" s="636">
        <f>BK80/BE80-1</f>
        <v>0.1972312356759689</v>
      </c>
      <c r="BL81" s="636">
        <f>BL80/BF80-1</f>
        <v>0.28452190366467178</v>
      </c>
      <c r="BM81" s="636">
        <f>BM80/BG80-1</f>
        <v>0.171775560395238</v>
      </c>
      <c r="BN81" s="636">
        <f>BN80/BH80-1</f>
        <v>0.35299344255525567</v>
      </c>
      <c r="BO81" s="634">
        <f>BO80/BI80-1</f>
        <v>0.25122228208752251</v>
      </c>
      <c r="BP81" s="635"/>
      <c r="BQ81" s="636">
        <f>BQ80/BK80-1</f>
        <v>0.40610517258466849</v>
      </c>
      <c r="BR81" s="636">
        <f>BR80/BL80-1</f>
        <v>0.23452462454618694</v>
      </c>
      <c r="BS81" s="636">
        <f>BS80/BM80-1</f>
        <v>0.2084709705866441</v>
      </c>
      <c r="BT81" s="636">
        <f>BT80/BN80-1</f>
        <v>0.1592068692598394</v>
      </c>
      <c r="BU81" s="634">
        <f>BU80/BO80-1</f>
        <v>0.24363925571523559</v>
      </c>
      <c r="BV81" s="603"/>
      <c r="BW81" s="636">
        <f>BW80/BQ80-1</f>
        <v>8.8799999999999546E-2</v>
      </c>
      <c r="BX81" s="636">
        <f>BX80/BR80-1</f>
        <v>8.8799999999999546E-2</v>
      </c>
      <c r="BY81" s="636">
        <f>BY80/BS80-1</f>
        <v>8.8799999999999546E-2</v>
      </c>
      <c r="BZ81" s="636">
        <f>BZ80/BT80-1</f>
        <v>8.8799999999999546E-2</v>
      </c>
      <c r="CA81" s="634">
        <f>CA80/BU80-1</f>
        <v>8.8799999999999768E-2</v>
      </c>
      <c r="CB81" s="603"/>
      <c r="CC81" s="636">
        <f>CC80/BW80-1</f>
        <v>8.8799999999999546E-2</v>
      </c>
      <c r="CD81" s="636">
        <f>CD80/BX80-1</f>
        <v>8.8799999999999546E-2</v>
      </c>
      <c r="CE81" s="636">
        <f>CE80/BY80-1</f>
        <v>8.8799999999999546E-2</v>
      </c>
      <c r="CF81" s="636">
        <f>CF80/BZ80-1</f>
        <v>8.8799999999999546E-2</v>
      </c>
      <c r="CG81" s="634">
        <f>CG80/CA80-1</f>
        <v>8.8799999999999324E-2</v>
      </c>
      <c r="CH81" s="603"/>
      <c r="CI81" s="636">
        <f>CI80/CC80-1</f>
        <v>8.8799999999999546E-2</v>
      </c>
      <c r="CJ81" s="636">
        <f>CJ80/CD80-1</f>
        <v>8.8799999999999546E-2</v>
      </c>
      <c r="CK81" s="636">
        <f>CK80/CE80-1</f>
        <v>8.8799999999999768E-2</v>
      </c>
      <c r="CL81" s="636">
        <f>CL80/CF80-1</f>
        <v>8.8799999999999768E-2</v>
      </c>
      <c r="CM81" s="634">
        <f>CM80/CG80-1</f>
        <v>8.8799999999999768E-2</v>
      </c>
      <c r="CN81" s="97"/>
      <c r="CO81" s="97"/>
      <c r="CP81"/>
      <c r="CQ81"/>
      <c r="CR81"/>
      <c r="CS81"/>
      <c r="CT81"/>
      <c r="CU81"/>
    </row>
    <row r="82" spans="1:99" s="24" customFormat="1" collapsed="1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  <c r="CF82" s="32"/>
      <c r="CG82" s="32"/>
      <c r="CH82" s="32"/>
      <c r="CI82" s="32"/>
      <c r="CJ82" s="32"/>
      <c r="CK82" s="32"/>
      <c r="CL82" s="32"/>
      <c r="CM82" s="32"/>
      <c r="CN82" s="97"/>
      <c r="CO82" s="97"/>
      <c r="CP82"/>
      <c r="CQ82"/>
      <c r="CR82"/>
      <c r="CS82"/>
      <c r="CT82"/>
      <c r="CU82"/>
    </row>
    <row r="83" spans="1:99" hidden="1" outlineLevel="1">
      <c r="A83" s="21" t="s">
        <v>453</v>
      </c>
      <c r="B83" s="21"/>
      <c r="C83" s="21"/>
      <c r="D83" s="21"/>
      <c r="E83" s="21"/>
      <c r="F83" s="21"/>
      <c r="G83" s="22">
        <f>+G8</f>
        <v>0</v>
      </c>
      <c r="H83" s="22"/>
      <c r="I83" s="22"/>
      <c r="J83" s="22"/>
      <c r="K83" s="22"/>
      <c r="L83" s="22"/>
      <c r="M83" s="22">
        <f>+M8</f>
        <v>0</v>
      </c>
      <c r="N83" s="22"/>
      <c r="O83" s="22"/>
      <c r="P83" s="22"/>
      <c r="Q83" s="22"/>
      <c r="R83" s="22"/>
      <c r="S83" s="22">
        <f>+S8</f>
        <v>0</v>
      </c>
      <c r="T83" s="22"/>
      <c r="U83" s="22"/>
      <c r="V83" s="22"/>
      <c r="W83" s="22"/>
      <c r="X83" s="22"/>
      <c r="Y83" s="22">
        <f>+Y8</f>
        <v>0</v>
      </c>
      <c r="Z83" s="22"/>
      <c r="AA83" s="22"/>
      <c r="AB83" s="22"/>
      <c r="AC83" s="22"/>
      <c r="AD83" s="22"/>
      <c r="AE83" s="22">
        <f>+AE8</f>
        <v>0</v>
      </c>
      <c r="AF83" s="22"/>
      <c r="AG83" s="22"/>
      <c r="AH83" s="22"/>
      <c r="AI83" s="22"/>
      <c r="AJ83" s="22"/>
      <c r="AK83" s="22">
        <f>+AK8</f>
        <v>0</v>
      </c>
      <c r="AL83" s="22"/>
      <c r="AM83" s="22"/>
      <c r="AN83" s="22"/>
      <c r="AO83" s="22"/>
      <c r="AP83" s="22"/>
      <c r="AQ83" s="22">
        <f>+AQ8</f>
        <v>0</v>
      </c>
      <c r="AR83" s="22"/>
      <c r="AS83" s="22"/>
      <c r="AT83" s="22"/>
      <c r="AU83" s="22"/>
      <c r="AV83" s="22"/>
      <c r="AW83" s="22">
        <f>+AW8</f>
        <v>0</v>
      </c>
      <c r="AX83" s="22"/>
      <c r="AY83" s="22"/>
      <c r="AZ83" s="22"/>
      <c r="BA83" s="22"/>
      <c r="BB83" s="22"/>
      <c r="BC83" s="22">
        <f>+BC8</f>
        <v>0</v>
      </c>
      <c r="BD83" s="22"/>
      <c r="BE83" s="22"/>
      <c r="BF83" s="22"/>
      <c r="BG83" s="22"/>
      <c r="BH83" s="22"/>
      <c r="BI83" s="22">
        <f>+BI8</f>
        <v>0</v>
      </c>
      <c r="BJ83" s="22"/>
      <c r="BK83" s="22"/>
      <c r="BL83" s="22"/>
      <c r="BM83" s="22"/>
      <c r="BN83" s="22"/>
      <c r="BO83" s="22">
        <f>+BO8</f>
        <v>0</v>
      </c>
      <c r="BP83" s="22"/>
      <c r="BQ83" s="22"/>
      <c r="BR83" s="22"/>
      <c r="BS83" s="22"/>
      <c r="BT83" s="22"/>
      <c r="BU83" s="22">
        <f>+BU8</f>
        <v>0</v>
      </c>
      <c r="BV83" s="1783"/>
      <c r="BW83" s="22"/>
      <c r="BX83" s="22"/>
      <c r="BY83" s="22"/>
      <c r="BZ83" s="22"/>
      <c r="CA83" s="22">
        <f>+CA8</f>
        <v>0</v>
      </c>
      <c r="CB83" s="1783"/>
      <c r="CC83" s="22"/>
      <c r="CD83" s="22"/>
      <c r="CE83" s="22"/>
      <c r="CF83" s="22"/>
      <c r="CG83" s="22">
        <f>+CG8</f>
        <v>0</v>
      </c>
      <c r="CH83" s="1783"/>
      <c r="CI83" s="22"/>
      <c r="CJ83" s="22"/>
      <c r="CK83" s="22"/>
      <c r="CL83" s="22"/>
      <c r="CM83" s="22">
        <f>+CM8</f>
        <v>0</v>
      </c>
      <c r="CN83" s="97"/>
      <c r="CO83" s="97"/>
    </row>
    <row r="84" spans="1:99" s="24" customFormat="1" hidden="1" outlineLevel="1">
      <c r="A84" s="637" t="s">
        <v>454</v>
      </c>
      <c r="B84" s="637"/>
      <c r="C84" s="637"/>
      <c r="D84" s="637"/>
      <c r="E84" s="637"/>
      <c r="F84" s="637"/>
      <c r="G84" s="638"/>
      <c r="H84" s="638"/>
      <c r="I84" s="638"/>
      <c r="J84" s="638"/>
      <c r="K84" s="638"/>
      <c r="L84" s="638"/>
      <c r="M84" s="638"/>
      <c r="N84" s="638"/>
      <c r="O84" s="638"/>
      <c r="P84" s="638"/>
      <c r="Q84" s="638"/>
      <c r="R84" s="638"/>
      <c r="S84" s="638"/>
      <c r="T84" s="638"/>
      <c r="U84" s="638"/>
      <c r="V84" s="638"/>
      <c r="W84" s="638"/>
      <c r="X84" s="638"/>
      <c r="Y84" s="638"/>
      <c r="Z84" s="638"/>
      <c r="AA84" s="638"/>
      <c r="AB84" s="638"/>
      <c r="AC84" s="638"/>
      <c r="AD84" s="638"/>
      <c r="AE84" s="638"/>
      <c r="AF84" s="638"/>
      <c r="AG84" s="638"/>
      <c r="AH84" s="638"/>
      <c r="AI84" s="638"/>
      <c r="AJ84" s="638"/>
      <c r="AK84" s="638"/>
      <c r="AL84" s="638"/>
      <c r="AM84" s="638"/>
      <c r="AN84" s="638"/>
      <c r="AO84" s="638"/>
      <c r="AP84" s="638"/>
      <c r="AQ84" s="638"/>
      <c r="AR84" s="638"/>
      <c r="AS84" s="638"/>
      <c r="AT84" s="638"/>
      <c r="AU84" s="638"/>
      <c r="AV84" s="638"/>
      <c r="AW84" s="638"/>
      <c r="AX84" s="638"/>
      <c r="AY84" s="638"/>
      <c r="AZ84" s="638"/>
      <c r="BA84" s="638"/>
      <c r="BB84" s="638"/>
      <c r="BC84" s="638"/>
      <c r="BD84" s="638"/>
      <c r="BE84" s="638"/>
      <c r="BF84" s="638"/>
      <c r="BG84" s="638"/>
      <c r="BH84" s="638"/>
      <c r="BI84" s="638"/>
      <c r="BJ84" s="638"/>
      <c r="BK84" s="638"/>
      <c r="BL84" s="638"/>
      <c r="BM84" s="638"/>
      <c r="BN84" s="638"/>
      <c r="BO84" s="638"/>
      <c r="BP84" s="638"/>
      <c r="BQ84" s="638"/>
      <c r="BR84" s="638"/>
      <c r="BS84" s="638"/>
      <c r="BT84" s="638"/>
      <c r="BU84" s="638"/>
      <c r="BV84" s="638"/>
      <c r="BW84" s="638"/>
      <c r="BX84" s="638"/>
      <c r="BY84" s="638"/>
      <c r="BZ84" s="638"/>
      <c r="CA84" s="638"/>
      <c r="CB84" s="638"/>
      <c r="CC84" s="638"/>
      <c r="CD84" s="638"/>
      <c r="CE84" s="638"/>
      <c r="CF84" s="638"/>
      <c r="CG84" s="638"/>
      <c r="CH84" s="638"/>
      <c r="CI84" s="638"/>
      <c r="CJ84" s="638"/>
      <c r="CK84" s="638"/>
      <c r="CL84" s="638"/>
      <c r="CM84" s="638"/>
      <c r="CN84" s="97"/>
      <c r="CO84" s="97"/>
      <c r="CP84"/>
      <c r="CQ84"/>
      <c r="CR84"/>
      <c r="CS84"/>
      <c r="CT84"/>
      <c r="CU84"/>
    </row>
    <row r="85" spans="1:99" s="24" customFormat="1" hidden="1" outlineLevel="1">
      <c r="A85" s="639" t="s">
        <v>455</v>
      </c>
      <c r="B85" s="639"/>
      <c r="C85" s="639"/>
      <c r="D85" s="639"/>
      <c r="E85" s="639"/>
      <c r="F85" s="639"/>
      <c r="G85" s="638"/>
      <c r="H85" s="638"/>
      <c r="I85" s="638"/>
      <c r="J85" s="638"/>
      <c r="K85" s="638"/>
      <c r="L85" s="638"/>
      <c r="M85" s="638"/>
      <c r="N85" s="638"/>
      <c r="O85" s="638"/>
      <c r="P85" s="638"/>
      <c r="Q85" s="638"/>
      <c r="R85" s="638"/>
      <c r="S85" s="638"/>
      <c r="T85" s="638"/>
      <c r="U85" s="638"/>
      <c r="V85" s="638"/>
      <c r="W85" s="638"/>
      <c r="X85" s="638"/>
      <c r="Y85" s="638"/>
      <c r="Z85" s="638"/>
      <c r="AA85" s="638"/>
      <c r="AB85" s="638"/>
      <c r="AC85" s="638"/>
      <c r="AD85" s="638"/>
      <c r="AE85" s="638"/>
      <c r="AF85" s="638"/>
      <c r="AG85" s="638"/>
      <c r="AH85" s="638"/>
      <c r="AI85" s="638"/>
      <c r="AJ85" s="638"/>
      <c r="AK85" s="638"/>
      <c r="AL85" s="638"/>
      <c r="AM85" s="638"/>
      <c r="AN85" s="638"/>
      <c r="AO85" s="638"/>
      <c r="AP85" s="638"/>
      <c r="AQ85" s="638"/>
      <c r="AR85" s="638"/>
      <c r="AS85" s="638"/>
      <c r="AT85" s="638"/>
      <c r="AU85" s="638"/>
      <c r="AV85" s="638"/>
      <c r="AW85" s="638"/>
      <c r="AX85" s="638"/>
      <c r="AY85" s="638"/>
      <c r="AZ85" s="638"/>
      <c r="BA85" s="638"/>
      <c r="BB85" s="638"/>
      <c r="BC85" s="638"/>
      <c r="BD85" s="638"/>
      <c r="BE85" s="638"/>
      <c r="BF85" s="638"/>
      <c r="BG85" s="638"/>
      <c r="BH85" s="638"/>
      <c r="BI85" s="638"/>
      <c r="BJ85" s="638"/>
      <c r="BK85" s="638"/>
      <c r="BL85" s="638"/>
      <c r="BM85" s="638"/>
      <c r="BN85" s="638"/>
      <c r="BO85" s="638"/>
      <c r="BP85" s="638"/>
      <c r="BQ85" s="638"/>
      <c r="BR85" s="638"/>
      <c r="BS85" s="638"/>
      <c r="BT85" s="638"/>
      <c r="BU85" s="638"/>
      <c r="BV85" s="638"/>
      <c r="BW85" s="638"/>
      <c r="BX85" s="638"/>
      <c r="BY85" s="638"/>
      <c r="BZ85" s="638"/>
      <c r="CA85" s="638"/>
      <c r="CB85" s="638"/>
      <c r="CC85" s="638"/>
      <c r="CD85" s="638"/>
      <c r="CE85" s="638"/>
      <c r="CF85" s="638"/>
      <c r="CG85" s="638"/>
      <c r="CH85" s="638"/>
      <c r="CI85" s="638"/>
      <c r="CJ85" s="638"/>
      <c r="CK85" s="638"/>
      <c r="CL85" s="638"/>
      <c r="CM85" s="638"/>
      <c r="CN85" s="97"/>
      <c r="CO85" s="97"/>
      <c r="CP85"/>
      <c r="CQ85"/>
      <c r="CR85"/>
      <c r="CS85"/>
      <c r="CT85"/>
      <c r="CU85"/>
    </row>
    <row r="86" spans="1:99" s="24" customFormat="1" hidden="1" outlineLevel="1">
      <c r="A86" s="639" t="s">
        <v>456</v>
      </c>
      <c r="B86" s="639"/>
      <c r="C86" s="639"/>
      <c r="D86" s="639"/>
      <c r="E86" s="639"/>
      <c r="F86" s="639"/>
      <c r="G86" s="638"/>
      <c r="H86" s="638"/>
      <c r="I86" s="638"/>
      <c r="J86" s="638"/>
      <c r="K86" s="638"/>
      <c r="L86" s="638"/>
      <c r="M86" s="638"/>
      <c r="N86" s="638"/>
      <c r="O86" s="638"/>
      <c r="P86" s="638"/>
      <c r="Q86" s="638"/>
      <c r="R86" s="638"/>
      <c r="S86" s="638"/>
      <c r="T86" s="638"/>
      <c r="U86" s="638"/>
      <c r="V86" s="638"/>
      <c r="W86" s="638"/>
      <c r="X86" s="638"/>
      <c r="Y86" s="638"/>
      <c r="Z86" s="638"/>
      <c r="AA86" s="638"/>
      <c r="AB86" s="638"/>
      <c r="AC86" s="638"/>
      <c r="AD86" s="638"/>
      <c r="AE86" s="638"/>
      <c r="AF86" s="638"/>
      <c r="AG86" s="638"/>
      <c r="AH86" s="638"/>
      <c r="AI86" s="638"/>
      <c r="AJ86" s="638"/>
      <c r="AK86" s="638"/>
      <c r="AL86" s="638"/>
      <c r="AM86" s="638"/>
      <c r="AN86" s="638"/>
      <c r="AO86" s="638"/>
      <c r="AP86" s="638"/>
      <c r="AQ86" s="638"/>
      <c r="AR86" s="638"/>
      <c r="AS86" s="638"/>
      <c r="AT86" s="638"/>
      <c r="AU86" s="638"/>
      <c r="AV86" s="638"/>
      <c r="AW86" s="638"/>
      <c r="AX86" s="638"/>
      <c r="AY86" s="638"/>
      <c r="AZ86" s="638"/>
      <c r="BA86" s="638"/>
      <c r="BB86" s="638"/>
      <c r="BC86" s="638"/>
      <c r="BD86" s="638"/>
      <c r="BE86" s="638"/>
      <c r="BF86" s="638"/>
      <c r="BG86" s="638"/>
      <c r="BH86" s="638"/>
      <c r="BI86" s="638"/>
      <c r="BJ86" s="638"/>
      <c r="BK86" s="638"/>
      <c r="BL86" s="638"/>
      <c r="BM86" s="638"/>
      <c r="BN86" s="638"/>
      <c r="BO86" s="638"/>
      <c r="BP86" s="638"/>
      <c r="BQ86" s="638"/>
      <c r="BR86" s="638"/>
      <c r="BS86" s="638"/>
      <c r="BT86" s="638"/>
      <c r="BU86" s="638"/>
      <c r="BV86" s="638"/>
      <c r="BW86" s="638"/>
      <c r="BX86" s="638"/>
      <c r="BY86" s="638"/>
      <c r="BZ86" s="638"/>
      <c r="CA86" s="638"/>
      <c r="CB86" s="638"/>
      <c r="CC86" s="638"/>
      <c r="CD86" s="638"/>
      <c r="CE86" s="638"/>
      <c r="CF86" s="638"/>
      <c r="CG86" s="638"/>
      <c r="CH86" s="638"/>
      <c r="CI86" s="638"/>
      <c r="CJ86" s="638"/>
      <c r="CK86" s="638"/>
      <c r="CL86" s="638"/>
      <c r="CM86" s="638"/>
      <c r="CN86" s="97"/>
      <c r="CO86" s="97"/>
      <c r="CP86"/>
      <c r="CQ86"/>
      <c r="CR86"/>
      <c r="CS86"/>
      <c r="CT86"/>
      <c r="CU86"/>
    </row>
    <row r="87" spans="1:99" s="24" customFormat="1" hidden="1" outlineLevel="1">
      <c r="A87" s="639" t="s">
        <v>457</v>
      </c>
      <c r="B87" s="639"/>
      <c r="C87" s="639"/>
      <c r="D87" s="639"/>
      <c r="E87" s="639"/>
      <c r="F87" s="639"/>
      <c r="G87" s="638"/>
      <c r="H87" s="638"/>
      <c r="I87" s="638"/>
      <c r="J87" s="638"/>
      <c r="K87" s="638"/>
      <c r="L87" s="638"/>
      <c r="M87" s="638"/>
      <c r="N87" s="638"/>
      <c r="O87" s="638"/>
      <c r="P87" s="638"/>
      <c r="Q87" s="638"/>
      <c r="R87" s="638"/>
      <c r="S87" s="638"/>
      <c r="T87" s="638"/>
      <c r="U87" s="638"/>
      <c r="V87" s="638"/>
      <c r="W87" s="638"/>
      <c r="X87" s="638"/>
      <c r="Y87" s="638"/>
      <c r="Z87" s="638"/>
      <c r="AA87" s="638"/>
      <c r="AB87" s="638"/>
      <c r="AC87" s="638"/>
      <c r="AD87" s="638"/>
      <c r="AE87" s="638"/>
      <c r="AF87" s="638"/>
      <c r="AG87" s="638"/>
      <c r="AH87" s="638"/>
      <c r="AI87" s="638"/>
      <c r="AJ87" s="638"/>
      <c r="AK87" s="638"/>
      <c r="AL87" s="638"/>
      <c r="AM87" s="638"/>
      <c r="AN87" s="638"/>
      <c r="AO87" s="638"/>
      <c r="AP87" s="638"/>
      <c r="AQ87" s="638"/>
      <c r="AR87" s="638"/>
      <c r="AS87" s="638"/>
      <c r="AT87" s="638"/>
      <c r="AU87" s="638"/>
      <c r="AV87" s="638"/>
      <c r="AW87" s="638"/>
      <c r="AX87" s="638"/>
      <c r="AY87" s="638"/>
      <c r="AZ87" s="638"/>
      <c r="BA87" s="638"/>
      <c r="BB87" s="638"/>
      <c r="BC87" s="638"/>
      <c r="BD87" s="638"/>
      <c r="BE87" s="638"/>
      <c r="BF87" s="638"/>
      <c r="BG87" s="638"/>
      <c r="BH87" s="638"/>
      <c r="BI87" s="638"/>
      <c r="BJ87" s="638"/>
      <c r="BK87" s="638"/>
      <c r="BL87" s="638"/>
      <c r="BM87" s="638"/>
      <c r="BN87" s="638"/>
      <c r="BO87" s="638"/>
      <c r="BP87" s="638"/>
      <c r="BQ87" s="638"/>
      <c r="BR87" s="638"/>
      <c r="BS87" s="638"/>
      <c r="BT87" s="638"/>
      <c r="BU87" s="638"/>
      <c r="BV87" s="638"/>
      <c r="BW87" s="638"/>
      <c r="BX87" s="638"/>
      <c r="BY87" s="638"/>
      <c r="BZ87" s="638"/>
      <c r="CA87" s="638"/>
      <c r="CB87" s="638"/>
      <c r="CC87" s="638"/>
      <c r="CD87" s="638"/>
      <c r="CE87" s="638"/>
      <c r="CF87" s="638"/>
      <c r="CG87" s="638"/>
      <c r="CH87" s="638"/>
      <c r="CI87" s="638"/>
      <c r="CJ87" s="638"/>
      <c r="CK87" s="638"/>
      <c r="CL87" s="638"/>
      <c r="CM87" s="638"/>
      <c r="CN87" s="97"/>
      <c r="CO87" s="97"/>
      <c r="CP87"/>
      <c r="CQ87"/>
      <c r="CR87"/>
      <c r="CS87"/>
      <c r="CT87"/>
      <c r="CU87"/>
    </row>
    <row r="88" spans="1:99" s="24" customFormat="1" hidden="1" outlineLevel="1">
      <c r="A88" s="640"/>
      <c r="B88" s="640"/>
      <c r="C88" s="640"/>
      <c r="D88" s="640"/>
      <c r="E88" s="640"/>
      <c r="F88" s="640"/>
      <c r="G88" s="641"/>
      <c r="H88" s="641"/>
      <c r="I88" s="641"/>
      <c r="J88" s="641"/>
      <c r="K88" s="641"/>
      <c r="L88" s="641"/>
      <c r="M88" s="641"/>
      <c r="N88" s="641"/>
      <c r="O88" s="641"/>
      <c r="P88" s="641"/>
      <c r="Q88" s="641"/>
      <c r="R88" s="641"/>
      <c r="S88" s="641"/>
      <c r="T88" s="641"/>
      <c r="U88" s="641"/>
      <c r="V88" s="641"/>
      <c r="W88" s="641"/>
      <c r="X88" s="641"/>
      <c r="Y88" s="641"/>
      <c r="Z88" s="641"/>
      <c r="AA88" s="641"/>
      <c r="AB88" s="641"/>
      <c r="AC88" s="641"/>
      <c r="AD88" s="641"/>
      <c r="AE88" s="641"/>
      <c r="AF88" s="641"/>
      <c r="AG88" s="641"/>
      <c r="AH88" s="641"/>
      <c r="AI88" s="641"/>
      <c r="AJ88" s="641"/>
      <c r="AK88" s="641"/>
      <c r="AL88" s="641"/>
      <c r="AM88" s="641"/>
      <c r="AN88" s="641"/>
      <c r="AO88" s="641"/>
      <c r="AP88" s="641"/>
      <c r="AQ88" s="641"/>
      <c r="AR88" s="641"/>
      <c r="AS88" s="641"/>
      <c r="AT88" s="641"/>
      <c r="AU88" s="641"/>
      <c r="AV88" s="641"/>
      <c r="AW88" s="641"/>
      <c r="AX88" s="641"/>
      <c r="AY88" s="641"/>
      <c r="AZ88" s="641"/>
      <c r="BA88" s="641"/>
      <c r="BB88" s="641"/>
      <c r="BC88" s="641"/>
      <c r="BD88" s="641"/>
      <c r="BE88" s="641"/>
      <c r="BF88" s="641"/>
      <c r="BG88" s="641"/>
      <c r="BH88" s="641"/>
      <c r="BI88" s="641"/>
      <c r="BJ88" s="641"/>
      <c r="BK88" s="641"/>
      <c r="BL88" s="641"/>
      <c r="BM88" s="641"/>
      <c r="BN88" s="641"/>
      <c r="BO88" s="641"/>
      <c r="BP88" s="641"/>
      <c r="BQ88" s="641"/>
      <c r="BR88" s="641"/>
      <c r="BS88" s="641"/>
      <c r="BT88" s="641"/>
      <c r="BU88" s="641"/>
      <c r="BV88" s="641"/>
      <c r="BW88" s="641"/>
      <c r="BX88" s="641"/>
      <c r="BY88" s="641"/>
      <c r="BZ88" s="641"/>
      <c r="CA88" s="641"/>
      <c r="CB88" s="641"/>
      <c r="CC88" s="641"/>
      <c r="CD88" s="641"/>
      <c r="CE88" s="641"/>
      <c r="CF88" s="641"/>
      <c r="CG88" s="641"/>
      <c r="CH88" s="641"/>
      <c r="CI88" s="641"/>
      <c r="CJ88" s="641"/>
      <c r="CK88" s="641"/>
      <c r="CL88" s="641"/>
      <c r="CM88" s="641"/>
      <c r="CN88" s="97"/>
      <c r="CO88" s="97"/>
      <c r="CP88"/>
      <c r="CQ88"/>
      <c r="CR88"/>
      <c r="CS88"/>
      <c r="CT88"/>
      <c r="CU88"/>
    </row>
    <row r="89" spans="1:99" s="24" customFormat="1" hidden="1" outlineLevel="1">
      <c r="A89" s="642" t="s">
        <v>458</v>
      </c>
      <c r="B89" s="642"/>
      <c r="C89" s="642"/>
      <c r="D89" s="642"/>
      <c r="E89" s="642"/>
      <c r="F89" s="642"/>
      <c r="G89" s="643"/>
      <c r="H89" s="643"/>
      <c r="I89" s="643"/>
      <c r="J89" s="643"/>
      <c r="K89" s="643"/>
      <c r="L89" s="643"/>
      <c r="M89" s="643">
        <f>SUM(M90:M92)</f>
        <v>0.99999999999999989</v>
      </c>
      <c r="N89" s="643"/>
      <c r="O89" s="643"/>
      <c r="P89" s="643"/>
      <c r="Q89" s="643"/>
      <c r="R89" s="643"/>
      <c r="S89" s="643">
        <f>SUM(S90:S92)</f>
        <v>0.99999999999999989</v>
      </c>
      <c r="T89" s="643"/>
      <c r="U89" s="643"/>
      <c r="V89" s="643"/>
      <c r="W89" s="643"/>
      <c r="X89" s="643"/>
      <c r="Y89" s="643">
        <f>SUM(Y90:Y92)</f>
        <v>0.99999999999999989</v>
      </c>
      <c r="Z89" s="643"/>
      <c r="AA89" s="643"/>
      <c r="AB89" s="643"/>
      <c r="AC89" s="643"/>
      <c r="AD89" s="643"/>
      <c r="AE89" s="643">
        <f>SUM(AE90:AE92)</f>
        <v>0.99999999999999989</v>
      </c>
      <c r="AF89" s="643"/>
      <c r="AG89" s="643"/>
      <c r="AH89" s="643"/>
      <c r="AI89" s="643"/>
      <c r="AJ89" s="643"/>
      <c r="AK89" s="643">
        <f>SUM(AK90:AK92)</f>
        <v>0.99999999999999989</v>
      </c>
      <c r="AL89" s="643"/>
      <c r="AM89" s="643"/>
      <c r="AN89" s="643"/>
      <c r="AO89" s="643"/>
      <c r="AP89" s="643"/>
      <c r="AQ89" s="643">
        <f>SUM(AQ90:AQ92)</f>
        <v>0.99999999999999989</v>
      </c>
      <c r="AR89" s="643"/>
      <c r="AS89" s="643"/>
      <c r="AT89" s="643"/>
      <c r="AU89" s="643"/>
      <c r="AV89" s="643"/>
      <c r="AW89" s="643"/>
      <c r="AX89" s="643"/>
      <c r="AY89" s="643"/>
      <c r="AZ89" s="643"/>
      <c r="BA89" s="643"/>
      <c r="BB89" s="643"/>
      <c r="BC89" s="643">
        <f>SUM(BC90:BC92)</f>
        <v>0.99999999999999989</v>
      </c>
      <c r="BD89" s="643"/>
      <c r="BE89" s="643"/>
      <c r="BF89" s="643"/>
      <c r="BG89" s="643"/>
      <c r="BH89" s="643"/>
      <c r="BI89" s="643">
        <f>SUM(BI90:BI92)</f>
        <v>0.99999999999999989</v>
      </c>
      <c r="BJ89" s="643"/>
      <c r="BK89" s="643"/>
      <c r="BL89" s="643"/>
      <c r="BM89" s="643"/>
      <c r="BN89" s="643"/>
      <c r="BO89" s="643">
        <f>SUM(BO90:BO92)</f>
        <v>0.99999999999999989</v>
      </c>
      <c r="BP89" s="643"/>
      <c r="BQ89" s="643"/>
      <c r="BR89" s="643"/>
      <c r="BS89" s="643"/>
      <c r="BT89" s="643"/>
      <c r="BU89" s="643">
        <f>SUM(BU90:BU92)</f>
        <v>0.99999999999999989</v>
      </c>
      <c r="BV89" s="643"/>
      <c r="BW89" s="643"/>
      <c r="BX89" s="643"/>
      <c r="BY89" s="643"/>
      <c r="BZ89" s="643"/>
      <c r="CA89" s="643">
        <f>SUM(CA90:CA92)</f>
        <v>0.99999999999999989</v>
      </c>
      <c r="CB89" s="643"/>
      <c r="CC89" s="643"/>
      <c r="CD89" s="643"/>
      <c r="CE89" s="643"/>
      <c r="CF89" s="643"/>
      <c r="CG89" s="643">
        <f>SUM(CG90:CG92)</f>
        <v>0.99999999999999989</v>
      </c>
      <c r="CH89" s="643"/>
      <c r="CI89" s="643"/>
      <c r="CJ89" s="643"/>
      <c r="CK89" s="643"/>
      <c r="CL89" s="643"/>
      <c r="CM89" s="643">
        <f>SUM(CM90:CM92)</f>
        <v>0.99999999999999989</v>
      </c>
      <c r="CN89" s="97"/>
      <c r="CO89" s="97"/>
      <c r="CP89"/>
      <c r="CQ89"/>
      <c r="CR89"/>
      <c r="CS89"/>
      <c r="CT89"/>
      <c r="CU89"/>
    </row>
    <row r="90" spans="1:99" s="24" customFormat="1" hidden="1" outlineLevel="1">
      <c r="A90" s="644" t="s">
        <v>455</v>
      </c>
      <c r="B90" s="644"/>
      <c r="C90" s="644"/>
      <c r="D90" s="644"/>
      <c r="E90" s="644"/>
      <c r="F90" s="644"/>
      <c r="G90" s="643"/>
      <c r="H90" s="643"/>
      <c r="I90" s="643"/>
      <c r="J90" s="643"/>
      <c r="K90" s="643"/>
      <c r="L90" s="643"/>
      <c r="M90" s="643">
        <v>0.3</v>
      </c>
      <c r="N90" s="643"/>
      <c r="O90" s="643"/>
      <c r="P90" s="643"/>
      <c r="Q90" s="643"/>
      <c r="R90" s="643"/>
      <c r="S90" s="643">
        <v>0.3</v>
      </c>
      <c r="T90" s="643"/>
      <c r="U90" s="643"/>
      <c r="V90" s="643"/>
      <c r="W90" s="643"/>
      <c r="X90" s="643"/>
      <c r="Y90" s="643">
        <v>0.3</v>
      </c>
      <c r="Z90" s="643"/>
      <c r="AA90" s="643"/>
      <c r="AB90" s="643"/>
      <c r="AC90" s="643"/>
      <c r="AD90" s="643"/>
      <c r="AE90" s="643">
        <v>0.3</v>
      </c>
      <c r="AF90" s="643"/>
      <c r="AG90" s="643"/>
      <c r="AH90" s="643"/>
      <c r="AI90" s="643"/>
      <c r="AJ90" s="643"/>
      <c r="AK90" s="643">
        <v>0.3</v>
      </c>
      <c r="AL90" s="643"/>
      <c r="AM90" s="643"/>
      <c r="AN90" s="643"/>
      <c r="AO90" s="643"/>
      <c r="AP90" s="643"/>
      <c r="AQ90" s="643">
        <v>0.3</v>
      </c>
      <c r="AR90" s="643"/>
      <c r="AS90" s="643"/>
      <c r="AT90" s="643"/>
      <c r="AU90" s="643"/>
      <c r="AV90" s="643"/>
      <c r="AW90" s="643"/>
      <c r="AX90" s="643"/>
      <c r="AY90" s="643"/>
      <c r="AZ90" s="643"/>
      <c r="BA90" s="643"/>
      <c r="BB90" s="643"/>
      <c r="BC90" s="643">
        <v>0.3</v>
      </c>
      <c r="BD90" s="643"/>
      <c r="BE90" s="643"/>
      <c r="BF90" s="643"/>
      <c r="BG90" s="643"/>
      <c r="BH90" s="643"/>
      <c r="BI90" s="643">
        <v>0.3</v>
      </c>
      <c r="BJ90" s="643"/>
      <c r="BK90" s="643"/>
      <c r="BL90" s="643"/>
      <c r="BM90" s="643"/>
      <c r="BN90" s="643"/>
      <c r="BO90" s="643">
        <v>0.3</v>
      </c>
      <c r="BP90" s="643"/>
      <c r="BQ90" s="643"/>
      <c r="BR90" s="643"/>
      <c r="BS90" s="643"/>
      <c r="BT90" s="643"/>
      <c r="BU90" s="643">
        <v>0.3</v>
      </c>
      <c r="BV90" s="643"/>
      <c r="BW90" s="643"/>
      <c r="BX90" s="643"/>
      <c r="BY90" s="643"/>
      <c r="BZ90" s="643"/>
      <c r="CA90" s="643">
        <v>0.3</v>
      </c>
      <c r="CB90" s="643"/>
      <c r="CC90" s="643"/>
      <c r="CD90" s="643"/>
      <c r="CE90" s="643"/>
      <c r="CF90" s="643"/>
      <c r="CG90" s="643">
        <v>0.3</v>
      </c>
      <c r="CH90" s="643"/>
      <c r="CI90" s="643"/>
      <c r="CJ90" s="643"/>
      <c r="CK90" s="643"/>
      <c r="CL90" s="643"/>
      <c r="CM90" s="643">
        <v>0.3</v>
      </c>
      <c r="CN90" s="97"/>
      <c r="CO90" s="97"/>
      <c r="CP90"/>
      <c r="CQ90"/>
      <c r="CR90"/>
      <c r="CS90"/>
      <c r="CT90"/>
      <c r="CU90"/>
    </row>
    <row r="91" spans="1:99" s="24" customFormat="1" hidden="1" outlineLevel="1">
      <c r="A91" s="644" t="s">
        <v>456</v>
      </c>
      <c r="B91" s="644"/>
      <c r="C91" s="644"/>
      <c r="D91" s="644"/>
      <c r="E91" s="644"/>
      <c r="F91" s="644"/>
      <c r="G91" s="643"/>
      <c r="H91" s="643"/>
      <c r="I91" s="643"/>
      <c r="J91" s="643"/>
      <c r="K91" s="643"/>
      <c r="L91" s="643"/>
      <c r="M91" s="643">
        <v>0.6</v>
      </c>
      <c r="N91" s="643"/>
      <c r="O91" s="643"/>
      <c r="P91" s="643"/>
      <c r="Q91" s="643"/>
      <c r="R91" s="643"/>
      <c r="S91" s="643">
        <v>0.6</v>
      </c>
      <c r="T91" s="643"/>
      <c r="U91" s="643"/>
      <c r="V91" s="643"/>
      <c r="W91" s="643"/>
      <c r="X91" s="643"/>
      <c r="Y91" s="643">
        <v>0.6</v>
      </c>
      <c r="Z91" s="643"/>
      <c r="AA91" s="643"/>
      <c r="AB91" s="643"/>
      <c r="AC91" s="643"/>
      <c r="AD91" s="643"/>
      <c r="AE91" s="643">
        <v>0.6</v>
      </c>
      <c r="AF91" s="643"/>
      <c r="AG91" s="643"/>
      <c r="AH91" s="643"/>
      <c r="AI91" s="643"/>
      <c r="AJ91" s="643"/>
      <c r="AK91" s="643">
        <v>0.6</v>
      </c>
      <c r="AL91" s="643"/>
      <c r="AM91" s="643"/>
      <c r="AN91" s="643"/>
      <c r="AO91" s="643"/>
      <c r="AP91" s="643"/>
      <c r="AQ91" s="643">
        <v>0.6</v>
      </c>
      <c r="AR91" s="643"/>
      <c r="AS91" s="643"/>
      <c r="AT91" s="643"/>
      <c r="AU91" s="643"/>
      <c r="AV91" s="643"/>
      <c r="AW91" s="643"/>
      <c r="AX91" s="643"/>
      <c r="AY91" s="643"/>
      <c r="AZ91" s="643"/>
      <c r="BA91" s="643"/>
      <c r="BB91" s="643"/>
      <c r="BC91" s="643">
        <v>0.6</v>
      </c>
      <c r="BD91" s="643"/>
      <c r="BE91" s="643"/>
      <c r="BF91" s="643"/>
      <c r="BG91" s="643"/>
      <c r="BH91" s="643"/>
      <c r="BI91" s="643">
        <v>0.6</v>
      </c>
      <c r="BJ91" s="643"/>
      <c r="BK91" s="643"/>
      <c r="BL91" s="643"/>
      <c r="BM91" s="643"/>
      <c r="BN91" s="643"/>
      <c r="BO91" s="643">
        <v>0.6</v>
      </c>
      <c r="BP91" s="643"/>
      <c r="BQ91" s="643"/>
      <c r="BR91" s="643"/>
      <c r="BS91" s="643"/>
      <c r="BT91" s="643"/>
      <c r="BU91" s="643">
        <v>0.6</v>
      </c>
      <c r="BV91" s="643"/>
      <c r="BW91" s="643"/>
      <c r="BX91" s="643"/>
      <c r="BY91" s="643"/>
      <c r="BZ91" s="643"/>
      <c r="CA91" s="643">
        <v>0.6</v>
      </c>
      <c r="CB91" s="643"/>
      <c r="CC91" s="643"/>
      <c r="CD91" s="643"/>
      <c r="CE91" s="643"/>
      <c r="CF91" s="643"/>
      <c r="CG91" s="643">
        <v>0.6</v>
      </c>
      <c r="CH91" s="643"/>
      <c r="CI91" s="643"/>
      <c r="CJ91" s="643"/>
      <c r="CK91" s="643"/>
      <c r="CL91" s="643"/>
      <c r="CM91" s="643">
        <v>0.6</v>
      </c>
      <c r="CN91" s="97"/>
      <c r="CO91" s="97"/>
      <c r="CP91"/>
      <c r="CQ91"/>
      <c r="CR91"/>
      <c r="CS91"/>
      <c r="CT91"/>
      <c r="CU91"/>
    </row>
    <row r="92" spans="1:99" s="24" customFormat="1" hidden="1" outlineLevel="1">
      <c r="A92" s="644" t="s">
        <v>457</v>
      </c>
      <c r="B92" s="644"/>
      <c r="C92" s="644"/>
      <c r="D92" s="644"/>
      <c r="E92" s="644"/>
      <c r="F92" s="644"/>
      <c r="G92" s="643"/>
      <c r="H92" s="643"/>
      <c r="I92" s="643"/>
      <c r="J92" s="643"/>
      <c r="K92" s="643"/>
      <c r="L92" s="643"/>
      <c r="M92" s="643">
        <v>0.1</v>
      </c>
      <c r="N92" s="643"/>
      <c r="O92" s="643"/>
      <c r="P92" s="643"/>
      <c r="Q92" s="643"/>
      <c r="R92" s="643"/>
      <c r="S92" s="643">
        <v>0.1</v>
      </c>
      <c r="T92" s="643"/>
      <c r="U92" s="643"/>
      <c r="V92" s="643"/>
      <c r="W92" s="643"/>
      <c r="X92" s="643"/>
      <c r="Y92" s="643">
        <v>0.1</v>
      </c>
      <c r="Z92" s="643"/>
      <c r="AA92" s="643"/>
      <c r="AB92" s="643"/>
      <c r="AC92" s="643"/>
      <c r="AD92" s="643"/>
      <c r="AE92" s="643">
        <v>0.1</v>
      </c>
      <c r="AF92" s="643"/>
      <c r="AG92" s="643"/>
      <c r="AH92" s="643"/>
      <c r="AI92" s="643"/>
      <c r="AJ92" s="643"/>
      <c r="AK92" s="643">
        <v>0.1</v>
      </c>
      <c r="AL92" s="643"/>
      <c r="AM92" s="643"/>
      <c r="AN92" s="643"/>
      <c r="AO92" s="643"/>
      <c r="AP92" s="643"/>
      <c r="AQ92" s="643">
        <v>0.1</v>
      </c>
      <c r="AR92" s="643"/>
      <c r="AS92" s="643"/>
      <c r="AT92" s="643"/>
      <c r="AU92" s="643"/>
      <c r="AV92" s="643"/>
      <c r="AW92" s="643"/>
      <c r="AX92" s="643"/>
      <c r="AY92" s="643"/>
      <c r="AZ92" s="643"/>
      <c r="BA92" s="643"/>
      <c r="BB92" s="643"/>
      <c r="BC92" s="643">
        <v>0.1</v>
      </c>
      <c r="BD92" s="643"/>
      <c r="BE92" s="643"/>
      <c r="BF92" s="643"/>
      <c r="BG92" s="643"/>
      <c r="BH92" s="643"/>
      <c r="BI92" s="643">
        <v>0.1</v>
      </c>
      <c r="BJ92" s="643"/>
      <c r="BK92" s="643"/>
      <c r="BL92" s="643"/>
      <c r="BM92" s="643"/>
      <c r="BN92" s="643"/>
      <c r="BO92" s="643">
        <v>0.1</v>
      </c>
      <c r="BP92" s="643"/>
      <c r="BQ92" s="643"/>
      <c r="BR92" s="643"/>
      <c r="BS92" s="643"/>
      <c r="BT92" s="643"/>
      <c r="BU92" s="643">
        <v>0.1</v>
      </c>
      <c r="BV92" s="643"/>
      <c r="BW92" s="643"/>
      <c r="BX92" s="643"/>
      <c r="BY92" s="643"/>
      <c r="BZ92" s="643"/>
      <c r="CA92" s="643">
        <v>0.1</v>
      </c>
      <c r="CB92" s="643"/>
      <c r="CC92" s="643"/>
      <c r="CD92" s="643"/>
      <c r="CE92" s="643"/>
      <c r="CF92" s="643"/>
      <c r="CG92" s="643">
        <v>0.1</v>
      </c>
      <c r="CH92" s="643"/>
      <c r="CI92" s="643"/>
      <c r="CJ92" s="643"/>
      <c r="CK92" s="643"/>
      <c r="CL92" s="643"/>
      <c r="CM92" s="643">
        <v>0.1</v>
      </c>
      <c r="CN92" s="97"/>
      <c r="CO92" s="97"/>
      <c r="CP92"/>
      <c r="CQ92"/>
      <c r="CR92"/>
      <c r="CS92"/>
      <c r="CT92"/>
      <c r="CU92"/>
    </row>
    <row r="93" spans="1:99" s="24" customFormat="1" collapsed="1">
      <c r="CN93" s="97"/>
      <c r="CO93" s="97"/>
      <c r="CP93"/>
      <c r="CQ93"/>
      <c r="CR93"/>
      <c r="CS93"/>
      <c r="CT93"/>
      <c r="CU93"/>
    </row>
  </sheetData>
  <phoneticPr fontId="7" type="noConversion"/>
  <pageMargins left="0.5" right="0.5" top="0.5" bottom="0.5" header="0.5" footer="0.5"/>
  <pageSetup orientation="landscape" r:id="rId1"/>
  <headerFooter alignWithMargins="0"/>
  <ignoredErrors>
    <ignoredError sqref="AQ60" numberStoredAsText="1"/>
    <ignoredError sqref="BE17:BG17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CM238"/>
  <sheetViews>
    <sheetView zoomScale="85" zoomScaleNormal="85" workbookViewId="0">
      <pane xSplit="3" ySplit="8" topLeftCell="AF9" activePane="bottomRight" state="frozen"/>
      <selection activeCell="Y9" sqref="Y9"/>
      <selection pane="topRight" activeCell="Y9" sqref="Y9"/>
      <selection pane="bottomLeft" activeCell="Y9" sqref="Y9"/>
      <selection pane="bottomRight"/>
    </sheetView>
  </sheetViews>
  <sheetFormatPr defaultColWidth="9.42578125" defaultRowHeight="12.75" outlineLevelRow="1" outlineLevelCol="1"/>
  <cols>
    <col min="1" max="1" width="33.7109375" customWidth="1"/>
    <col min="2" max="2" width="10.7109375" customWidth="1"/>
    <col min="3" max="3" width="10.5703125" customWidth="1"/>
    <col min="4" max="6" width="0.85546875" hidden="1" customWidth="1" outlineLevel="1"/>
    <col min="7" max="7" width="8.7109375" hidden="1" customWidth="1" outlineLevel="1"/>
    <col min="8" max="12" width="0.85546875" hidden="1" customWidth="1" outlineLevel="1"/>
    <col min="13" max="13" width="8.7109375" hidden="1" customWidth="1" outlineLevel="1"/>
    <col min="14" max="14" width="0.85546875" hidden="1" customWidth="1" outlineLevel="1"/>
    <col min="15" max="18" width="8.7109375" hidden="1" customWidth="1" outlineLevel="1"/>
    <col min="19" max="19" width="8.7109375" hidden="1" customWidth="1" outlineLevel="1" collapsed="1"/>
    <col min="20" max="20" width="0.85546875" hidden="1" customWidth="1" outlineLevel="1"/>
    <col min="21" max="24" width="8.7109375" hidden="1" customWidth="1" outlineLevel="1"/>
    <col min="25" max="25" width="8.7109375" customWidth="1" collapsed="1"/>
    <col min="26" max="26" width="0.85546875" customWidth="1"/>
    <col min="27" max="30" width="8.7109375" hidden="1" customWidth="1" outlineLevel="1"/>
    <col min="31" max="31" width="8.7109375" customWidth="1" collapsed="1"/>
    <col min="32" max="32" width="0.85546875" customWidth="1"/>
    <col min="33" max="36" width="8.7109375" hidden="1" customWidth="1" outlineLevel="1"/>
    <col min="37" max="37" width="8.7109375" customWidth="1" collapsed="1"/>
    <col min="38" max="38" width="0.85546875" customWidth="1"/>
    <col min="39" max="42" width="8.7109375" hidden="1" customWidth="1" outlineLevel="1"/>
    <col min="43" max="43" width="8.7109375" customWidth="1" collapsed="1"/>
    <col min="44" max="44" width="0.85546875" customWidth="1"/>
    <col min="45" max="48" width="8.7109375" hidden="1" customWidth="1" outlineLevel="1"/>
    <col min="49" max="49" width="8.7109375" customWidth="1" collapsed="1"/>
    <col min="50" max="50" width="0.85546875" customWidth="1"/>
    <col min="51" max="54" width="8.7109375" hidden="1" customWidth="1" outlineLevel="1"/>
    <col min="55" max="55" width="8.7109375" customWidth="1" collapsed="1"/>
    <col min="56" max="56" width="0.85546875" customWidth="1"/>
    <col min="57" max="60" width="8.7109375" hidden="1" customWidth="1" outlineLevel="1"/>
    <col min="61" max="61" width="8.7109375" customWidth="1" collapsed="1"/>
    <col min="62" max="62" width="0.85546875" customWidth="1"/>
    <col min="63" max="66" width="8.7109375" hidden="1" customWidth="1" outlineLevel="1"/>
    <col min="67" max="67" width="8.7109375" customWidth="1" collapsed="1"/>
    <col min="68" max="68" width="0.85546875" customWidth="1"/>
    <col min="69" max="72" width="8.7109375" customWidth="1" outlineLevel="1"/>
    <col min="73" max="73" width="8.7109375" customWidth="1"/>
    <col min="74" max="74" width="0.85546875" customWidth="1"/>
    <col min="75" max="78" width="8.7109375" customWidth="1" outlineLevel="1"/>
    <col min="79" max="79" width="8.7109375" customWidth="1"/>
    <col min="80" max="80" width="0.85546875" customWidth="1"/>
    <col min="81" max="84" width="8.7109375" hidden="1" customWidth="1" outlineLevel="1"/>
    <col min="85" max="85" width="8.7109375" customWidth="1" collapsed="1"/>
    <col min="86" max="86" width="0.85546875" customWidth="1"/>
    <col min="87" max="90" width="8.7109375" hidden="1" customWidth="1" outlineLevel="1"/>
    <col min="91" max="91" width="8.7109375" customWidth="1" collapsed="1"/>
  </cols>
  <sheetData>
    <row r="1" spans="1:91" s="97" customFormat="1" ht="12.75" customHeight="1"/>
    <row r="2" spans="1:91" s="210" customFormat="1" ht="12.75" customHeight="1">
      <c r="A2" s="345" t="s">
        <v>166</v>
      </c>
      <c r="B2" s="209"/>
      <c r="C2" s="209"/>
      <c r="M2" s="211"/>
      <c r="S2" s="211"/>
      <c r="Y2" s="211"/>
      <c r="AE2" s="211"/>
      <c r="AG2" s="212"/>
    </row>
    <row r="3" spans="1:91" s="210" customFormat="1" ht="12.75" customHeight="1">
      <c r="A3" s="213" t="s">
        <v>50</v>
      </c>
      <c r="B3" s="213"/>
      <c r="C3" s="213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1649"/>
      <c r="AW3" s="214"/>
      <c r="AX3" s="86"/>
      <c r="AY3" s="86"/>
      <c r="AZ3" s="86"/>
      <c r="BA3" s="86"/>
      <c r="BB3" s="86"/>
      <c r="BC3" s="215"/>
      <c r="BD3" s="86"/>
      <c r="BE3" s="86"/>
      <c r="BF3" s="86"/>
      <c r="BG3" s="86"/>
      <c r="BH3" s="86"/>
      <c r="BI3" s="215"/>
      <c r="BJ3" s="86"/>
      <c r="BK3" s="86"/>
      <c r="BL3" s="86"/>
      <c r="BM3" s="86"/>
      <c r="BN3" s="86"/>
      <c r="BO3" s="215"/>
      <c r="BP3" s="86"/>
      <c r="BQ3" s="86"/>
      <c r="BR3" s="86"/>
      <c r="BS3" s="86"/>
      <c r="BT3" s="86"/>
      <c r="BU3" s="215"/>
      <c r="BW3" s="86"/>
      <c r="BX3" s="86"/>
      <c r="BY3" s="86"/>
      <c r="BZ3" s="86"/>
      <c r="CA3" s="215"/>
      <c r="CC3" s="86"/>
      <c r="CD3" s="86"/>
      <c r="CE3" s="86"/>
      <c r="CF3" s="86"/>
      <c r="CG3" s="215"/>
      <c r="CI3" s="86"/>
      <c r="CJ3" s="86"/>
      <c r="CK3" s="86"/>
      <c r="CL3" s="86"/>
      <c r="CM3" s="215"/>
    </row>
    <row r="4" spans="1:91" s="97" customFormat="1" ht="12.75" customHeight="1">
      <c r="A4" s="216" t="s">
        <v>51</v>
      </c>
      <c r="B4" s="216"/>
      <c r="C4" s="216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8"/>
      <c r="Z4" s="217"/>
      <c r="AA4" s="217"/>
      <c r="AB4" s="217"/>
      <c r="AC4" s="219"/>
      <c r="AD4" s="219"/>
      <c r="AE4" s="218"/>
      <c r="AF4" s="217"/>
      <c r="AG4" s="219"/>
      <c r="AH4" s="219"/>
      <c r="AI4" s="220"/>
      <c r="AJ4" s="219"/>
      <c r="AK4" s="219"/>
      <c r="AL4" s="217"/>
      <c r="AM4" s="219"/>
      <c r="AN4" s="219"/>
      <c r="AO4" s="219"/>
      <c r="AP4" s="219"/>
      <c r="AQ4" s="219"/>
      <c r="AR4" s="217"/>
      <c r="AS4" s="219"/>
      <c r="AT4" s="219"/>
      <c r="AU4" s="219"/>
      <c r="AV4" s="219"/>
      <c r="AW4" s="219"/>
      <c r="AX4" s="217"/>
      <c r="AY4" s="219"/>
      <c r="AZ4" s="219"/>
      <c r="BA4" s="219"/>
      <c r="BB4" s="219"/>
      <c r="BC4" s="219"/>
      <c r="BD4" s="217"/>
      <c r="BE4" s="219"/>
      <c r="BF4" s="219"/>
      <c r="BG4" s="219"/>
      <c r="BH4" s="219"/>
      <c r="BI4" s="219"/>
      <c r="BJ4" s="217"/>
      <c r="BK4" s="219"/>
      <c r="BL4" s="219"/>
      <c r="BM4" s="219"/>
      <c r="BN4" s="219"/>
      <c r="BO4" s="219"/>
      <c r="BP4" s="217"/>
      <c r="BQ4" s="219"/>
      <c r="BR4" s="219"/>
      <c r="BS4" s="219"/>
      <c r="BT4" s="219"/>
      <c r="BU4" s="219"/>
      <c r="BW4" s="219"/>
      <c r="BX4" s="219"/>
      <c r="BY4" s="219"/>
      <c r="BZ4" s="219"/>
      <c r="CA4" s="219"/>
      <c r="CC4" s="219"/>
      <c r="CD4" s="219"/>
      <c r="CE4" s="219"/>
      <c r="CF4" s="219"/>
      <c r="CG4" s="219"/>
      <c r="CI4" s="219"/>
      <c r="CJ4" s="219"/>
      <c r="CK4" s="219"/>
      <c r="CL4" s="219"/>
      <c r="CM4" s="219"/>
    </row>
    <row r="5" spans="1:91" s="97" customFormat="1" ht="12.75" customHeight="1">
      <c r="A5" s="221" t="s">
        <v>168</v>
      </c>
      <c r="B5" s="221"/>
      <c r="C5" s="222"/>
      <c r="Y5" s="223"/>
    </row>
    <row r="6" spans="1:91" s="23" customFormat="1" ht="12.75" hidden="1" customHeight="1" outlineLevel="1">
      <c r="A6" s="224"/>
      <c r="B6" s="224"/>
      <c r="C6" s="224"/>
      <c r="D6" s="225"/>
      <c r="E6" s="225"/>
      <c r="F6" s="225"/>
      <c r="G6" s="226" t="s">
        <v>169</v>
      </c>
      <c r="H6" s="227"/>
      <c r="I6" s="227"/>
      <c r="J6" s="227"/>
      <c r="K6" s="227"/>
      <c r="L6" s="227"/>
      <c r="M6" s="226" t="s">
        <v>170</v>
      </c>
      <c r="N6" s="227"/>
      <c r="O6" s="228" t="s">
        <v>273</v>
      </c>
      <c r="P6" s="228" t="s">
        <v>274</v>
      </c>
      <c r="Q6" s="228" t="s">
        <v>275</v>
      </c>
      <c r="R6" s="228" t="s">
        <v>276</v>
      </c>
      <c r="S6" s="226" t="s">
        <v>171</v>
      </c>
      <c r="T6" s="227"/>
      <c r="U6" s="228" t="s">
        <v>172</v>
      </c>
      <c r="V6" s="228" t="s">
        <v>173</v>
      </c>
      <c r="W6" s="228" t="s">
        <v>174</v>
      </c>
      <c r="X6" s="228" t="s">
        <v>175</v>
      </c>
      <c r="Y6" s="226" t="s">
        <v>176</v>
      </c>
      <c r="Z6" s="227"/>
      <c r="AA6" s="228" t="s">
        <v>177</v>
      </c>
      <c r="AB6" s="228" t="s">
        <v>178</v>
      </c>
      <c r="AC6" s="228" t="s">
        <v>179</v>
      </c>
      <c r="AD6" s="228" t="s">
        <v>180</v>
      </c>
      <c r="AE6" s="226" t="s">
        <v>181</v>
      </c>
      <c r="AF6" s="227"/>
      <c r="AG6" s="228" t="s">
        <v>277</v>
      </c>
      <c r="AH6" s="228" t="s">
        <v>278</v>
      </c>
      <c r="AI6" s="228" t="s">
        <v>279</v>
      </c>
      <c r="AJ6" s="228" t="s">
        <v>280</v>
      </c>
      <c r="AK6" s="226" t="s">
        <v>182</v>
      </c>
      <c r="AL6" s="227"/>
      <c r="AM6" s="226" t="s">
        <v>281</v>
      </c>
      <c r="AN6" s="226" t="s">
        <v>282</v>
      </c>
      <c r="AO6" s="226" t="s">
        <v>283</v>
      </c>
      <c r="AP6" s="226" t="s">
        <v>284</v>
      </c>
      <c r="AQ6" s="226" t="s">
        <v>183</v>
      </c>
      <c r="AR6" s="227"/>
      <c r="AS6" s="226" t="s">
        <v>285</v>
      </c>
      <c r="AT6" s="226" t="s">
        <v>286</v>
      </c>
      <c r="AU6" s="226" t="s">
        <v>287</v>
      </c>
      <c r="AV6" s="226" t="s">
        <v>288</v>
      </c>
      <c r="AW6" s="226" t="s">
        <v>184</v>
      </c>
      <c r="AX6" s="227"/>
      <c r="AY6" s="226" t="s">
        <v>126</v>
      </c>
      <c r="AZ6" s="226" t="s">
        <v>127</v>
      </c>
      <c r="BA6" s="226" t="s">
        <v>128</v>
      </c>
      <c r="BB6" s="226" t="s">
        <v>129</v>
      </c>
      <c r="BC6" s="226" t="s">
        <v>130</v>
      </c>
      <c r="BD6" s="227"/>
      <c r="BE6" s="226" t="s">
        <v>34</v>
      </c>
      <c r="BF6" s="226" t="s">
        <v>35</v>
      </c>
      <c r="BG6" s="226" t="s">
        <v>36</v>
      </c>
      <c r="BH6" s="226" t="s">
        <v>37</v>
      </c>
      <c r="BI6" s="226" t="s">
        <v>38</v>
      </c>
      <c r="BJ6" s="227"/>
      <c r="BK6" s="226" t="s">
        <v>39</v>
      </c>
      <c r="BL6" s="226" t="s">
        <v>40</v>
      </c>
      <c r="BM6" s="226" t="s">
        <v>41</v>
      </c>
      <c r="BN6" s="226" t="s">
        <v>42</v>
      </c>
      <c r="BO6" s="226" t="s">
        <v>43</v>
      </c>
      <c r="BP6" s="227"/>
      <c r="BQ6" s="226" t="s">
        <v>501</v>
      </c>
      <c r="BR6" s="226" t="s">
        <v>502</v>
      </c>
      <c r="BS6" s="226" t="s">
        <v>503</v>
      </c>
      <c r="BT6" s="226" t="s">
        <v>504</v>
      </c>
      <c r="BU6" s="226" t="s">
        <v>505</v>
      </c>
      <c r="BW6" s="226" t="s">
        <v>533</v>
      </c>
      <c r="BX6" s="226" t="s">
        <v>534</v>
      </c>
      <c r="BY6" s="226" t="s">
        <v>535</v>
      </c>
      <c r="BZ6" s="226" t="s">
        <v>536</v>
      </c>
      <c r="CA6" s="226" t="s">
        <v>537</v>
      </c>
      <c r="CC6" s="226" t="s">
        <v>556</v>
      </c>
      <c r="CD6" s="226" t="s">
        <v>557</v>
      </c>
      <c r="CE6" s="226" t="s">
        <v>558</v>
      </c>
      <c r="CF6" s="226" t="s">
        <v>559</v>
      </c>
      <c r="CG6" s="226" t="s">
        <v>560</v>
      </c>
      <c r="CI6" s="226" t="s">
        <v>561</v>
      </c>
      <c r="CJ6" s="226" t="s">
        <v>562</v>
      </c>
      <c r="CK6" s="226" t="s">
        <v>563</v>
      </c>
      <c r="CL6" s="226" t="s">
        <v>564</v>
      </c>
      <c r="CM6" s="226" t="s">
        <v>565</v>
      </c>
    </row>
    <row r="7" spans="1:91" s="97" customFormat="1" ht="12.75" customHeight="1" collapsed="1">
      <c r="A7" s="229"/>
      <c r="B7" s="229"/>
      <c r="C7" s="229"/>
      <c r="D7" s="224"/>
      <c r="E7" s="224"/>
      <c r="F7" s="224"/>
      <c r="G7" s="135">
        <v>2007</v>
      </c>
      <c r="H7" s="224"/>
      <c r="I7" s="224"/>
      <c r="J7" s="224"/>
      <c r="K7" s="224"/>
      <c r="L7" s="224"/>
      <c r="M7" s="135">
        <v>2008</v>
      </c>
      <c r="N7" s="224"/>
      <c r="O7" s="230">
        <f>IS!O7</f>
        <v>2009</v>
      </c>
      <c r="P7" s="231"/>
      <c r="Q7" s="231"/>
      <c r="R7" s="232"/>
      <c r="S7" s="135">
        <f>IS!S7</f>
        <v>2009</v>
      </c>
      <c r="T7" s="224"/>
      <c r="U7" s="230">
        <f>IS!U7</f>
        <v>2010</v>
      </c>
      <c r="V7" s="231"/>
      <c r="W7" s="231"/>
      <c r="X7" s="232"/>
      <c r="Y7" s="135">
        <f>IS!Y7</f>
        <v>2010</v>
      </c>
      <c r="Z7" s="224"/>
      <c r="AA7" s="230">
        <f>IS!AA7</f>
        <v>2011</v>
      </c>
      <c r="AB7" s="231"/>
      <c r="AC7" s="231"/>
      <c r="AD7" s="232"/>
      <c r="AE7" s="135">
        <f>IS!AE7</f>
        <v>2011</v>
      </c>
      <c r="AF7" s="224"/>
      <c r="AG7" s="230">
        <f>IS!AG7</f>
        <v>2012</v>
      </c>
      <c r="AH7" s="231"/>
      <c r="AI7" s="231"/>
      <c r="AJ7" s="232"/>
      <c r="AK7" s="135">
        <f>IS!AK7</f>
        <v>2012</v>
      </c>
      <c r="AL7" s="224"/>
      <c r="AM7" s="230">
        <f>IS!AM7</f>
        <v>2013</v>
      </c>
      <c r="AN7" s="231"/>
      <c r="AO7" s="231"/>
      <c r="AP7" s="232"/>
      <c r="AQ7" s="135">
        <f>IS!AQ7</f>
        <v>2013</v>
      </c>
      <c r="AR7" s="224"/>
      <c r="AS7" s="230">
        <f>IS!AS7</f>
        <v>2014</v>
      </c>
      <c r="AT7" s="231"/>
      <c r="AU7" s="231"/>
      <c r="AV7" s="232"/>
      <c r="AW7" s="135">
        <f>IS!AW7</f>
        <v>2014</v>
      </c>
      <c r="AX7" s="224"/>
      <c r="AY7" s="230">
        <f>IS!AY7</f>
        <v>2015</v>
      </c>
      <c r="AZ7" s="231"/>
      <c r="BA7" s="231"/>
      <c r="BB7" s="232"/>
      <c r="BC7" s="135">
        <f>IS!BC7</f>
        <v>2015</v>
      </c>
      <c r="BD7" s="224"/>
      <c r="BE7" s="230">
        <f>IS!BE7</f>
        <v>2016</v>
      </c>
      <c r="BF7" s="231"/>
      <c r="BG7" s="231"/>
      <c r="BH7" s="232"/>
      <c r="BI7" s="135">
        <f>IS!BI7</f>
        <v>2016</v>
      </c>
      <c r="BJ7" s="224"/>
      <c r="BK7" s="230">
        <f>IS!BK7</f>
        <v>2017</v>
      </c>
      <c r="BL7" s="231"/>
      <c r="BM7" s="231"/>
      <c r="BN7" s="232"/>
      <c r="BO7" s="135">
        <f>IS!BO7</f>
        <v>2017</v>
      </c>
      <c r="BP7" s="224"/>
      <c r="BQ7" s="233">
        <f>IS!BQ7</f>
        <v>2018</v>
      </c>
      <c r="BR7" s="231"/>
      <c r="BS7" s="231"/>
      <c r="BT7" s="232"/>
      <c r="BU7" s="139">
        <f>IS!BU7</f>
        <v>2018</v>
      </c>
      <c r="BW7" s="233">
        <f>IS!BW7</f>
        <v>2019</v>
      </c>
      <c r="BX7" s="231"/>
      <c r="BY7" s="231"/>
      <c r="BZ7" s="232"/>
      <c r="CA7" s="139">
        <f>IS!CA7</f>
        <v>2019</v>
      </c>
      <c r="CC7" s="233">
        <f>IS!CC7</f>
        <v>2020</v>
      </c>
      <c r="CD7" s="231"/>
      <c r="CE7" s="231"/>
      <c r="CF7" s="232"/>
      <c r="CG7" s="139">
        <f>IS!CG7</f>
        <v>2020</v>
      </c>
      <c r="CI7" s="233">
        <f>IS!CI7</f>
        <v>2021</v>
      </c>
      <c r="CJ7" s="231"/>
      <c r="CK7" s="231"/>
      <c r="CL7" s="232"/>
      <c r="CM7" s="139">
        <f>IS!CM7</f>
        <v>2021</v>
      </c>
    </row>
    <row r="8" spans="1:91" s="15" customFormat="1" ht="12.75" customHeight="1" thickBot="1">
      <c r="A8" s="234"/>
      <c r="B8" s="234"/>
      <c r="C8" s="234"/>
      <c r="D8" s="235"/>
      <c r="E8" s="235"/>
      <c r="F8" s="235"/>
      <c r="G8" s="236"/>
      <c r="H8" s="235"/>
      <c r="I8" s="235"/>
      <c r="J8" s="235"/>
      <c r="K8" s="235"/>
      <c r="L8" s="235"/>
      <c r="M8" s="236"/>
      <c r="N8" s="235"/>
      <c r="O8" s="237">
        <f>IS!O8</f>
        <v>39903</v>
      </c>
      <c r="P8" s="238">
        <f>IS!P8</f>
        <v>39994</v>
      </c>
      <c r="Q8" s="238">
        <f>IS!Q8</f>
        <v>40086</v>
      </c>
      <c r="R8" s="238">
        <f>IS!R8</f>
        <v>40178</v>
      </c>
      <c r="S8" s="239"/>
      <c r="T8" s="240"/>
      <c r="U8" s="237">
        <f>IS!U8</f>
        <v>40268</v>
      </c>
      <c r="V8" s="238">
        <f>IS!V8</f>
        <v>40359</v>
      </c>
      <c r="W8" s="238">
        <f>IS!W8</f>
        <v>40451</v>
      </c>
      <c r="X8" s="238">
        <f>IS!X8</f>
        <v>40543</v>
      </c>
      <c r="Y8" s="239"/>
      <c r="Z8" s="240"/>
      <c r="AA8" s="237">
        <f>IS!AA8</f>
        <v>40633</v>
      </c>
      <c r="AB8" s="238">
        <f>IS!AB8</f>
        <v>40724</v>
      </c>
      <c r="AC8" s="238">
        <f>IS!AC8</f>
        <v>40816</v>
      </c>
      <c r="AD8" s="238">
        <f>IS!AD8</f>
        <v>40908</v>
      </c>
      <c r="AE8" s="239"/>
      <c r="AF8" s="240"/>
      <c r="AG8" s="237">
        <f>IS!AG8</f>
        <v>40999</v>
      </c>
      <c r="AH8" s="238">
        <f>IS!AH8</f>
        <v>41090</v>
      </c>
      <c r="AI8" s="238">
        <f>IS!AI8</f>
        <v>41182</v>
      </c>
      <c r="AJ8" s="238">
        <f>IS!AJ8</f>
        <v>41274</v>
      </c>
      <c r="AK8" s="239"/>
      <c r="AL8" s="240"/>
      <c r="AM8" s="237">
        <f>IS!AM8</f>
        <v>41364</v>
      </c>
      <c r="AN8" s="238">
        <f>IS!AN8</f>
        <v>41455</v>
      </c>
      <c r="AO8" s="238">
        <f>IS!AO8</f>
        <v>41547</v>
      </c>
      <c r="AP8" s="238">
        <f>IS!AP8</f>
        <v>41639</v>
      </c>
      <c r="AQ8" s="239"/>
      <c r="AR8" s="240"/>
      <c r="AS8" s="237">
        <f>IS!AS8</f>
        <v>41729</v>
      </c>
      <c r="AT8" s="238">
        <f>IS!AT8</f>
        <v>41820</v>
      </c>
      <c r="AU8" s="238">
        <f>IS!AU8</f>
        <v>41912</v>
      </c>
      <c r="AV8" s="238">
        <f>IS!AV8</f>
        <v>42004</v>
      </c>
      <c r="AW8" s="239"/>
      <c r="AX8" s="240"/>
      <c r="AY8" s="237">
        <f>IS!AY8</f>
        <v>42094</v>
      </c>
      <c r="AZ8" s="238">
        <f>IS!AZ8</f>
        <v>42185</v>
      </c>
      <c r="BA8" s="238">
        <f>IS!BA8</f>
        <v>42277</v>
      </c>
      <c r="BB8" s="238">
        <f>IS!BB8</f>
        <v>42369</v>
      </c>
      <c r="BC8" s="239"/>
      <c r="BD8" s="240"/>
      <c r="BE8" s="237">
        <f>IS!BE8</f>
        <v>42460</v>
      </c>
      <c r="BF8" s="238">
        <f>IS!BF8</f>
        <v>42551</v>
      </c>
      <c r="BG8" s="238">
        <f>IS!BG8</f>
        <v>42643</v>
      </c>
      <c r="BH8" s="238">
        <f>IS!BH8</f>
        <v>42735</v>
      </c>
      <c r="BI8" s="239"/>
      <c r="BJ8" s="240"/>
      <c r="BK8" s="237">
        <f>IS!BK8</f>
        <v>42825</v>
      </c>
      <c r="BL8" s="238">
        <f>IS!BL8</f>
        <v>42916</v>
      </c>
      <c r="BM8" s="238">
        <f>IS!BM8</f>
        <v>43008</v>
      </c>
      <c r="BN8" s="238">
        <f>IS!BN8</f>
        <v>43100</v>
      </c>
      <c r="BO8" s="239"/>
      <c r="BP8" s="240"/>
      <c r="BQ8" s="242">
        <f>IS!BQ8</f>
        <v>43190</v>
      </c>
      <c r="BR8" s="241">
        <f>IS!BR8</f>
        <v>43281</v>
      </c>
      <c r="BS8" s="241">
        <f>IS!BS8</f>
        <v>43373</v>
      </c>
      <c r="BT8" s="241">
        <f>IS!BT8</f>
        <v>43465</v>
      </c>
      <c r="BU8" s="239"/>
      <c r="BW8" s="242">
        <f>IS!BW8</f>
        <v>43555</v>
      </c>
      <c r="BX8" s="241">
        <f>IS!BX8</f>
        <v>43646</v>
      </c>
      <c r="BY8" s="241">
        <f>IS!BY8</f>
        <v>43738</v>
      </c>
      <c r="BZ8" s="241">
        <f>IS!BZ8</f>
        <v>43830</v>
      </c>
      <c r="CA8" s="239"/>
      <c r="CC8" s="242">
        <f>IS!CC8</f>
        <v>43920</v>
      </c>
      <c r="CD8" s="241">
        <f>IS!CD8</f>
        <v>44011</v>
      </c>
      <c r="CE8" s="241">
        <f>IS!CE8</f>
        <v>44103</v>
      </c>
      <c r="CF8" s="241">
        <f>IS!CF8</f>
        <v>44195</v>
      </c>
      <c r="CG8" s="239"/>
      <c r="CI8" s="242">
        <f>IS!CI8</f>
        <v>44285</v>
      </c>
      <c r="CJ8" s="241">
        <f>IS!CJ8</f>
        <v>44376</v>
      </c>
      <c r="CK8" s="241">
        <f>IS!CK8</f>
        <v>44468</v>
      </c>
      <c r="CL8" s="241">
        <f>IS!CL8</f>
        <v>44560</v>
      </c>
      <c r="CM8" s="239"/>
    </row>
    <row r="9" spans="1:91" s="97" customFormat="1" ht="12.75" customHeight="1">
      <c r="A9" s="243" t="s">
        <v>52</v>
      </c>
      <c r="B9" s="244" t="s">
        <v>53</v>
      </c>
      <c r="C9" s="245" t="s">
        <v>54</v>
      </c>
      <c r="D9" s="245"/>
      <c r="E9" s="245"/>
      <c r="F9" s="245"/>
      <c r="G9" s="246"/>
      <c r="H9" s="247"/>
      <c r="I9" s="245"/>
      <c r="J9" s="245"/>
      <c r="K9" s="245"/>
      <c r="L9" s="245"/>
      <c r="M9" s="248"/>
      <c r="N9" s="248"/>
      <c r="O9" s="249"/>
      <c r="P9" s="250"/>
      <c r="Q9" s="250"/>
      <c r="R9" s="250"/>
      <c r="S9" s="248"/>
      <c r="T9" s="245"/>
      <c r="U9" s="249"/>
      <c r="V9" s="250"/>
      <c r="W9" s="250"/>
      <c r="X9" s="250"/>
      <c r="Y9" s="248"/>
      <c r="Z9" s="245"/>
      <c r="AA9" s="249"/>
      <c r="AB9" s="250"/>
      <c r="AC9" s="250"/>
      <c r="AD9" s="250"/>
      <c r="AE9" s="248"/>
      <c r="AF9" s="245"/>
      <c r="AG9" s="249"/>
      <c r="AH9" s="250"/>
      <c r="AI9" s="251"/>
      <c r="AJ9" s="251"/>
      <c r="AK9" s="248"/>
      <c r="AL9" s="245"/>
      <c r="AM9" s="249"/>
      <c r="AN9" s="250"/>
      <c r="AO9" s="250"/>
      <c r="AP9" s="250"/>
      <c r="AQ9" s="248"/>
      <c r="AR9" s="245"/>
      <c r="AS9" s="249"/>
      <c r="AT9" s="250"/>
      <c r="AU9" s="250"/>
      <c r="AV9" s="250"/>
      <c r="AW9" s="248"/>
      <c r="AX9" s="245"/>
      <c r="AY9" s="249"/>
      <c r="AZ9" s="250"/>
      <c r="BA9" s="250"/>
      <c r="BB9" s="250"/>
      <c r="BC9" s="248"/>
      <c r="BD9" s="245"/>
      <c r="BE9" s="249"/>
      <c r="BF9" s="250"/>
      <c r="BG9" s="250"/>
      <c r="BH9" s="250"/>
      <c r="BI9" s="248"/>
      <c r="BJ9" s="245"/>
      <c r="BK9" s="249"/>
      <c r="BL9" s="250"/>
      <c r="BM9" s="250"/>
      <c r="BN9" s="250"/>
      <c r="BO9" s="248"/>
      <c r="BP9" s="245"/>
      <c r="BQ9" s="249"/>
      <c r="BR9" s="250"/>
      <c r="BS9" s="250"/>
      <c r="BT9" s="250"/>
      <c r="BU9" s="248"/>
      <c r="BW9" s="249"/>
      <c r="BX9" s="250"/>
      <c r="BY9" s="250"/>
      <c r="BZ9" s="250"/>
      <c r="CA9" s="248"/>
      <c r="CC9" s="249"/>
      <c r="CD9" s="250"/>
      <c r="CE9" s="250"/>
      <c r="CF9" s="250"/>
      <c r="CG9" s="248"/>
      <c r="CI9" s="249"/>
      <c r="CJ9" s="250"/>
      <c r="CK9" s="250"/>
      <c r="CL9" s="250"/>
      <c r="CM9" s="248"/>
    </row>
    <row r="10" spans="1:91" s="15" customFormat="1" ht="12.75" customHeight="1">
      <c r="A10" s="252" t="s">
        <v>65</v>
      </c>
      <c r="B10" s="253">
        <v>3.7499999999999999E-2</v>
      </c>
      <c r="C10" s="1890">
        <v>42063</v>
      </c>
      <c r="D10" s="254"/>
      <c r="E10" s="254"/>
      <c r="F10" s="254"/>
      <c r="G10" s="255"/>
      <c r="H10" s="254"/>
      <c r="I10" s="254"/>
      <c r="J10" s="254"/>
      <c r="K10" s="254"/>
      <c r="L10" s="254"/>
      <c r="M10" s="255"/>
      <c r="N10" s="254"/>
      <c r="O10" s="256"/>
      <c r="P10" s="257"/>
      <c r="Q10" s="257"/>
      <c r="R10" s="257"/>
      <c r="S10" s="258"/>
      <c r="T10" s="254"/>
      <c r="U10" s="256"/>
      <c r="V10" s="257"/>
      <c r="W10" s="257"/>
      <c r="X10" s="257"/>
      <c r="Y10" s="323">
        <v>100</v>
      </c>
      <c r="Z10" s="254"/>
      <c r="AA10" s="256">
        <v>100</v>
      </c>
      <c r="AB10" s="257">
        <v>100</v>
      </c>
      <c r="AC10" s="257">
        <v>100</v>
      </c>
      <c r="AD10" s="257">
        <v>100</v>
      </c>
      <c r="AE10" s="258">
        <f t="shared" ref="AE10:AE22" si="0">AD10</f>
        <v>100</v>
      </c>
      <c r="AF10" s="254"/>
      <c r="AG10" s="256">
        <v>100</v>
      </c>
      <c r="AH10" s="257">
        <v>100</v>
      </c>
      <c r="AI10" s="257">
        <v>100</v>
      </c>
      <c r="AJ10" s="257">
        <v>100</v>
      </c>
      <c r="AK10" s="258">
        <f t="shared" ref="AK10:AK22" si="1">AJ10</f>
        <v>100</v>
      </c>
      <c r="AL10" s="254"/>
      <c r="AM10" s="256">
        <v>100</v>
      </c>
      <c r="AN10" s="257">
        <v>100</v>
      </c>
      <c r="AO10" s="257">
        <v>100</v>
      </c>
      <c r="AP10" s="289">
        <v>100</v>
      </c>
      <c r="AQ10" s="258">
        <f t="shared" ref="AQ10:AQ22" si="2">AP10</f>
        <v>100</v>
      </c>
      <c r="AR10" s="254"/>
      <c r="AS10" s="256">
        <v>100</v>
      </c>
      <c r="AT10" s="257">
        <v>100</v>
      </c>
      <c r="AU10" s="257">
        <v>100</v>
      </c>
      <c r="AV10" s="289">
        <v>100</v>
      </c>
      <c r="AW10" s="258">
        <f t="shared" ref="AW10:AW22" si="3">AV10</f>
        <v>100</v>
      </c>
      <c r="AX10" s="254"/>
      <c r="AY10" s="256">
        <v>0</v>
      </c>
      <c r="AZ10" s="257">
        <v>0</v>
      </c>
      <c r="BA10" s="257">
        <v>0</v>
      </c>
      <c r="BB10" s="289">
        <v>0</v>
      </c>
      <c r="BC10" s="258">
        <f t="shared" ref="BC10:BC22" si="4">BB10</f>
        <v>0</v>
      </c>
      <c r="BD10" s="254"/>
      <c r="BE10" s="1671">
        <v>0</v>
      </c>
      <c r="BF10" s="257">
        <v>0</v>
      </c>
      <c r="BG10" s="257">
        <v>0</v>
      </c>
      <c r="BH10" s="257">
        <v>0</v>
      </c>
      <c r="BI10" s="258">
        <f t="shared" ref="BI10:BI22" si="5">BH10</f>
        <v>0</v>
      </c>
      <c r="BJ10" s="254"/>
      <c r="BK10" s="1671">
        <v>0</v>
      </c>
      <c r="BL10" s="257">
        <v>0</v>
      </c>
      <c r="BM10" s="257">
        <v>0</v>
      </c>
      <c r="BN10" s="257">
        <v>0</v>
      </c>
      <c r="BO10" s="258">
        <f t="shared" ref="BO10:BO22" si="6">BN10</f>
        <v>0</v>
      </c>
      <c r="BP10" s="254"/>
      <c r="BQ10" s="261">
        <f t="shared" ref="BQ10:BQ22" si="7">BO10+BQ31</f>
        <v>0</v>
      </c>
      <c r="BR10" s="254">
        <f t="shared" ref="BR10:BT22" si="8">BQ10+BR31</f>
        <v>0</v>
      </c>
      <c r="BS10" s="254">
        <f t="shared" si="8"/>
        <v>0</v>
      </c>
      <c r="BT10" s="254">
        <f t="shared" si="8"/>
        <v>0</v>
      </c>
      <c r="BU10" s="258">
        <f t="shared" ref="BU10:BU22" si="9">BT10</f>
        <v>0</v>
      </c>
      <c r="BW10" s="261">
        <f t="shared" ref="BW10:BW22" si="10">BU10+BW31</f>
        <v>0</v>
      </c>
      <c r="BX10" s="254">
        <f t="shared" ref="BX10:BX22" si="11">BW10+BX31</f>
        <v>0</v>
      </c>
      <c r="BY10" s="254">
        <f t="shared" ref="BY10:BY22" si="12">BX10+BY31</f>
        <v>0</v>
      </c>
      <c r="BZ10" s="254">
        <f t="shared" ref="BZ10:BZ22" si="13">BY10+BZ31</f>
        <v>0</v>
      </c>
      <c r="CA10" s="258">
        <f t="shared" ref="CA10:CA17" si="14">BZ10</f>
        <v>0</v>
      </c>
      <c r="CC10" s="261">
        <f t="shared" ref="CC10:CC22" si="15">CA10+CC31</f>
        <v>0</v>
      </c>
      <c r="CD10" s="254">
        <f t="shared" ref="CD10:CD22" si="16">CC10+CD31</f>
        <v>0</v>
      </c>
      <c r="CE10" s="254">
        <f t="shared" ref="CE10:CE22" si="17">CD10+CE31</f>
        <v>0</v>
      </c>
      <c r="CF10" s="254">
        <f t="shared" ref="CF10:CF22" si="18">CE10+CF31</f>
        <v>0</v>
      </c>
      <c r="CG10" s="258">
        <f t="shared" ref="CG10:CG17" si="19">CF10</f>
        <v>0</v>
      </c>
      <c r="CI10" s="261">
        <f t="shared" ref="CI10:CI22" si="20">CG10+CI31</f>
        <v>0</v>
      </c>
      <c r="CJ10" s="254">
        <f t="shared" ref="CJ10:CJ22" si="21">CI10+CJ31</f>
        <v>0</v>
      </c>
      <c r="CK10" s="254">
        <f t="shared" ref="CK10:CK22" si="22">CJ10+CK31</f>
        <v>0</v>
      </c>
      <c r="CL10" s="254">
        <f t="shared" ref="CL10:CL22" si="23">CK10+CL31</f>
        <v>0</v>
      </c>
      <c r="CM10" s="258">
        <f t="shared" ref="CM10:CM17" si="24">CL10</f>
        <v>0</v>
      </c>
    </row>
    <row r="11" spans="1:91" s="15" customFormat="1" ht="12.75" customHeight="1">
      <c r="A11" s="262" t="s">
        <v>66</v>
      </c>
      <c r="B11" s="253">
        <v>0.05</v>
      </c>
      <c r="C11" s="1890">
        <v>43889</v>
      </c>
      <c r="D11" s="254"/>
      <c r="E11" s="254"/>
      <c r="F11" s="254"/>
      <c r="G11" s="255"/>
      <c r="H11" s="254"/>
      <c r="I11" s="254"/>
      <c r="J11" s="254"/>
      <c r="K11" s="254"/>
      <c r="L11" s="254"/>
      <c r="M11" s="255"/>
      <c r="N11" s="254"/>
      <c r="O11" s="256"/>
      <c r="P11" s="257"/>
      <c r="Q11" s="257"/>
      <c r="R11" s="257"/>
      <c r="S11" s="258"/>
      <c r="T11" s="254"/>
      <c r="U11" s="256"/>
      <c r="V11" s="257"/>
      <c r="W11" s="257"/>
      <c r="X11" s="257"/>
      <c r="Y11" s="323">
        <v>100</v>
      </c>
      <c r="Z11" s="254"/>
      <c r="AA11" s="256">
        <v>100</v>
      </c>
      <c r="AB11" s="257">
        <v>100</v>
      </c>
      <c r="AC11" s="257">
        <v>100</v>
      </c>
      <c r="AD11" s="257">
        <v>100</v>
      </c>
      <c r="AE11" s="258">
        <f t="shared" si="0"/>
        <v>100</v>
      </c>
      <c r="AF11" s="254"/>
      <c r="AG11" s="256">
        <v>100</v>
      </c>
      <c r="AH11" s="257">
        <v>100</v>
      </c>
      <c r="AI11" s="257">
        <v>100</v>
      </c>
      <c r="AJ11" s="257">
        <v>100</v>
      </c>
      <c r="AK11" s="258">
        <f t="shared" si="1"/>
        <v>100</v>
      </c>
      <c r="AL11" s="254"/>
      <c r="AM11" s="256">
        <v>100</v>
      </c>
      <c r="AN11" s="257">
        <v>100</v>
      </c>
      <c r="AO11" s="257">
        <v>100</v>
      </c>
      <c r="AP11" s="289">
        <v>100</v>
      </c>
      <c r="AQ11" s="258">
        <f t="shared" si="2"/>
        <v>100</v>
      </c>
      <c r="AR11" s="254"/>
      <c r="AS11" s="256">
        <v>100</v>
      </c>
      <c r="AT11" s="257">
        <v>100</v>
      </c>
      <c r="AU11" s="257">
        <v>100</v>
      </c>
      <c r="AV11" s="289">
        <v>100</v>
      </c>
      <c r="AW11" s="258">
        <f t="shared" si="3"/>
        <v>100</v>
      </c>
      <c r="AX11" s="254"/>
      <c r="AY11" s="256">
        <v>100</v>
      </c>
      <c r="AZ11" s="257">
        <v>100</v>
      </c>
      <c r="BA11" s="257">
        <v>100</v>
      </c>
      <c r="BB11" s="289">
        <v>100</v>
      </c>
      <c r="BC11" s="258">
        <f t="shared" si="4"/>
        <v>100</v>
      </c>
      <c r="BD11" s="254"/>
      <c r="BE11" s="1671">
        <v>100</v>
      </c>
      <c r="BF11" s="257">
        <v>100</v>
      </c>
      <c r="BG11" s="257">
        <v>100</v>
      </c>
      <c r="BH11" s="257">
        <v>100</v>
      </c>
      <c r="BI11" s="258">
        <f t="shared" si="5"/>
        <v>100</v>
      </c>
      <c r="BJ11" s="254"/>
      <c r="BK11" s="1671">
        <v>100</v>
      </c>
      <c r="BL11" s="257">
        <v>100</v>
      </c>
      <c r="BM11" s="257">
        <v>100</v>
      </c>
      <c r="BN11" s="257">
        <v>100</v>
      </c>
      <c r="BO11" s="258">
        <f t="shared" si="6"/>
        <v>100</v>
      </c>
      <c r="BP11" s="254"/>
      <c r="BQ11" s="261">
        <f t="shared" si="7"/>
        <v>100</v>
      </c>
      <c r="BR11" s="254">
        <f t="shared" si="8"/>
        <v>100</v>
      </c>
      <c r="BS11" s="254">
        <f t="shared" si="8"/>
        <v>100</v>
      </c>
      <c r="BT11" s="254">
        <f t="shared" si="8"/>
        <v>100</v>
      </c>
      <c r="BU11" s="258">
        <f t="shared" si="9"/>
        <v>100</v>
      </c>
      <c r="BW11" s="261">
        <f t="shared" si="10"/>
        <v>0</v>
      </c>
      <c r="BX11" s="254">
        <f t="shared" si="11"/>
        <v>0</v>
      </c>
      <c r="BY11" s="254">
        <f t="shared" si="12"/>
        <v>0</v>
      </c>
      <c r="BZ11" s="254">
        <f t="shared" si="13"/>
        <v>0</v>
      </c>
      <c r="CA11" s="258">
        <f t="shared" si="14"/>
        <v>0</v>
      </c>
      <c r="CC11" s="261">
        <f t="shared" si="15"/>
        <v>0</v>
      </c>
      <c r="CD11" s="254">
        <f t="shared" si="16"/>
        <v>0</v>
      </c>
      <c r="CE11" s="254">
        <f t="shared" si="17"/>
        <v>0</v>
      </c>
      <c r="CF11" s="254">
        <f t="shared" si="18"/>
        <v>0</v>
      </c>
      <c r="CG11" s="258">
        <f t="shared" si="19"/>
        <v>0</v>
      </c>
      <c r="CI11" s="261">
        <f t="shared" si="20"/>
        <v>0</v>
      </c>
      <c r="CJ11" s="254">
        <f t="shared" si="21"/>
        <v>0</v>
      </c>
      <c r="CK11" s="254">
        <f t="shared" si="22"/>
        <v>0</v>
      </c>
      <c r="CL11" s="254">
        <f t="shared" si="23"/>
        <v>0</v>
      </c>
      <c r="CM11" s="258">
        <f t="shared" si="24"/>
        <v>0</v>
      </c>
    </row>
    <row r="12" spans="1:91" s="15" customFormat="1" ht="12.75" customHeight="1">
      <c r="A12" s="264" t="s">
        <v>67</v>
      </c>
      <c r="B12" s="253">
        <v>2.5000000000000001E-2</v>
      </c>
      <c r="C12" s="1890">
        <v>42460</v>
      </c>
      <c r="D12" s="254"/>
      <c r="E12" s="254"/>
      <c r="F12" s="254"/>
      <c r="G12" s="255"/>
      <c r="H12" s="254"/>
      <c r="I12" s="254"/>
      <c r="J12" s="254"/>
      <c r="K12" s="254"/>
      <c r="L12" s="254"/>
      <c r="M12" s="255"/>
      <c r="N12" s="254"/>
      <c r="O12" s="256"/>
      <c r="P12" s="257"/>
      <c r="Q12" s="257"/>
      <c r="R12" s="257"/>
      <c r="S12" s="258"/>
      <c r="T12" s="254"/>
      <c r="U12" s="256"/>
      <c r="V12" s="257"/>
      <c r="W12" s="257"/>
      <c r="X12" s="257"/>
      <c r="Y12" s="323">
        <v>0</v>
      </c>
      <c r="Z12" s="254"/>
      <c r="AA12" s="256">
        <v>50</v>
      </c>
      <c r="AB12" s="257">
        <v>50</v>
      </c>
      <c r="AC12" s="257">
        <v>50</v>
      </c>
      <c r="AD12" s="257">
        <v>50</v>
      </c>
      <c r="AE12" s="258">
        <f t="shared" si="0"/>
        <v>50</v>
      </c>
      <c r="AF12" s="254"/>
      <c r="AG12" s="256">
        <v>50</v>
      </c>
      <c r="AH12" s="257">
        <v>50</v>
      </c>
      <c r="AI12" s="257">
        <v>50</v>
      </c>
      <c r="AJ12" s="257">
        <v>50</v>
      </c>
      <c r="AK12" s="258">
        <f t="shared" si="1"/>
        <v>50</v>
      </c>
      <c r="AL12" s="254"/>
      <c r="AM12" s="256">
        <v>50</v>
      </c>
      <c r="AN12" s="257">
        <v>50</v>
      </c>
      <c r="AO12" s="257">
        <v>50</v>
      </c>
      <c r="AP12" s="289">
        <v>50</v>
      </c>
      <c r="AQ12" s="258">
        <f t="shared" si="2"/>
        <v>50</v>
      </c>
      <c r="AR12" s="254"/>
      <c r="AS12" s="256">
        <v>50</v>
      </c>
      <c r="AT12" s="257">
        <v>50</v>
      </c>
      <c r="AU12" s="257">
        <v>50</v>
      </c>
      <c r="AV12" s="289">
        <v>50</v>
      </c>
      <c r="AW12" s="258">
        <f t="shared" si="3"/>
        <v>50</v>
      </c>
      <c r="AX12" s="254"/>
      <c r="AY12" s="256">
        <v>50</v>
      </c>
      <c r="AZ12" s="257">
        <v>50</v>
      </c>
      <c r="BA12" s="257">
        <v>50</v>
      </c>
      <c r="BB12" s="289">
        <v>50</v>
      </c>
      <c r="BC12" s="258">
        <f t="shared" si="4"/>
        <v>50</v>
      </c>
      <c r="BD12" s="254"/>
      <c r="BE12" s="1671">
        <v>0</v>
      </c>
      <c r="BF12" s="257">
        <v>0</v>
      </c>
      <c r="BG12" s="257">
        <v>0</v>
      </c>
      <c r="BH12" s="257">
        <v>0</v>
      </c>
      <c r="BI12" s="258">
        <f t="shared" si="5"/>
        <v>0</v>
      </c>
      <c r="BJ12" s="254"/>
      <c r="BK12" s="1671">
        <v>0</v>
      </c>
      <c r="BL12" s="257">
        <v>0</v>
      </c>
      <c r="BM12" s="257">
        <v>0</v>
      </c>
      <c r="BN12" s="257">
        <v>0</v>
      </c>
      <c r="BO12" s="258">
        <f t="shared" si="6"/>
        <v>0</v>
      </c>
      <c r="BP12" s="254"/>
      <c r="BQ12" s="261">
        <f t="shared" si="7"/>
        <v>0</v>
      </c>
      <c r="BR12" s="254">
        <f t="shared" si="8"/>
        <v>0</v>
      </c>
      <c r="BS12" s="254">
        <f t="shared" si="8"/>
        <v>0</v>
      </c>
      <c r="BT12" s="254">
        <f t="shared" si="8"/>
        <v>0</v>
      </c>
      <c r="BU12" s="258">
        <f t="shared" si="9"/>
        <v>0</v>
      </c>
      <c r="BW12" s="261">
        <f t="shared" si="10"/>
        <v>0</v>
      </c>
      <c r="BX12" s="254">
        <f t="shared" si="11"/>
        <v>0</v>
      </c>
      <c r="BY12" s="254">
        <f t="shared" si="12"/>
        <v>0</v>
      </c>
      <c r="BZ12" s="254">
        <f t="shared" si="13"/>
        <v>0</v>
      </c>
      <c r="CA12" s="258">
        <f t="shared" si="14"/>
        <v>0</v>
      </c>
      <c r="CC12" s="261">
        <f t="shared" si="15"/>
        <v>0</v>
      </c>
      <c r="CD12" s="254">
        <f t="shared" si="16"/>
        <v>0</v>
      </c>
      <c r="CE12" s="254">
        <f t="shared" si="17"/>
        <v>0</v>
      </c>
      <c r="CF12" s="254">
        <f t="shared" si="18"/>
        <v>0</v>
      </c>
      <c r="CG12" s="258">
        <f t="shared" si="19"/>
        <v>0</v>
      </c>
      <c r="CI12" s="261">
        <f t="shared" si="20"/>
        <v>0</v>
      </c>
      <c r="CJ12" s="254">
        <f t="shared" si="21"/>
        <v>0</v>
      </c>
      <c r="CK12" s="254">
        <f t="shared" si="22"/>
        <v>0</v>
      </c>
      <c r="CL12" s="254">
        <f t="shared" si="23"/>
        <v>0</v>
      </c>
      <c r="CM12" s="258">
        <f t="shared" si="24"/>
        <v>0</v>
      </c>
    </row>
    <row r="13" spans="1:91" s="15" customFormat="1" ht="12.75" customHeight="1">
      <c r="A13" s="252" t="s">
        <v>68</v>
      </c>
      <c r="B13" s="253">
        <v>3.2199999999999999E-2</v>
      </c>
      <c r="C13" s="1890">
        <v>43190</v>
      </c>
      <c r="D13" s="254"/>
      <c r="E13" s="254"/>
      <c r="F13" s="254"/>
      <c r="G13" s="255"/>
      <c r="H13" s="254"/>
      <c r="I13" s="254"/>
      <c r="J13" s="254"/>
      <c r="K13" s="254"/>
      <c r="L13" s="254"/>
      <c r="M13" s="255"/>
      <c r="N13" s="254"/>
      <c r="O13" s="256"/>
      <c r="P13" s="257"/>
      <c r="Q13" s="257"/>
      <c r="R13" s="257"/>
      <c r="S13" s="258"/>
      <c r="T13" s="254"/>
      <c r="U13" s="256"/>
      <c r="V13" s="257"/>
      <c r="W13" s="257"/>
      <c r="X13" s="257"/>
      <c r="Y13" s="323">
        <v>0</v>
      </c>
      <c r="Z13" s="254"/>
      <c r="AA13" s="256">
        <v>100</v>
      </c>
      <c r="AB13" s="257">
        <v>100</v>
      </c>
      <c r="AC13" s="257">
        <v>100</v>
      </c>
      <c r="AD13" s="257">
        <v>100</v>
      </c>
      <c r="AE13" s="258">
        <f t="shared" si="0"/>
        <v>100</v>
      </c>
      <c r="AF13" s="254"/>
      <c r="AG13" s="256">
        <v>100</v>
      </c>
      <c r="AH13" s="257">
        <v>100</v>
      </c>
      <c r="AI13" s="257">
        <v>100</v>
      </c>
      <c r="AJ13" s="257">
        <v>100</v>
      </c>
      <c r="AK13" s="258">
        <f t="shared" si="1"/>
        <v>100</v>
      </c>
      <c r="AL13" s="254"/>
      <c r="AM13" s="256">
        <v>100</v>
      </c>
      <c r="AN13" s="257">
        <v>100</v>
      </c>
      <c r="AO13" s="257">
        <v>100</v>
      </c>
      <c r="AP13" s="289">
        <v>100</v>
      </c>
      <c r="AQ13" s="258">
        <f t="shared" si="2"/>
        <v>100</v>
      </c>
      <c r="AR13" s="254"/>
      <c r="AS13" s="256">
        <v>100</v>
      </c>
      <c r="AT13" s="257">
        <v>100</v>
      </c>
      <c r="AU13" s="257">
        <v>100</v>
      </c>
      <c r="AV13" s="289">
        <v>100</v>
      </c>
      <c r="AW13" s="258">
        <f t="shared" si="3"/>
        <v>100</v>
      </c>
      <c r="AX13" s="254"/>
      <c r="AY13" s="256">
        <v>100</v>
      </c>
      <c r="AZ13" s="257">
        <v>100</v>
      </c>
      <c r="BA13" s="257">
        <v>100</v>
      </c>
      <c r="BB13" s="289">
        <v>100</v>
      </c>
      <c r="BC13" s="258">
        <f t="shared" si="4"/>
        <v>100</v>
      </c>
      <c r="BD13" s="254"/>
      <c r="BE13" s="1671">
        <v>100</v>
      </c>
      <c r="BF13" s="257">
        <v>100</v>
      </c>
      <c r="BG13" s="257">
        <v>100</v>
      </c>
      <c r="BH13" s="257">
        <v>100</v>
      </c>
      <c r="BI13" s="258">
        <f t="shared" si="5"/>
        <v>100</v>
      </c>
      <c r="BJ13" s="254"/>
      <c r="BK13" s="1671">
        <v>100</v>
      </c>
      <c r="BL13" s="257">
        <v>100</v>
      </c>
      <c r="BM13" s="257">
        <v>100</v>
      </c>
      <c r="BN13" s="257">
        <v>100</v>
      </c>
      <c r="BO13" s="258">
        <f t="shared" si="6"/>
        <v>100</v>
      </c>
      <c r="BP13" s="254"/>
      <c r="BQ13" s="261">
        <f t="shared" si="7"/>
        <v>0</v>
      </c>
      <c r="BR13" s="254">
        <f t="shared" si="8"/>
        <v>0</v>
      </c>
      <c r="BS13" s="254">
        <f t="shared" si="8"/>
        <v>0</v>
      </c>
      <c r="BT13" s="254">
        <f t="shared" si="8"/>
        <v>0</v>
      </c>
      <c r="BU13" s="258">
        <f t="shared" si="9"/>
        <v>0</v>
      </c>
      <c r="BW13" s="261">
        <f t="shared" si="10"/>
        <v>0</v>
      </c>
      <c r="BX13" s="254">
        <f t="shared" si="11"/>
        <v>0</v>
      </c>
      <c r="BY13" s="254">
        <f t="shared" si="12"/>
        <v>0</v>
      </c>
      <c r="BZ13" s="254">
        <f t="shared" si="13"/>
        <v>0</v>
      </c>
      <c r="CA13" s="258">
        <f t="shared" si="14"/>
        <v>0</v>
      </c>
      <c r="CC13" s="261">
        <f t="shared" si="15"/>
        <v>0</v>
      </c>
      <c r="CD13" s="254">
        <f t="shared" si="16"/>
        <v>0</v>
      </c>
      <c r="CE13" s="254">
        <f t="shared" si="17"/>
        <v>0</v>
      </c>
      <c r="CF13" s="254">
        <f t="shared" si="18"/>
        <v>0</v>
      </c>
      <c r="CG13" s="258">
        <f t="shared" si="19"/>
        <v>0</v>
      </c>
      <c r="CI13" s="261">
        <f t="shared" si="20"/>
        <v>0</v>
      </c>
      <c r="CJ13" s="254">
        <f t="shared" si="21"/>
        <v>0</v>
      </c>
      <c r="CK13" s="254">
        <f t="shared" si="22"/>
        <v>0</v>
      </c>
      <c r="CL13" s="254">
        <f t="shared" si="23"/>
        <v>0</v>
      </c>
      <c r="CM13" s="258">
        <f t="shared" si="24"/>
        <v>0</v>
      </c>
    </row>
    <row r="14" spans="1:91" s="15" customFormat="1" ht="12.75" customHeight="1">
      <c r="A14" s="266" t="s">
        <v>69</v>
      </c>
      <c r="B14" s="253">
        <v>3.9699999999999999E-2</v>
      </c>
      <c r="C14" s="1890">
        <v>44286</v>
      </c>
      <c r="D14" s="254"/>
      <c r="E14" s="254"/>
      <c r="F14" s="254"/>
      <c r="G14" s="255"/>
      <c r="H14" s="254"/>
      <c r="I14" s="254"/>
      <c r="J14" s="254"/>
      <c r="K14" s="254"/>
      <c r="L14" s="254"/>
      <c r="M14" s="255"/>
      <c r="N14" s="254"/>
      <c r="O14" s="268"/>
      <c r="P14" s="269"/>
      <c r="Q14" s="269"/>
      <c r="R14" s="269"/>
      <c r="S14" s="258"/>
      <c r="T14" s="254"/>
      <c r="U14" s="268"/>
      <c r="V14" s="269"/>
      <c r="W14" s="269"/>
      <c r="X14" s="269"/>
      <c r="Y14" s="323">
        <v>0</v>
      </c>
      <c r="Z14" s="254"/>
      <c r="AA14" s="256">
        <v>50</v>
      </c>
      <c r="AB14" s="257">
        <v>50</v>
      </c>
      <c r="AC14" s="257">
        <v>50</v>
      </c>
      <c r="AD14" s="257">
        <v>50</v>
      </c>
      <c r="AE14" s="258">
        <f t="shared" si="0"/>
        <v>50</v>
      </c>
      <c r="AF14" s="254"/>
      <c r="AG14" s="256">
        <v>50</v>
      </c>
      <c r="AH14" s="257">
        <v>50</v>
      </c>
      <c r="AI14" s="257">
        <v>50</v>
      </c>
      <c r="AJ14" s="257">
        <v>50</v>
      </c>
      <c r="AK14" s="258">
        <f t="shared" si="1"/>
        <v>50</v>
      </c>
      <c r="AL14" s="254"/>
      <c r="AM14" s="256">
        <v>50</v>
      </c>
      <c r="AN14" s="257">
        <v>50</v>
      </c>
      <c r="AO14" s="257">
        <v>50</v>
      </c>
      <c r="AP14" s="289">
        <v>50</v>
      </c>
      <c r="AQ14" s="258">
        <f t="shared" si="2"/>
        <v>50</v>
      </c>
      <c r="AR14" s="254"/>
      <c r="AS14" s="256">
        <v>50</v>
      </c>
      <c r="AT14" s="257">
        <v>50</v>
      </c>
      <c r="AU14" s="257">
        <v>50</v>
      </c>
      <c r="AV14" s="289">
        <v>50</v>
      </c>
      <c r="AW14" s="258">
        <f t="shared" si="3"/>
        <v>50</v>
      </c>
      <c r="AX14" s="254"/>
      <c r="AY14" s="256">
        <v>50</v>
      </c>
      <c r="AZ14" s="257">
        <v>50</v>
      </c>
      <c r="BA14" s="257">
        <v>50</v>
      </c>
      <c r="BB14" s="289">
        <v>50</v>
      </c>
      <c r="BC14" s="258">
        <f t="shared" si="4"/>
        <v>50</v>
      </c>
      <c r="BD14" s="254"/>
      <c r="BE14" s="1671">
        <v>50</v>
      </c>
      <c r="BF14" s="257">
        <v>50</v>
      </c>
      <c r="BG14" s="257">
        <v>50</v>
      </c>
      <c r="BH14" s="257">
        <v>50</v>
      </c>
      <c r="BI14" s="258">
        <f t="shared" si="5"/>
        <v>50</v>
      </c>
      <c r="BJ14" s="254"/>
      <c r="BK14" s="1671">
        <v>50</v>
      </c>
      <c r="BL14" s="257">
        <v>50</v>
      </c>
      <c r="BM14" s="257">
        <v>50</v>
      </c>
      <c r="BN14" s="257">
        <v>50</v>
      </c>
      <c r="BO14" s="258">
        <f t="shared" si="6"/>
        <v>50</v>
      </c>
      <c r="BP14" s="254"/>
      <c r="BQ14" s="261">
        <f t="shared" si="7"/>
        <v>50</v>
      </c>
      <c r="BR14" s="254">
        <f t="shared" si="8"/>
        <v>50</v>
      </c>
      <c r="BS14" s="254">
        <f t="shared" si="8"/>
        <v>50</v>
      </c>
      <c r="BT14" s="254">
        <f t="shared" si="8"/>
        <v>50</v>
      </c>
      <c r="BU14" s="258">
        <f t="shared" si="9"/>
        <v>50</v>
      </c>
      <c r="BW14" s="261">
        <f t="shared" si="10"/>
        <v>50</v>
      </c>
      <c r="BX14" s="254">
        <f t="shared" si="11"/>
        <v>50</v>
      </c>
      <c r="BY14" s="254">
        <f t="shared" si="12"/>
        <v>50</v>
      </c>
      <c r="BZ14" s="254">
        <f t="shared" si="13"/>
        <v>50</v>
      </c>
      <c r="CA14" s="258">
        <f t="shared" si="14"/>
        <v>50</v>
      </c>
      <c r="CC14" s="261">
        <f t="shared" si="15"/>
        <v>50</v>
      </c>
      <c r="CD14" s="254">
        <f t="shared" si="16"/>
        <v>50</v>
      </c>
      <c r="CE14" s="254">
        <f t="shared" si="17"/>
        <v>50</v>
      </c>
      <c r="CF14" s="254">
        <f t="shared" si="18"/>
        <v>50</v>
      </c>
      <c r="CG14" s="258">
        <f t="shared" si="19"/>
        <v>50</v>
      </c>
      <c r="CI14" s="261">
        <f t="shared" si="20"/>
        <v>50</v>
      </c>
      <c r="CJ14" s="254">
        <f t="shared" si="21"/>
        <v>50</v>
      </c>
      <c r="CK14" s="254">
        <f t="shared" si="22"/>
        <v>50</v>
      </c>
      <c r="CL14" s="254">
        <f t="shared" si="23"/>
        <v>50</v>
      </c>
      <c r="CM14" s="258">
        <f t="shared" si="24"/>
        <v>50</v>
      </c>
    </row>
    <row r="15" spans="1:91" s="97" customFormat="1" ht="12.75" customHeight="1">
      <c r="A15" s="1487" t="s">
        <v>480</v>
      </c>
      <c r="B15" s="253">
        <v>3.4000000000000002E-2</v>
      </c>
      <c r="C15" s="1891" t="s">
        <v>483</v>
      </c>
      <c r="D15" s="254"/>
      <c r="E15" s="254"/>
      <c r="F15" s="254"/>
      <c r="G15" s="255"/>
      <c r="H15" s="254"/>
      <c r="I15" s="254"/>
      <c r="J15" s="254"/>
      <c r="K15" s="254"/>
      <c r="L15" s="254"/>
      <c r="M15" s="255"/>
      <c r="N15" s="254"/>
      <c r="O15" s="268"/>
      <c r="P15" s="269"/>
      <c r="Q15" s="269"/>
      <c r="R15" s="269"/>
      <c r="S15" s="258"/>
      <c r="T15" s="254"/>
      <c r="U15" s="268"/>
      <c r="V15" s="269"/>
      <c r="W15" s="269"/>
      <c r="X15" s="269"/>
      <c r="Y15" s="323">
        <v>0</v>
      </c>
      <c r="Z15" s="254"/>
      <c r="AA15" s="256">
        <v>0</v>
      </c>
      <c r="AB15" s="257">
        <v>0</v>
      </c>
      <c r="AC15" s="257">
        <v>0</v>
      </c>
      <c r="AD15" s="257">
        <v>0</v>
      </c>
      <c r="AE15" s="258">
        <f t="shared" si="0"/>
        <v>0</v>
      </c>
      <c r="AF15" s="254"/>
      <c r="AG15" s="256">
        <v>0</v>
      </c>
      <c r="AH15" s="257">
        <v>0</v>
      </c>
      <c r="AI15" s="257">
        <v>0</v>
      </c>
      <c r="AJ15" s="257">
        <v>0</v>
      </c>
      <c r="AK15" s="258">
        <f t="shared" si="1"/>
        <v>0</v>
      </c>
      <c r="AL15" s="254"/>
      <c r="AM15" s="256">
        <v>0</v>
      </c>
      <c r="AN15" s="257">
        <v>0</v>
      </c>
      <c r="AO15" s="257">
        <v>0</v>
      </c>
      <c r="AP15" s="257">
        <v>0</v>
      </c>
      <c r="AQ15" s="258">
        <f t="shared" si="2"/>
        <v>0</v>
      </c>
      <c r="AR15" s="254"/>
      <c r="AS15" s="256">
        <v>0</v>
      </c>
      <c r="AT15" s="257">
        <v>0</v>
      </c>
      <c r="AU15" s="257">
        <v>100</v>
      </c>
      <c r="AV15" s="257">
        <v>100</v>
      </c>
      <c r="AW15" s="258">
        <f t="shared" ref="AW15:AW20" si="25">AV15</f>
        <v>100</v>
      </c>
      <c r="AX15" s="254"/>
      <c r="AY15" s="256">
        <v>100</v>
      </c>
      <c r="AZ15" s="257">
        <v>100</v>
      </c>
      <c r="BA15" s="257">
        <v>100</v>
      </c>
      <c r="BB15" s="257">
        <v>100</v>
      </c>
      <c r="BC15" s="258">
        <f t="shared" ref="BC15:BC20" si="26">BB15</f>
        <v>100</v>
      </c>
      <c r="BD15" s="254"/>
      <c r="BE15" s="1671">
        <v>100</v>
      </c>
      <c r="BF15" s="257">
        <v>100</v>
      </c>
      <c r="BG15" s="257">
        <v>100</v>
      </c>
      <c r="BH15" s="257">
        <v>100</v>
      </c>
      <c r="BI15" s="258">
        <f t="shared" ref="BI15:BI20" si="27">BH15</f>
        <v>100</v>
      </c>
      <c r="BJ15" s="254"/>
      <c r="BK15" s="1671">
        <v>100</v>
      </c>
      <c r="BL15" s="257">
        <v>100</v>
      </c>
      <c r="BM15" s="257">
        <v>100</v>
      </c>
      <c r="BN15" s="257">
        <v>100</v>
      </c>
      <c r="BO15" s="258">
        <f t="shared" ref="BO15:BO20" si="28">BN15</f>
        <v>100</v>
      </c>
      <c r="BP15" s="254"/>
      <c r="BQ15" s="261">
        <f t="shared" si="7"/>
        <v>100</v>
      </c>
      <c r="BR15" s="254">
        <f t="shared" si="8"/>
        <v>100</v>
      </c>
      <c r="BS15" s="254">
        <f t="shared" si="8"/>
        <v>100</v>
      </c>
      <c r="BT15" s="254">
        <f t="shared" si="8"/>
        <v>100</v>
      </c>
      <c r="BU15" s="258">
        <f t="shared" si="9"/>
        <v>100</v>
      </c>
      <c r="BW15" s="261">
        <f t="shared" si="10"/>
        <v>100</v>
      </c>
      <c r="BX15" s="254">
        <f t="shared" si="11"/>
        <v>100</v>
      </c>
      <c r="BY15" s="254">
        <f t="shared" si="12"/>
        <v>100</v>
      </c>
      <c r="BZ15" s="254">
        <f t="shared" si="13"/>
        <v>100</v>
      </c>
      <c r="CA15" s="258">
        <f t="shared" si="14"/>
        <v>100</v>
      </c>
      <c r="CC15" s="261">
        <f t="shared" si="15"/>
        <v>100</v>
      </c>
      <c r="CD15" s="254">
        <f t="shared" si="16"/>
        <v>100</v>
      </c>
      <c r="CE15" s="254">
        <f t="shared" si="17"/>
        <v>100</v>
      </c>
      <c r="CF15" s="254">
        <f t="shared" si="18"/>
        <v>100</v>
      </c>
      <c r="CG15" s="258">
        <f t="shared" si="19"/>
        <v>100</v>
      </c>
      <c r="CI15" s="261">
        <f t="shared" si="20"/>
        <v>100</v>
      </c>
      <c r="CJ15" s="254">
        <f t="shared" si="21"/>
        <v>100</v>
      </c>
      <c r="CK15" s="254">
        <f t="shared" si="22"/>
        <v>100</v>
      </c>
      <c r="CL15" s="254">
        <f t="shared" si="23"/>
        <v>100</v>
      </c>
      <c r="CM15" s="258">
        <f t="shared" si="24"/>
        <v>100</v>
      </c>
    </row>
    <row r="16" spans="1:91" s="97" customFormat="1" ht="12.75" customHeight="1">
      <c r="A16" s="1487" t="s">
        <v>481</v>
      </c>
      <c r="B16" s="253">
        <v>3.9199999999999999E-2</v>
      </c>
      <c r="C16" s="1891" t="s">
        <v>484</v>
      </c>
      <c r="D16" s="254"/>
      <c r="E16" s="254"/>
      <c r="F16" s="254"/>
      <c r="G16" s="255"/>
      <c r="H16" s="254"/>
      <c r="I16" s="254"/>
      <c r="J16" s="254"/>
      <c r="K16" s="254"/>
      <c r="L16" s="254"/>
      <c r="M16" s="255"/>
      <c r="N16" s="254"/>
      <c r="O16" s="268"/>
      <c r="P16" s="269"/>
      <c r="Q16" s="269"/>
      <c r="R16" s="269"/>
      <c r="S16" s="258"/>
      <c r="T16" s="254"/>
      <c r="U16" s="268"/>
      <c r="V16" s="269"/>
      <c r="W16" s="269"/>
      <c r="X16" s="269"/>
      <c r="Y16" s="323">
        <v>0</v>
      </c>
      <c r="Z16" s="254"/>
      <c r="AA16" s="256">
        <v>0</v>
      </c>
      <c r="AB16" s="257">
        <v>0</v>
      </c>
      <c r="AC16" s="257">
        <v>0</v>
      </c>
      <c r="AD16" s="257">
        <v>0</v>
      </c>
      <c r="AE16" s="258">
        <f t="shared" si="0"/>
        <v>0</v>
      </c>
      <c r="AF16" s="254"/>
      <c r="AG16" s="256">
        <v>0</v>
      </c>
      <c r="AH16" s="257">
        <v>0</v>
      </c>
      <c r="AI16" s="257">
        <v>0</v>
      </c>
      <c r="AJ16" s="257">
        <v>0</v>
      </c>
      <c r="AK16" s="258">
        <f t="shared" si="1"/>
        <v>0</v>
      </c>
      <c r="AL16" s="254"/>
      <c r="AM16" s="256">
        <v>0</v>
      </c>
      <c r="AN16" s="257">
        <v>0</v>
      </c>
      <c r="AO16" s="257">
        <v>0</v>
      </c>
      <c r="AP16" s="257">
        <v>0</v>
      </c>
      <c r="AQ16" s="258">
        <f t="shared" si="2"/>
        <v>0</v>
      </c>
      <c r="AR16" s="254"/>
      <c r="AS16" s="256">
        <v>0</v>
      </c>
      <c r="AT16" s="257">
        <v>0</v>
      </c>
      <c r="AU16" s="257">
        <v>50</v>
      </c>
      <c r="AV16" s="257">
        <v>50</v>
      </c>
      <c r="AW16" s="258">
        <f t="shared" si="25"/>
        <v>50</v>
      </c>
      <c r="AX16" s="254"/>
      <c r="AY16" s="256">
        <v>50</v>
      </c>
      <c r="AZ16" s="257">
        <v>50</v>
      </c>
      <c r="BA16" s="257">
        <v>50</v>
      </c>
      <c r="BB16" s="257">
        <v>50</v>
      </c>
      <c r="BC16" s="258">
        <f t="shared" si="26"/>
        <v>50</v>
      </c>
      <c r="BD16" s="254"/>
      <c r="BE16" s="1671">
        <v>50</v>
      </c>
      <c r="BF16" s="257">
        <v>50</v>
      </c>
      <c r="BG16" s="257">
        <v>50</v>
      </c>
      <c r="BH16" s="257">
        <v>50</v>
      </c>
      <c r="BI16" s="258">
        <f t="shared" si="27"/>
        <v>50</v>
      </c>
      <c r="BJ16" s="254"/>
      <c r="BK16" s="1671">
        <v>50</v>
      </c>
      <c r="BL16" s="257">
        <v>50</v>
      </c>
      <c r="BM16" s="257">
        <v>50</v>
      </c>
      <c r="BN16" s="257">
        <v>50</v>
      </c>
      <c r="BO16" s="258">
        <f t="shared" si="28"/>
        <v>50</v>
      </c>
      <c r="BP16" s="254"/>
      <c r="BQ16" s="261">
        <f t="shared" si="7"/>
        <v>50</v>
      </c>
      <c r="BR16" s="254">
        <f t="shared" si="8"/>
        <v>50</v>
      </c>
      <c r="BS16" s="254">
        <f t="shared" si="8"/>
        <v>50</v>
      </c>
      <c r="BT16" s="254">
        <f t="shared" si="8"/>
        <v>50</v>
      </c>
      <c r="BU16" s="258">
        <f t="shared" si="9"/>
        <v>50</v>
      </c>
      <c r="BW16" s="261">
        <f t="shared" si="10"/>
        <v>50</v>
      </c>
      <c r="BX16" s="254">
        <f t="shared" si="11"/>
        <v>50</v>
      </c>
      <c r="BY16" s="254">
        <f t="shared" si="12"/>
        <v>50</v>
      </c>
      <c r="BZ16" s="254">
        <f t="shared" si="13"/>
        <v>50</v>
      </c>
      <c r="CA16" s="258">
        <f t="shared" si="14"/>
        <v>50</v>
      </c>
      <c r="CC16" s="261">
        <f t="shared" si="15"/>
        <v>50</v>
      </c>
      <c r="CD16" s="254">
        <f t="shared" si="16"/>
        <v>50</v>
      </c>
      <c r="CE16" s="254">
        <f t="shared" si="17"/>
        <v>50</v>
      </c>
      <c r="CF16" s="254">
        <f t="shared" si="18"/>
        <v>50</v>
      </c>
      <c r="CG16" s="258">
        <f t="shared" si="19"/>
        <v>50</v>
      </c>
      <c r="CI16" s="261">
        <f t="shared" si="20"/>
        <v>50</v>
      </c>
      <c r="CJ16" s="254">
        <f t="shared" si="21"/>
        <v>50</v>
      </c>
      <c r="CK16" s="254">
        <f t="shared" si="22"/>
        <v>50</v>
      </c>
      <c r="CL16" s="254">
        <f t="shared" si="23"/>
        <v>50</v>
      </c>
      <c r="CM16" s="258">
        <f t="shared" si="24"/>
        <v>50</v>
      </c>
    </row>
    <row r="17" spans="1:91" s="97" customFormat="1" ht="12.75" customHeight="1">
      <c r="A17" s="1487" t="s">
        <v>482</v>
      </c>
      <c r="B17" s="1879">
        <f>2.01%+1.25%</f>
        <v>3.2599999999999997E-2</v>
      </c>
      <c r="C17" s="1891" t="s">
        <v>484</v>
      </c>
      <c r="D17" s="254"/>
      <c r="E17" s="254"/>
      <c r="F17" s="254"/>
      <c r="G17" s="255"/>
      <c r="H17" s="254"/>
      <c r="I17" s="254"/>
      <c r="J17" s="254"/>
      <c r="K17" s="254"/>
      <c r="L17" s="254"/>
      <c r="M17" s="255"/>
      <c r="N17" s="254"/>
      <c r="O17" s="268"/>
      <c r="P17" s="269"/>
      <c r="Q17" s="269"/>
      <c r="R17" s="269"/>
      <c r="S17" s="258"/>
      <c r="T17" s="254"/>
      <c r="U17" s="268"/>
      <c r="V17" s="269"/>
      <c r="W17" s="269"/>
      <c r="X17" s="269"/>
      <c r="Y17" s="323">
        <v>0</v>
      </c>
      <c r="Z17" s="254"/>
      <c r="AA17" s="256">
        <v>0</v>
      </c>
      <c r="AB17" s="257">
        <v>0</v>
      </c>
      <c r="AC17" s="257">
        <v>0</v>
      </c>
      <c r="AD17" s="257">
        <v>0</v>
      </c>
      <c r="AE17" s="258">
        <f t="shared" si="0"/>
        <v>0</v>
      </c>
      <c r="AF17" s="254"/>
      <c r="AG17" s="256">
        <v>0</v>
      </c>
      <c r="AH17" s="257">
        <v>0</v>
      </c>
      <c r="AI17" s="257">
        <v>0</v>
      </c>
      <c r="AJ17" s="257">
        <v>0</v>
      </c>
      <c r="AK17" s="258">
        <f t="shared" si="1"/>
        <v>0</v>
      </c>
      <c r="AL17" s="254"/>
      <c r="AM17" s="256">
        <v>0</v>
      </c>
      <c r="AN17" s="257">
        <v>0</v>
      </c>
      <c r="AO17" s="257">
        <v>0</v>
      </c>
      <c r="AP17" s="257">
        <v>0</v>
      </c>
      <c r="AQ17" s="258">
        <f t="shared" si="2"/>
        <v>0</v>
      </c>
      <c r="AR17" s="254"/>
      <c r="AS17" s="256">
        <v>0</v>
      </c>
      <c r="AT17" s="257">
        <v>0</v>
      </c>
      <c r="AU17" s="257">
        <v>50</v>
      </c>
      <c r="AV17" s="257">
        <v>50</v>
      </c>
      <c r="AW17" s="258">
        <f t="shared" si="25"/>
        <v>50</v>
      </c>
      <c r="AX17" s="254"/>
      <c r="AY17" s="256">
        <v>50</v>
      </c>
      <c r="AZ17" s="257">
        <v>50</v>
      </c>
      <c r="BA17" s="257">
        <v>50</v>
      </c>
      <c r="BB17" s="257">
        <v>50</v>
      </c>
      <c r="BC17" s="258">
        <f t="shared" si="26"/>
        <v>50</v>
      </c>
      <c r="BD17" s="254"/>
      <c r="BE17" s="1671">
        <v>50</v>
      </c>
      <c r="BF17" s="257">
        <v>50</v>
      </c>
      <c r="BG17" s="257">
        <v>50</v>
      </c>
      <c r="BH17" s="257">
        <v>50</v>
      </c>
      <c r="BI17" s="258">
        <f t="shared" si="27"/>
        <v>50</v>
      </c>
      <c r="BJ17" s="254"/>
      <c r="BK17" s="1671">
        <v>50</v>
      </c>
      <c r="BL17" s="257">
        <v>50</v>
      </c>
      <c r="BM17" s="257">
        <v>50</v>
      </c>
      <c r="BN17" s="257">
        <v>50</v>
      </c>
      <c r="BO17" s="258">
        <f t="shared" si="28"/>
        <v>50</v>
      </c>
      <c r="BP17" s="254"/>
      <c r="BQ17" s="261">
        <f t="shared" si="7"/>
        <v>50</v>
      </c>
      <c r="BR17" s="254">
        <f t="shared" si="8"/>
        <v>50</v>
      </c>
      <c r="BS17" s="254">
        <f t="shared" si="8"/>
        <v>50</v>
      </c>
      <c r="BT17" s="254">
        <f t="shared" si="8"/>
        <v>50</v>
      </c>
      <c r="BU17" s="258">
        <f t="shared" si="9"/>
        <v>50</v>
      </c>
      <c r="BW17" s="261">
        <f t="shared" si="10"/>
        <v>50</v>
      </c>
      <c r="BX17" s="254">
        <f t="shared" si="11"/>
        <v>50</v>
      </c>
      <c r="BY17" s="254">
        <f t="shared" si="12"/>
        <v>50</v>
      </c>
      <c r="BZ17" s="254">
        <f t="shared" si="13"/>
        <v>50</v>
      </c>
      <c r="CA17" s="258">
        <f t="shared" si="14"/>
        <v>50</v>
      </c>
      <c r="CC17" s="261">
        <f t="shared" si="15"/>
        <v>50</v>
      </c>
      <c r="CD17" s="254">
        <f t="shared" si="16"/>
        <v>50</v>
      </c>
      <c r="CE17" s="254">
        <f t="shared" si="17"/>
        <v>50</v>
      </c>
      <c r="CF17" s="254">
        <f t="shared" si="18"/>
        <v>50</v>
      </c>
      <c r="CG17" s="258">
        <f t="shared" si="19"/>
        <v>50</v>
      </c>
      <c r="CI17" s="261">
        <f t="shared" si="20"/>
        <v>50</v>
      </c>
      <c r="CJ17" s="254">
        <f t="shared" si="21"/>
        <v>50</v>
      </c>
      <c r="CK17" s="254">
        <f t="shared" si="22"/>
        <v>50</v>
      </c>
      <c r="CL17" s="254">
        <f t="shared" si="23"/>
        <v>50</v>
      </c>
      <c r="CM17" s="258">
        <f t="shared" si="24"/>
        <v>50</v>
      </c>
    </row>
    <row r="18" spans="1:91" s="97" customFormat="1" ht="12.75" customHeight="1">
      <c r="A18" s="1487" t="s">
        <v>526</v>
      </c>
      <c r="B18" s="1489">
        <v>3.1300000000000001E-2</v>
      </c>
      <c r="C18" s="1891">
        <v>45076</v>
      </c>
      <c r="D18" s="254"/>
      <c r="E18" s="254"/>
      <c r="F18" s="254"/>
      <c r="G18" s="255"/>
      <c r="H18" s="254"/>
      <c r="I18" s="254"/>
      <c r="J18" s="254"/>
      <c r="K18" s="254"/>
      <c r="L18" s="254"/>
      <c r="M18" s="255"/>
      <c r="N18" s="254"/>
      <c r="O18" s="268"/>
      <c r="P18" s="269"/>
      <c r="Q18" s="269"/>
      <c r="R18" s="269"/>
      <c r="S18" s="258"/>
      <c r="T18" s="254"/>
      <c r="U18" s="268"/>
      <c r="V18" s="269"/>
      <c r="W18" s="269"/>
      <c r="X18" s="269"/>
      <c r="Y18" s="323">
        <v>0</v>
      </c>
      <c r="Z18" s="254"/>
      <c r="AA18" s="256">
        <v>0</v>
      </c>
      <c r="AB18" s="257">
        <v>0</v>
      </c>
      <c r="AC18" s="257">
        <v>0</v>
      </c>
      <c r="AD18" s="257">
        <v>0</v>
      </c>
      <c r="AE18" s="258">
        <f>AD18</f>
        <v>0</v>
      </c>
      <c r="AF18" s="254"/>
      <c r="AG18" s="256">
        <v>0</v>
      </c>
      <c r="AH18" s="257">
        <v>0</v>
      </c>
      <c r="AI18" s="257">
        <v>0</v>
      </c>
      <c r="AJ18" s="257">
        <v>0</v>
      </c>
      <c r="AK18" s="258">
        <f>AJ18</f>
        <v>0</v>
      </c>
      <c r="AL18" s="254"/>
      <c r="AM18" s="256">
        <v>0</v>
      </c>
      <c r="AN18" s="257">
        <v>0</v>
      </c>
      <c r="AO18" s="257">
        <v>0</v>
      </c>
      <c r="AP18" s="257">
        <v>0</v>
      </c>
      <c r="AQ18" s="258">
        <f>AP18</f>
        <v>0</v>
      </c>
      <c r="AR18" s="254"/>
      <c r="AS18" s="256">
        <v>0</v>
      </c>
      <c r="AT18" s="257">
        <v>0</v>
      </c>
      <c r="AU18" s="257">
        <v>0</v>
      </c>
      <c r="AV18" s="257">
        <v>0</v>
      </c>
      <c r="AW18" s="258">
        <f t="shared" si="25"/>
        <v>0</v>
      </c>
      <c r="AX18" s="254"/>
      <c r="AY18" s="256">
        <v>0</v>
      </c>
      <c r="AZ18" s="257">
        <v>0</v>
      </c>
      <c r="BA18" s="257">
        <v>0</v>
      </c>
      <c r="BB18" s="257">
        <v>0</v>
      </c>
      <c r="BC18" s="258">
        <f t="shared" si="26"/>
        <v>0</v>
      </c>
      <c r="BD18" s="254"/>
      <c r="BE18" s="256">
        <v>0</v>
      </c>
      <c r="BF18" s="257">
        <v>50</v>
      </c>
      <c r="BG18" s="257">
        <v>50</v>
      </c>
      <c r="BH18" s="257">
        <v>50</v>
      </c>
      <c r="BI18" s="258">
        <f t="shared" si="27"/>
        <v>50</v>
      </c>
      <c r="BJ18" s="254"/>
      <c r="BK18" s="256">
        <v>50</v>
      </c>
      <c r="BL18" s="257">
        <v>50</v>
      </c>
      <c r="BM18" s="257">
        <v>50</v>
      </c>
      <c r="BN18" s="257">
        <v>50</v>
      </c>
      <c r="BO18" s="258">
        <f t="shared" si="28"/>
        <v>50</v>
      </c>
      <c r="BP18" s="254"/>
      <c r="BQ18" s="261">
        <f t="shared" si="7"/>
        <v>50</v>
      </c>
      <c r="BR18" s="254">
        <f t="shared" si="8"/>
        <v>50</v>
      </c>
      <c r="BS18" s="254">
        <f t="shared" si="8"/>
        <v>50</v>
      </c>
      <c r="BT18" s="254">
        <f t="shared" si="8"/>
        <v>50</v>
      </c>
      <c r="BU18" s="258">
        <f>BT18</f>
        <v>50</v>
      </c>
      <c r="BW18" s="261">
        <f t="shared" si="10"/>
        <v>50</v>
      </c>
      <c r="BX18" s="254">
        <f t="shared" si="11"/>
        <v>50</v>
      </c>
      <c r="BY18" s="254">
        <f t="shared" si="12"/>
        <v>50</v>
      </c>
      <c r="BZ18" s="254">
        <f t="shared" si="13"/>
        <v>50</v>
      </c>
      <c r="CA18" s="258">
        <f>BZ18</f>
        <v>50</v>
      </c>
      <c r="CC18" s="261">
        <f t="shared" si="15"/>
        <v>50</v>
      </c>
      <c r="CD18" s="254">
        <f t="shared" si="16"/>
        <v>50</v>
      </c>
      <c r="CE18" s="254">
        <f t="shared" si="17"/>
        <v>50</v>
      </c>
      <c r="CF18" s="254">
        <f t="shared" si="18"/>
        <v>50</v>
      </c>
      <c r="CG18" s="258">
        <f>CF18</f>
        <v>50</v>
      </c>
      <c r="CI18" s="261">
        <f t="shared" si="20"/>
        <v>50</v>
      </c>
      <c r="CJ18" s="254">
        <f t="shared" si="21"/>
        <v>50</v>
      </c>
      <c r="CK18" s="254">
        <f t="shared" si="22"/>
        <v>50</v>
      </c>
      <c r="CL18" s="254">
        <f t="shared" si="23"/>
        <v>50</v>
      </c>
      <c r="CM18" s="258">
        <f>CL18</f>
        <v>50</v>
      </c>
    </row>
    <row r="19" spans="1:91" s="97" customFormat="1" ht="12.75" customHeight="1">
      <c r="A19" s="1487" t="s">
        <v>527</v>
      </c>
      <c r="B19" s="1879">
        <f>2.01%+1.45%</f>
        <v>3.4599999999999992E-2</v>
      </c>
      <c r="C19" s="1891">
        <v>45442</v>
      </c>
      <c r="D19" s="254"/>
      <c r="E19" s="254"/>
      <c r="F19" s="254"/>
      <c r="G19" s="255"/>
      <c r="H19" s="254"/>
      <c r="I19" s="254"/>
      <c r="J19" s="254"/>
      <c r="K19" s="254"/>
      <c r="L19" s="254"/>
      <c r="M19" s="255"/>
      <c r="N19" s="254"/>
      <c r="O19" s="268"/>
      <c r="P19" s="269"/>
      <c r="Q19" s="269"/>
      <c r="R19" s="269"/>
      <c r="S19" s="258"/>
      <c r="T19" s="254"/>
      <c r="U19" s="268"/>
      <c r="V19" s="269"/>
      <c r="W19" s="269"/>
      <c r="X19" s="269"/>
      <c r="Y19" s="323">
        <v>0</v>
      </c>
      <c r="Z19" s="254"/>
      <c r="AA19" s="256">
        <v>0</v>
      </c>
      <c r="AB19" s="257">
        <v>0</v>
      </c>
      <c r="AC19" s="257">
        <v>0</v>
      </c>
      <c r="AD19" s="257">
        <v>0</v>
      </c>
      <c r="AE19" s="258">
        <f>AD19</f>
        <v>0</v>
      </c>
      <c r="AF19" s="254"/>
      <c r="AG19" s="256">
        <v>0</v>
      </c>
      <c r="AH19" s="257">
        <v>0</v>
      </c>
      <c r="AI19" s="257">
        <v>0</v>
      </c>
      <c r="AJ19" s="257">
        <v>0</v>
      </c>
      <c r="AK19" s="258">
        <f>AJ19</f>
        <v>0</v>
      </c>
      <c r="AL19" s="254"/>
      <c r="AM19" s="256">
        <v>0</v>
      </c>
      <c r="AN19" s="257">
        <v>0</v>
      </c>
      <c r="AO19" s="257">
        <v>0</v>
      </c>
      <c r="AP19" s="257">
        <v>0</v>
      </c>
      <c r="AQ19" s="258">
        <f>AP19</f>
        <v>0</v>
      </c>
      <c r="AR19" s="254"/>
      <c r="AS19" s="256">
        <v>0</v>
      </c>
      <c r="AT19" s="257">
        <v>0</v>
      </c>
      <c r="AU19" s="257">
        <v>0</v>
      </c>
      <c r="AV19" s="257">
        <v>0</v>
      </c>
      <c r="AW19" s="258">
        <f t="shared" si="25"/>
        <v>0</v>
      </c>
      <c r="AX19" s="254"/>
      <c r="AY19" s="256">
        <v>0</v>
      </c>
      <c r="AZ19" s="257">
        <v>0</v>
      </c>
      <c r="BA19" s="257">
        <v>0</v>
      </c>
      <c r="BB19" s="257">
        <v>0</v>
      </c>
      <c r="BC19" s="258">
        <f t="shared" si="26"/>
        <v>0</v>
      </c>
      <c r="BD19" s="254"/>
      <c r="BE19" s="256">
        <v>0</v>
      </c>
      <c r="BF19" s="257">
        <v>40</v>
      </c>
      <c r="BG19" s="257">
        <v>40</v>
      </c>
      <c r="BH19" s="257">
        <v>40</v>
      </c>
      <c r="BI19" s="258">
        <f t="shared" si="27"/>
        <v>40</v>
      </c>
      <c r="BJ19" s="254"/>
      <c r="BK19" s="256">
        <v>40</v>
      </c>
      <c r="BL19" s="257">
        <v>40</v>
      </c>
      <c r="BM19" s="257">
        <v>40</v>
      </c>
      <c r="BN19" s="257">
        <v>40</v>
      </c>
      <c r="BO19" s="258">
        <f t="shared" si="28"/>
        <v>40</v>
      </c>
      <c r="BP19" s="254"/>
      <c r="BQ19" s="261">
        <f t="shared" si="7"/>
        <v>40</v>
      </c>
      <c r="BR19" s="254">
        <f t="shared" si="8"/>
        <v>40</v>
      </c>
      <c r="BS19" s="254">
        <f t="shared" si="8"/>
        <v>40</v>
      </c>
      <c r="BT19" s="254">
        <f t="shared" si="8"/>
        <v>40</v>
      </c>
      <c r="BU19" s="258">
        <f>BT19</f>
        <v>40</v>
      </c>
      <c r="BW19" s="261">
        <f t="shared" si="10"/>
        <v>40</v>
      </c>
      <c r="BX19" s="254">
        <f t="shared" si="11"/>
        <v>40</v>
      </c>
      <c r="BY19" s="254">
        <f t="shared" si="12"/>
        <v>40</v>
      </c>
      <c r="BZ19" s="254">
        <f t="shared" si="13"/>
        <v>40</v>
      </c>
      <c r="CA19" s="258">
        <f>BZ19</f>
        <v>40</v>
      </c>
      <c r="CC19" s="261">
        <f t="shared" si="15"/>
        <v>40</v>
      </c>
      <c r="CD19" s="254">
        <f t="shared" si="16"/>
        <v>40</v>
      </c>
      <c r="CE19" s="254">
        <f t="shared" si="17"/>
        <v>40</v>
      </c>
      <c r="CF19" s="254">
        <f t="shared" si="18"/>
        <v>40</v>
      </c>
      <c r="CG19" s="258">
        <f>CF19</f>
        <v>40</v>
      </c>
      <c r="CI19" s="261">
        <f t="shared" si="20"/>
        <v>40</v>
      </c>
      <c r="CJ19" s="254">
        <f t="shared" si="21"/>
        <v>40</v>
      </c>
      <c r="CK19" s="254">
        <f t="shared" si="22"/>
        <v>40</v>
      </c>
      <c r="CL19" s="254">
        <f t="shared" si="23"/>
        <v>40</v>
      </c>
      <c r="CM19" s="258">
        <f>CL19</f>
        <v>40</v>
      </c>
    </row>
    <row r="20" spans="1:91" s="97" customFormat="1" ht="12.75" customHeight="1">
      <c r="A20" s="1487" t="s">
        <v>528</v>
      </c>
      <c r="B20" s="1489">
        <v>3.44E-2</v>
      </c>
      <c r="C20" s="1891">
        <v>46172</v>
      </c>
      <c r="D20" s="254"/>
      <c r="E20" s="254"/>
      <c r="F20" s="254"/>
      <c r="G20" s="255"/>
      <c r="H20" s="254"/>
      <c r="I20" s="254"/>
      <c r="J20" s="254"/>
      <c r="K20" s="254"/>
      <c r="L20" s="254"/>
      <c r="M20" s="255"/>
      <c r="N20" s="254"/>
      <c r="O20" s="268"/>
      <c r="P20" s="269"/>
      <c r="Q20" s="269"/>
      <c r="R20" s="269"/>
      <c r="S20" s="258"/>
      <c r="T20" s="254"/>
      <c r="U20" s="268"/>
      <c r="V20" s="269"/>
      <c r="W20" s="269"/>
      <c r="X20" s="269"/>
      <c r="Y20" s="323">
        <v>0</v>
      </c>
      <c r="Z20" s="254"/>
      <c r="AA20" s="256">
        <v>0</v>
      </c>
      <c r="AB20" s="257">
        <v>0</v>
      </c>
      <c r="AC20" s="257">
        <v>0</v>
      </c>
      <c r="AD20" s="257">
        <v>0</v>
      </c>
      <c r="AE20" s="258">
        <f>AD20</f>
        <v>0</v>
      </c>
      <c r="AF20" s="254"/>
      <c r="AG20" s="256">
        <v>0</v>
      </c>
      <c r="AH20" s="257">
        <v>0</v>
      </c>
      <c r="AI20" s="257">
        <v>0</v>
      </c>
      <c r="AJ20" s="257">
        <v>0</v>
      </c>
      <c r="AK20" s="258">
        <f>AJ20</f>
        <v>0</v>
      </c>
      <c r="AL20" s="254"/>
      <c r="AM20" s="256">
        <v>0</v>
      </c>
      <c r="AN20" s="257">
        <v>0</v>
      </c>
      <c r="AO20" s="257">
        <v>0</v>
      </c>
      <c r="AP20" s="257">
        <v>0</v>
      </c>
      <c r="AQ20" s="258">
        <f>AP20</f>
        <v>0</v>
      </c>
      <c r="AR20" s="254"/>
      <c r="AS20" s="256">
        <v>0</v>
      </c>
      <c r="AT20" s="257">
        <v>0</v>
      </c>
      <c r="AU20" s="257">
        <v>0</v>
      </c>
      <c r="AV20" s="257">
        <v>0</v>
      </c>
      <c r="AW20" s="258">
        <f t="shared" si="25"/>
        <v>0</v>
      </c>
      <c r="AX20" s="254"/>
      <c r="AY20" s="256">
        <v>0</v>
      </c>
      <c r="AZ20" s="257">
        <v>0</v>
      </c>
      <c r="BA20" s="257">
        <v>0</v>
      </c>
      <c r="BB20" s="257">
        <v>0</v>
      </c>
      <c r="BC20" s="258">
        <f t="shared" si="26"/>
        <v>0</v>
      </c>
      <c r="BD20" s="254"/>
      <c r="BE20" s="256">
        <v>0</v>
      </c>
      <c r="BF20" s="257">
        <v>160</v>
      </c>
      <c r="BG20" s="257">
        <v>160</v>
      </c>
      <c r="BH20" s="257">
        <v>160</v>
      </c>
      <c r="BI20" s="258">
        <f t="shared" si="27"/>
        <v>160</v>
      </c>
      <c r="BJ20" s="254"/>
      <c r="BK20" s="256">
        <v>160</v>
      </c>
      <c r="BL20" s="257">
        <v>160</v>
      </c>
      <c r="BM20" s="257">
        <v>160</v>
      </c>
      <c r="BN20" s="257">
        <v>160</v>
      </c>
      <c r="BO20" s="258">
        <f t="shared" si="28"/>
        <v>160</v>
      </c>
      <c r="BP20" s="254"/>
      <c r="BQ20" s="261">
        <f t="shared" si="7"/>
        <v>160</v>
      </c>
      <c r="BR20" s="254">
        <f t="shared" si="8"/>
        <v>160</v>
      </c>
      <c r="BS20" s="254">
        <f t="shared" si="8"/>
        <v>160</v>
      </c>
      <c r="BT20" s="254">
        <f t="shared" si="8"/>
        <v>160</v>
      </c>
      <c r="BU20" s="258">
        <f>BT20</f>
        <v>160</v>
      </c>
      <c r="BW20" s="261">
        <f t="shared" si="10"/>
        <v>160</v>
      </c>
      <c r="BX20" s="254">
        <f t="shared" si="11"/>
        <v>160</v>
      </c>
      <c r="BY20" s="254">
        <f t="shared" si="12"/>
        <v>160</v>
      </c>
      <c r="BZ20" s="254">
        <f t="shared" si="13"/>
        <v>160</v>
      </c>
      <c r="CA20" s="258">
        <f>BZ20</f>
        <v>160</v>
      </c>
      <c r="CC20" s="261">
        <f t="shared" si="15"/>
        <v>160</v>
      </c>
      <c r="CD20" s="254">
        <f t="shared" si="16"/>
        <v>160</v>
      </c>
      <c r="CE20" s="254">
        <f t="shared" si="17"/>
        <v>160</v>
      </c>
      <c r="CF20" s="254">
        <f t="shared" si="18"/>
        <v>160</v>
      </c>
      <c r="CG20" s="258">
        <f>CF20</f>
        <v>160</v>
      </c>
      <c r="CI20" s="261">
        <f t="shared" si="20"/>
        <v>160</v>
      </c>
      <c r="CJ20" s="254">
        <f t="shared" si="21"/>
        <v>160</v>
      </c>
      <c r="CK20" s="254">
        <f t="shared" si="22"/>
        <v>160</v>
      </c>
      <c r="CL20" s="254">
        <f t="shared" si="23"/>
        <v>160</v>
      </c>
      <c r="CM20" s="258">
        <f>CL20</f>
        <v>160</v>
      </c>
    </row>
    <row r="21" spans="1:91" s="15" customFormat="1" ht="12.75" customHeight="1">
      <c r="A21" s="266" t="s">
        <v>70</v>
      </c>
      <c r="B21" s="253">
        <v>2.1100000000000001E-2</v>
      </c>
      <c r="C21" s="267"/>
      <c r="D21" s="254"/>
      <c r="E21" s="254"/>
      <c r="F21" s="254"/>
      <c r="G21" s="255"/>
      <c r="H21" s="254"/>
      <c r="I21" s="254"/>
      <c r="J21" s="254"/>
      <c r="K21" s="254"/>
      <c r="L21" s="254"/>
      <c r="M21" s="255"/>
      <c r="N21" s="254"/>
      <c r="O21" s="268"/>
      <c r="P21" s="269"/>
      <c r="Q21" s="269"/>
      <c r="R21" s="269"/>
      <c r="S21" s="258"/>
      <c r="T21" s="254"/>
      <c r="U21" s="268"/>
      <c r="V21" s="269"/>
      <c r="W21" s="269"/>
      <c r="X21" s="269"/>
      <c r="Y21" s="323">
        <v>11.055</v>
      </c>
      <c r="Z21" s="254"/>
      <c r="AA21" s="256">
        <v>10.346</v>
      </c>
      <c r="AB21" s="257">
        <f>11.176</f>
        <v>11.176</v>
      </c>
      <c r="AC21" s="257">
        <v>11.577999999999999</v>
      </c>
      <c r="AD21" s="257">
        <v>10.832000000000001</v>
      </c>
      <c r="AE21" s="258">
        <f t="shared" si="0"/>
        <v>10.832000000000001</v>
      </c>
      <c r="AF21" s="254"/>
      <c r="AG21" s="256">
        <v>8.6159999999999997</v>
      </c>
      <c r="AH21" s="257">
        <v>11.353999999999999</v>
      </c>
      <c r="AI21" s="257">
        <v>7.7030000000000003</v>
      </c>
      <c r="AJ21" s="257">
        <v>7.7809999999999997</v>
      </c>
      <c r="AK21" s="258">
        <f t="shared" si="1"/>
        <v>7.7809999999999997</v>
      </c>
      <c r="AL21" s="254"/>
      <c r="AM21" s="256">
        <v>8.2319999999999993</v>
      </c>
      <c r="AN21" s="257">
        <v>7.9089999999999998</v>
      </c>
      <c r="AO21" s="257">
        <v>8.7609999999999992</v>
      </c>
      <c r="AP21" s="289">
        <v>8.3460000000000001</v>
      </c>
      <c r="AQ21" s="258">
        <f t="shared" si="2"/>
        <v>8.3460000000000001</v>
      </c>
      <c r="AR21" s="254"/>
      <c r="AS21" s="256">
        <v>7.1040000000000001</v>
      </c>
      <c r="AT21" s="257">
        <v>8.4030000000000005</v>
      </c>
      <c r="AU21" s="257">
        <v>6.0000000000000001E-3</v>
      </c>
      <c r="AV21" s="289">
        <f>0.243</f>
        <v>0.24299999999999999</v>
      </c>
      <c r="AW21" s="258">
        <f t="shared" si="3"/>
        <v>0.24299999999999999</v>
      </c>
      <c r="AX21" s="254"/>
      <c r="AY21" s="256">
        <v>0.316</v>
      </c>
      <c r="AZ21" s="257">
        <v>0.29699999999999999</v>
      </c>
      <c r="BA21" s="257">
        <v>0.17599999999999999</v>
      </c>
      <c r="BB21" s="289">
        <v>0.32200000000000001</v>
      </c>
      <c r="BC21" s="258">
        <f t="shared" si="4"/>
        <v>0.32200000000000001</v>
      </c>
      <c r="BD21" s="254"/>
      <c r="BE21" s="1671">
        <v>0.499</v>
      </c>
      <c r="BF21" s="257">
        <v>0.26</v>
      </c>
      <c r="BG21" s="257">
        <v>0.17599999999999999</v>
      </c>
      <c r="BH21" s="257">
        <v>0.29699999999999999</v>
      </c>
      <c r="BI21" s="258">
        <f t="shared" si="5"/>
        <v>0.29699999999999999</v>
      </c>
      <c r="BJ21" s="254"/>
      <c r="BK21" s="1671">
        <v>0.28499999999999998</v>
      </c>
      <c r="BL21" s="257">
        <v>0.23300000000000001</v>
      </c>
      <c r="BM21" s="257">
        <v>0.42299999999999999</v>
      </c>
      <c r="BN21" s="257">
        <v>0.27300000000000002</v>
      </c>
      <c r="BO21" s="258">
        <f t="shared" si="6"/>
        <v>0.27300000000000002</v>
      </c>
      <c r="BP21" s="254"/>
      <c r="BQ21" s="261">
        <f t="shared" si="7"/>
        <v>0.27300000000000002</v>
      </c>
      <c r="BR21" s="254">
        <f t="shared" si="8"/>
        <v>0.27300000000000002</v>
      </c>
      <c r="BS21" s="254">
        <f t="shared" si="8"/>
        <v>0.27300000000000002</v>
      </c>
      <c r="BT21" s="254">
        <f t="shared" si="8"/>
        <v>0.27300000000000002</v>
      </c>
      <c r="BU21" s="258">
        <f t="shared" si="9"/>
        <v>0.27300000000000002</v>
      </c>
      <c r="BW21" s="261">
        <f t="shared" si="10"/>
        <v>0.27300000000000002</v>
      </c>
      <c r="BX21" s="254">
        <f t="shared" si="11"/>
        <v>0.27300000000000002</v>
      </c>
      <c r="BY21" s="254">
        <f t="shared" si="12"/>
        <v>0.27300000000000002</v>
      </c>
      <c r="BZ21" s="254">
        <f t="shared" si="13"/>
        <v>0.27300000000000002</v>
      </c>
      <c r="CA21" s="258">
        <f>BZ21</f>
        <v>0.27300000000000002</v>
      </c>
      <c r="CC21" s="261">
        <f t="shared" si="15"/>
        <v>0.27300000000000002</v>
      </c>
      <c r="CD21" s="254">
        <f t="shared" si="16"/>
        <v>0.27300000000000002</v>
      </c>
      <c r="CE21" s="254">
        <f t="shared" si="17"/>
        <v>0.27300000000000002</v>
      </c>
      <c r="CF21" s="254">
        <f t="shared" si="18"/>
        <v>0.27300000000000002</v>
      </c>
      <c r="CG21" s="258">
        <f>CF21</f>
        <v>0.27300000000000002</v>
      </c>
      <c r="CI21" s="261">
        <f t="shared" si="20"/>
        <v>0.27300000000000002</v>
      </c>
      <c r="CJ21" s="254">
        <f t="shared" si="21"/>
        <v>0.27300000000000002</v>
      </c>
      <c r="CK21" s="254">
        <f t="shared" si="22"/>
        <v>0.27300000000000002</v>
      </c>
      <c r="CL21" s="254">
        <f t="shared" si="23"/>
        <v>0.27300000000000002</v>
      </c>
      <c r="CM21" s="258">
        <f>CL21</f>
        <v>0.27300000000000002</v>
      </c>
    </row>
    <row r="22" spans="1:91" s="15" customFormat="1" ht="12.75" customHeight="1">
      <c r="A22" s="266" t="s">
        <v>71</v>
      </c>
      <c r="B22" s="1880">
        <v>2.1499999999999998E-2</v>
      </c>
      <c r="C22" s="267"/>
      <c r="D22" s="254"/>
      <c r="E22" s="254"/>
      <c r="F22" s="254"/>
      <c r="G22" s="255"/>
      <c r="H22" s="254"/>
      <c r="I22" s="254"/>
      <c r="J22" s="254"/>
      <c r="K22" s="254"/>
      <c r="L22" s="254"/>
      <c r="M22" s="255"/>
      <c r="N22" s="254"/>
      <c r="O22" s="268"/>
      <c r="P22" s="269"/>
      <c r="Q22" s="269"/>
      <c r="R22" s="269"/>
      <c r="S22" s="258"/>
      <c r="T22" s="254"/>
      <c r="U22" s="268"/>
      <c r="V22" s="269"/>
      <c r="W22" s="269"/>
      <c r="X22" s="269"/>
      <c r="Y22" s="323">
        <f>500+55</f>
        <v>555</v>
      </c>
      <c r="Z22" s="254"/>
      <c r="AA22" s="256">
        <v>380</v>
      </c>
      <c r="AB22" s="257">
        <f>300+125</f>
        <v>425</v>
      </c>
      <c r="AC22" s="257">
        <f>300+260</f>
        <v>560</v>
      </c>
      <c r="AD22" s="257">
        <f>300+280</f>
        <v>580</v>
      </c>
      <c r="AE22" s="258">
        <f t="shared" si="0"/>
        <v>580</v>
      </c>
      <c r="AF22" s="254"/>
      <c r="AG22" s="256">
        <f>300+315</f>
        <v>615</v>
      </c>
      <c r="AH22" s="257">
        <f>300+390</f>
        <v>690</v>
      </c>
      <c r="AI22" s="257">
        <f>300+440</f>
        <v>740</v>
      </c>
      <c r="AJ22" s="257">
        <f>125+645</f>
        <v>770</v>
      </c>
      <c r="AK22" s="258">
        <f t="shared" si="1"/>
        <v>770</v>
      </c>
      <c r="AL22" s="254"/>
      <c r="AM22" s="290">
        <f>125+700</f>
        <v>825</v>
      </c>
      <c r="AN22" s="257">
        <f>125+735</f>
        <v>860</v>
      </c>
      <c r="AO22" s="257">
        <f>125+760</f>
        <v>885</v>
      </c>
      <c r="AP22" s="257">
        <f>125+790</f>
        <v>915</v>
      </c>
      <c r="AQ22" s="258">
        <f t="shared" si="2"/>
        <v>915</v>
      </c>
      <c r="AR22" s="254"/>
      <c r="AS22" s="290">
        <f>125+800</f>
        <v>925</v>
      </c>
      <c r="AT22" s="257">
        <f>860+125</f>
        <v>985</v>
      </c>
      <c r="AU22" s="257">
        <f>125+705</f>
        <v>830</v>
      </c>
      <c r="AV22" s="257">
        <f>125+740</f>
        <v>865</v>
      </c>
      <c r="AW22" s="258">
        <f t="shared" si="3"/>
        <v>865</v>
      </c>
      <c r="AX22" s="254"/>
      <c r="AY22" s="290">
        <f>860+125</f>
        <v>985</v>
      </c>
      <c r="AZ22" s="257">
        <f>935+125</f>
        <v>1060</v>
      </c>
      <c r="BA22" s="1624">
        <f>1005+125</f>
        <v>1130</v>
      </c>
      <c r="BB22" s="257">
        <f>125+1045-1.973-0.013</f>
        <v>1168.0140000000001</v>
      </c>
      <c r="BC22" s="258">
        <f t="shared" si="4"/>
        <v>1168.0140000000001</v>
      </c>
      <c r="BD22" s="254"/>
      <c r="BE22" s="1672">
        <f>125+1145-1.699</f>
        <v>1268.3009999999999</v>
      </c>
      <c r="BF22" s="257">
        <f>125+0+935-3.302</f>
        <v>1056.6980000000001</v>
      </c>
      <c r="BG22" s="257">
        <f>125+960-3.168</f>
        <v>1081.8320000000001</v>
      </c>
      <c r="BH22" s="257">
        <f>125+1005-3.034</f>
        <v>1126.9659999999999</v>
      </c>
      <c r="BI22" s="258">
        <f t="shared" si="5"/>
        <v>1126.9659999999999</v>
      </c>
      <c r="BJ22" s="254"/>
      <c r="BK22" s="1672">
        <f>125+1045-2.901</f>
        <v>1167.0989999999999</v>
      </c>
      <c r="BL22" s="257">
        <f>125+1090-2.767</f>
        <v>1212.2329999999999</v>
      </c>
      <c r="BM22" s="257">
        <f>125+1135-2.633</f>
        <v>1257.367</v>
      </c>
      <c r="BN22" s="257">
        <f>1300-2.499</f>
        <v>1297.501</v>
      </c>
      <c r="BO22" s="258">
        <f t="shared" si="6"/>
        <v>1297.501</v>
      </c>
      <c r="BP22" s="254"/>
      <c r="BQ22" s="261">
        <f t="shared" si="7"/>
        <v>1297.501</v>
      </c>
      <c r="BR22" s="254">
        <f t="shared" si="8"/>
        <v>1297.501</v>
      </c>
      <c r="BS22" s="254">
        <f t="shared" si="8"/>
        <v>1297.501</v>
      </c>
      <c r="BT22" s="254">
        <f t="shared" si="8"/>
        <v>1297.501</v>
      </c>
      <c r="BU22" s="258">
        <f t="shared" si="9"/>
        <v>1297.501</v>
      </c>
      <c r="BW22" s="261">
        <f t="shared" si="10"/>
        <v>1297.501</v>
      </c>
      <c r="BX22" s="254">
        <f t="shared" si="11"/>
        <v>1297.501</v>
      </c>
      <c r="BY22" s="254">
        <f t="shared" si="12"/>
        <v>1297.501</v>
      </c>
      <c r="BZ22" s="254">
        <f t="shared" si="13"/>
        <v>1297.501</v>
      </c>
      <c r="CA22" s="258">
        <f>BZ22</f>
        <v>1297.501</v>
      </c>
      <c r="CC22" s="261">
        <f t="shared" si="15"/>
        <v>1297.501</v>
      </c>
      <c r="CD22" s="254">
        <f t="shared" si="16"/>
        <v>1297.501</v>
      </c>
      <c r="CE22" s="254">
        <f t="shared" si="17"/>
        <v>1297.501</v>
      </c>
      <c r="CF22" s="254">
        <f t="shared" si="18"/>
        <v>1297.501</v>
      </c>
      <c r="CG22" s="258">
        <f>CF22</f>
        <v>1297.501</v>
      </c>
      <c r="CI22" s="261">
        <f t="shared" si="20"/>
        <v>1297.501</v>
      </c>
      <c r="CJ22" s="254">
        <f t="shared" si="21"/>
        <v>1297.501</v>
      </c>
      <c r="CK22" s="254">
        <f t="shared" si="22"/>
        <v>1297.501</v>
      </c>
      <c r="CL22" s="254">
        <f t="shared" si="23"/>
        <v>1297.501</v>
      </c>
      <c r="CM22" s="258">
        <f>CL22</f>
        <v>1297.501</v>
      </c>
    </row>
    <row r="23" spans="1:91" s="97" customFormat="1" ht="12.75" customHeight="1">
      <c r="A23" s="270" t="s">
        <v>235</v>
      </c>
      <c r="B23" s="271"/>
      <c r="C23" s="271"/>
      <c r="D23" s="272"/>
      <c r="E23" s="272"/>
      <c r="F23" s="272"/>
      <c r="G23" s="273"/>
      <c r="H23" s="272"/>
      <c r="I23" s="272"/>
      <c r="J23" s="272"/>
      <c r="K23" s="272"/>
      <c r="L23" s="272"/>
      <c r="M23" s="273"/>
      <c r="N23" s="272"/>
      <c r="O23" s="274"/>
      <c r="P23" s="275"/>
      <c r="Q23" s="275"/>
      <c r="R23" s="275"/>
      <c r="S23" s="276"/>
      <c r="T23" s="272"/>
      <c r="U23" s="274"/>
      <c r="V23" s="275"/>
      <c r="W23" s="275"/>
      <c r="X23" s="275"/>
      <c r="Y23" s="276">
        <f>SUM(Y10:Y22)</f>
        <v>766.05500000000006</v>
      </c>
      <c r="Z23" s="272"/>
      <c r="AA23" s="274">
        <f>SUM(AA10:AA22)</f>
        <v>790.346</v>
      </c>
      <c r="AB23" s="275">
        <f>SUM(AB10:AB22)</f>
        <v>836.17599999999993</v>
      </c>
      <c r="AC23" s="275">
        <f>SUM(AC10:AC22)</f>
        <v>971.57799999999997</v>
      </c>
      <c r="AD23" s="275">
        <f>SUM(AD10:AD22)</f>
        <v>990.83199999999999</v>
      </c>
      <c r="AE23" s="276">
        <f>SUM(AE10:AE22)</f>
        <v>990.83199999999999</v>
      </c>
      <c r="AF23" s="272"/>
      <c r="AG23" s="274">
        <f>SUM(AG10:AG22)</f>
        <v>1023.616</v>
      </c>
      <c r="AH23" s="275">
        <f>SUM(AH10:AH22)</f>
        <v>1101.354</v>
      </c>
      <c r="AI23" s="275">
        <f>SUM(AI10:AI22)</f>
        <v>1147.703</v>
      </c>
      <c r="AJ23" s="275">
        <f>SUM(AJ10:AJ22)</f>
        <v>1177.7809999999999</v>
      </c>
      <c r="AK23" s="276">
        <f>SUM(AK10:AK22)</f>
        <v>1177.7809999999999</v>
      </c>
      <c r="AL23" s="272"/>
      <c r="AM23" s="277">
        <f>SUM(AM10:AM22)</f>
        <v>1233.232</v>
      </c>
      <c r="AN23" s="275">
        <f>SUM(AN10:AN22)</f>
        <v>1267.9090000000001</v>
      </c>
      <c r="AO23" s="275">
        <f>SUM(AO10:AO22)</f>
        <v>1293.761</v>
      </c>
      <c r="AP23" s="275">
        <f>SUM(AP10:AP22)</f>
        <v>1323.346</v>
      </c>
      <c r="AQ23" s="276">
        <f>SUM(AQ10:AQ22)</f>
        <v>1323.346</v>
      </c>
      <c r="AR23" s="272"/>
      <c r="AS23" s="277">
        <f>SUM(AS10:AS22)</f>
        <v>1332.104</v>
      </c>
      <c r="AT23" s="275">
        <f>SUM(AT10:AT22)</f>
        <v>1393.403</v>
      </c>
      <c r="AU23" s="275">
        <f>SUM(AU10:AU22)</f>
        <v>1430.0059999999999</v>
      </c>
      <c r="AV23" s="275">
        <f>SUM(AV10:AV22)</f>
        <v>1465.2429999999999</v>
      </c>
      <c r="AW23" s="276">
        <f>SUM(AW10:AW22)</f>
        <v>1465.2429999999999</v>
      </c>
      <c r="AX23" s="272"/>
      <c r="AY23" s="277">
        <f>SUM(AY10:AY22)</f>
        <v>1485.316</v>
      </c>
      <c r="AZ23" s="275">
        <f>SUM(AZ10:AZ22)</f>
        <v>1560.297</v>
      </c>
      <c r="BA23" s="275">
        <f>SUM(BA10:BA22)</f>
        <v>1630.1759999999999</v>
      </c>
      <c r="BB23" s="275">
        <f>SUM(BB10:BB22)</f>
        <v>1668.3360000000002</v>
      </c>
      <c r="BC23" s="276">
        <f>SUM(BC10:BC22)</f>
        <v>1668.3360000000002</v>
      </c>
      <c r="BD23" s="272"/>
      <c r="BE23" s="277">
        <f>SUM(BE10:BE22)</f>
        <v>1718.8</v>
      </c>
      <c r="BF23" s="275">
        <f>SUM(BF10:BF22)</f>
        <v>1756.9580000000001</v>
      </c>
      <c r="BG23" s="275">
        <f>SUM(BG10:BG22)</f>
        <v>1782.0080000000003</v>
      </c>
      <c r="BH23" s="275">
        <f>SUM(BH10:BH22)</f>
        <v>1827.2629999999999</v>
      </c>
      <c r="BI23" s="276">
        <f>SUM(BI10:BI22)</f>
        <v>1827.2629999999999</v>
      </c>
      <c r="BJ23" s="272"/>
      <c r="BK23" s="277">
        <f>SUM(BK10:BK22)</f>
        <v>1867.384</v>
      </c>
      <c r="BL23" s="275">
        <f>SUM(BL10:BL22)</f>
        <v>1912.4659999999999</v>
      </c>
      <c r="BM23" s="275">
        <f>SUM(BM10:BM22)</f>
        <v>1957.79</v>
      </c>
      <c r="BN23" s="275">
        <f>SUM(BN10:BN22)</f>
        <v>1997.7739999999999</v>
      </c>
      <c r="BO23" s="276">
        <f>SUM(BO10:BO22)</f>
        <v>1997.7739999999999</v>
      </c>
      <c r="BP23" s="272"/>
      <c r="BQ23" s="277">
        <f>SUM(BQ10:BQ22)</f>
        <v>1897.7739999999999</v>
      </c>
      <c r="BR23" s="275">
        <f>SUM(BR10:BR22)</f>
        <v>1897.7739999999999</v>
      </c>
      <c r="BS23" s="275">
        <f>SUM(BS10:BS22)</f>
        <v>1897.7739999999999</v>
      </c>
      <c r="BT23" s="275">
        <f>SUM(BT10:BT22)</f>
        <v>1897.7739999999999</v>
      </c>
      <c r="BU23" s="276">
        <f>SUM(BU10:BU22)</f>
        <v>1897.7739999999999</v>
      </c>
      <c r="BW23" s="277">
        <f>SUM(BW10:BW22)</f>
        <v>1797.7739999999999</v>
      </c>
      <c r="BX23" s="275">
        <f>SUM(BX10:BX22)</f>
        <v>1797.7739999999999</v>
      </c>
      <c r="BY23" s="275">
        <f>SUM(BY10:BY22)</f>
        <v>1797.7739999999999</v>
      </c>
      <c r="BZ23" s="275">
        <f>SUM(BZ10:BZ22)</f>
        <v>1797.7739999999999</v>
      </c>
      <c r="CA23" s="276">
        <f>SUM(CA10:CA22)</f>
        <v>1797.7739999999999</v>
      </c>
      <c r="CC23" s="277">
        <f>SUM(CC10:CC22)</f>
        <v>1797.7739999999999</v>
      </c>
      <c r="CD23" s="275">
        <f>SUM(CD10:CD22)</f>
        <v>1797.7739999999999</v>
      </c>
      <c r="CE23" s="275">
        <f>SUM(CE10:CE22)</f>
        <v>1797.7739999999999</v>
      </c>
      <c r="CF23" s="275">
        <f>SUM(CF10:CF22)</f>
        <v>1797.7739999999999</v>
      </c>
      <c r="CG23" s="276">
        <f>SUM(CG10:CG22)</f>
        <v>1797.7739999999999</v>
      </c>
      <c r="CI23" s="277">
        <f>SUM(CI10:CI22)</f>
        <v>1797.7739999999999</v>
      </c>
      <c r="CJ23" s="275">
        <f>SUM(CJ10:CJ22)</f>
        <v>1797.7739999999999</v>
      </c>
      <c r="CK23" s="275">
        <f>SUM(CK10:CK22)</f>
        <v>1797.7739999999999</v>
      </c>
      <c r="CL23" s="275">
        <f>SUM(CL10:CL22)</f>
        <v>1797.7739999999999</v>
      </c>
      <c r="CM23" s="276">
        <f>SUM(CM10:CM22)</f>
        <v>1797.7739999999999</v>
      </c>
    </row>
    <row r="24" spans="1:91" s="15" customFormat="1" ht="12.75" customHeight="1">
      <c r="A24" s="1858" t="s">
        <v>55</v>
      </c>
      <c r="B24" s="1858"/>
      <c r="C24" s="1858"/>
      <c r="D24" s="1859"/>
      <c r="E24" s="1859"/>
      <c r="F24" s="1859"/>
      <c r="G24" s="1866"/>
      <c r="H24" s="1859"/>
      <c r="I24" s="1859"/>
      <c r="J24" s="1859"/>
      <c r="K24" s="1859"/>
      <c r="L24" s="1859"/>
      <c r="M24" s="1866"/>
      <c r="N24" s="1859"/>
      <c r="O24" s="1867"/>
      <c r="P24" s="1868"/>
      <c r="Q24" s="1868"/>
      <c r="R24" s="1868"/>
      <c r="S24" s="1869"/>
      <c r="T24" s="1859"/>
      <c r="U24" s="1867"/>
      <c r="V24" s="1868"/>
      <c r="W24" s="1868"/>
      <c r="X24" s="1868"/>
      <c r="Y24" s="1870">
        <v>66.055000000000007</v>
      </c>
      <c r="Z24" s="1859"/>
      <c r="AA24" s="1871">
        <v>390.346</v>
      </c>
      <c r="AB24" s="1872">
        <v>136.17599999999999</v>
      </c>
      <c r="AC24" s="1872">
        <v>271.57799999999997</v>
      </c>
      <c r="AD24" s="1872">
        <v>290.83199999999999</v>
      </c>
      <c r="AE24" s="1873">
        <f>AD24</f>
        <v>290.83199999999999</v>
      </c>
      <c r="AF24" s="1874"/>
      <c r="AG24" s="1871">
        <v>323.61599999999999</v>
      </c>
      <c r="AH24" s="1872">
        <v>401.35399999999998</v>
      </c>
      <c r="AI24" s="659">
        <v>447.70299999999997</v>
      </c>
      <c r="AJ24" s="659">
        <v>132.78100000000001</v>
      </c>
      <c r="AK24" s="258">
        <f>AJ24</f>
        <v>132.78100000000001</v>
      </c>
      <c r="AL24" s="260"/>
      <c r="AM24" s="290">
        <v>133.232</v>
      </c>
      <c r="AN24" s="659">
        <v>132.90899999999999</v>
      </c>
      <c r="AO24" s="659">
        <v>133.761</v>
      </c>
      <c r="AP24" s="257">
        <v>133.346</v>
      </c>
      <c r="AQ24" s="258">
        <f>AP24</f>
        <v>133.346</v>
      </c>
      <c r="AR24" s="260"/>
      <c r="AS24" s="290">
        <v>232.10400000000001</v>
      </c>
      <c r="AT24" s="659">
        <v>233.40299999999999</v>
      </c>
      <c r="AU24" s="659">
        <v>225.006</v>
      </c>
      <c r="AV24" s="257">
        <v>225.24299999999999</v>
      </c>
      <c r="AW24" s="258">
        <f>AV24</f>
        <v>225.24299999999999</v>
      </c>
      <c r="AX24" s="260"/>
      <c r="AY24" s="290">
        <v>175.316</v>
      </c>
      <c r="AZ24" s="659">
        <v>175.297</v>
      </c>
      <c r="BA24" s="659">
        <v>175.297</v>
      </c>
      <c r="BB24" s="257">
        <v>175.309</v>
      </c>
      <c r="BC24" s="258">
        <f>BB24</f>
        <v>175.309</v>
      </c>
      <c r="BD24" s="260"/>
      <c r="BE24" s="1673">
        <v>125.499</v>
      </c>
      <c r="BF24" s="659">
        <v>125.26</v>
      </c>
      <c r="BG24" s="659">
        <v>125.176</v>
      </c>
      <c r="BH24" s="659">
        <v>125.297</v>
      </c>
      <c r="BI24" s="258">
        <f>BH24</f>
        <v>125.297</v>
      </c>
      <c r="BJ24" s="260"/>
      <c r="BK24" s="1673">
        <v>225.285</v>
      </c>
      <c r="BL24" s="659">
        <v>225.233</v>
      </c>
      <c r="BM24" s="659">
        <v>225.423</v>
      </c>
      <c r="BN24" s="659">
        <v>100.273</v>
      </c>
      <c r="BO24" s="258">
        <f>BN24</f>
        <v>100.273</v>
      </c>
      <c r="BP24" s="260"/>
      <c r="BQ24" s="261">
        <f>BN24</f>
        <v>100.273</v>
      </c>
      <c r="BR24" s="260">
        <f>BQ24</f>
        <v>100.273</v>
      </c>
      <c r="BS24" s="260">
        <f>BR24</f>
        <v>100.273</v>
      </c>
      <c r="BT24" s="260">
        <f>BS24</f>
        <v>100.273</v>
      </c>
      <c r="BU24" s="258">
        <f>BT24</f>
        <v>100.273</v>
      </c>
      <c r="BV24" s="149"/>
      <c r="BW24" s="261">
        <f>BT24</f>
        <v>100.273</v>
      </c>
      <c r="BX24" s="260">
        <f>BW24</f>
        <v>100.273</v>
      </c>
      <c r="BY24" s="260">
        <f>BX24</f>
        <v>100.273</v>
      </c>
      <c r="BZ24" s="260">
        <f>BY24</f>
        <v>100.273</v>
      </c>
      <c r="CA24" s="258">
        <f>BZ24</f>
        <v>100.273</v>
      </c>
      <c r="CB24" s="149"/>
      <c r="CC24" s="261">
        <f>BZ24</f>
        <v>100.273</v>
      </c>
      <c r="CD24" s="260">
        <f>CC24</f>
        <v>100.273</v>
      </c>
      <c r="CE24" s="260">
        <f>CD24</f>
        <v>100.273</v>
      </c>
      <c r="CF24" s="260">
        <f>CE24</f>
        <v>100.273</v>
      </c>
      <c r="CG24" s="258">
        <f>CF24</f>
        <v>100.273</v>
      </c>
      <c r="CH24" s="149"/>
      <c r="CI24" s="261">
        <f>CF24</f>
        <v>100.273</v>
      </c>
      <c r="CJ24" s="260">
        <f>CI24</f>
        <v>100.273</v>
      </c>
      <c r="CK24" s="260">
        <f>CJ24</f>
        <v>100.273</v>
      </c>
      <c r="CL24" s="260">
        <f>CK24</f>
        <v>100.273</v>
      </c>
      <c r="CM24" s="258">
        <f>CL24</f>
        <v>100.273</v>
      </c>
    </row>
    <row r="25" spans="1:91" s="15" customFormat="1" ht="12.75" customHeight="1">
      <c r="A25" s="1853" t="s">
        <v>56</v>
      </c>
      <c r="B25" s="1854"/>
      <c r="C25" s="1854"/>
      <c r="D25" s="1855"/>
      <c r="E25" s="1855"/>
      <c r="F25" s="1855"/>
      <c r="G25" s="1865"/>
      <c r="H25" s="1855"/>
      <c r="I25" s="1855"/>
      <c r="J25" s="1855"/>
      <c r="K25" s="1855"/>
      <c r="L25" s="1855"/>
      <c r="M25" s="1865"/>
      <c r="N25" s="1855"/>
      <c r="O25" s="1857"/>
      <c r="P25" s="1862"/>
      <c r="Q25" s="1862"/>
      <c r="R25" s="1862"/>
      <c r="S25" s="1863"/>
      <c r="T25" s="1855"/>
      <c r="U25" s="1857"/>
      <c r="V25" s="1862"/>
      <c r="W25" s="1862"/>
      <c r="X25" s="1862"/>
      <c r="Y25" s="1863">
        <f>Y23-Y24</f>
        <v>700</v>
      </c>
      <c r="Z25" s="1855"/>
      <c r="AA25" s="1857">
        <f>AA23-AA24</f>
        <v>400</v>
      </c>
      <c r="AB25" s="1862">
        <f>AB23-AB24</f>
        <v>700</v>
      </c>
      <c r="AC25" s="1862">
        <f>AC23-AC24</f>
        <v>700</v>
      </c>
      <c r="AD25" s="1862">
        <f>AD23-AD24</f>
        <v>700</v>
      </c>
      <c r="AE25" s="1863">
        <f>AE23-AE24</f>
        <v>700</v>
      </c>
      <c r="AF25" s="1855"/>
      <c r="AG25" s="1857">
        <f>AG23-AG24</f>
        <v>700</v>
      </c>
      <c r="AH25" s="1862">
        <f>AH23-AH24</f>
        <v>700</v>
      </c>
      <c r="AI25" s="1862">
        <f>AI23-AI24</f>
        <v>700</v>
      </c>
      <c r="AJ25" s="1862">
        <f>AJ23-AJ24</f>
        <v>1045</v>
      </c>
      <c r="AK25" s="1863">
        <f>AK23-AK24</f>
        <v>1045</v>
      </c>
      <c r="AL25" s="1855"/>
      <c r="AM25" s="1864">
        <f>AM23-AM24</f>
        <v>1100</v>
      </c>
      <c r="AN25" s="1862">
        <f>AN23-AN24</f>
        <v>1135</v>
      </c>
      <c r="AO25" s="1862">
        <f>AO23-AO24</f>
        <v>1160</v>
      </c>
      <c r="AP25" s="1862">
        <f>AP23-AP24</f>
        <v>1190</v>
      </c>
      <c r="AQ25" s="1863">
        <f>AQ23-AQ24</f>
        <v>1190</v>
      </c>
      <c r="AR25" s="1855"/>
      <c r="AS25" s="1864">
        <f>AS23-AS24</f>
        <v>1100</v>
      </c>
      <c r="AT25" s="1862">
        <f>AT23-AT24</f>
        <v>1160</v>
      </c>
      <c r="AU25" s="1862">
        <f>AU23-AU24</f>
        <v>1204.9999999999998</v>
      </c>
      <c r="AV25" s="1862">
        <f>AV23-AV24</f>
        <v>1240</v>
      </c>
      <c r="AW25" s="1863">
        <f>AW23-AW24</f>
        <v>1240</v>
      </c>
      <c r="AX25" s="1855"/>
      <c r="AY25" s="1864">
        <f>AY23-AY24</f>
        <v>1310</v>
      </c>
      <c r="AZ25" s="1862">
        <f>AZ23-AZ24</f>
        <v>1385</v>
      </c>
      <c r="BA25" s="1862">
        <f>BA23-BA24</f>
        <v>1454.8789999999999</v>
      </c>
      <c r="BB25" s="1862">
        <f>BB23-BB24</f>
        <v>1493.0270000000003</v>
      </c>
      <c r="BC25" s="1863">
        <f>BC23-BC24</f>
        <v>1493.0270000000003</v>
      </c>
      <c r="BD25" s="1855"/>
      <c r="BE25" s="1864">
        <f>BE23-BE24</f>
        <v>1593.3009999999999</v>
      </c>
      <c r="BF25" s="1862">
        <f>BF23-BF24</f>
        <v>1631.6980000000001</v>
      </c>
      <c r="BG25" s="1862">
        <f>BG23-BG24</f>
        <v>1656.8320000000003</v>
      </c>
      <c r="BH25" s="1862">
        <f>BH23-BH24</f>
        <v>1701.9659999999999</v>
      </c>
      <c r="BI25" s="1863">
        <f>BI23-BI24</f>
        <v>1701.9659999999999</v>
      </c>
      <c r="BJ25" s="1855"/>
      <c r="BK25" s="1864">
        <f>BK23-BK24</f>
        <v>1642.0989999999999</v>
      </c>
      <c r="BL25" s="1862">
        <f>BL23-BL24</f>
        <v>1687.2329999999999</v>
      </c>
      <c r="BM25" s="1862">
        <f>BM23-BM24</f>
        <v>1732.367</v>
      </c>
      <c r="BN25" s="1862">
        <f>BN23-BN24</f>
        <v>1897.501</v>
      </c>
      <c r="BO25" s="1863">
        <f>BO23-BO24</f>
        <v>1897.501</v>
      </c>
      <c r="BP25" s="1855"/>
      <c r="BQ25" s="1864">
        <f>BQ23-BQ24</f>
        <v>1797.501</v>
      </c>
      <c r="BR25" s="1862">
        <f>BR23-BR24</f>
        <v>1797.501</v>
      </c>
      <c r="BS25" s="1862">
        <f>BS23-BS24</f>
        <v>1797.501</v>
      </c>
      <c r="BT25" s="1862">
        <f>BT23-BT24</f>
        <v>1797.501</v>
      </c>
      <c r="BU25" s="1863">
        <f>BU23-BU24</f>
        <v>1797.501</v>
      </c>
      <c r="BV25" s="97"/>
      <c r="BW25" s="1864">
        <f>BW23-BW24</f>
        <v>1697.501</v>
      </c>
      <c r="BX25" s="1862">
        <f>BX23-BX24</f>
        <v>1697.501</v>
      </c>
      <c r="BY25" s="1862">
        <f>BY23-BY24</f>
        <v>1697.501</v>
      </c>
      <c r="BZ25" s="1862">
        <f>BZ23-BZ24</f>
        <v>1697.501</v>
      </c>
      <c r="CA25" s="1863">
        <f>CA23-CA24</f>
        <v>1697.501</v>
      </c>
      <c r="CB25" s="97"/>
      <c r="CC25" s="1864">
        <f>CC23-CC24</f>
        <v>1697.501</v>
      </c>
      <c r="CD25" s="1862">
        <f>CD23-CD24</f>
        <v>1697.501</v>
      </c>
      <c r="CE25" s="1862">
        <f>CE23-CE24</f>
        <v>1697.501</v>
      </c>
      <c r="CF25" s="1862">
        <f>CF23-CF24</f>
        <v>1697.501</v>
      </c>
      <c r="CG25" s="1863">
        <f>CG23-CG24</f>
        <v>1697.501</v>
      </c>
      <c r="CH25" s="97"/>
      <c r="CI25" s="1864">
        <f>CI23-CI24</f>
        <v>1697.501</v>
      </c>
      <c r="CJ25" s="1862">
        <f>CJ23-CJ24</f>
        <v>1697.501</v>
      </c>
      <c r="CK25" s="1862">
        <f>CK23-CK24</f>
        <v>1697.501</v>
      </c>
      <c r="CL25" s="1862">
        <f>CL23-CL24</f>
        <v>1697.501</v>
      </c>
      <c r="CM25" s="1863">
        <f>CM23-CM24</f>
        <v>1697.501</v>
      </c>
    </row>
    <row r="26" spans="1:91" s="97" customFormat="1" ht="12.75" customHeight="1" outlineLevel="1">
      <c r="A26" s="279" t="s">
        <v>57</v>
      </c>
      <c r="B26" s="280"/>
      <c r="C26" s="280"/>
      <c r="D26" s="260"/>
      <c r="E26" s="260"/>
      <c r="F26" s="260"/>
      <c r="G26" s="281"/>
      <c r="H26" s="260"/>
      <c r="I26" s="260"/>
      <c r="J26" s="260"/>
      <c r="K26" s="260"/>
      <c r="L26" s="260"/>
      <c r="M26" s="282"/>
      <c r="N26" s="260"/>
      <c r="O26" s="283"/>
      <c r="P26" s="284"/>
      <c r="Q26" s="284"/>
      <c r="R26" s="284"/>
      <c r="S26" s="285"/>
      <c r="T26" s="260"/>
      <c r="U26" s="283"/>
      <c r="V26" s="284"/>
      <c r="W26" s="284"/>
      <c r="X26" s="284"/>
      <c r="Y26" s="285">
        <f>Y23-BS!Y23-BS!Y29</f>
        <v>0</v>
      </c>
      <c r="Z26" s="260"/>
      <c r="AA26" s="283">
        <f>AA23-BS!AA23-BS!AA29</f>
        <v>0</v>
      </c>
      <c r="AB26" s="284">
        <f>AB23-BS!AB23-BS!AB29</f>
        <v>0</v>
      </c>
      <c r="AC26" s="284">
        <f>AC23-BS!AC23-BS!AC29</f>
        <v>0</v>
      </c>
      <c r="AD26" s="284">
        <f>AD23-BS!AD23-BS!AD29</f>
        <v>0</v>
      </c>
      <c r="AE26" s="285">
        <f>AE23-BS!AE23-BS!AE29</f>
        <v>0</v>
      </c>
      <c r="AF26" s="260"/>
      <c r="AG26" s="286">
        <f>AG23-BS!AG23-BS!AG29</f>
        <v>0</v>
      </c>
      <c r="AH26" s="284">
        <f>AH23-BS!AH23-BS!AH29</f>
        <v>0</v>
      </c>
      <c r="AI26" s="284">
        <f>AI23-BS!AI23-BS!AI29</f>
        <v>0</v>
      </c>
      <c r="AJ26" s="1178">
        <f>AJ23-BS!AJ23-BS!AJ29</f>
        <v>0</v>
      </c>
      <c r="AK26" s="285">
        <f>AK23-BS!AK23-BS!AK29</f>
        <v>0</v>
      </c>
      <c r="AL26" s="260"/>
      <c r="AM26" s="1224">
        <f>AM23-BS!AM23-BS!AM29</f>
        <v>0</v>
      </c>
      <c r="AN26" s="284">
        <f>AN23-BS!AN23-BS!AN29</f>
        <v>0</v>
      </c>
      <c r="AO26" s="284">
        <f>AO23-BS!AO23-BS!AO29</f>
        <v>0</v>
      </c>
      <c r="AP26" s="284">
        <f>AP23-BS!AP23-BS!AP29</f>
        <v>0</v>
      </c>
      <c r="AQ26" s="285">
        <f>AQ23-BS!AQ23-BS!AQ29</f>
        <v>0</v>
      </c>
      <c r="AR26" s="260"/>
      <c r="AS26" s="283">
        <f>AS23-BS!AS23-BS!AS29</f>
        <v>0</v>
      </c>
      <c r="AT26" s="284">
        <f>AT23-BS!AT23-BS!AT29</f>
        <v>0</v>
      </c>
      <c r="AU26" s="284">
        <f>AU23-BS!AU23-BS!AU29</f>
        <v>0</v>
      </c>
      <c r="AV26" s="284">
        <f>AV23-BS!AV23-BS!AV29</f>
        <v>0</v>
      </c>
      <c r="AW26" s="285">
        <f>AW23-BS!AW23-BS!AW29</f>
        <v>0</v>
      </c>
      <c r="AX26" s="260"/>
      <c r="AY26" s="283">
        <f>AY23-BS!AY23-BS!AY29</f>
        <v>0</v>
      </c>
      <c r="AZ26" s="284">
        <f>AZ23-BS!AZ23-BS!AZ29</f>
        <v>0</v>
      </c>
      <c r="BA26" s="284">
        <f>BA23-BS!BA23-BS!BA29</f>
        <v>0</v>
      </c>
      <c r="BB26" s="284">
        <f>BB23-BS!BB23-BS!BB29</f>
        <v>0</v>
      </c>
      <c r="BC26" s="285">
        <f>BC23-BS!BC23-BS!BC29</f>
        <v>0</v>
      </c>
      <c r="BD26" s="260"/>
      <c r="BE26" s="283">
        <f>BE23-BS!BE23-BS!BE29</f>
        <v>0</v>
      </c>
      <c r="BF26" s="284">
        <f>BF23-BS!BF23-BS!BF29</f>
        <v>0</v>
      </c>
      <c r="BG26" s="284">
        <f>BG23-BS!BG23-BS!BG29</f>
        <v>0</v>
      </c>
      <c r="BH26" s="284">
        <f>BH23-BS!BH23-BS!BH29</f>
        <v>0</v>
      </c>
      <c r="BI26" s="285">
        <f>BI23-BS!BI23-BS!BI29</f>
        <v>0</v>
      </c>
      <c r="BJ26" s="260"/>
      <c r="BK26" s="283">
        <f>BK23-BS!BK23-BS!BK29</f>
        <v>0</v>
      </c>
      <c r="BL26" s="284">
        <f>BL23-BS!BL23-BS!BL29</f>
        <v>0</v>
      </c>
      <c r="BM26" s="284">
        <f>BM23-BS!BM23-BS!BM29</f>
        <v>0</v>
      </c>
      <c r="BN26" s="284">
        <f>BN23-BS!BN23-BS!BN29</f>
        <v>0</v>
      </c>
      <c r="BO26" s="285">
        <f>BO23-BS!BO23-BS!BO29</f>
        <v>0</v>
      </c>
      <c r="BP26" s="260"/>
      <c r="BQ26" s="283">
        <f>BQ23-BS!BQ23-BS!BQ29</f>
        <v>0</v>
      </c>
      <c r="BR26" s="284">
        <f>BR23-BS!BR23-BS!BR29</f>
        <v>0</v>
      </c>
      <c r="BS26" s="284">
        <f>BS23-BS!BS23-BS!BS29</f>
        <v>0</v>
      </c>
      <c r="BT26" s="284">
        <f>BT23-BS!BT23-BS!BT29</f>
        <v>0</v>
      </c>
      <c r="BU26" s="285">
        <f>BU23-BS!BU23-BS!BU29</f>
        <v>0</v>
      </c>
      <c r="BW26" s="283">
        <f>BW23-BS!BW23-BS!BW29</f>
        <v>0</v>
      </c>
      <c r="BX26" s="284">
        <f>BX23-BS!BX23-BS!BX29</f>
        <v>0</v>
      </c>
      <c r="BY26" s="284">
        <f>BY23-BS!BY23-BS!BY29</f>
        <v>0</v>
      </c>
      <c r="BZ26" s="284">
        <f>BZ23-BS!BZ23-BS!BZ29</f>
        <v>0</v>
      </c>
      <c r="CA26" s="285">
        <f>CA23-BS!CA23-BS!CA29</f>
        <v>0</v>
      </c>
      <c r="CC26" s="283">
        <f>CC23-BS!CC23-BS!CC29</f>
        <v>0</v>
      </c>
      <c r="CD26" s="284">
        <f>CD23-BS!CD23-BS!CD29</f>
        <v>0</v>
      </c>
      <c r="CE26" s="284">
        <f>CE23-BS!CE23-BS!CE29</f>
        <v>0</v>
      </c>
      <c r="CF26" s="284">
        <f>CF23-BS!CF23-BS!CF29</f>
        <v>0</v>
      </c>
      <c r="CG26" s="285">
        <f>CG23-BS!CG23-BS!CG29</f>
        <v>0</v>
      </c>
      <c r="CI26" s="283">
        <f>CI23-BS!CI23-BS!CI29</f>
        <v>0</v>
      </c>
      <c r="CJ26" s="284">
        <f>CJ23-BS!CJ23-BS!CJ29</f>
        <v>0</v>
      </c>
      <c r="CK26" s="284">
        <f>CK23-BS!CK23-BS!CK29</f>
        <v>0</v>
      </c>
      <c r="CL26" s="284">
        <f>CL23-BS!CL23-BS!CL29</f>
        <v>0</v>
      </c>
      <c r="CM26" s="285">
        <f>CM23-BS!CM23-BS!CM29</f>
        <v>0</v>
      </c>
    </row>
    <row r="27" spans="1:91" s="333" customFormat="1" ht="12.75" customHeight="1">
      <c r="A27" s="1875" t="s">
        <v>542</v>
      </c>
      <c r="B27" s="324"/>
      <c r="C27" s="324"/>
      <c r="D27" s="325"/>
      <c r="E27" s="325"/>
      <c r="F27" s="325"/>
      <c r="G27" s="326"/>
      <c r="H27" s="325"/>
      <c r="I27" s="325"/>
      <c r="J27" s="325"/>
      <c r="K27" s="325"/>
      <c r="L27" s="325"/>
      <c r="M27" s="326"/>
      <c r="N27" s="325"/>
      <c r="O27" s="327"/>
      <c r="P27" s="328"/>
      <c r="Q27" s="328"/>
      <c r="R27" s="328"/>
      <c r="S27" s="329"/>
      <c r="T27" s="325"/>
      <c r="U27" s="327"/>
      <c r="V27" s="328"/>
      <c r="W27" s="328"/>
      <c r="X27" s="328"/>
      <c r="Y27" s="330">
        <v>2.1000000000000001E-2</v>
      </c>
      <c r="Z27" s="331"/>
      <c r="AA27" s="327">
        <v>2.1100000000000001E-2</v>
      </c>
      <c r="AB27" s="328">
        <v>2.0500000000000001E-2</v>
      </c>
      <c r="AC27" s="328">
        <v>2.0799999999999999E-2</v>
      </c>
      <c r="AD27" s="328">
        <v>2.0199999999999999E-2</v>
      </c>
      <c r="AE27" s="332">
        <f>AD27</f>
        <v>2.0199999999999999E-2</v>
      </c>
      <c r="AF27" s="331"/>
      <c r="AG27" s="327">
        <v>2.0799999999999999E-2</v>
      </c>
      <c r="AH27" s="328">
        <v>1.9400000000000001E-2</v>
      </c>
      <c r="AI27" s="331">
        <v>2.1100000000000001E-2</v>
      </c>
      <c r="AJ27" s="331">
        <v>0.02</v>
      </c>
      <c r="AK27" s="332">
        <f>AJ27</f>
        <v>0.02</v>
      </c>
      <c r="AL27" s="325"/>
      <c r="AM27" s="327">
        <v>1.89E-2</v>
      </c>
      <c r="AN27" s="331">
        <v>1.55E-2</v>
      </c>
      <c r="AO27" s="331">
        <v>2.1600000000000001E-2</v>
      </c>
      <c r="AP27" s="331">
        <v>0.02</v>
      </c>
      <c r="AQ27" s="332">
        <f>AP27</f>
        <v>0.02</v>
      </c>
      <c r="AR27" s="325"/>
      <c r="AS27" s="1699">
        <v>1.54E-2</v>
      </c>
      <c r="AT27" s="331">
        <v>2.0500000000000001E-2</v>
      </c>
      <c r="AU27" s="331">
        <v>5.0000000000000001E-3</v>
      </c>
      <c r="AV27" s="331">
        <v>1.4800000000000001E-2</v>
      </c>
      <c r="AW27" s="332">
        <f>AV27</f>
        <v>1.4800000000000001E-2</v>
      </c>
      <c r="AX27" s="325"/>
      <c r="AY27" s="1699">
        <v>1.12E-2</v>
      </c>
      <c r="AZ27" s="331">
        <v>1.2500000000000001E-2</v>
      </c>
      <c r="BA27" s="331">
        <v>0.02</v>
      </c>
      <c r="BB27" s="1892">
        <v>1.24E-2</v>
      </c>
      <c r="BC27" s="332">
        <f>BB27</f>
        <v>1.24E-2</v>
      </c>
      <c r="BD27" s="325"/>
      <c r="BE27" s="1893">
        <f>BC27</f>
        <v>1.24E-2</v>
      </c>
      <c r="BF27" s="1892">
        <v>1.4800000000000001E-2</v>
      </c>
      <c r="BG27" s="1892">
        <v>1.4800000000000001E-2</v>
      </c>
      <c r="BH27" s="1892">
        <v>1.49E-2</v>
      </c>
      <c r="BI27" s="332">
        <f>BH27</f>
        <v>1.49E-2</v>
      </c>
      <c r="BJ27" s="325"/>
      <c r="BK27" s="1893">
        <v>1.4800000000000001E-2</v>
      </c>
      <c r="BL27" s="1892">
        <v>7.7000000000000002E-3</v>
      </c>
      <c r="BM27" s="1892">
        <v>1.4800000000000001E-2</v>
      </c>
      <c r="BN27" s="1892">
        <v>1.4800000000000001E-2</v>
      </c>
      <c r="BO27" s="332">
        <f t="shared" ref="BO27:BO28" si="29">BN27</f>
        <v>1.4800000000000001E-2</v>
      </c>
      <c r="BP27" s="325"/>
      <c r="BQ27" s="1893">
        <f>BO27</f>
        <v>1.4800000000000001E-2</v>
      </c>
      <c r="BR27" s="1892">
        <f t="shared" ref="BR27:BU28" si="30">BQ27</f>
        <v>1.4800000000000001E-2</v>
      </c>
      <c r="BS27" s="1892">
        <f t="shared" si="30"/>
        <v>1.4800000000000001E-2</v>
      </c>
      <c r="BT27" s="1892">
        <f t="shared" si="30"/>
        <v>1.4800000000000001E-2</v>
      </c>
      <c r="BU27" s="332">
        <f t="shared" si="30"/>
        <v>1.4800000000000001E-2</v>
      </c>
      <c r="BV27" s="103"/>
      <c r="BW27" s="1893">
        <f>BU27</f>
        <v>1.4800000000000001E-2</v>
      </c>
      <c r="BX27" s="1892">
        <f t="shared" ref="BX27:CA28" si="31">BW27</f>
        <v>1.4800000000000001E-2</v>
      </c>
      <c r="BY27" s="1892">
        <f t="shared" si="31"/>
        <v>1.4800000000000001E-2</v>
      </c>
      <c r="BZ27" s="1892">
        <f t="shared" si="31"/>
        <v>1.4800000000000001E-2</v>
      </c>
      <c r="CA27" s="332">
        <f t="shared" si="31"/>
        <v>1.4800000000000001E-2</v>
      </c>
      <c r="CB27" s="103"/>
      <c r="CC27" s="1893">
        <f>CA27</f>
        <v>1.4800000000000001E-2</v>
      </c>
      <c r="CD27" s="1892">
        <f t="shared" ref="CD27:CG28" si="32">CC27</f>
        <v>1.4800000000000001E-2</v>
      </c>
      <c r="CE27" s="1892">
        <f t="shared" si="32"/>
        <v>1.4800000000000001E-2</v>
      </c>
      <c r="CF27" s="1892">
        <f t="shared" si="32"/>
        <v>1.4800000000000001E-2</v>
      </c>
      <c r="CG27" s="332">
        <f t="shared" si="32"/>
        <v>1.4800000000000001E-2</v>
      </c>
      <c r="CH27" s="103"/>
      <c r="CI27" s="1893">
        <f>CG27</f>
        <v>1.4800000000000001E-2</v>
      </c>
      <c r="CJ27" s="1892">
        <f t="shared" ref="CJ27:CM28" si="33">CI27</f>
        <v>1.4800000000000001E-2</v>
      </c>
      <c r="CK27" s="1892">
        <f t="shared" si="33"/>
        <v>1.4800000000000001E-2</v>
      </c>
      <c r="CL27" s="1892">
        <f t="shared" si="33"/>
        <v>1.4800000000000001E-2</v>
      </c>
      <c r="CM27" s="332">
        <f t="shared" si="33"/>
        <v>1.4800000000000001E-2</v>
      </c>
    </row>
    <row r="28" spans="1:91" s="333" customFormat="1" ht="12.75" customHeight="1">
      <c r="A28" s="1875" t="s">
        <v>541</v>
      </c>
      <c r="B28" s="324"/>
      <c r="C28" s="324"/>
      <c r="D28" s="325"/>
      <c r="E28" s="325"/>
      <c r="F28" s="325"/>
      <c r="G28" s="326"/>
      <c r="H28" s="325"/>
      <c r="I28" s="325"/>
      <c r="J28" s="325"/>
      <c r="K28" s="325"/>
      <c r="L28" s="325"/>
      <c r="M28" s="326"/>
      <c r="N28" s="325"/>
      <c r="O28" s="327"/>
      <c r="P28" s="328"/>
      <c r="Q28" s="328"/>
      <c r="R28" s="328"/>
      <c r="S28" s="329"/>
      <c r="T28" s="325"/>
      <c r="U28" s="327"/>
      <c r="V28" s="328"/>
      <c r="W28" s="328"/>
      <c r="X28" s="328"/>
      <c r="Y28" s="330">
        <v>1.6899999999999998E-2</v>
      </c>
      <c r="Z28" s="331"/>
      <c r="AA28" s="327">
        <v>2.3E-2</v>
      </c>
      <c r="AB28" s="328">
        <v>2.1999999999999999E-2</v>
      </c>
      <c r="AC28" s="328">
        <v>2.2800000000000001E-2</v>
      </c>
      <c r="AD28" s="328">
        <v>2.3300000000000001E-2</v>
      </c>
      <c r="AE28" s="332">
        <f>AD28</f>
        <v>2.3300000000000001E-2</v>
      </c>
      <c r="AF28" s="331"/>
      <c r="AG28" s="327">
        <v>2.24E-2</v>
      </c>
      <c r="AH28" s="328">
        <v>2.1700000000000001E-2</v>
      </c>
      <c r="AI28" s="331">
        <v>2.1499999999999998E-2</v>
      </c>
      <c r="AJ28" s="331">
        <v>2.1100000000000001E-2</v>
      </c>
      <c r="AK28" s="332">
        <f>AJ28</f>
        <v>2.1100000000000001E-2</v>
      </c>
      <c r="AL28" s="325"/>
      <c r="AM28" s="327">
        <v>2.07E-2</v>
      </c>
      <c r="AN28" s="331">
        <v>1.9800000000000002E-2</v>
      </c>
      <c r="AO28" s="331">
        <v>1.9599999999999999E-2</v>
      </c>
      <c r="AP28" s="331">
        <v>1.9400000000000001E-2</v>
      </c>
      <c r="AQ28" s="332">
        <f>AP28</f>
        <v>1.9400000000000001E-2</v>
      </c>
      <c r="AR28" s="325"/>
      <c r="AS28" s="1699">
        <v>1.9199999999999998E-2</v>
      </c>
      <c r="AT28" s="331">
        <v>2.0799999999999999E-2</v>
      </c>
      <c r="AU28" s="331">
        <v>2.3300000000000001E-2</v>
      </c>
      <c r="AV28" s="331">
        <v>2.3099999999999999E-2</v>
      </c>
      <c r="AW28" s="332">
        <f>AV28</f>
        <v>2.3099999999999999E-2</v>
      </c>
      <c r="AX28" s="325"/>
      <c r="AY28" s="1699">
        <v>2.0899999999999998E-2</v>
      </c>
      <c r="AZ28" s="331">
        <v>2.0899999999999998E-2</v>
      </c>
      <c r="BA28" s="331">
        <v>2.06E-2</v>
      </c>
      <c r="BB28" s="1892">
        <v>2.1100000000000001E-2</v>
      </c>
      <c r="BC28" s="332">
        <f>BB28</f>
        <v>2.1100000000000001E-2</v>
      </c>
      <c r="BD28" s="325"/>
      <c r="BE28" s="1893">
        <v>2.1600000000000001E-2</v>
      </c>
      <c r="BF28" s="1892">
        <v>2.4E-2</v>
      </c>
      <c r="BG28" s="1892">
        <v>2.4500000000000001E-2</v>
      </c>
      <c r="BH28" s="1892">
        <v>2.5499999999999998E-2</v>
      </c>
      <c r="BI28" s="332">
        <f>BH28</f>
        <v>2.5499999999999998E-2</v>
      </c>
      <c r="BJ28" s="325"/>
      <c r="BK28" s="1893">
        <v>2.6800000000000001E-2</v>
      </c>
      <c r="BL28" s="1892">
        <v>2.7900000000000001E-2</v>
      </c>
      <c r="BM28" s="1892">
        <v>2.8199999999999999E-2</v>
      </c>
      <c r="BN28" s="1892">
        <v>2.98E-2</v>
      </c>
      <c r="BO28" s="332">
        <f t="shared" si="29"/>
        <v>2.98E-2</v>
      </c>
      <c r="BP28" s="325"/>
      <c r="BQ28" s="1893">
        <f>BO28</f>
        <v>2.98E-2</v>
      </c>
      <c r="BR28" s="1892">
        <f t="shared" si="30"/>
        <v>2.98E-2</v>
      </c>
      <c r="BS28" s="1892">
        <f t="shared" si="30"/>
        <v>2.98E-2</v>
      </c>
      <c r="BT28" s="1892">
        <f t="shared" si="30"/>
        <v>2.98E-2</v>
      </c>
      <c r="BU28" s="332">
        <f t="shared" si="30"/>
        <v>2.98E-2</v>
      </c>
      <c r="BV28" s="103"/>
      <c r="BW28" s="1893">
        <f>BU28</f>
        <v>2.98E-2</v>
      </c>
      <c r="BX28" s="1892">
        <f t="shared" si="31"/>
        <v>2.98E-2</v>
      </c>
      <c r="BY28" s="1892">
        <f t="shared" si="31"/>
        <v>2.98E-2</v>
      </c>
      <c r="BZ28" s="1892">
        <f t="shared" si="31"/>
        <v>2.98E-2</v>
      </c>
      <c r="CA28" s="332">
        <f t="shared" si="31"/>
        <v>2.98E-2</v>
      </c>
      <c r="CB28" s="103"/>
      <c r="CC28" s="1893">
        <f>CA28</f>
        <v>2.98E-2</v>
      </c>
      <c r="CD28" s="1892">
        <f t="shared" si="32"/>
        <v>2.98E-2</v>
      </c>
      <c r="CE28" s="1892">
        <f t="shared" si="32"/>
        <v>2.98E-2</v>
      </c>
      <c r="CF28" s="1892">
        <f t="shared" si="32"/>
        <v>2.98E-2</v>
      </c>
      <c r="CG28" s="332">
        <f t="shared" si="32"/>
        <v>2.98E-2</v>
      </c>
      <c r="CH28" s="103"/>
      <c r="CI28" s="1893">
        <f>CG28</f>
        <v>2.98E-2</v>
      </c>
      <c r="CJ28" s="1892">
        <f t="shared" si="33"/>
        <v>2.98E-2</v>
      </c>
      <c r="CK28" s="1892">
        <f t="shared" si="33"/>
        <v>2.98E-2</v>
      </c>
      <c r="CL28" s="1892">
        <f t="shared" si="33"/>
        <v>2.98E-2</v>
      </c>
      <c r="CM28" s="332">
        <f t="shared" si="33"/>
        <v>2.98E-2</v>
      </c>
    </row>
    <row r="29" spans="1:91" s="15" customFormat="1" ht="12.75" customHeight="1">
      <c r="A29" s="278"/>
      <c r="B29" s="278"/>
      <c r="C29" s="278"/>
      <c r="D29" s="254"/>
      <c r="E29" s="254"/>
      <c r="F29" s="254"/>
      <c r="G29" s="255"/>
      <c r="H29" s="254"/>
      <c r="I29" s="254"/>
      <c r="J29" s="254"/>
      <c r="K29" s="254"/>
      <c r="L29" s="254"/>
      <c r="M29" s="255"/>
      <c r="N29" s="254"/>
      <c r="O29" s="256"/>
      <c r="P29" s="257"/>
      <c r="Q29" s="257"/>
      <c r="R29" s="257"/>
      <c r="S29" s="287"/>
      <c r="T29" s="254"/>
      <c r="U29" s="256"/>
      <c r="V29" s="257"/>
      <c r="W29" s="257"/>
      <c r="X29" s="257"/>
      <c r="Y29" s="258"/>
      <c r="Z29" s="254"/>
      <c r="AA29" s="256"/>
      <c r="AB29" s="257"/>
      <c r="AC29" s="257"/>
      <c r="AD29" s="257"/>
      <c r="AE29" s="258"/>
      <c r="AF29" s="254"/>
      <c r="AG29" s="256"/>
      <c r="AH29" s="257"/>
      <c r="AI29" s="254"/>
      <c r="AJ29" s="254"/>
      <c r="AK29" s="258"/>
      <c r="AL29" s="254"/>
      <c r="AM29" s="261"/>
      <c r="AN29" s="254"/>
      <c r="AO29" s="254"/>
      <c r="AP29" s="254"/>
      <c r="AQ29" s="258"/>
      <c r="AR29" s="254"/>
      <c r="AS29" s="261"/>
      <c r="AT29" s="254"/>
      <c r="AU29" s="254"/>
      <c r="AV29" s="254"/>
      <c r="AW29" s="258"/>
      <c r="AX29" s="254"/>
      <c r="AY29" s="261"/>
      <c r="AZ29" s="254"/>
      <c r="BA29" s="254"/>
      <c r="BB29" s="254"/>
      <c r="BC29" s="258"/>
      <c r="BD29" s="254"/>
      <c r="BE29" s="261"/>
      <c r="BF29" s="254"/>
      <c r="BG29" s="254"/>
      <c r="BH29" s="254"/>
      <c r="BI29" s="258"/>
      <c r="BJ29" s="254"/>
      <c r="BK29" s="261"/>
      <c r="BL29" s="254"/>
      <c r="BM29" s="254"/>
      <c r="BN29" s="254"/>
      <c r="BO29" s="258"/>
      <c r="BP29" s="254"/>
      <c r="BQ29" s="261"/>
      <c r="BR29" s="254"/>
      <c r="BS29" s="254"/>
      <c r="BT29" s="254"/>
      <c r="BU29" s="258"/>
      <c r="BV29" s="97"/>
      <c r="BW29" s="261"/>
      <c r="BX29" s="254"/>
      <c r="BY29" s="254"/>
      <c r="BZ29" s="254"/>
      <c r="CA29" s="258"/>
      <c r="CB29" s="97"/>
      <c r="CC29" s="261"/>
      <c r="CD29" s="254"/>
      <c r="CE29" s="254"/>
      <c r="CF29" s="254"/>
      <c r="CG29" s="258"/>
      <c r="CH29" s="97"/>
      <c r="CI29" s="261"/>
      <c r="CJ29" s="254"/>
      <c r="CK29" s="254"/>
      <c r="CL29" s="254"/>
      <c r="CM29" s="258"/>
    </row>
    <row r="30" spans="1:91" s="15" customFormat="1" ht="12.75" customHeight="1">
      <c r="A30" s="288" t="s">
        <v>58</v>
      </c>
      <c r="B30" s="288"/>
      <c r="C30" s="288"/>
      <c r="D30" s="254"/>
      <c r="E30" s="254"/>
      <c r="F30" s="254"/>
      <c r="G30" s="287"/>
      <c r="H30" s="254"/>
      <c r="I30" s="254"/>
      <c r="J30" s="254"/>
      <c r="K30" s="254"/>
      <c r="L30" s="254"/>
      <c r="M30" s="287"/>
      <c r="N30" s="254"/>
      <c r="O30" s="259"/>
      <c r="P30" s="254"/>
      <c r="Q30" s="254"/>
      <c r="R30" s="254"/>
      <c r="S30" s="258"/>
      <c r="T30" s="254"/>
      <c r="U30" s="259"/>
      <c r="V30" s="254"/>
      <c r="W30" s="254"/>
      <c r="X30" s="254"/>
      <c r="Y30" s="258"/>
      <c r="Z30" s="254"/>
      <c r="AA30" s="259"/>
      <c r="AB30" s="254"/>
      <c r="AC30" s="254"/>
      <c r="AD30" s="254"/>
      <c r="AE30" s="258"/>
      <c r="AF30" s="254"/>
      <c r="AG30" s="259"/>
      <c r="AH30" s="254"/>
      <c r="AI30" s="254"/>
      <c r="AJ30" s="254"/>
      <c r="AK30" s="258"/>
      <c r="AL30" s="254"/>
      <c r="AM30" s="261"/>
      <c r="AN30" s="254"/>
      <c r="AO30" s="254"/>
      <c r="AP30" s="254"/>
      <c r="AQ30" s="258"/>
      <c r="AR30" s="254"/>
      <c r="AS30" s="261"/>
      <c r="AT30" s="254"/>
      <c r="AU30" s="254"/>
      <c r="AV30" s="254"/>
      <c r="AW30" s="258"/>
      <c r="AX30" s="254"/>
      <c r="AY30" s="261"/>
      <c r="AZ30" s="254"/>
      <c r="BA30" s="254"/>
      <c r="BB30" s="254"/>
      <c r="BC30" s="258"/>
      <c r="BD30" s="254"/>
      <c r="BE30" s="261"/>
      <c r="BF30" s="254"/>
      <c r="BG30" s="254"/>
      <c r="BH30" s="254"/>
      <c r="BI30" s="258"/>
      <c r="BJ30" s="254"/>
      <c r="BK30" s="261"/>
      <c r="BL30" s="254"/>
      <c r="BM30" s="254"/>
      <c r="BN30" s="254"/>
      <c r="BO30" s="258"/>
      <c r="BP30" s="254"/>
      <c r="BQ30" s="261"/>
      <c r="BR30" s="254"/>
      <c r="BS30" s="254"/>
      <c r="BT30" s="254"/>
      <c r="BU30" s="258"/>
      <c r="BV30" s="97"/>
      <c r="BW30" s="261"/>
      <c r="BX30" s="254"/>
      <c r="BY30" s="254"/>
      <c r="BZ30" s="254"/>
      <c r="CA30" s="258"/>
      <c r="CB30" s="97"/>
      <c r="CC30" s="261"/>
      <c r="CD30" s="254"/>
      <c r="CE30" s="254"/>
      <c r="CF30" s="254"/>
      <c r="CG30" s="258"/>
      <c r="CH30" s="97"/>
      <c r="CI30" s="261"/>
      <c r="CJ30" s="254"/>
      <c r="CK30" s="254"/>
      <c r="CL30" s="254"/>
      <c r="CM30" s="258"/>
    </row>
    <row r="31" spans="1:91" s="15" customFormat="1" ht="12.75" customHeight="1">
      <c r="A31" s="252" t="s">
        <v>65</v>
      </c>
      <c r="B31" s="252"/>
      <c r="C31" s="252"/>
      <c r="D31" s="254"/>
      <c r="E31" s="254"/>
      <c r="F31" s="254"/>
      <c r="G31" s="258"/>
      <c r="H31" s="254"/>
      <c r="I31" s="254"/>
      <c r="J31" s="254"/>
      <c r="K31" s="254"/>
      <c r="L31" s="254"/>
      <c r="M31" s="258"/>
      <c r="N31" s="254"/>
      <c r="O31" s="259"/>
      <c r="P31" s="254"/>
      <c r="Q31" s="254"/>
      <c r="R31" s="254"/>
      <c r="S31" s="258"/>
      <c r="T31" s="254"/>
      <c r="U31" s="259"/>
      <c r="V31" s="254"/>
      <c r="W31" s="254"/>
      <c r="X31" s="254"/>
      <c r="Y31" s="258"/>
      <c r="Z31" s="254"/>
      <c r="AA31" s="259">
        <f t="shared" ref="AA31:AA43" si="34">AA10-Y10</f>
        <v>0</v>
      </c>
      <c r="AB31" s="254">
        <f t="shared" ref="AB31:AD43" si="35">AB10-AA10</f>
        <v>0</v>
      </c>
      <c r="AC31" s="254">
        <f t="shared" si="35"/>
        <v>0</v>
      </c>
      <c r="AD31" s="254">
        <f t="shared" si="35"/>
        <v>0</v>
      </c>
      <c r="AE31" s="258">
        <f t="shared" ref="AE31:AE43" si="36">AE10-Y10</f>
        <v>0</v>
      </c>
      <c r="AF31" s="254"/>
      <c r="AG31" s="259">
        <f t="shared" ref="AG31:AG43" si="37">AG10-AE10</f>
        <v>0</v>
      </c>
      <c r="AH31" s="254">
        <f t="shared" ref="AH31:AJ43" si="38">AH10-AG10</f>
        <v>0</v>
      </c>
      <c r="AI31" s="254">
        <f t="shared" si="38"/>
        <v>0</v>
      </c>
      <c r="AJ31" s="254">
        <f t="shared" si="38"/>
        <v>0</v>
      </c>
      <c r="AK31" s="258">
        <f t="shared" ref="AK31:AK43" si="39">AK10-AE10</f>
        <v>0</v>
      </c>
      <c r="AL31" s="254"/>
      <c r="AM31" s="259">
        <f t="shared" ref="AM31:AM43" si="40">AM10-AK10</f>
        <v>0</v>
      </c>
      <c r="AN31" s="254">
        <f t="shared" ref="AN31:AP43" si="41">AN10-AM10</f>
        <v>0</v>
      </c>
      <c r="AO31" s="254">
        <f t="shared" si="41"/>
        <v>0</v>
      </c>
      <c r="AP31" s="254">
        <f t="shared" si="41"/>
        <v>0</v>
      </c>
      <c r="AQ31" s="258">
        <f t="shared" ref="AQ31:AQ43" si="42">AQ10-AK10</f>
        <v>0</v>
      </c>
      <c r="AR31" s="254"/>
      <c r="AS31" s="259">
        <f t="shared" ref="AS31:AS43" si="43">AS10-AQ10</f>
        <v>0</v>
      </c>
      <c r="AT31" s="254">
        <f t="shared" ref="AT31:AV43" si="44">AT10-AS10</f>
        <v>0</v>
      </c>
      <c r="AU31" s="254">
        <f t="shared" si="44"/>
        <v>0</v>
      </c>
      <c r="AV31" s="254">
        <f t="shared" si="44"/>
        <v>0</v>
      </c>
      <c r="AW31" s="258">
        <f t="shared" ref="AW31:AW43" si="45">AW10-AQ10</f>
        <v>0</v>
      </c>
      <c r="AX31" s="254"/>
      <c r="AY31" s="259">
        <f t="shared" ref="AY31:AY43" si="46">AY10-AW10</f>
        <v>-100</v>
      </c>
      <c r="AZ31" s="254">
        <f t="shared" ref="AZ31:BB43" si="47">AZ10-AY10</f>
        <v>0</v>
      </c>
      <c r="BA31" s="254">
        <f t="shared" si="47"/>
        <v>0</v>
      </c>
      <c r="BB31" s="254">
        <f t="shared" si="47"/>
        <v>0</v>
      </c>
      <c r="BC31" s="258">
        <f t="shared" ref="BC31:BC43" si="48">BC10-AW10</f>
        <v>-100</v>
      </c>
      <c r="BD31" s="254"/>
      <c r="BE31" s="259">
        <f t="shared" ref="BE31:BE43" si="49">BE10-BC10</f>
        <v>0</v>
      </c>
      <c r="BF31" s="254">
        <f t="shared" ref="BF31:BG43" si="50">BF10-BE10</f>
        <v>0</v>
      </c>
      <c r="BG31" s="254">
        <f t="shared" si="50"/>
        <v>0</v>
      </c>
      <c r="BH31" s="254">
        <f t="shared" ref="BH31:BH43" si="51">BH10-BG10</f>
        <v>0</v>
      </c>
      <c r="BI31" s="258">
        <f t="shared" ref="BI31:BI43" si="52">BI10-BC10</f>
        <v>0</v>
      </c>
      <c r="BJ31" s="254"/>
      <c r="BK31" s="259">
        <f t="shared" ref="BK31:BK43" si="53">BK10-BI10</f>
        <v>0</v>
      </c>
      <c r="BL31" s="254">
        <f t="shared" ref="BL31:BM43" si="54">BL10-BK10</f>
        <v>0</v>
      </c>
      <c r="BM31" s="254">
        <f t="shared" si="54"/>
        <v>0</v>
      </c>
      <c r="BN31" s="254">
        <f t="shared" ref="BN31:BN43" si="55">BN10-BM10</f>
        <v>0</v>
      </c>
      <c r="BO31" s="258">
        <f t="shared" ref="BO31:BO43" si="56">BO10-BI10</f>
        <v>0</v>
      </c>
      <c r="BP31" s="254"/>
      <c r="BQ31" s="290">
        <v>0</v>
      </c>
      <c r="BR31" s="289">
        <v>0</v>
      </c>
      <c r="BS31" s="289">
        <v>0</v>
      </c>
      <c r="BT31" s="289">
        <v>0</v>
      </c>
      <c r="BU31" s="258">
        <f t="shared" ref="BU31:BU43" si="57">BU10-BO10</f>
        <v>0</v>
      </c>
      <c r="BV31" s="97"/>
      <c r="BW31" s="290">
        <v>0</v>
      </c>
      <c r="BX31" s="289">
        <v>0</v>
      </c>
      <c r="BY31" s="289">
        <v>0</v>
      </c>
      <c r="BZ31" s="289">
        <v>0</v>
      </c>
      <c r="CA31" s="258">
        <f t="shared" ref="CA31:CA43" si="58">CA10-BU10</f>
        <v>0</v>
      </c>
      <c r="CB31" s="97"/>
      <c r="CC31" s="290">
        <v>0</v>
      </c>
      <c r="CD31" s="289">
        <v>0</v>
      </c>
      <c r="CE31" s="289">
        <v>0</v>
      </c>
      <c r="CF31" s="289">
        <v>0</v>
      </c>
      <c r="CG31" s="258">
        <f t="shared" ref="CG31:CG43" si="59">CG10-CA10</f>
        <v>0</v>
      </c>
      <c r="CH31" s="97"/>
      <c r="CI31" s="290">
        <v>0</v>
      </c>
      <c r="CJ31" s="289">
        <v>0</v>
      </c>
      <c r="CK31" s="289">
        <v>0</v>
      </c>
      <c r="CL31" s="289">
        <v>0</v>
      </c>
      <c r="CM31" s="258">
        <f t="shared" ref="CM31:CM43" si="60">CM10-CG10</f>
        <v>0</v>
      </c>
    </row>
    <row r="32" spans="1:91" s="15" customFormat="1" ht="12.75" customHeight="1">
      <c r="A32" s="262" t="s">
        <v>66</v>
      </c>
      <c r="B32" s="262"/>
      <c r="C32" s="262"/>
      <c r="D32" s="254"/>
      <c r="E32" s="254"/>
      <c r="F32" s="254"/>
      <c r="G32" s="287"/>
      <c r="H32" s="254"/>
      <c r="I32" s="254"/>
      <c r="J32" s="254"/>
      <c r="K32" s="254"/>
      <c r="L32" s="254"/>
      <c r="M32" s="287"/>
      <c r="N32" s="254"/>
      <c r="O32" s="259"/>
      <c r="P32" s="254"/>
      <c r="Q32" s="254"/>
      <c r="R32" s="254"/>
      <c r="S32" s="258"/>
      <c r="T32" s="254"/>
      <c r="U32" s="259"/>
      <c r="V32" s="254"/>
      <c r="W32" s="254"/>
      <c r="X32" s="254"/>
      <c r="Y32" s="258"/>
      <c r="Z32" s="254"/>
      <c r="AA32" s="259">
        <f t="shared" si="34"/>
        <v>0</v>
      </c>
      <c r="AB32" s="254">
        <f t="shared" si="35"/>
        <v>0</v>
      </c>
      <c r="AC32" s="254">
        <f t="shared" si="35"/>
        <v>0</v>
      </c>
      <c r="AD32" s="254">
        <f t="shared" si="35"/>
        <v>0</v>
      </c>
      <c r="AE32" s="258">
        <f t="shared" si="36"/>
        <v>0</v>
      </c>
      <c r="AF32" s="254"/>
      <c r="AG32" s="259">
        <f t="shared" si="37"/>
        <v>0</v>
      </c>
      <c r="AH32" s="254">
        <f t="shared" si="38"/>
        <v>0</v>
      </c>
      <c r="AI32" s="254">
        <f t="shared" si="38"/>
        <v>0</v>
      </c>
      <c r="AJ32" s="254">
        <f t="shared" si="38"/>
        <v>0</v>
      </c>
      <c r="AK32" s="258">
        <f t="shared" si="39"/>
        <v>0</v>
      </c>
      <c r="AL32" s="254"/>
      <c r="AM32" s="259">
        <f t="shared" si="40"/>
        <v>0</v>
      </c>
      <c r="AN32" s="254">
        <f t="shared" si="41"/>
        <v>0</v>
      </c>
      <c r="AO32" s="254">
        <f t="shared" si="41"/>
        <v>0</v>
      </c>
      <c r="AP32" s="254">
        <f t="shared" si="41"/>
        <v>0</v>
      </c>
      <c r="AQ32" s="258">
        <f t="shared" si="42"/>
        <v>0</v>
      </c>
      <c r="AR32" s="254"/>
      <c r="AS32" s="259">
        <f t="shared" si="43"/>
        <v>0</v>
      </c>
      <c r="AT32" s="254">
        <f t="shared" si="44"/>
        <v>0</v>
      </c>
      <c r="AU32" s="254">
        <f t="shared" si="44"/>
        <v>0</v>
      </c>
      <c r="AV32" s="254">
        <f t="shared" si="44"/>
        <v>0</v>
      </c>
      <c r="AW32" s="258">
        <f t="shared" si="45"/>
        <v>0</v>
      </c>
      <c r="AX32" s="254"/>
      <c r="AY32" s="259">
        <f t="shared" si="46"/>
        <v>0</v>
      </c>
      <c r="AZ32" s="254">
        <f t="shared" si="47"/>
        <v>0</v>
      </c>
      <c r="BA32" s="254">
        <f t="shared" si="47"/>
        <v>0</v>
      </c>
      <c r="BB32" s="254">
        <f t="shared" si="47"/>
        <v>0</v>
      </c>
      <c r="BC32" s="258">
        <f t="shared" si="48"/>
        <v>0</v>
      </c>
      <c r="BD32" s="254"/>
      <c r="BE32" s="259">
        <f t="shared" si="49"/>
        <v>0</v>
      </c>
      <c r="BF32" s="254">
        <f t="shared" si="50"/>
        <v>0</v>
      </c>
      <c r="BG32" s="254">
        <f t="shared" si="50"/>
        <v>0</v>
      </c>
      <c r="BH32" s="254">
        <f t="shared" si="51"/>
        <v>0</v>
      </c>
      <c r="BI32" s="258">
        <f t="shared" si="52"/>
        <v>0</v>
      </c>
      <c r="BJ32" s="254"/>
      <c r="BK32" s="259">
        <f t="shared" si="53"/>
        <v>0</v>
      </c>
      <c r="BL32" s="254">
        <f t="shared" si="54"/>
        <v>0</v>
      </c>
      <c r="BM32" s="254">
        <f t="shared" si="54"/>
        <v>0</v>
      </c>
      <c r="BN32" s="254">
        <f t="shared" si="55"/>
        <v>0</v>
      </c>
      <c r="BO32" s="258">
        <f t="shared" si="56"/>
        <v>0</v>
      </c>
      <c r="BP32" s="254"/>
      <c r="BQ32" s="290">
        <v>0</v>
      </c>
      <c r="BR32" s="289">
        <v>0</v>
      </c>
      <c r="BS32" s="289">
        <v>0</v>
      </c>
      <c r="BT32" s="289">
        <v>0</v>
      </c>
      <c r="BU32" s="258">
        <f t="shared" si="57"/>
        <v>0</v>
      </c>
      <c r="BV32" s="97"/>
      <c r="BW32" s="290">
        <v>-100</v>
      </c>
      <c r="BX32" s="289">
        <v>0</v>
      </c>
      <c r="BY32" s="289">
        <v>0</v>
      </c>
      <c r="BZ32" s="289">
        <v>0</v>
      </c>
      <c r="CA32" s="258">
        <f t="shared" si="58"/>
        <v>-100</v>
      </c>
      <c r="CB32" s="97"/>
      <c r="CC32" s="290">
        <v>0</v>
      </c>
      <c r="CD32" s="289">
        <v>0</v>
      </c>
      <c r="CE32" s="289">
        <v>0</v>
      </c>
      <c r="CF32" s="289">
        <v>0</v>
      </c>
      <c r="CG32" s="258">
        <f t="shared" si="59"/>
        <v>0</v>
      </c>
      <c r="CH32" s="97"/>
      <c r="CI32" s="290">
        <v>0</v>
      </c>
      <c r="CJ32" s="289">
        <v>0</v>
      </c>
      <c r="CK32" s="289">
        <v>0</v>
      </c>
      <c r="CL32" s="289">
        <v>0</v>
      </c>
      <c r="CM32" s="258">
        <f t="shared" si="60"/>
        <v>0</v>
      </c>
    </row>
    <row r="33" spans="1:91" s="15" customFormat="1" ht="12.75" customHeight="1">
      <c r="A33" s="264" t="s">
        <v>67</v>
      </c>
      <c r="B33" s="264"/>
      <c r="C33" s="264"/>
      <c r="D33" s="254"/>
      <c r="E33" s="254"/>
      <c r="F33" s="254"/>
      <c r="G33" s="287"/>
      <c r="H33" s="254"/>
      <c r="I33" s="254"/>
      <c r="J33" s="254"/>
      <c r="K33" s="254"/>
      <c r="L33" s="254"/>
      <c r="M33" s="287"/>
      <c r="N33" s="254"/>
      <c r="O33" s="259"/>
      <c r="P33" s="254"/>
      <c r="Q33" s="254"/>
      <c r="R33" s="254"/>
      <c r="S33" s="258"/>
      <c r="T33" s="254"/>
      <c r="U33" s="259"/>
      <c r="V33" s="254"/>
      <c r="W33" s="254"/>
      <c r="X33" s="254"/>
      <c r="Y33" s="258"/>
      <c r="Z33" s="254"/>
      <c r="AA33" s="259">
        <f t="shared" si="34"/>
        <v>50</v>
      </c>
      <c r="AB33" s="254">
        <f t="shared" si="35"/>
        <v>0</v>
      </c>
      <c r="AC33" s="254">
        <f t="shared" si="35"/>
        <v>0</v>
      </c>
      <c r="AD33" s="254">
        <f t="shared" si="35"/>
        <v>0</v>
      </c>
      <c r="AE33" s="258">
        <f t="shared" si="36"/>
        <v>50</v>
      </c>
      <c r="AF33" s="254"/>
      <c r="AG33" s="259">
        <f t="shared" si="37"/>
        <v>0</v>
      </c>
      <c r="AH33" s="254">
        <f t="shared" si="38"/>
        <v>0</v>
      </c>
      <c r="AI33" s="254">
        <f t="shared" si="38"/>
        <v>0</v>
      </c>
      <c r="AJ33" s="254">
        <f t="shared" si="38"/>
        <v>0</v>
      </c>
      <c r="AK33" s="258">
        <f t="shared" si="39"/>
        <v>0</v>
      </c>
      <c r="AL33" s="254"/>
      <c r="AM33" s="259">
        <f t="shared" si="40"/>
        <v>0</v>
      </c>
      <c r="AN33" s="254">
        <f t="shared" si="41"/>
        <v>0</v>
      </c>
      <c r="AO33" s="254">
        <f t="shared" si="41"/>
        <v>0</v>
      </c>
      <c r="AP33" s="254">
        <f t="shared" si="41"/>
        <v>0</v>
      </c>
      <c r="AQ33" s="258">
        <f t="shared" si="42"/>
        <v>0</v>
      </c>
      <c r="AR33" s="254"/>
      <c r="AS33" s="259">
        <f t="shared" si="43"/>
        <v>0</v>
      </c>
      <c r="AT33" s="254">
        <f t="shared" si="44"/>
        <v>0</v>
      </c>
      <c r="AU33" s="254">
        <f t="shared" si="44"/>
        <v>0</v>
      </c>
      <c r="AV33" s="254">
        <f t="shared" si="44"/>
        <v>0</v>
      </c>
      <c r="AW33" s="258">
        <f t="shared" si="45"/>
        <v>0</v>
      </c>
      <c r="AX33" s="254"/>
      <c r="AY33" s="259">
        <f t="shared" si="46"/>
        <v>0</v>
      </c>
      <c r="AZ33" s="254">
        <f t="shared" si="47"/>
        <v>0</v>
      </c>
      <c r="BA33" s="254">
        <f t="shared" si="47"/>
        <v>0</v>
      </c>
      <c r="BB33" s="254">
        <f t="shared" si="47"/>
        <v>0</v>
      </c>
      <c r="BC33" s="258">
        <f t="shared" si="48"/>
        <v>0</v>
      </c>
      <c r="BD33" s="254"/>
      <c r="BE33" s="259">
        <f t="shared" si="49"/>
        <v>-50</v>
      </c>
      <c r="BF33" s="254">
        <f t="shared" si="50"/>
        <v>0</v>
      </c>
      <c r="BG33" s="254">
        <f t="shared" si="50"/>
        <v>0</v>
      </c>
      <c r="BH33" s="254">
        <f t="shared" si="51"/>
        <v>0</v>
      </c>
      <c r="BI33" s="258">
        <f t="shared" si="52"/>
        <v>-50</v>
      </c>
      <c r="BJ33" s="254"/>
      <c r="BK33" s="259">
        <f t="shared" si="53"/>
        <v>0</v>
      </c>
      <c r="BL33" s="254">
        <f t="shared" si="54"/>
        <v>0</v>
      </c>
      <c r="BM33" s="254">
        <f t="shared" si="54"/>
        <v>0</v>
      </c>
      <c r="BN33" s="254">
        <f t="shared" si="55"/>
        <v>0</v>
      </c>
      <c r="BO33" s="258">
        <f t="shared" si="56"/>
        <v>0</v>
      </c>
      <c r="BP33" s="254"/>
      <c r="BQ33" s="290">
        <v>0</v>
      </c>
      <c r="BR33" s="289">
        <v>0</v>
      </c>
      <c r="BS33" s="289">
        <v>0</v>
      </c>
      <c r="BT33" s="289">
        <v>0</v>
      </c>
      <c r="BU33" s="258">
        <f t="shared" si="57"/>
        <v>0</v>
      </c>
      <c r="BV33" s="97"/>
      <c r="BW33" s="290">
        <v>0</v>
      </c>
      <c r="BX33" s="289">
        <v>0</v>
      </c>
      <c r="BY33" s="289">
        <v>0</v>
      </c>
      <c r="BZ33" s="289">
        <v>0</v>
      </c>
      <c r="CA33" s="258">
        <f t="shared" si="58"/>
        <v>0</v>
      </c>
      <c r="CB33" s="97"/>
      <c r="CC33" s="290">
        <v>0</v>
      </c>
      <c r="CD33" s="289">
        <v>0</v>
      </c>
      <c r="CE33" s="289">
        <v>0</v>
      </c>
      <c r="CF33" s="289">
        <v>0</v>
      </c>
      <c r="CG33" s="258">
        <f t="shared" si="59"/>
        <v>0</v>
      </c>
      <c r="CH33" s="97"/>
      <c r="CI33" s="290">
        <v>0</v>
      </c>
      <c r="CJ33" s="289">
        <v>0</v>
      </c>
      <c r="CK33" s="289">
        <v>0</v>
      </c>
      <c r="CL33" s="289">
        <v>0</v>
      </c>
      <c r="CM33" s="258">
        <f t="shared" si="60"/>
        <v>0</v>
      </c>
    </row>
    <row r="34" spans="1:91" s="15" customFormat="1" ht="12.75" customHeight="1">
      <c r="A34" s="252" t="s">
        <v>68</v>
      </c>
      <c r="B34" s="264"/>
      <c r="C34" s="264"/>
      <c r="D34" s="254"/>
      <c r="E34" s="254"/>
      <c r="F34" s="254"/>
      <c r="G34" s="287"/>
      <c r="H34" s="254"/>
      <c r="I34" s="254"/>
      <c r="J34" s="254"/>
      <c r="K34" s="254"/>
      <c r="L34" s="254"/>
      <c r="M34" s="287"/>
      <c r="N34" s="254"/>
      <c r="O34" s="259"/>
      <c r="P34" s="254"/>
      <c r="Q34" s="254"/>
      <c r="R34" s="254"/>
      <c r="S34" s="258"/>
      <c r="T34" s="254"/>
      <c r="U34" s="259"/>
      <c r="V34" s="254"/>
      <c r="W34" s="254"/>
      <c r="X34" s="254"/>
      <c r="Y34" s="258"/>
      <c r="Z34" s="254"/>
      <c r="AA34" s="259">
        <f t="shared" si="34"/>
        <v>100</v>
      </c>
      <c r="AB34" s="254">
        <f t="shared" si="35"/>
        <v>0</v>
      </c>
      <c r="AC34" s="254">
        <f t="shared" si="35"/>
        <v>0</v>
      </c>
      <c r="AD34" s="254">
        <f t="shared" si="35"/>
        <v>0</v>
      </c>
      <c r="AE34" s="258">
        <f t="shared" si="36"/>
        <v>100</v>
      </c>
      <c r="AF34" s="254"/>
      <c r="AG34" s="259">
        <f t="shared" si="37"/>
        <v>0</v>
      </c>
      <c r="AH34" s="254">
        <f t="shared" si="38"/>
        <v>0</v>
      </c>
      <c r="AI34" s="254">
        <f t="shared" si="38"/>
        <v>0</v>
      </c>
      <c r="AJ34" s="254">
        <f t="shared" si="38"/>
        <v>0</v>
      </c>
      <c r="AK34" s="258">
        <f t="shared" si="39"/>
        <v>0</v>
      </c>
      <c r="AL34" s="254"/>
      <c r="AM34" s="259">
        <f t="shared" si="40"/>
        <v>0</v>
      </c>
      <c r="AN34" s="254">
        <f t="shared" si="41"/>
        <v>0</v>
      </c>
      <c r="AO34" s="254">
        <f t="shared" si="41"/>
        <v>0</v>
      </c>
      <c r="AP34" s="254">
        <f t="shared" si="41"/>
        <v>0</v>
      </c>
      <c r="AQ34" s="258">
        <f t="shared" si="42"/>
        <v>0</v>
      </c>
      <c r="AR34" s="254"/>
      <c r="AS34" s="259">
        <f t="shared" si="43"/>
        <v>0</v>
      </c>
      <c r="AT34" s="254">
        <f t="shared" si="44"/>
        <v>0</v>
      </c>
      <c r="AU34" s="254">
        <f t="shared" si="44"/>
        <v>0</v>
      </c>
      <c r="AV34" s="254">
        <f t="shared" si="44"/>
        <v>0</v>
      </c>
      <c r="AW34" s="258">
        <f t="shared" si="45"/>
        <v>0</v>
      </c>
      <c r="AX34" s="254"/>
      <c r="AY34" s="259">
        <f t="shared" si="46"/>
        <v>0</v>
      </c>
      <c r="AZ34" s="254">
        <f t="shared" si="47"/>
        <v>0</v>
      </c>
      <c r="BA34" s="254">
        <f t="shared" si="47"/>
        <v>0</v>
      </c>
      <c r="BB34" s="254">
        <f t="shared" si="47"/>
        <v>0</v>
      </c>
      <c r="BC34" s="258">
        <f t="shared" si="48"/>
        <v>0</v>
      </c>
      <c r="BD34" s="254"/>
      <c r="BE34" s="259">
        <f t="shared" si="49"/>
        <v>0</v>
      </c>
      <c r="BF34" s="254">
        <f t="shared" si="50"/>
        <v>0</v>
      </c>
      <c r="BG34" s="254">
        <f t="shared" si="50"/>
        <v>0</v>
      </c>
      <c r="BH34" s="254">
        <f t="shared" si="51"/>
        <v>0</v>
      </c>
      <c r="BI34" s="258">
        <f t="shared" si="52"/>
        <v>0</v>
      </c>
      <c r="BJ34" s="254"/>
      <c r="BK34" s="259">
        <f t="shared" si="53"/>
        <v>0</v>
      </c>
      <c r="BL34" s="254">
        <f t="shared" si="54"/>
        <v>0</v>
      </c>
      <c r="BM34" s="254">
        <f t="shared" si="54"/>
        <v>0</v>
      </c>
      <c r="BN34" s="254">
        <f t="shared" si="55"/>
        <v>0</v>
      </c>
      <c r="BO34" s="258">
        <f t="shared" si="56"/>
        <v>0</v>
      </c>
      <c r="BP34" s="254"/>
      <c r="BQ34" s="290">
        <v>-100</v>
      </c>
      <c r="BR34" s="289">
        <v>0</v>
      </c>
      <c r="BS34" s="289">
        <v>0</v>
      </c>
      <c r="BT34" s="289">
        <v>0</v>
      </c>
      <c r="BU34" s="258">
        <f t="shared" si="57"/>
        <v>-100</v>
      </c>
      <c r="BV34" s="97"/>
      <c r="BW34" s="290">
        <v>0</v>
      </c>
      <c r="BX34" s="289">
        <v>0</v>
      </c>
      <c r="BY34" s="289">
        <v>0</v>
      </c>
      <c r="BZ34" s="289">
        <v>0</v>
      </c>
      <c r="CA34" s="258">
        <f t="shared" si="58"/>
        <v>0</v>
      </c>
      <c r="CB34" s="97"/>
      <c r="CC34" s="290">
        <v>0</v>
      </c>
      <c r="CD34" s="289">
        <v>0</v>
      </c>
      <c r="CE34" s="289">
        <v>0</v>
      </c>
      <c r="CF34" s="289">
        <v>0</v>
      </c>
      <c r="CG34" s="258">
        <f t="shared" si="59"/>
        <v>0</v>
      </c>
      <c r="CH34" s="97"/>
      <c r="CI34" s="290">
        <v>0</v>
      </c>
      <c r="CJ34" s="289">
        <v>0</v>
      </c>
      <c r="CK34" s="289">
        <v>0</v>
      </c>
      <c r="CL34" s="289">
        <v>0</v>
      </c>
      <c r="CM34" s="258">
        <f t="shared" si="60"/>
        <v>0</v>
      </c>
    </row>
    <row r="35" spans="1:91" s="15" customFormat="1" ht="12.75" customHeight="1">
      <c r="A35" s="266" t="s">
        <v>69</v>
      </c>
      <c r="B35" s="264"/>
      <c r="C35" s="264"/>
      <c r="D35" s="254"/>
      <c r="E35" s="254"/>
      <c r="F35" s="254"/>
      <c r="G35" s="287"/>
      <c r="H35" s="254"/>
      <c r="I35" s="254"/>
      <c r="J35" s="254"/>
      <c r="K35" s="254"/>
      <c r="L35" s="254"/>
      <c r="M35" s="287"/>
      <c r="N35" s="254"/>
      <c r="O35" s="259"/>
      <c r="P35" s="254"/>
      <c r="Q35" s="254"/>
      <c r="R35" s="254"/>
      <c r="S35" s="258"/>
      <c r="T35" s="254"/>
      <c r="U35" s="259"/>
      <c r="V35" s="254"/>
      <c r="W35" s="254"/>
      <c r="X35" s="254"/>
      <c r="Y35" s="258"/>
      <c r="Z35" s="254"/>
      <c r="AA35" s="259">
        <f t="shared" si="34"/>
        <v>50</v>
      </c>
      <c r="AB35" s="254">
        <f t="shared" si="35"/>
        <v>0</v>
      </c>
      <c r="AC35" s="254">
        <f t="shared" si="35"/>
        <v>0</v>
      </c>
      <c r="AD35" s="254">
        <f t="shared" si="35"/>
        <v>0</v>
      </c>
      <c r="AE35" s="258">
        <f t="shared" si="36"/>
        <v>50</v>
      </c>
      <c r="AF35" s="254"/>
      <c r="AG35" s="259">
        <f t="shared" si="37"/>
        <v>0</v>
      </c>
      <c r="AH35" s="254">
        <f t="shared" si="38"/>
        <v>0</v>
      </c>
      <c r="AI35" s="254">
        <f t="shared" si="38"/>
        <v>0</v>
      </c>
      <c r="AJ35" s="254">
        <f t="shared" si="38"/>
        <v>0</v>
      </c>
      <c r="AK35" s="258">
        <f t="shared" si="39"/>
        <v>0</v>
      </c>
      <c r="AL35" s="254"/>
      <c r="AM35" s="259">
        <f t="shared" si="40"/>
        <v>0</v>
      </c>
      <c r="AN35" s="254">
        <f t="shared" si="41"/>
        <v>0</v>
      </c>
      <c r="AO35" s="254">
        <f t="shared" si="41"/>
        <v>0</v>
      </c>
      <c r="AP35" s="254">
        <f t="shared" si="41"/>
        <v>0</v>
      </c>
      <c r="AQ35" s="258">
        <f t="shared" si="42"/>
        <v>0</v>
      </c>
      <c r="AR35" s="254"/>
      <c r="AS35" s="259">
        <f t="shared" si="43"/>
        <v>0</v>
      </c>
      <c r="AT35" s="254">
        <f t="shared" si="44"/>
        <v>0</v>
      </c>
      <c r="AU35" s="254">
        <f t="shared" si="44"/>
        <v>0</v>
      </c>
      <c r="AV35" s="254">
        <f t="shared" si="44"/>
        <v>0</v>
      </c>
      <c r="AW35" s="258">
        <f t="shared" si="45"/>
        <v>0</v>
      </c>
      <c r="AX35" s="254"/>
      <c r="AY35" s="259">
        <f t="shared" si="46"/>
        <v>0</v>
      </c>
      <c r="AZ35" s="254">
        <f t="shared" si="47"/>
        <v>0</v>
      </c>
      <c r="BA35" s="254">
        <f t="shared" si="47"/>
        <v>0</v>
      </c>
      <c r="BB35" s="254">
        <f t="shared" si="47"/>
        <v>0</v>
      </c>
      <c r="BC35" s="258">
        <f t="shared" si="48"/>
        <v>0</v>
      </c>
      <c r="BD35" s="254"/>
      <c r="BE35" s="259">
        <f t="shared" si="49"/>
        <v>0</v>
      </c>
      <c r="BF35" s="254">
        <f t="shared" si="50"/>
        <v>0</v>
      </c>
      <c r="BG35" s="254">
        <f t="shared" si="50"/>
        <v>0</v>
      </c>
      <c r="BH35" s="254">
        <f t="shared" si="51"/>
        <v>0</v>
      </c>
      <c r="BI35" s="258">
        <f t="shared" si="52"/>
        <v>0</v>
      </c>
      <c r="BJ35" s="254"/>
      <c r="BK35" s="259">
        <f t="shared" si="53"/>
        <v>0</v>
      </c>
      <c r="BL35" s="254">
        <f t="shared" si="54"/>
        <v>0</v>
      </c>
      <c r="BM35" s="254">
        <f t="shared" si="54"/>
        <v>0</v>
      </c>
      <c r="BN35" s="254">
        <f t="shared" si="55"/>
        <v>0</v>
      </c>
      <c r="BO35" s="258">
        <f t="shared" si="56"/>
        <v>0</v>
      </c>
      <c r="BP35" s="254"/>
      <c r="BQ35" s="290">
        <v>0</v>
      </c>
      <c r="BR35" s="289">
        <v>0</v>
      </c>
      <c r="BS35" s="289">
        <v>0</v>
      </c>
      <c r="BT35" s="289">
        <v>0</v>
      </c>
      <c r="BU35" s="258">
        <f t="shared" si="57"/>
        <v>0</v>
      </c>
      <c r="BV35" s="97"/>
      <c r="BW35" s="290">
        <v>0</v>
      </c>
      <c r="BX35" s="289">
        <v>0</v>
      </c>
      <c r="BY35" s="289">
        <v>0</v>
      </c>
      <c r="BZ35" s="289">
        <v>0</v>
      </c>
      <c r="CA35" s="258">
        <f t="shared" si="58"/>
        <v>0</v>
      </c>
      <c r="CB35" s="97"/>
      <c r="CC35" s="290">
        <v>0</v>
      </c>
      <c r="CD35" s="289">
        <v>0</v>
      </c>
      <c r="CE35" s="289">
        <v>0</v>
      </c>
      <c r="CF35" s="289">
        <v>0</v>
      </c>
      <c r="CG35" s="258">
        <f t="shared" si="59"/>
        <v>0</v>
      </c>
      <c r="CH35" s="97"/>
      <c r="CI35" s="290">
        <v>0</v>
      </c>
      <c r="CJ35" s="289">
        <v>0</v>
      </c>
      <c r="CK35" s="289">
        <v>0</v>
      </c>
      <c r="CL35" s="289">
        <v>0</v>
      </c>
      <c r="CM35" s="258">
        <f t="shared" si="60"/>
        <v>0</v>
      </c>
    </row>
    <row r="36" spans="1:91" s="97" customFormat="1" ht="12.75" customHeight="1">
      <c r="A36" s="1487" t="s">
        <v>480</v>
      </c>
      <c r="B36" s="253"/>
      <c r="C36" s="1488"/>
      <c r="D36" s="254"/>
      <c r="E36" s="254"/>
      <c r="F36" s="254"/>
      <c r="G36" s="255"/>
      <c r="H36" s="254"/>
      <c r="I36" s="254"/>
      <c r="J36" s="254"/>
      <c r="K36" s="254"/>
      <c r="L36" s="254"/>
      <c r="M36" s="255"/>
      <c r="N36" s="254"/>
      <c r="O36" s="268"/>
      <c r="P36" s="269"/>
      <c r="Q36" s="269"/>
      <c r="R36" s="269"/>
      <c r="S36" s="258"/>
      <c r="T36" s="254"/>
      <c r="U36" s="268"/>
      <c r="V36" s="269"/>
      <c r="W36" s="269"/>
      <c r="X36" s="269"/>
      <c r="Y36" s="323"/>
      <c r="Z36" s="254"/>
      <c r="AA36" s="259">
        <f t="shared" si="34"/>
        <v>0</v>
      </c>
      <c r="AB36" s="254">
        <f t="shared" si="35"/>
        <v>0</v>
      </c>
      <c r="AC36" s="254">
        <f t="shared" si="35"/>
        <v>0</v>
      </c>
      <c r="AD36" s="254">
        <f t="shared" si="35"/>
        <v>0</v>
      </c>
      <c r="AE36" s="258">
        <f t="shared" si="36"/>
        <v>0</v>
      </c>
      <c r="AF36" s="254"/>
      <c r="AG36" s="259">
        <f t="shared" si="37"/>
        <v>0</v>
      </c>
      <c r="AH36" s="254">
        <f t="shared" si="38"/>
        <v>0</v>
      </c>
      <c r="AI36" s="254">
        <f t="shared" si="38"/>
        <v>0</v>
      </c>
      <c r="AJ36" s="254">
        <f t="shared" si="38"/>
        <v>0</v>
      </c>
      <c r="AK36" s="258">
        <f t="shared" si="39"/>
        <v>0</v>
      </c>
      <c r="AL36" s="254"/>
      <c r="AM36" s="259">
        <f t="shared" si="40"/>
        <v>0</v>
      </c>
      <c r="AN36" s="254">
        <f t="shared" si="41"/>
        <v>0</v>
      </c>
      <c r="AO36" s="254">
        <f t="shared" si="41"/>
        <v>0</v>
      </c>
      <c r="AP36" s="254">
        <f t="shared" si="41"/>
        <v>0</v>
      </c>
      <c r="AQ36" s="258">
        <f t="shared" si="42"/>
        <v>0</v>
      </c>
      <c r="AR36" s="254"/>
      <c r="AS36" s="259">
        <f t="shared" si="43"/>
        <v>0</v>
      </c>
      <c r="AT36" s="254">
        <f t="shared" si="44"/>
        <v>0</v>
      </c>
      <c r="AU36" s="254">
        <f t="shared" si="44"/>
        <v>100</v>
      </c>
      <c r="AV36" s="254">
        <f t="shared" si="44"/>
        <v>0</v>
      </c>
      <c r="AW36" s="258">
        <f t="shared" si="45"/>
        <v>100</v>
      </c>
      <c r="AX36" s="254"/>
      <c r="AY36" s="259">
        <f t="shared" si="46"/>
        <v>0</v>
      </c>
      <c r="AZ36" s="254">
        <f t="shared" si="47"/>
        <v>0</v>
      </c>
      <c r="BA36" s="254">
        <f t="shared" si="47"/>
        <v>0</v>
      </c>
      <c r="BB36" s="254">
        <f t="shared" si="47"/>
        <v>0</v>
      </c>
      <c r="BC36" s="258">
        <f t="shared" si="48"/>
        <v>0</v>
      </c>
      <c r="BD36" s="254"/>
      <c r="BE36" s="259">
        <f t="shared" si="49"/>
        <v>0</v>
      </c>
      <c r="BF36" s="254">
        <f t="shared" si="50"/>
        <v>0</v>
      </c>
      <c r="BG36" s="254">
        <f t="shared" si="50"/>
        <v>0</v>
      </c>
      <c r="BH36" s="254">
        <f t="shared" si="51"/>
        <v>0</v>
      </c>
      <c r="BI36" s="258">
        <f t="shared" si="52"/>
        <v>0</v>
      </c>
      <c r="BJ36" s="254"/>
      <c r="BK36" s="259">
        <f t="shared" si="53"/>
        <v>0</v>
      </c>
      <c r="BL36" s="254">
        <f t="shared" si="54"/>
        <v>0</v>
      </c>
      <c r="BM36" s="254">
        <f t="shared" si="54"/>
        <v>0</v>
      </c>
      <c r="BN36" s="254">
        <f t="shared" si="55"/>
        <v>0</v>
      </c>
      <c r="BO36" s="258">
        <f t="shared" si="56"/>
        <v>0</v>
      </c>
      <c r="BP36" s="254"/>
      <c r="BQ36" s="290">
        <v>0</v>
      </c>
      <c r="BR36" s="289">
        <v>0</v>
      </c>
      <c r="BS36" s="289">
        <v>0</v>
      </c>
      <c r="BT36" s="289">
        <v>0</v>
      </c>
      <c r="BU36" s="258">
        <f t="shared" si="57"/>
        <v>0</v>
      </c>
      <c r="BW36" s="290">
        <v>0</v>
      </c>
      <c r="BX36" s="289">
        <v>0</v>
      </c>
      <c r="BY36" s="289">
        <v>0</v>
      </c>
      <c r="BZ36" s="289">
        <v>0</v>
      </c>
      <c r="CA36" s="258">
        <f t="shared" si="58"/>
        <v>0</v>
      </c>
      <c r="CC36" s="290">
        <v>0</v>
      </c>
      <c r="CD36" s="289">
        <v>0</v>
      </c>
      <c r="CE36" s="289">
        <v>0</v>
      </c>
      <c r="CF36" s="289">
        <v>0</v>
      </c>
      <c r="CG36" s="258">
        <f t="shared" si="59"/>
        <v>0</v>
      </c>
      <c r="CI36" s="290">
        <v>0</v>
      </c>
      <c r="CJ36" s="289">
        <v>0</v>
      </c>
      <c r="CK36" s="289">
        <v>0</v>
      </c>
      <c r="CL36" s="289">
        <v>0</v>
      </c>
      <c r="CM36" s="258">
        <f t="shared" si="60"/>
        <v>0</v>
      </c>
    </row>
    <row r="37" spans="1:91" s="97" customFormat="1" ht="12.75" customHeight="1">
      <c r="A37" s="1487" t="s">
        <v>481</v>
      </c>
      <c r="B37" s="253"/>
      <c r="C37" s="1488"/>
      <c r="D37" s="254"/>
      <c r="E37" s="254"/>
      <c r="F37" s="254"/>
      <c r="G37" s="255"/>
      <c r="H37" s="254"/>
      <c r="I37" s="254"/>
      <c r="J37" s="254"/>
      <c r="K37" s="254"/>
      <c r="L37" s="254"/>
      <c r="M37" s="255"/>
      <c r="N37" s="254"/>
      <c r="O37" s="268"/>
      <c r="P37" s="269"/>
      <c r="Q37" s="269"/>
      <c r="R37" s="269"/>
      <c r="S37" s="258"/>
      <c r="T37" s="254"/>
      <c r="U37" s="268"/>
      <c r="V37" s="269"/>
      <c r="W37" s="269"/>
      <c r="X37" s="269"/>
      <c r="Y37" s="323"/>
      <c r="Z37" s="254"/>
      <c r="AA37" s="259">
        <f t="shared" si="34"/>
        <v>0</v>
      </c>
      <c r="AB37" s="254">
        <f t="shared" si="35"/>
        <v>0</v>
      </c>
      <c r="AC37" s="254">
        <f t="shared" si="35"/>
        <v>0</v>
      </c>
      <c r="AD37" s="254">
        <f t="shared" si="35"/>
        <v>0</v>
      </c>
      <c r="AE37" s="258">
        <f t="shared" si="36"/>
        <v>0</v>
      </c>
      <c r="AF37" s="254"/>
      <c r="AG37" s="259">
        <f t="shared" si="37"/>
        <v>0</v>
      </c>
      <c r="AH37" s="254">
        <f t="shared" si="38"/>
        <v>0</v>
      </c>
      <c r="AI37" s="254">
        <f t="shared" si="38"/>
        <v>0</v>
      </c>
      <c r="AJ37" s="254">
        <f t="shared" si="38"/>
        <v>0</v>
      </c>
      <c r="AK37" s="258">
        <f t="shared" si="39"/>
        <v>0</v>
      </c>
      <c r="AL37" s="254"/>
      <c r="AM37" s="259">
        <f t="shared" si="40"/>
        <v>0</v>
      </c>
      <c r="AN37" s="254">
        <f t="shared" si="41"/>
        <v>0</v>
      </c>
      <c r="AO37" s="254">
        <f t="shared" si="41"/>
        <v>0</v>
      </c>
      <c r="AP37" s="254">
        <f t="shared" si="41"/>
        <v>0</v>
      </c>
      <c r="AQ37" s="258">
        <f t="shared" si="42"/>
        <v>0</v>
      </c>
      <c r="AR37" s="254"/>
      <c r="AS37" s="259">
        <f t="shared" si="43"/>
        <v>0</v>
      </c>
      <c r="AT37" s="254">
        <f t="shared" si="44"/>
        <v>0</v>
      </c>
      <c r="AU37" s="254">
        <f t="shared" si="44"/>
        <v>50</v>
      </c>
      <c r="AV37" s="254">
        <f t="shared" si="44"/>
        <v>0</v>
      </c>
      <c r="AW37" s="258">
        <f t="shared" si="45"/>
        <v>50</v>
      </c>
      <c r="AX37" s="254"/>
      <c r="AY37" s="259">
        <f t="shared" si="46"/>
        <v>0</v>
      </c>
      <c r="AZ37" s="254">
        <f t="shared" si="47"/>
        <v>0</v>
      </c>
      <c r="BA37" s="254">
        <f t="shared" si="47"/>
        <v>0</v>
      </c>
      <c r="BB37" s="254">
        <f t="shared" si="47"/>
        <v>0</v>
      </c>
      <c r="BC37" s="258">
        <f t="shared" si="48"/>
        <v>0</v>
      </c>
      <c r="BD37" s="254"/>
      <c r="BE37" s="259">
        <f t="shared" si="49"/>
        <v>0</v>
      </c>
      <c r="BF37" s="254">
        <f t="shared" si="50"/>
        <v>0</v>
      </c>
      <c r="BG37" s="254">
        <f t="shared" si="50"/>
        <v>0</v>
      </c>
      <c r="BH37" s="254">
        <f t="shared" si="51"/>
        <v>0</v>
      </c>
      <c r="BI37" s="258">
        <f t="shared" si="52"/>
        <v>0</v>
      </c>
      <c r="BJ37" s="254"/>
      <c r="BK37" s="259">
        <f t="shared" si="53"/>
        <v>0</v>
      </c>
      <c r="BL37" s="254">
        <f t="shared" si="54"/>
        <v>0</v>
      </c>
      <c r="BM37" s="254">
        <f t="shared" si="54"/>
        <v>0</v>
      </c>
      <c r="BN37" s="254">
        <f t="shared" si="55"/>
        <v>0</v>
      </c>
      <c r="BO37" s="258">
        <f t="shared" si="56"/>
        <v>0</v>
      </c>
      <c r="BP37" s="254"/>
      <c r="BQ37" s="290">
        <v>0</v>
      </c>
      <c r="BR37" s="289">
        <v>0</v>
      </c>
      <c r="BS37" s="289">
        <v>0</v>
      </c>
      <c r="BT37" s="289">
        <v>0</v>
      </c>
      <c r="BU37" s="258">
        <f t="shared" si="57"/>
        <v>0</v>
      </c>
      <c r="BW37" s="290">
        <v>0</v>
      </c>
      <c r="BX37" s="289">
        <v>0</v>
      </c>
      <c r="BY37" s="289">
        <v>0</v>
      </c>
      <c r="BZ37" s="289">
        <v>0</v>
      </c>
      <c r="CA37" s="258">
        <f t="shared" si="58"/>
        <v>0</v>
      </c>
      <c r="CC37" s="290">
        <v>0</v>
      </c>
      <c r="CD37" s="289">
        <v>0</v>
      </c>
      <c r="CE37" s="289">
        <v>0</v>
      </c>
      <c r="CF37" s="289">
        <v>0</v>
      </c>
      <c r="CG37" s="258">
        <f t="shared" si="59"/>
        <v>0</v>
      </c>
      <c r="CI37" s="290">
        <v>0</v>
      </c>
      <c r="CJ37" s="289">
        <v>0</v>
      </c>
      <c r="CK37" s="289">
        <v>0</v>
      </c>
      <c r="CL37" s="289">
        <v>0</v>
      </c>
      <c r="CM37" s="258">
        <f t="shared" si="60"/>
        <v>0</v>
      </c>
    </row>
    <row r="38" spans="1:91" s="97" customFormat="1" ht="12.75" customHeight="1">
      <c r="A38" s="1487" t="s">
        <v>482</v>
      </c>
      <c r="B38" s="1489"/>
      <c r="C38" s="1488"/>
      <c r="D38" s="254"/>
      <c r="E38" s="254"/>
      <c r="F38" s="254"/>
      <c r="G38" s="255"/>
      <c r="H38" s="254"/>
      <c r="I38" s="254"/>
      <c r="J38" s="254"/>
      <c r="K38" s="254"/>
      <c r="L38" s="254"/>
      <c r="M38" s="255"/>
      <c r="N38" s="254"/>
      <c r="O38" s="268"/>
      <c r="P38" s="269"/>
      <c r="Q38" s="269"/>
      <c r="R38" s="269"/>
      <c r="S38" s="258"/>
      <c r="T38" s="254"/>
      <c r="U38" s="268"/>
      <c r="V38" s="269"/>
      <c r="W38" s="269"/>
      <c r="X38" s="269"/>
      <c r="Y38" s="323"/>
      <c r="Z38" s="254"/>
      <c r="AA38" s="259">
        <f t="shared" si="34"/>
        <v>0</v>
      </c>
      <c r="AB38" s="254">
        <f t="shared" si="35"/>
        <v>0</v>
      </c>
      <c r="AC38" s="254">
        <f t="shared" si="35"/>
        <v>0</v>
      </c>
      <c r="AD38" s="254">
        <f t="shared" si="35"/>
        <v>0</v>
      </c>
      <c r="AE38" s="258">
        <f t="shared" si="36"/>
        <v>0</v>
      </c>
      <c r="AF38" s="254"/>
      <c r="AG38" s="259">
        <f t="shared" si="37"/>
        <v>0</v>
      </c>
      <c r="AH38" s="254">
        <f t="shared" si="38"/>
        <v>0</v>
      </c>
      <c r="AI38" s="254">
        <f t="shared" si="38"/>
        <v>0</v>
      </c>
      <c r="AJ38" s="254">
        <f t="shared" si="38"/>
        <v>0</v>
      </c>
      <c r="AK38" s="258">
        <f t="shared" si="39"/>
        <v>0</v>
      </c>
      <c r="AL38" s="254"/>
      <c r="AM38" s="259">
        <f t="shared" si="40"/>
        <v>0</v>
      </c>
      <c r="AN38" s="254">
        <f t="shared" si="41"/>
        <v>0</v>
      </c>
      <c r="AO38" s="254">
        <f t="shared" si="41"/>
        <v>0</v>
      </c>
      <c r="AP38" s="254">
        <f t="shared" si="41"/>
        <v>0</v>
      </c>
      <c r="AQ38" s="258">
        <f t="shared" si="42"/>
        <v>0</v>
      </c>
      <c r="AR38" s="254"/>
      <c r="AS38" s="259">
        <f t="shared" si="43"/>
        <v>0</v>
      </c>
      <c r="AT38" s="254">
        <f t="shared" si="44"/>
        <v>0</v>
      </c>
      <c r="AU38" s="254">
        <f t="shared" si="44"/>
        <v>50</v>
      </c>
      <c r="AV38" s="254">
        <f t="shared" si="44"/>
        <v>0</v>
      </c>
      <c r="AW38" s="258">
        <f t="shared" si="45"/>
        <v>50</v>
      </c>
      <c r="AX38" s="254"/>
      <c r="AY38" s="259">
        <f t="shared" si="46"/>
        <v>0</v>
      </c>
      <c r="AZ38" s="254">
        <f t="shared" si="47"/>
        <v>0</v>
      </c>
      <c r="BA38" s="254">
        <f t="shared" si="47"/>
        <v>0</v>
      </c>
      <c r="BB38" s="254">
        <f t="shared" si="47"/>
        <v>0</v>
      </c>
      <c r="BC38" s="258">
        <f t="shared" si="48"/>
        <v>0</v>
      </c>
      <c r="BD38" s="254"/>
      <c r="BE38" s="259">
        <f t="shared" si="49"/>
        <v>0</v>
      </c>
      <c r="BF38" s="254">
        <f t="shared" si="50"/>
        <v>0</v>
      </c>
      <c r="BG38" s="254">
        <f t="shared" si="50"/>
        <v>0</v>
      </c>
      <c r="BH38" s="254">
        <f t="shared" si="51"/>
        <v>0</v>
      </c>
      <c r="BI38" s="258">
        <f t="shared" si="52"/>
        <v>0</v>
      </c>
      <c r="BJ38" s="254"/>
      <c r="BK38" s="259">
        <f t="shared" si="53"/>
        <v>0</v>
      </c>
      <c r="BL38" s="254">
        <f t="shared" si="54"/>
        <v>0</v>
      </c>
      <c r="BM38" s="254">
        <f t="shared" si="54"/>
        <v>0</v>
      </c>
      <c r="BN38" s="254">
        <f t="shared" si="55"/>
        <v>0</v>
      </c>
      <c r="BO38" s="258">
        <f t="shared" si="56"/>
        <v>0</v>
      </c>
      <c r="BP38" s="254"/>
      <c r="BQ38" s="290">
        <v>0</v>
      </c>
      <c r="BR38" s="289">
        <v>0</v>
      </c>
      <c r="BS38" s="289">
        <v>0</v>
      </c>
      <c r="BT38" s="289">
        <v>0</v>
      </c>
      <c r="BU38" s="258">
        <f t="shared" si="57"/>
        <v>0</v>
      </c>
      <c r="BW38" s="290">
        <v>0</v>
      </c>
      <c r="BX38" s="289">
        <v>0</v>
      </c>
      <c r="BY38" s="289">
        <v>0</v>
      </c>
      <c r="BZ38" s="289">
        <v>0</v>
      </c>
      <c r="CA38" s="258">
        <f t="shared" si="58"/>
        <v>0</v>
      </c>
      <c r="CC38" s="290">
        <v>0</v>
      </c>
      <c r="CD38" s="289">
        <v>0</v>
      </c>
      <c r="CE38" s="289">
        <v>0</v>
      </c>
      <c r="CF38" s="289">
        <v>0</v>
      </c>
      <c r="CG38" s="258">
        <f t="shared" si="59"/>
        <v>0</v>
      </c>
      <c r="CI38" s="290">
        <v>0</v>
      </c>
      <c r="CJ38" s="289">
        <v>0</v>
      </c>
      <c r="CK38" s="289">
        <v>0</v>
      </c>
      <c r="CL38" s="289">
        <v>0</v>
      </c>
      <c r="CM38" s="258">
        <f t="shared" si="60"/>
        <v>0</v>
      </c>
    </row>
    <row r="39" spans="1:91" s="97" customFormat="1" ht="12.75" customHeight="1">
      <c r="A39" s="1487" t="s">
        <v>526</v>
      </c>
      <c r="B39" s="1489"/>
      <c r="C39" s="1488"/>
      <c r="D39" s="254"/>
      <c r="E39" s="254"/>
      <c r="F39" s="254"/>
      <c r="G39" s="255"/>
      <c r="H39" s="254"/>
      <c r="I39" s="254"/>
      <c r="J39" s="254"/>
      <c r="K39" s="254"/>
      <c r="L39" s="254"/>
      <c r="M39" s="255"/>
      <c r="N39" s="254"/>
      <c r="O39" s="268"/>
      <c r="P39" s="269"/>
      <c r="Q39" s="269"/>
      <c r="R39" s="269"/>
      <c r="S39" s="258"/>
      <c r="T39" s="254"/>
      <c r="U39" s="268"/>
      <c r="V39" s="269"/>
      <c r="W39" s="269"/>
      <c r="X39" s="269"/>
      <c r="Y39" s="323"/>
      <c r="Z39" s="254"/>
      <c r="AA39" s="259">
        <f t="shared" si="34"/>
        <v>0</v>
      </c>
      <c r="AB39" s="254">
        <f t="shared" si="35"/>
        <v>0</v>
      </c>
      <c r="AC39" s="254">
        <f t="shared" si="35"/>
        <v>0</v>
      </c>
      <c r="AD39" s="254">
        <f t="shared" si="35"/>
        <v>0</v>
      </c>
      <c r="AE39" s="258">
        <f t="shared" si="36"/>
        <v>0</v>
      </c>
      <c r="AF39" s="254"/>
      <c r="AG39" s="259">
        <f t="shared" si="37"/>
        <v>0</v>
      </c>
      <c r="AH39" s="254">
        <f t="shared" si="38"/>
        <v>0</v>
      </c>
      <c r="AI39" s="254">
        <f t="shared" si="38"/>
        <v>0</v>
      </c>
      <c r="AJ39" s="254">
        <f t="shared" si="38"/>
        <v>0</v>
      </c>
      <c r="AK39" s="258">
        <f t="shared" si="39"/>
        <v>0</v>
      </c>
      <c r="AL39" s="254"/>
      <c r="AM39" s="259">
        <f t="shared" si="40"/>
        <v>0</v>
      </c>
      <c r="AN39" s="254">
        <f t="shared" si="41"/>
        <v>0</v>
      </c>
      <c r="AO39" s="254">
        <f t="shared" si="41"/>
        <v>0</v>
      </c>
      <c r="AP39" s="254">
        <f t="shared" si="41"/>
        <v>0</v>
      </c>
      <c r="AQ39" s="258">
        <f t="shared" si="42"/>
        <v>0</v>
      </c>
      <c r="AR39" s="254"/>
      <c r="AS39" s="259">
        <f t="shared" si="43"/>
        <v>0</v>
      </c>
      <c r="AT39" s="254">
        <f t="shared" si="44"/>
        <v>0</v>
      </c>
      <c r="AU39" s="254">
        <f t="shared" si="44"/>
        <v>0</v>
      </c>
      <c r="AV39" s="254">
        <f t="shared" si="44"/>
        <v>0</v>
      </c>
      <c r="AW39" s="258">
        <f t="shared" si="45"/>
        <v>0</v>
      </c>
      <c r="AX39" s="254"/>
      <c r="AY39" s="259">
        <f t="shared" si="46"/>
        <v>0</v>
      </c>
      <c r="AZ39" s="254">
        <f t="shared" si="47"/>
        <v>0</v>
      </c>
      <c r="BA39" s="254">
        <f t="shared" si="47"/>
        <v>0</v>
      </c>
      <c r="BB39" s="254">
        <f t="shared" si="47"/>
        <v>0</v>
      </c>
      <c r="BC39" s="258">
        <f t="shared" si="48"/>
        <v>0</v>
      </c>
      <c r="BD39" s="254"/>
      <c r="BE39" s="259">
        <f t="shared" si="49"/>
        <v>0</v>
      </c>
      <c r="BF39" s="254">
        <f t="shared" si="50"/>
        <v>50</v>
      </c>
      <c r="BG39" s="254">
        <f t="shared" si="50"/>
        <v>0</v>
      </c>
      <c r="BH39" s="254">
        <f t="shared" si="51"/>
        <v>0</v>
      </c>
      <c r="BI39" s="258">
        <f t="shared" si="52"/>
        <v>50</v>
      </c>
      <c r="BJ39" s="254"/>
      <c r="BK39" s="259">
        <f t="shared" si="53"/>
        <v>0</v>
      </c>
      <c r="BL39" s="254">
        <f t="shared" si="54"/>
        <v>0</v>
      </c>
      <c r="BM39" s="254">
        <f t="shared" si="54"/>
        <v>0</v>
      </c>
      <c r="BN39" s="254">
        <f t="shared" si="55"/>
        <v>0</v>
      </c>
      <c r="BO39" s="258">
        <f t="shared" si="56"/>
        <v>0</v>
      </c>
      <c r="BP39" s="254"/>
      <c r="BQ39" s="290">
        <v>0</v>
      </c>
      <c r="BR39" s="289">
        <v>0</v>
      </c>
      <c r="BS39" s="289">
        <v>0</v>
      </c>
      <c r="BT39" s="289">
        <v>0</v>
      </c>
      <c r="BU39" s="258">
        <f t="shared" si="57"/>
        <v>0</v>
      </c>
      <c r="BW39" s="290">
        <v>0</v>
      </c>
      <c r="BX39" s="289">
        <v>0</v>
      </c>
      <c r="BY39" s="289">
        <v>0</v>
      </c>
      <c r="BZ39" s="289">
        <v>0</v>
      </c>
      <c r="CA39" s="258">
        <f t="shared" si="58"/>
        <v>0</v>
      </c>
      <c r="CC39" s="290">
        <v>0</v>
      </c>
      <c r="CD39" s="289">
        <v>0</v>
      </c>
      <c r="CE39" s="289">
        <v>0</v>
      </c>
      <c r="CF39" s="289">
        <v>0</v>
      </c>
      <c r="CG39" s="258">
        <f t="shared" si="59"/>
        <v>0</v>
      </c>
      <c r="CI39" s="290">
        <v>0</v>
      </c>
      <c r="CJ39" s="289">
        <v>0</v>
      </c>
      <c r="CK39" s="289">
        <v>0</v>
      </c>
      <c r="CL39" s="289">
        <v>0</v>
      </c>
      <c r="CM39" s="258">
        <f t="shared" si="60"/>
        <v>0</v>
      </c>
    </row>
    <row r="40" spans="1:91" s="97" customFormat="1" ht="12.75" customHeight="1">
      <c r="A40" s="1487" t="s">
        <v>527</v>
      </c>
      <c r="B40" s="1489"/>
      <c r="C40" s="1488"/>
      <c r="D40" s="254"/>
      <c r="E40" s="254"/>
      <c r="F40" s="254"/>
      <c r="G40" s="255"/>
      <c r="H40" s="254"/>
      <c r="I40" s="254"/>
      <c r="J40" s="254"/>
      <c r="K40" s="254"/>
      <c r="L40" s="254"/>
      <c r="M40" s="255"/>
      <c r="N40" s="254"/>
      <c r="O40" s="268"/>
      <c r="P40" s="269"/>
      <c r="Q40" s="269"/>
      <c r="R40" s="269"/>
      <c r="S40" s="258"/>
      <c r="T40" s="254"/>
      <c r="U40" s="268"/>
      <c r="V40" s="269"/>
      <c r="W40" s="269"/>
      <c r="X40" s="269"/>
      <c r="Y40" s="323"/>
      <c r="Z40" s="254"/>
      <c r="AA40" s="259">
        <f t="shared" si="34"/>
        <v>0</v>
      </c>
      <c r="AB40" s="254">
        <f t="shared" si="35"/>
        <v>0</v>
      </c>
      <c r="AC40" s="254">
        <f t="shared" si="35"/>
        <v>0</v>
      </c>
      <c r="AD40" s="254">
        <f t="shared" si="35"/>
        <v>0</v>
      </c>
      <c r="AE40" s="258">
        <f t="shared" si="36"/>
        <v>0</v>
      </c>
      <c r="AF40" s="254"/>
      <c r="AG40" s="259">
        <f t="shared" si="37"/>
        <v>0</v>
      </c>
      <c r="AH40" s="254">
        <f t="shared" si="38"/>
        <v>0</v>
      </c>
      <c r="AI40" s="254">
        <f t="shared" si="38"/>
        <v>0</v>
      </c>
      <c r="AJ40" s="254">
        <f t="shared" si="38"/>
        <v>0</v>
      </c>
      <c r="AK40" s="258">
        <f t="shared" si="39"/>
        <v>0</v>
      </c>
      <c r="AL40" s="254"/>
      <c r="AM40" s="259">
        <f t="shared" si="40"/>
        <v>0</v>
      </c>
      <c r="AN40" s="254">
        <f t="shared" si="41"/>
        <v>0</v>
      </c>
      <c r="AO40" s="254">
        <f t="shared" si="41"/>
        <v>0</v>
      </c>
      <c r="AP40" s="254">
        <f t="shared" si="41"/>
        <v>0</v>
      </c>
      <c r="AQ40" s="258">
        <f t="shared" si="42"/>
        <v>0</v>
      </c>
      <c r="AR40" s="254"/>
      <c r="AS40" s="259">
        <f t="shared" si="43"/>
        <v>0</v>
      </c>
      <c r="AT40" s="254">
        <f t="shared" si="44"/>
        <v>0</v>
      </c>
      <c r="AU40" s="254">
        <f t="shared" si="44"/>
        <v>0</v>
      </c>
      <c r="AV40" s="254">
        <f t="shared" si="44"/>
        <v>0</v>
      </c>
      <c r="AW40" s="258">
        <f t="shared" si="45"/>
        <v>0</v>
      </c>
      <c r="AX40" s="254"/>
      <c r="AY40" s="259">
        <f t="shared" si="46"/>
        <v>0</v>
      </c>
      <c r="AZ40" s="254">
        <f t="shared" si="47"/>
        <v>0</v>
      </c>
      <c r="BA40" s="254">
        <f t="shared" si="47"/>
        <v>0</v>
      </c>
      <c r="BB40" s="254">
        <f t="shared" si="47"/>
        <v>0</v>
      </c>
      <c r="BC40" s="258">
        <f t="shared" si="48"/>
        <v>0</v>
      </c>
      <c r="BD40" s="254"/>
      <c r="BE40" s="259">
        <f t="shared" si="49"/>
        <v>0</v>
      </c>
      <c r="BF40" s="254">
        <f t="shared" si="50"/>
        <v>40</v>
      </c>
      <c r="BG40" s="254">
        <f t="shared" si="50"/>
        <v>0</v>
      </c>
      <c r="BH40" s="254">
        <f t="shared" si="51"/>
        <v>0</v>
      </c>
      <c r="BI40" s="258">
        <f t="shared" si="52"/>
        <v>40</v>
      </c>
      <c r="BJ40" s="254"/>
      <c r="BK40" s="259">
        <f t="shared" si="53"/>
        <v>0</v>
      </c>
      <c r="BL40" s="254">
        <f t="shared" si="54"/>
        <v>0</v>
      </c>
      <c r="BM40" s="254">
        <f t="shared" si="54"/>
        <v>0</v>
      </c>
      <c r="BN40" s="254">
        <f t="shared" si="55"/>
        <v>0</v>
      </c>
      <c r="BO40" s="258">
        <f t="shared" si="56"/>
        <v>0</v>
      </c>
      <c r="BP40" s="254"/>
      <c r="BQ40" s="290">
        <v>0</v>
      </c>
      <c r="BR40" s="289">
        <v>0</v>
      </c>
      <c r="BS40" s="289">
        <v>0</v>
      </c>
      <c r="BT40" s="289">
        <v>0</v>
      </c>
      <c r="BU40" s="258">
        <f t="shared" si="57"/>
        <v>0</v>
      </c>
      <c r="BW40" s="290">
        <v>0</v>
      </c>
      <c r="BX40" s="289">
        <v>0</v>
      </c>
      <c r="BY40" s="289">
        <v>0</v>
      </c>
      <c r="BZ40" s="289">
        <v>0</v>
      </c>
      <c r="CA40" s="258">
        <f t="shared" si="58"/>
        <v>0</v>
      </c>
      <c r="CC40" s="290">
        <v>0</v>
      </c>
      <c r="CD40" s="289">
        <v>0</v>
      </c>
      <c r="CE40" s="289">
        <v>0</v>
      </c>
      <c r="CF40" s="289">
        <v>0</v>
      </c>
      <c r="CG40" s="258">
        <f t="shared" si="59"/>
        <v>0</v>
      </c>
      <c r="CI40" s="290">
        <v>0</v>
      </c>
      <c r="CJ40" s="289">
        <v>0</v>
      </c>
      <c r="CK40" s="289">
        <v>0</v>
      </c>
      <c r="CL40" s="289">
        <v>0</v>
      </c>
      <c r="CM40" s="258">
        <f t="shared" si="60"/>
        <v>0</v>
      </c>
    </row>
    <row r="41" spans="1:91" s="97" customFormat="1" ht="12.75" customHeight="1">
      <c r="A41" s="1487" t="s">
        <v>528</v>
      </c>
      <c r="B41" s="1489"/>
      <c r="C41" s="1488"/>
      <c r="D41" s="254"/>
      <c r="E41" s="254"/>
      <c r="F41" s="254"/>
      <c r="G41" s="255"/>
      <c r="H41" s="254"/>
      <c r="I41" s="254"/>
      <c r="J41" s="254"/>
      <c r="K41" s="254"/>
      <c r="L41" s="254"/>
      <c r="M41" s="255"/>
      <c r="N41" s="254"/>
      <c r="O41" s="268"/>
      <c r="P41" s="269"/>
      <c r="Q41" s="269"/>
      <c r="R41" s="269"/>
      <c r="S41" s="258"/>
      <c r="T41" s="254"/>
      <c r="U41" s="268"/>
      <c r="V41" s="269"/>
      <c r="W41" s="269"/>
      <c r="X41" s="269"/>
      <c r="Y41" s="323"/>
      <c r="Z41" s="254"/>
      <c r="AA41" s="259">
        <f t="shared" si="34"/>
        <v>0</v>
      </c>
      <c r="AB41" s="254">
        <f t="shared" si="35"/>
        <v>0</v>
      </c>
      <c r="AC41" s="254">
        <f t="shared" si="35"/>
        <v>0</v>
      </c>
      <c r="AD41" s="254">
        <f t="shared" si="35"/>
        <v>0</v>
      </c>
      <c r="AE41" s="258">
        <f t="shared" si="36"/>
        <v>0</v>
      </c>
      <c r="AF41" s="254"/>
      <c r="AG41" s="259">
        <f t="shared" si="37"/>
        <v>0</v>
      </c>
      <c r="AH41" s="254">
        <f t="shared" si="38"/>
        <v>0</v>
      </c>
      <c r="AI41" s="254">
        <f t="shared" si="38"/>
        <v>0</v>
      </c>
      <c r="AJ41" s="254">
        <f t="shared" si="38"/>
        <v>0</v>
      </c>
      <c r="AK41" s="258">
        <f t="shared" si="39"/>
        <v>0</v>
      </c>
      <c r="AL41" s="254"/>
      <c r="AM41" s="259">
        <f t="shared" si="40"/>
        <v>0</v>
      </c>
      <c r="AN41" s="254">
        <f t="shared" si="41"/>
        <v>0</v>
      </c>
      <c r="AO41" s="254">
        <f t="shared" si="41"/>
        <v>0</v>
      </c>
      <c r="AP41" s="254">
        <f t="shared" si="41"/>
        <v>0</v>
      </c>
      <c r="AQ41" s="258">
        <f t="shared" si="42"/>
        <v>0</v>
      </c>
      <c r="AR41" s="254"/>
      <c r="AS41" s="259">
        <f t="shared" si="43"/>
        <v>0</v>
      </c>
      <c r="AT41" s="254">
        <f t="shared" si="44"/>
        <v>0</v>
      </c>
      <c r="AU41" s="254">
        <f t="shared" si="44"/>
        <v>0</v>
      </c>
      <c r="AV41" s="254">
        <f t="shared" si="44"/>
        <v>0</v>
      </c>
      <c r="AW41" s="258">
        <f t="shared" si="45"/>
        <v>0</v>
      </c>
      <c r="AX41" s="254"/>
      <c r="AY41" s="259">
        <f t="shared" si="46"/>
        <v>0</v>
      </c>
      <c r="AZ41" s="254">
        <f t="shared" si="47"/>
        <v>0</v>
      </c>
      <c r="BA41" s="254">
        <f t="shared" si="47"/>
        <v>0</v>
      </c>
      <c r="BB41" s="254">
        <f t="shared" si="47"/>
        <v>0</v>
      </c>
      <c r="BC41" s="258">
        <f t="shared" si="48"/>
        <v>0</v>
      </c>
      <c r="BD41" s="254"/>
      <c r="BE41" s="259">
        <f t="shared" si="49"/>
        <v>0</v>
      </c>
      <c r="BF41" s="254">
        <f t="shared" si="50"/>
        <v>160</v>
      </c>
      <c r="BG41" s="254">
        <f t="shared" si="50"/>
        <v>0</v>
      </c>
      <c r="BH41" s="254">
        <f t="shared" si="51"/>
        <v>0</v>
      </c>
      <c r="BI41" s="258">
        <f t="shared" si="52"/>
        <v>160</v>
      </c>
      <c r="BJ41" s="254"/>
      <c r="BK41" s="259">
        <f t="shared" si="53"/>
        <v>0</v>
      </c>
      <c r="BL41" s="254">
        <f t="shared" si="54"/>
        <v>0</v>
      </c>
      <c r="BM41" s="254">
        <f t="shared" si="54"/>
        <v>0</v>
      </c>
      <c r="BN41" s="254">
        <f t="shared" si="55"/>
        <v>0</v>
      </c>
      <c r="BO41" s="258">
        <f t="shared" si="56"/>
        <v>0</v>
      </c>
      <c r="BP41" s="254"/>
      <c r="BQ41" s="290">
        <v>0</v>
      </c>
      <c r="BR41" s="289">
        <v>0</v>
      </c>
      <c r="BS41" s="289">
        <v>0</v>
      </c>
      <c r="BT41" s="289">
        <v>0</v>
      </c>
      <c r="BU41" s="258">
        <f t="shared" si="57"/>
        <v>0</v>
      </c>
      <c r="BW41" s="290">
        <v>0</v>
      </c>
      <c r="BX41" s="289">
        <v>0</v>
      </c>
      <c r="BY41" s="289">
        <v>0</v>
      </c>
      <c r="BZ41" s="289">
        <v>0</v>
      </c>
      <c r="CA41" s="258">
        <f t="shared" si="58"/>
        <v>0</v>
      </c>
      <c r="CC41" s="290">
        <v>0</v>
      </c>
      <c r="CD41" s="289">
        <v>0</v>
      </c>
      <c r="CE41" s="289">
        <v>0</v>
      </c>
      <c r="CF41" s="289">
        <v>0</v>
      </c>
      <c r="CG41" s="258">
        <f t="shared" si="59"/>
        <v>0</v>
      </c>
      <c r="CI41" s="290">
        <v>0</v>
      </c>
      <c r="CJ41" s="289">
        <v>0</v>
      </c>
      <c r="CK41" s="289">
        <v>0</v>
      </c>
      <c r="CL41" s="289">
        <v>0</v>
      </c>
      <c r="CM41" s="258">
        <f t="shared" si="60"/>
        <v>0</v>
      </c>
    </row>
    <row r="42" spans="1:91" s="15" customFormat="1" ht="12.75" customHeight="1">
      <c r="A42" s="266" t="s">
        <v>70</v>
      </c>
      <c r="B42" s="264"/>
      <c r="C42" s="264"/>
      <c r="D42" s="254"/>
      <c r="E42" s="254"/>
      <c r="F42" s="254"/>
      <c r="G42" s="287"/>
      <c r="H42" s="254"/>
      <c r="I42" s="254"/>
      <c r="J42" s="254"/>
      <c r="K42" s="254"/>
      <c r="L42" s="254"/>
      <c r="M42" s="287"/>
      <c r="N42" s="254"/>
      <c r="O42" s="259"/>
      <c r="P42" s="254"/>
      <c r="Q42" s="254"/>
      <c r="R42" s="254"/>
      <c r="S42" s="258"/>
      <c r="T42" s="254"/>
      <c r="U42" s="259"/>
      <c r="V42" s="254"/>
      <c r="W42" s="254"/>
      <c r="X42" s="254"/>
      <c r="Y42" s="258"/>
      <c r="Z42" s="254"/>
      <c r="AA42" s="259">
        <f t="shared" si="34"/>
        <v>-0.70899999999999963</v>
      </c>
      <c r="AB42" s="254">
        <f t="shared" si="35"/>
        <v>0.83000000000000007</v>
      </c>
      <c r="AC42" s="254">
        <f t="shared" si="35"/>
        <v>0.40199999999999925</v>
      </c>
      <c r="AD42" s="254">
        <f t="shared" si="35"/>
        <v>-0.74599999999999866</v>
      </c>
      <c r="AE42" s="258">
        <f t="shared" si="36"/>
        <v>-0.22299999999999898</v>
      </c>
      <c r="AF42" s="254"/>
      <c r="AG42" s="259">
        <f t="shared" si="37"/>
        <v>-2.2160000000000011</v>
      </c>
      <c r="AH42" s="254">
        <f t="shared" si="38"/>
        <v>2.7379999999999995</v>
      </c>
      <c r="AI42" s="254">
        <f t="shared" si="38"/>
        <v>-3.6509999999999989</v>
      </c>
      <c r="AJ42" s="254">
        <f t="shared" si="38"/>
        <v>7.7999999999999403E-2</v>
      </c>
      <c r="AK42" s="258">
        <f t="shared" si="39"/>
        <v>-3.051000000000001</v>
      </c>
      <c r="AL42" s="254"/>
      <c r="AM42" s="259">
        <f t="shared" si="40"/>
        <v>0.45099999999999962</v>
      </c>
      <c r="AN42" s="254">
        <f t="shared" si="41"/>
        <v>-0.32299999999999951</v>
      </c>
      <c r="AO42" s="254">
        <f t="shared" si="41"/>
        <v>0.85199999999999942</v>
      </c>
      <c r="AP42" s="254">
        <f t="shared" si="41"/>
        <v>-0.41499999999999915</v>
      </c>
      <c r="AQ42" s="258">
        <f t="shared" si="42"/>
        <v>0.56500000000000039</v>
      </c>
      <c r="AR42" s="254"/>
      <c r="AS42" s="259">
        <f t="shared" si="43"/>
        <v>-1.242</v>
      </c>
      <c r="AT42" s="254">
        <f t="shared" si="44"/>
        <v>1.2990000000000004</v>
      </c>
      <c r="AU42" s="254">
        <f t="shared" si="44"/>
        <v>-8.3970000000000002</v>
      </c>
      <c r="AV42" s="254">
        <f t="shared" si="44"/>
        <v>0.23699999999999999</v>
      </c>
      <c r="AW42" s="258">
        <f t="shared" si="45"/>
        <v>-8.1029999999999998</v>
      </c>
      <c r="AX42" s="254"/>
      <c r="AY42" s="259">
        <f t="shared" si="46"/>
        <v>7.3000000000000009E-2</v>
      </c>
      <c r="AZ42" s="254">
        <f t="shared" si="47"/>
        <v>-1.9000000000000017E-2</v>
      </c>
      <c r="BA42" s="254">
        <f t="shared" si="47"/>
        <v>-0.121</v>
      </c>
      <c r="BB42" s="254">
        <f t="shared" si="47"/>
        <v>0.14600000000000002</v>
      </c>
      <c r="BC42" s="258">
        <f t="shared" si="48"/>
        <v>7.9000000000000015E-2</v>
      </c>
      <c r="BD42" s="254"/>
      <c r="BE42" s="259">
        <f t="shared" si="49"/>
        <v>0.17699999999999999</v>
      </c>
      <c r="BF42" s="254">
        <f t="shared" si="50"/>
        <v>-0.23899999999999999</v>
      </c>
      <c r="BG42" s="254">
        <f t="shared" si="50"/>
        <v>-8.4000000000000019E-2</v>
      </c>
      <c r="BH42" s="254">
        <f t="shared" si="51"/>
        <v>0.121</v>
      </c>
      <c r="BI42" s="258">
        <f t="shared" si="52"/>
        <v>-2.5000000000000022E-2</v>
      </c>
      <c r="BJ42" s="254"/>
      <c r="BK42" s="259">
        <f t="shared" si="53"/>
        <v>-1.2000000000000011E-2</v>
      </c>
      <c r="BL42" s="254">
        <f t="shared" si="54"/>
        <v>-5.1999999999999963E-2</v>
      </c>
      <c r="BM42" s="254">
        <f t="shared" si="54"/>
        <v>0.18999999999999997</v>
      </c>
      <c r="BN42" s="254">
        <f t="shared" si="55"/>
        <v>-0.14999999999999997</v>
      </c>
      <c r="BO42" s="258">
        <f t="shared" si="56"/>
        <v>-2.3999999999999966E-2</v>
      </c>
      <c r="BP42" s="254"/>
      <c r="BQ42" s="290">
        <v>0</v>
      </c>
      <c r="BR42" s="289">
        <v>0</v>
      </c>
      <c r="BS42" s="289">
        <v>0</v>
      </c>
      <c r="BT42" s="289">
        <v>0</v>
      </c>
      <c r="BU42" s="258">
        <f t="shared" si="57"/>
        <v>0</v>
      </c>
      <c r="BV42" s="97"/>
      <c r="BW42" s="290">
        <v>0</v>
      </c>
      <c r="BX42" s="289">
        <v>0</v>
      </c>
      <c r="BY42" s="289">
        <v>0</v>
      </c>
      <c r="BZ42" s="289">
        <v>0</v>
      </c>
      <c r="CA42" s="258">
        <f t="shared" si="58"/>
        <v>0</v>
      </c>
      <c r="CB42" s="97"/>
      <c r="CC42" s="290">
        <v>0</v>
      </c>
      <c r="CD42" s="289">
        <v>0</v>
      </c>
      <c r="CE42" s="289">
        <v>0</v>
      </c>
      <c r="CF42" s="289">
        <v>0</v>
      </c>
      <c r="CG42" s="258">
        <f t="shared" si="59"/>
        <v>0</v>
      </c>
      <c r="CH42" s="97"/>
      <c r="CI42" s="290">
        <v>0</v>
      </c>
      <c r="CJ42" s="289">
        <v>0</v>
      </c>
      <c r="CK42" s="289">
        <v>0</v>
      </c>
      <c r="CL42" s="289">
        <v>0</v>
      </c>
      <c r="CM42" s="258">
        <f t="shared" si="60"/>
        <v>0</v>
      </c>
    </row>
    <row r="43" spans="1:91" s="15" customFormat="1" ht="12.75" customHeight="1">
      <c r="A43" s="266" t="s">
        <v>71</v>
      </c>
      <c r="B43" s="264"/>
      <c r="C43" s="264"/>
      <c r="D43" s="254"/>
      <c r="E43" s="254"/>
      <c r="F43" s="254"/>
      <c r="G43" s="287"/>
      <c r="H43" s="254"/>
      <c r="I43" s="254"/>
      <c r="J43" s="254"/>
      <c r="K43" s="254"/>
      <c r="L43" s="254"/>
      <c r="M43" s="287"/>
      <c r="N43" s="254"/>
      <c r="O43" s="259"/>
      <c r="P43" s="254"/>
      <c r="Q43" s="254"/>
      <c r="R43" s="254"/>
      <c r="S43" s="258"/>
      <c r="T43" s="254"/>
      <c r="U43" s="259"/>
      <c r="V43" s="254"/>
      <c r="W43" s="254"/>
      <c r="X43" s="254"/>
      <c r="Y43" s="258"/>
      <c r="Z43" s="254"/>
      <c r="AA43" s="259">
        <f t="shared" si="34"/>
        <v>-175</v>
      </c>
      <c r="AB43" s="254">
        <f t="shared" si="35"/>
        <v>45</v>
      </c>
      <c r="AC43" s="254">
        <f t="shared" si="35"/>
        <v>135</v>
      </c>
      <c r="AD43" s="254">
        <f t="shared" si="35"/>
        <v>20</v>
      </c>
      <c r="AE43" s="258">
        <f t="shared" si="36"/>
        <v>25</v>
      </c>
      <c r="AF43" s="254"/>
      <c r="AG43" s="259">
        <f t="shared" si="37"/>
        <v>35</v>
      </c>
      <c r="AH43" s="254">
        <f t="shared" si="38"/>
        <v>75</v>
      </c>
      <c r="AI43" s="254">
        <f t="shared" si="38"/>
        <v>50</v>
      </c>
      <c r="AJ43" s="254">
        <f t="shared" si="38"/>
        <v>30</v>
      </c>
      <c r="AK43" s="258">
        <f t="shared" si="39"/>
        <v>190</v>
      </c>
      <c r="AL43" s="254"/>
      <c r="AM43" s="259">
        <f t="shared" si="40"/>
        <v>55</v>
      </c>
      <c r="AN43" s="254">
        <f t="shared" si="41"/>
        <v>35</v>
      </c>
      <c r="AO43" s="254">
        <f t="shared" si="41"/>
        <v>25</v>
      </c>
      <c r="AP43" s="254">
        <f t="shared" si="41"/>
        <v>30</v>
      </c>
      <c r="AQ43" s="258">
        <f t="shared" si="42"/>
        <v>145</v>
      </c>
      <c r="AR43" s="254"/>
      <c r="AS43" s="259">
        <f t="shared" si="43"/>
        <v>10</v>
      </c>
      <c r="AT43" s="254">
        <f t="shared" si="44"/>
        <v>60</v>
      </c>
      <c r="AU43" s="254">
        <f t="shared" si="44"/>
        <v>-155</v>
      </c>
      <c r="AV43" s="254">
        <f t="shared" si="44"/>
        <v>35</v>
      </c>
      <c r="AW43" s="258">
        <f t="shared" si="45"/>
        <v>-50</v>
      </c>
      <c r="AX43" s="254"/>
      <c r="AY43" s="259">
        <f t="shared" si="46"/>
        <v>120</v>
      </c>
      <c r="AZ43" s="254">
        <f t="shared" si="47"/>
        <v>75</v>
      </c>
      <c r="BA43" s="254">
        <f t="shared" si="47"/>
        <v>70</v>
      </c>
      <c r="BB43" s="254">
        <f t="shared" si="47"/>
        <v>38.014000000000124</v>
      </c>
      <c r="BC43" s="258">
        <f t="shared" si="48"/>
        <v>303.01400000000012</v>
      </c>
      <c r="BD43" s="254"/>
      <c r="BE43" s="259">
        <f t="shared" si="49"/>
        <v>100.28699999999981</v>
      </c>
      <c r="BF43" s="254">
        <f t="shared" si="50"/>
        <v>-211.60299999999984</v>
      </c>
      <c r="BG43" s="254">
        <f t="shared" si="50"/>
        <v>25.134000000000015</v>
      </c>
      <c r="BH43" s="254">
        <f t="shared" si="51"/>
        <v>45.133999999999787</v>
      </c>
      <c r="BI43" s="258">
        <f t="shared" si="52"/>
        <v>-41.048000000000229</v>
      </c>
      <c r="BJ43" s="254"/>
      <c r="BK43" s="259">
        <f t="shared" si="53"/>
        <v>40.133000000000038</v>
      </c>
      <c r="BL43" s="254">
        <f t="shared" si="54"/>
        <v>45.134000000000015</v>
      </c>
      <c r="BM43" s="254">
        <f t="shared" si="54"/>
        <v>45.134000000000015</v>
      </c>
      <c r="BN43" s="254">
        <f t="shared" si="55"/>
        <v>40.134000000000015</v>
      </c>
      <c r="BO43" s="258">
        <f t="shared" si="56"/>
        <v>170.53500000000008</v>
      </c>
      <c r="BP43" s="254"/>
      <c r="BQ43" s="290">
        <v>0</v>
      </c>
      <c r="BR43" s="289">
        <v>0</v>
      </c>
      <c r="BS43" s="289">
        <v>0</v>
      </c>
      <c r="BT43" s="289">
        <v>0</v>
      </c>
      <c r="BU43" s="258">
        <f t="shared" si="57"/>
        <v>0</v>
      </c>
      <c r="BV43" s="97"/>
      <c r="BW43" s="290">
        <v>0</v>
      </c>
      <c r="BX43" s="289">
        <v>0</v>
      </c>
      <c r="BY43" s="289">
        <v>0</v>
      </c>
      <c r="BZ43" s="289">
        <v>0</v>
      </c>
      <c r="CA43" s="258">
        <f t="shared" si="58"/>
        <v>0</v>
      </c>
      <c r="CB43" s="97"/>
      <c r="CC43" s="290">
        <v>0</v>
      </c>
      <c r="CD43" s="289">
        <v>0</v>
      </c>
      <c r="CE43" s="289">
        <v>0</v>
      </c>
      <c r="CF43" s="289">
        <v>0</v>
      </c>
      <c r="CG43" s="258">
        <f t="shared" si="59"/>
        <v>0</v>
      </c>
      <c r="CH43" s="97"/>
      <c r="CI43" s="290">
        <v>0</v>
      </c>
      <c r="CJ43" s="289">
        <v>0</v>
      </c>
      <c r="CK43" s="289">
        <v>0</v>
      </c>
      <c r="CL43" s="289">
        <v>0</v>
      </c>
      <c r="CM43" s="258">
        <f t="shared" si="60"/>
        <v>0</v>
      </c>
    </row>
    <row r="44" spans="1:91" s="15" customFormat="1" ht="12.75" customHeight="1">
      <c r="A44" s="270" t="s">
        <v>59</v>
      </c>
      <c r="B44" s="271"/>
      <c r="C44" s="271"/>
      <c r="D44" s="272"/>
      <c r="E44" s="272"/>
      <c r="F44" s="272"/>
      <c r="G44" s="291"/>
      <c r="H44" s="272"/>
      <c r="I44" s="272"/>
      <c r="J44" s="272"/>
      <c r="K44" s="272"/>
      <c r="L44" s="272"/>
      <c r="M44" s="291"/>
      <c r="N44" s="272"/>
      <c r="O44" s="274"/>
      <c r="P44" s="275"/>
      <c r="Q44" s="275"/>
      <c r="R44" s="275"/>
      <c r="S44" s="276"/>
      <c r="T44" s="272"/>
      <c r="U44" s="274"/>
      <c r="V44" s="275"/>
      <c r="W44" s="275"/>
      <c r="X44" s="275"/>
      <c r="Y44" s="276"/>
      <c r="Z44" s="272"/>
      <c r="AA44" s="274">
        <f>SUM(AA31:AA43)</f>
        <v>24.290999999999997</v>
      </c>
      <c r="AB44" s="275">
        <f>SUM(AB31:AB43)</f>
        <v>45.83</v>
      </c>
      <c r="AC44" s="275">
        <f>SUM(AC31:AC43)</f>
        <v>135.40199999999999</v>
      </c>
      <c r="AD44" s="275">
        <f>SUM(AD31:AD43)</f>
        <v>19.254000000000001</v>
      </c>
      <c r="AE44" s="276">
        <f>SUM(AE31:AE43)</f>
        <v>224.77699999999999</v>
      </c>
      <c r="AF44" s="272"/>
      <c r="AG44" s="274">
        <f>SUM(AG31:AG43)</f>
        <v>32.783999999999999</v>
      </c>
      <c r="AH44" s="275">
        <f>SUM(AH31:AH43)</f>
        <v>77.738</v>
      </c>
      <c r="AI44" s="275">
        <f>SUM(AI31:AI43)</f>
        <v>46.349000000000004</v>
      </c>
      <c r="AJ44" s="275">
        <f>SUM(AJ31:AJ43)</f>
        <v>30.077999999999999</v>
      </c>
      <c r="AK44" s="276">
        <f>SUM(AK31:AK43)</f>
        <v>186.94900000000001</v>
      </c>
      <c r="AL44" s="272"/>
      <c r="AM44" s="274">
        <f>SUM(AM31:AM43)</f>
        <v>55.451000000000001</v>
      </c>
      <c r="AN44" s="275">
        <f>SUM(AN31:AN43)</f>
        <v>34.677</v>
      </c>
      <c r="AO44" s="275">
        <f>SUM(AO31:AO43)</f>
        <v>25.852</v>
      </c>
      <c r="AP44" s="275">
        <f>SUM(AP31:AP43)</f>
        <v>29.585000000000001</v>
      </c>
      <c r="AQ44" s="276">
        <f>SUM(AQ31:AQ43)</f>
        <v>145.565</v>
      </c>
      <c r="AR44" s="272"/>
      <c r="AS44" s="277">
        <f>SUM(AS31:AS43)</f>
        <v>8.7579999999999991</v>
      </c>
      <c r="AT44" s="275">
        <f>SUM(AT31:AT43)</f>
        <v>61.298999999999999</v>
      </c>
      <c r="AU44" s="275">
        <f>SUM(AU31:AU43)</f>
        <v>36.603000000000009</v>
      </c>
      <c r="AV44" s="275">
        <f>SUM(AV31:AV43)</f>
        <v>35.237000000000002</v>
      </c>
      <c r="AW44" s="276">
        <f>SUM(AW31:AW43)</f>
        <v>141.89699999999999</v>
      </c>
      <c r="AX44" s="272"/>
      <c r="AY44" s="277">
        <f>SUM(AY31:AY43)</f>
        <v>20.072999999999993</v>
      </c>
      <c r="AZ44" s="275">
        <f>SUM(AZ31:AZ43)</f>
        <v>74.980999999999995</v>
      </c>
      <c r="BA44" s="275">
        <f>SUM(BA31:BA43)</f>
        <v>69.879000000000005</v>
      </c>
      <c r="BB44" s="275">
        <f>SUM(BB31:BB43)</f>
        <v>38.160000000000124</v>
      </c>
      <c r="BC44" s="276">
        <f>SUM(BC31:BC43)</f>
        <v>203.09300000000013</v>
      </c>
      <c r="BD44" s="272"/>
      <c r="BE44" s="277">
        <f>SUM(BE31:BE43)</f>
        <v>50.463999999999807</v>
      </c>
      <c r="BF44" s="275">
        <f>SUM(BF31:BF43)</f>
        <v>38.158000000000158</v>
      </c>
      <c r="BG44" s="275">
        <f>SUM(BG31:BG43)</f>
        <v>25.050000000000015</v>
      </c>
      <c r="BH44" s="275">
        <f>SUM(BH31:BH43)</f>
        <v>45.254999999999789</v>
      </c>
      <c r="BI44" s="276">
        <f>SUM(BI31:BI43)</f>
        <v>158.92699999999977</v>
      </c>
      <c r="BJ44" s="272"/>
      <c r="BK44" s="277">
        <f>SUM(BK31:BK43)</f>
        <v>40.121000000000038</v>
      </c>
      <c r="BL44" s="275">
        <f>SUM(BL31:BL43)</f>
        <v>45.082000000000015</v>
      </c>
      <c r="BM44" s="275">
        <f>SUM(BM31:BM43)</f>
        <v>45.324000000000012</v>
      </c>
      <c r="BN44" s="275">
        <f>SUM(BN31:BN43)</f>
        <v>39.984000000000016</v>
      </c>
      <c r="BO44" s="276">
        <f>SUM(BO31:BO43)</f>
        <v>170.51100000000008</v>
      </c>
      <c r="BP44" s="272"/>
      <c r="BQ44" s="277">
        <f>SUM(BQ31:BQ43)</f>
        <v>-100</v>
      </c>
      <c r="BR44" s="275">
        <f>SUM(BR31:BR43)</f>
        <v>0</v>
      </c>
      <c r="BS44" s="275">
        <f>SUM(BS31:BS43)</f>
        <v>0</v>
      </c>
      <c r="BT44" s="275">
        <f>SUM(BT31:BT43)</f>
        <v>0</v>
      </c>
      <c r="BU44" s="276">
        <f>SUM(BU31:BU43)</f>
        <v>-100</v>
      </c>
      <c r="BV44" s="97"/>
      <c r="BW44" s="277">
        <f>SUM(BW31:BW43)</f>
        <v>-100</v>
      </c>
      <c r="BX44" s="275">
        <f>SUM(BX31:BX43)</f>
        <v>0</v>
      </c>
      <c r="BY44" s="275">
        <f>SUM(BY31:BY43)</f>
        <v>0</v>
      </c>
      <c r="BZ44" s="275">
        <f>SUM(BZ31:BZ43)</f>
        <v>0</v>
      </c>
      <c r="CA44" s="276">
        <f>SUM(CA31:CA43)</f>
        <v>-100</v>
      </c>
      <c r="CB44" s="97"/>
      <c r="CC44" s="277">
        <f>SUM(CC31:CC43)</f>
        <v>0</v>
      </c>
      <c r="CD44" s="275">
        <f>SUM(CD31:CD43)</f>
        <v>0</v>
      </c>
      <c r="CE44" s="275">
        <f>SUM(CE31:CE43)</f>
        <v>0</v>
      </c>
      <c r="CF44" s="275">
        <f>SUM(CF31:CF43)</f>
        <v>0</v>
      </c>
      <c r="CG44" s="276">
        <f>SUM(CG31:CG43)</f>
        <v>0</v>
      </c>
      <c r="CH44" s="97"/>
      <c r="CI44" s="277">
        <f>SUM(CI31:CI43)</f>
        <v>0</v>
      </c>
      <c r="CJ44" s="275">
        <f>SUM(CJ31:CJ43)</f>
        <v>0</v>
      </c>
      <c r="CK44" s="275">
        <f>SUM(CK31:CK43)</f>
        <v>0</v>
      </c>
      <c r="CL44" s="275">
        <f>SUM(CL31:CL43)</f>
        <v>0</v>
      </c>
      <c r="CM44" s="276">
        <f>SUM(CM31:CM43)</f>
        <v>0</v>
      </c>
    </row>
    <row r="45" spans="1:91" s="15" customFormat="1" ht="12.75" customHeight="1">
      <c r="A45" s="1858" t="s">
        <v>60</v>
      </c>
      <c r="B45" s="1858"/>
      <c r="C45" s="1858"/>
      <c r="D45" s="1859"/>
      <c r="E45" s="1859"/>
      <c r="F45" s="1859"/>
      <c r="G45" s="1860"/>
      <c r="H45" s="1859"/>
      <c r="I45" s="1859"/>
      <c r="J45" s="1859"/>
      <c r="K45" s="1859"/>
      <c r="L45" s="1859"/>
      <c r="M45" s="1860"/>
      <c r="N45" s="1859"/>
      <c r="O45" s="1861"/>
      <c r="P45" s="260"/>
      <c r="Q45" s="260"/>
      <c r="R45" s="260"/>
      <c r="S45" s="258"/>
      <c r="T45" s="260"/>
      <c r="U45" s="259"/>
      <c r="V45" s="260"/>
      <c r="W45" s="260"/>
      <c r="X45" s="260"/>
      <c r="Y45" s="258"/>
      <c r="Z45" s="260"/>
      <c r="AA45" s="259">
        <f>AA24-Y24</f>
        <v>324.291</v>
      </c>
      <c r="AB45" s="260">
        <f t="shared" ref="AB45:AD46" si="61">AB24-AA24</f>
        <v>-254.17000000000002</v>
      </c>
      <c r="AC45" s="260">
        <f t="shared" si="61"/>
        <v>135.40199999999999</v>
      </c>
      <c r="AD45" s="260">
        <f t="shared" si="61"/>
        <v>19.254000000000019</v>
      </c>
      <c r="AE45" s="258">
        <f>AE24-Y24</f>
        <v>224.77699999999999</v>
      </c>
      <c r="AF45" s="260"/>
      <c r="AG45" s="259">
        <f>AG24-AE24</f>
        <v>32.783999999999992</v>
      </c>
      <c r="AH45" s="260">
        <f t="shared" ref="AH45:AJ46" si="62">AH24-AG24</f>
        <v>77.738</v>
      </c>
      <c r="AI45" s="260">
        <f t="shared" si="62"/>
        <v>46.34899999999999</v>
      </c>
      <c r="AJ45" s="260">
        <f t="shared" si="62"/>
        <v>-314.92199999999997</v>
      </c>
      <c r="AK45" s="258">
        <f>AK24-AE24</f>
        <v>-158.05099999999999</v>
      </c>
      <c r="AL45" s="260"/>
      <c r="AM45" s="259">
        <f>AM24-AK24</f>
        <v>0.45099999999999341</v>
      </c>
      <c r="AN45" s="260">
        <f t="shared" ref="AN45:AP46" si="63">AN24-AM24</f>
        <v>-0.3230000000000075</v>
      </c>
      <c r="AO45" s="260">
        <f t="shared" si="63"/>
        <v>0.85200000000000387</v>
      </c>
      <c r="AP45" s="260">
        <f t="shared" si="63"/>
        <v>-0.41499999999999204</v>
      </c>
      <c r="AQ45" s="258">
        <f>AQ24-AK24</f>
        <v>0.56499999999999773</v>
      </c>
      <c r="AR45" s="260"/>
      <c r="AS45" s="259">
        <f>AS24-AQ24</f>
        <v>98.75800000000001</v>
      </c>
      <c r="AT45" s="260">
        <f t="shared" ref="AT45:AV46" si="64">AT24-AS24</f>
        <v>1.2989999999999782</v>
      </c>
      <c r="AU45" s="260">
        <f t="shared" si="64"/>
        <v>-8.3969999999999914</v>
      </c>
      <c r="AV45" s="260">
        <f t="shared" si="64"/>
        <v>0.23699999999999477</v>
      </c>
      <c r="AW45" s="258">
        <f>AW24-AQ24</f>
        <v>91.896999999999991</v>
      </c>
      <c r="AX45" s="260"/>
      <c r="AY45" s="259">
        <f>AY24-AW24</f>
        <v>-49.926999999999992</v>
      </c>
      <c r="AZ45" s="260">
        <f t="shared" ref="AZ45:BB46" si="65">AZ24-AY24</f>
        <v>-1.9000000000005457E-2</v>
      </c>
      <c r="BA45" s="260">
        <f t="shared" si="65"/>
        <v>0</v>
      </c>
      <c r="BB45" s="260">
        <f t="shared" si="65"/>
        <v>1.2000000000000455E-2</v>
      </c>
      <c r="BC45" s="258">
        <f>BC24-AW24</f>
        <v>-49.933999999999997</v>
      </c>
      <c r="BD45" s="260"/>
      <c r="BE45" s="259">
        <f>BE24-BC24</f>
        <v>-49.81</v>
      </c>
      <c r="BF45" s="260">
        <f t="shared" ref="BF45:BH46" si="66">BF24-BE24</f>
        <v>-0.23899999999999011</v>
      </c>
      <c r="BG45" s="260">
        <f t="shared" si="66"/>
        <v>-8.4000000000003183E-2</v>
      </c>
      <c r="BH45" s="260">
        <f t="shared" si="66"/>
        <v>0.12099999999999511</v>
      </c>
      <c r="BI45" s="258">
        <f>BI24-BC24</f>
        <v>-50.012</v>
      </c>
      <c r="BJ45" s="260"/>
      <c r="BK45" s="259">
        <f>BK24-BI24</f>
        <v>99.988</v>
      </c>
      <c r="BL45" s="260">
        <f t="shared" ref="BL45:BM46" si="67">BL24-BK24</f>
        <v>-5.1999999999992497E-2</v>
      </c>
      <c r="BM45" s="260">
        <f t="shared" si="67"/>
        <v>0.18999999999999773</v>
      </c>
      <c r="BN45" s="260">
        <f t="shared" ref="BN45:BN46" si="68">BN24-BM24</f>
        <v>-125.15</v>
      </c>
      <c r="BO45" s="258">
        <f>BO24-BI24</f>
        <v>-25.024000000000001</v>
      </c>
      <c r="BP45" s="260"/>
      <c r="BQ45" s="259">
        <f>BQ24-BO24</f>
        <v>0</v>
      </c>
      <c r="BR45" s="260">
        <f t="shared" ref="BR45:BT46" si="69">BR24-BQ24</f>
        <v>0</v>
      </c>
      <c r="BS45" s="260">
        <f t="shared" si="69"/>
        <v>0</v>
      </c>
      <c r="BT45" s="260">
        <f t="shared" si="69"/>
        <v>0</v>
      </c>
      <c r="BU45" s="258">
        <f>BU24-BO24</f>
        <v>0</v>
      </c>
      <c r="BV45" s="149"/>
      <c r="BW45" s="259">
        <f>BW24-BU24</f>
        <v>0</v>
      </c>
      <c r="BX45" s="260">
        <f t="shared" ref="BX45:BZ46" si="70">BX24-BW24</f>
        <v>0</v>
      </c>
      <c r="BY45" s="260">
        <f t="shared" si="70"/>
        <v>0</v>
      </c>
      <c r="BZ45" s="260">
        <f t="shared" si="70"/>
        <v>0</v>
      </c>
      <c r="CA45" s="258">
        <f>CA24-BU24</f>
        <v>0</v>
      </c>
      <c r="CB45" s="149"/>
      <c r="CC45" s="259">
        <f>CC24-CA24</f>
        <v>0</v>
      </c>
      <c r="CD45" s="260">
        <f t="shared" ref="CD45:CF46" si="71">CD24-CC24</f>
        <v>0</v>
      </c>
      <c r="CE45" s="260">
        <f t="shared" si="71"/>
        <v>0</v>
      </c>
      <c r="CF45" s="260">
        <f t="shared" si="71"/>
        <v>0</v>
      </c>
      <c r="CG45" s="258">
        <f>CG24-CA24</f>
        <v>0</v>
      </c>
      <c r="CH45" s="149"/>
      <c r="CI45" s="259">
        <f>CI24-CG24</f>
        <v>0</v>
      </c>
      <c r="CJ45" s="260">
        <f t="shared" ref="CJ45:CL46" si="72">CJ24-CI24</f>
        <v>0</v>
      </c>
      <c r="CK45" s="260">
        <f t="shared" si="72"/>
        <v>0</v>
      </c>
      <c r="CL45" s="260">
        <f t="shared" si="72"/>
        <v>0</v>
      </c>
      <c r="CM45" s="258">
        <f>CM24-CG24</f>
        <v>0</v>
      </c>
    </row>
    <row r="46" spans="1:91" s="15" customFormat="1" ht="12.75" customHeight="1">
      <c r="A46" s="1853" t="s">
        <v>61</v>
      </c>
      <c r="B46" s="1854"/>
      <c r="C46" s="1854"/>
      <c r="D46" s="1855"/>
      <c r="E46" s="1855"/>
      <c r="F46" s="1855"/>
      <c r="G46" s="1856"/>
      <c r="H46" s="1855"/>
      <c r="I46" s="1855"/>
      <c r="J46" s="1855"/>
      <c r="K46" s="1855"/>
      <c r="L46" s="1855"/>
      <c r="M46" s="1856"/>
      <c r="N46" s="1855"/>
      <c r="O46" s="1857"/>
      <c r="P46" s="1862"/>
      <c r="Q46" s="1862"/>
      <c r="R46" s="1862"/>
      <c r="S46" s="1863"/>
      <c r="T46" s="1855"/>
      <c r="U46" s="1857"/>
      <c r="V46" s="1862"/>
      <c r="W46" s="1862"/>
      <c r="X46" s="1862"/>
      <c r="Y46" s="1863"/>
      <c r="Z46" s="1855"/>
      <c r="AA46" s="1857">
        <f>AA25-Y25</f>
        <v>-300</v>
      </c>
      <c r="AB46" s="1862">
        <f t="shared" si="61"/>
        <v>300</v>
      </c>
      <c r="AC46" s="1862">
        <f t="shared" si="61"/>
        <v>0</v>
      </c>
      <c r="AD46" s="1862">
        <f t="shared" si="61"/>
        <v>0</v>
      </c>
      <c r="AE46" s="1863">
        <f>AE25-Y25</f>
        <v>0</v>
      </c>
      <c r="AF46" s="1855"/>
      <c r="AG46" s="1857">
        <f>AG25-AE25</f>
        <v>0</v>
      </c>
      <c r="AH46" s="1862">
        <f t="shared" si="62"/>
        <v>0</v>
      </c>
      <c r="AI46" s="1862">
        <f t="shared" si="62"/>
        <v>0</v>
      </c>
      <c r="AJ46" s="1862">
        <f t="shared" si="62"/>
        <v>345</v>
      </c>
      <c r="AK46" s="1863">
        <f>AK25-AE25</f>
        <v>345</v>
      </c>
      <c r="AL46" s="1855"/>
      <c r="AM46" s="1864">
        <f>AM25-AK25</f>
        <v>55</v>
      </c>
      <c r="AN46" s="1862">
        <f t="shared" si="63"/>
        <v>35</v>
      </c>
      <c r="AO46" s="1862">
        <f t="shared" si="63"/>
        <v>25</v>
      </c>
      <c r="AP46" s="1862">
        <f t="shared" si="63"/>
        <v>30</v>
      </c>
      <c r="AQ46" s="1863">
        <f>AQ25-AK25</f>
        <v>145</v>
      </c>
      <c r="AR46" s="1855"/>
      <c r="AS46" s="1864">
        <f>AS25-AQ25</f>
        <v>-90</v>
      </c>
      <c r="AT46" s="1862">
        <f t="shared" si="64"/>
        <v>60</v>
      </c>
      <c r="AU46" s="1862">
        <f t="shared" si="64"/>
        <v>44.999999999999773</v>
      </c>
      <c r="AV46" s="1862">
        <f t="shared" si="64"/>
        <v>35.000000000000227</v>
      </c>
      <c r="AW46" s="1863">
        <f>AW25-AQ25</f>
        <v>50</v>
      </c>
      <c r="AX46" s="1855"/>
      <c r="AY46" s="1864">
        <f>AY25-AW25</f>
        <v>70</v>
      </c>
      <c r="AZ46" s="1862">
        <f t="shared" si="65"/>
        <v>75</v>
      </c>
      <c r="BA46" s="1862">
        <f t="shared" si="65"/>
        <v>69.878999999999905</v>
      </c>
      <c r="BB46" s="1862">
        <f t="shared" si="65"/>
        <v>38.148000000000366</v>
      </c>
      <c r="BC46" s="1863">
        <f>BC25-AW25</f>
        <v>253.02700000000027</v>
      </c>
      <c r="BD46" s="1855"/>
      <c r="BE46" s="1864">
        <f>BE25-BC25</f>
        <v>100.27399999999966</v>
      </c>
      <c r="BF46" s="1862">
        <f t="shared" si="66"/>
        <v>38.397000000000162</v>
      </c>
      <c r="BG46" s="1862">
        <f t="shared" si="66"/>
        <v>25.134000000000242</v>
      </c>
      <c r="BH46" s="1862">
        <f t="shared" si="66"/>
        <v>45.13399999999956</v>
      </c>
      <c r="BI46" s="1863">
        <f>BI25-BC25</f>
        <v>208.93899999999962</v>
      </c>
      <c r="BJ46" s="1855"/>
      <c r="BK46" s="1864">
        <f>BK25-BI25</f>
        <v>-59.866999999999962</v>
      </c>
      <c r="BL46" s="1862">
        <f t="shared" si="67"/>
        <v>45.134000000000015</v>
      </c>
      <c r="BM46" s="1862">
        <f t="shared" si="67"/>
        <v>45.134000000000015</v>
      </c>
      <c r="BN46" s="1862">
        <f t="shared" si="68"/>
        <v>165.13400000000001</v>
      </c>
      <c r="BO46" s="1863">
        <f>BO25-BI25</f>
        <v>195.53500000000008</v>
      </c>
      <c r="BP46" s="1855"/>
      <c r="BQ46" s="1864">
        <f>BQ25-BO25</f>
        <v>-100</v>
      </c>
      <c r="BR46" s="1862">
        <f t="shared" si="69"/>
        <v>0</v>
      </c>
      <c r="BS46" s="1862">
        <f t="shared" si="69"/>
        <v>0</v>
      </c>
      <c r="BT46" s="1862">
        <f t="shared" si="69"/>
        <v>0</v>
      </c>
      <c r="BU46" s="1863">
        <f>BU25-BO25</f>
        <v>-100</v>
      </c>
      <c r="BV46" s="97"/>
      <c r="BW46" s="1864">
        <f>BW25-BU25</f>
        <v>-100</v>
      </c>
      <c r="BX46" s="1862">
        <f t="shared" si="70"/>
        <v>0</v>
      </c>
      <c r="BY46" s="1862">
        <f t="shared" si="70"/>
        <v>0</v>
      </c>
      <c r="BZ46" s="1862">
        <f t="shared" si="70"/>
        <v>0</v>
      </c>
      <c r="CA46" s="1863">
        <f>CA25-BU25</f>
        <v>-100</v>
      </c>
      <c r="CB46" s="97"/>
      <c r="CC46" s="1864">
        <f>CC25-CA25</f>
        <v>0</v>
      </c>
      <c r="CD46" s="1862">
        <f t="shared" si="71"/>
        <v>0</v>
      </c>
      <c r="CE46" s="1862">
        <f t="shared" si="71"/>
        <v>0</v>
      </c>
      <c r="CF46" s="1862">
        <f t="shared" si="71"/>
        <v>0</v>
      </c>
      <c r="CG46" s="1863">
        <f>CG25-CA25</f>
        <v>0</v>
      </c>
      <c r="CH46" s="97"/>
      <c r="CI46" s="1864">
        <f>CI25-CG25</f>
        <v>0</v>
      </c>
      <c r="CJ46" s="1862">
        <f t="shared" si="72"/>
        <v>0</v>
      </c>
      <c r="CK46" s="1862">
        <f t="shared" si="72"/>
        <v>0</v>
      </c>
      <c r="CL46" s="1862">
        <f t="shared" si="72"/>
        <v>0</v>
      </c>
      <c r="CM46" s="1863">
        <f>CM25-CG25</f>
        <v>0</v>
      </c>
    </row>
    <row r="47" spans="1:91" s="15" customFormat="1" ht="12.75" customHeight="1">
      <c r="A47" s="1852" t="s">
        <v>543</v>
      </c>
      <c r="B47" s="278"/>
      <c r="C47" s="278"/>
      <c r="D47" s="292"/>
      <c r="E47" s="292"/>
      <c r="F47" s="292"/>
      <c r="G47" s="293"/>
      <c r="H47" s="292"/>
      <c r="I47" s="292"/>
      <c r="J47" s="292"/>
      <c r="K47" s="292"/>
      <c r="L47" s="292"/>
      <c r="M47" s="293"/>
      <c r="N47" s="292"/>
      <c r="O47" s="294"/>
      <c r="P47" s="292"/>
      <c r="Q47" s="292"/>
      <c r="R47" s="292"/>
      <c r="S47" s="295"/>
      <c r="T47" s="292"/>
      <c r="U47" s="294"/>
      <c r="V47" s="292"/>
      <c r="W47" s="292"/>
      <c r="X47" s="292"/>
      <c r="Y47" s="295"/>
      <c r="Z47" s="292"/>
      <c r="AA47" s="294"/>
      <c r="AB47" s="292"/>
      <c r="AC47" s="292"/>
      <c r="AD47" s="292"/>
      <c r="AE47" s="295"/>
      <c r="AF47" s="292"/>
      <c r="AG47" s="294"/>
      <c r="AH47" s="292"/>
      <c r="AI47" s="292"/>
      <c r="AJ47" s="292"/>
      <c r="AK47" s="295"/>
      <c r="AL47" s="292"/>
      <c r="AM47" s="294"/>
      <c r="AN47" s="292"/>
      <c r="AO47" s="292"/>
      <c r="AP47" s="292"/>
      <c r="AQ47" s="295"/>
      <c r="AR47" s="292"/>
      <c r="AS47" s="294"/>
      <c r="AT47" s="292"/>
      <c r="AU47" s="292"/>
      <c r="AV47" s="292"/>
      <c r="AW47" s="295"/>
      <c r="AX47" s="292"/>
      <c r="AY47" s="1894">
        <v>-8.9749999999999996</v>
      </c>
      <c r="AZ47" s="1895">
        <v>-9.0459999999999994</v>
      </c>
      <c r="BA47" s="1895">
        <v>-9.0169999999999995</v>
      </c>
      <c r="BB47" s="1895">
        <v>-9.2050000000000001</v>
      </c>
      <c r="BC47" s="295">
        <f>SUM(AY47:BB47)</f>
        <v>-36.243000000000002</v>
      </c>
      <c r="BD47" s="292"/>
      <c r="BE47" s="1894">
        <v>-10.119</v>
      </c>
      <c r="BF47" s="1895">
        <v>-10.983000000000001</v>
      </c>
      <c r="BG47" s="1895">
        <v>-11.707000000000001</v>
      </c>
      <c r="BH47" s="1895">
        <v>-12.102</v>
      </c>
      <c r="BI47" s="295">
        <f>SUM(BE47:BH47)</f>
        <v>-44.911000000000001</v>
      </c>
      <c r="BJ47" s="292"/>
      <c r="BK47" s="1894">
        <v>-12.725</v>
      </c>
      <c r="BL47" s="1895">
        <v>-14.083</v>
      </c>
      <c r="BM47" s="1895">
        <v>-14.75</v>
      </c>
      <c r="BN47" s="1895">
        <v>-15.281000000000001</v>
      </c>
      <c r="BO47" s="295">
        <f>SUM(BK47:BN47)</f>
        <v>-56.838999999999999</v>
      </c>
      <c r="BP47" s="292"/>
      <c r="BQ47" s="1877">
        <f>-(((BQ23-BQ21)*BQ28)+(BQ21*BQ27))/4</f>
        <v>-14.13739255</v>
      </c>
      <c r="BR47" s="1876">
        <f>-(((BR23-BR21)*BR28)+(BR21*BR27))/4</f>
        <v>-14.13739255</v>
      </c>
      <c r="BS47" s="1876">
        <f>-(((BS23-BS21)*BS28)+(BS21*BS27))/4</f>
        <v>-14.13739255</v>
      </c>
      <c r="BT47" s="1878">
        <f>-(((BT23-BT21)*BT28)+(BT21*BT27))/4</f>
        <v>-14.13739255</v>
      </c>
      <c r="BU47" s="295">
        <f>SUM(BQ47:BT47)</f>
        <v>-56.549570199999998</v>
      </c>
      <c r="BV47" s="97"/>
      <c r="BW47" s="1877">
        <f>-(((BW23-BW21)*BW28)+(BW21*BW27))/4</f>
        <v>-13.39239255</v>
      </c>
      <c r="BX47" s="1876">
        <f>-(((BX23-BX21)*BX28)+(BX21*BX27))/4</f>
        <v>-13.39239255</v>
      </c>
      <c r="BY47" s="1876">
        <f>-(((BY23-BY21)*BY28)+(BY21*BY27))/4</f>
        <v>-13.39239255</v>
      </c>
      <c r="BZ47" s="1878">
        <f>-(((BZ23-BZ21)*BZ28)+(BZ21*BZ27))/4</f>
        <v>-13.39239255</v>
      </c>
      <c r="CA47" s="295">
        <f>SUM(BW47:BZ47)</f>
        <v>-53.569570200000001</v>
      </c>
      <c r="CB47" s="97"/>
      <c r="CC47" s="1877">
        <f>-(((CC23-CC21)*CC28)+(CC21*CC27))/4</f>
        <v>-13.39239255</v>
      </c>
      <c r="CD47" s="1876">
        <f>-(((CD23-CD21)*CD28)+(CD21*CD27))/4</f>
        <v>-13.39239255</v>
      </c>
      <c r="CE47" s="1876">
        <f>-(((CE23-CE21)*CE28)+(CE21*CE27))/4</f>
        <v>-13.39239255</v>
      </c>
      <c r="CF47" s="1878">
        <f>-(((CF23-CF21)*CF28)+(CF21*CF27))/4</f>
        <v>-13.39239255</v>
      </c>
      <c r="CG47" s="295">
        <f>SUM(CC47:CF47)</f>
        <v>-53.569570200000001</v>
      </c>
      <c r="CH47" s="97"/>
      <c r="CI47" s="1877">
        <f>-(((CI23-CI21)*CI28)+(CI21*CI27))/4</f>
        <v>-13.39239255</v>
      </c>
      <c r="CJ47" s="1876">
        <f>-(((CJ23-CJ21)*CJ28)+(CJ21*CJ27))/4</f>
        <v>-13.39239255</v>
      </c>
      <c r="CK47" s="1876">
        <f>-(((CK23-CK21)*CK28)+(CK21*CK27))/4</f>
        <v>-13.39239255</v>
      </c>
      <c r="CL47" s="1878">
        <f>-(((CL23-CL21)*CL28)+(CL21*CL27))/4</f>
        <v>-13.39239255</v>
      </c>
      <c r="CM47" s="295">
        <f>SUM(CI47:CL47)</f>
        <v>-53.569570200000001</v>
      </c>
    </row>
    <row r="48" spans="1:91" s="15" customFormat="1" ht="12.75" customHeight="1">
      <c r="A48" s="278"/>
      <c r="B48" s="278"/>
      <c r="C48" s="278"/>
      <c r="D48" s="292"/>
      <c r="E48" s="292"/>
      <c r="F48" s="292"/>
      <c r="G48" s="293"/>
      <c r="H48" s="292"/>
      <c r="I48" s="292"/>
      <c r="J48" s="292"/>
      <c r="K48" s="292"/>
      <c r="L48" s="292"/>
      <c r="M48" s="293"/>
      <c r="N48" s="292"/>
      <c r="O48" s="294"/>
      <c r="P48" s="292"/>
      <c r="Q48" s="292"/>
      <c r="R48" s="292"/>
      <c r="S48" s="295"/>
      <c r="T48" s="292"/>
      <c r="U48" s="294"/>
      <c r="V48" s="292"/>
      <c r="W48" s="292"/>
      <c r="X48" s="292"/>
      <c r="Y48" s="295"/>
      <c r="Z48" s="292"/>
      <c r="AA48" s="294"/>
      <c r="AB48" s="292"/>
      <c r="AC48" s="292"/>
      <c r="AD48" s="292"/>
      <c r="AE48" s="295"/>
      <c r="AF48" s="292"/>
      <c r="AG48" s="294"/>
      <c r="AH48" s="292"/>
      <c r="AI48" s="292"/>
      <c r="AJ48" s="292"/>
      <c r="AK48" s="295"/>
      <c r="AL48" s="292"/>
      <c r="AM48" s="294"/>
      <c r="AN48" s="292"/>
      <c r="AO48" s="292"/>
      <c r="AP48" s="292"/>
      <c r="AQ48" s="295"/>
      <c r="AR48" s="292"/>
      <c r="AS48" s="294"/>
      <c r="AT48" s="292"/>
      <c r="AU48" s="292"/>
      <c r="AV48" s="292"/>
      <c r="AW48" s="295"/>
      <c r="AX48" s="292"/>
      <c r="AY48" s="294"/>
      <c r="AZ48" s="292"/>
      <c r="BA48" s="292"/>
      <c r="BB48" s="292"/>
      <c r="BC48" s="295"/>
      <c r="BD48" s="292"/>
      <c r="BE48" s="294"/>
      <c r="BF48" s="292"/>
      <c r="BG48" s="292"/>
      <c r="BH48" s="292"/>
      <c r="BI48" s="295"/>
      <c r="BJ48" s="292"/>
      <c r="BK48" s="294"/>
      <c r="BL48" s="292"/>
      <c r="BM48" s="292"/>
      <c r="BN48" s="292"/>
      <c r="BO48" s="295"/>
      <c r="BP48" s="292"/>
      <c r="BQ48" s="294"/>
      <c r="BR48" s="292"/>
      <c r="BS48" s="292"/>
      <c r="BT48" s="292"/>
      <c r="BU48" s="295"/>
      <c r="BV48" s="97"/>
      <c r="BW48" s="294"/>
      <c r="BX48" s="292"/>
      <c r="BY48" s="292"/>
      <c r="BZ48" s="292"/>
      <c r="CA48" s="295"/>
      <c r="CB48" s="97"/>
      <c r="CC48" s="294"/>
      <c r="CD48" s="292"/>
      <c r="CE48" s="292"/>
      <c r="CF48" s="292"/>
      <c r="CG48" s="295"/>
      <c r="CH48" s="97"/>
      <c r="CI48" s="294"/>
      <c r="CJ48" s="292"/>
      <c r="CK48" s="292"/>
      <c r="CL48" s="292"/>
      <c r="CM48" s="295"/>
    </row>
    <row r="49" spans="1:91" s="15" customFormat="1" ht="12.75" customHeight="1">
      <c r="A49" s="278"/>
      <c r="B49" s="278"/>
      <c r="C49" s="278"/>
      <c r="D49" s="292"/>
      <c r="E49" s="292"/>
      <c r="F49" s="292"/>
      <c r="G49" s="293"/>
      <c r="H49" s="292"/>
      <c r="I49" s="292"/>
      <c r="J49" s="292"/>
      <c r="K49" s="292"/>
      <c r="L49" s="292"/>
      <c r="M49" s="293"/>
      <c r="N49" s="292"/>
      <c r="O49" s="294"/>
      <c r="P49" s="292"/>
      <c r="Q49" s="292"/>
      <c r="R49" s="292"/>
      <c r="S49" s="295"/>
      <c r="T49" s="292"/>
      <c r="U49" s="294"/>
      <c r="V49" s="292"/>
      <c r="W49" s="292"/>
      <c r="X49" s="292"/>
      <c r="Y49" s="295"/>
      <c r="Z49" s="292"/>
      <c r="AA49" s="294"/>
      <c r="AB49" s="292"/>
      <c r="AC49" s="292"/>
      <c r="AD49" s="292"/>
      <c r="AE49" s="295"/>
      <c r="AF49" s="292"/>
      <c r="AG49" s="294"/>
      <c r="AH49" s="292"/>
      <c r="AI49" s="292"/>
      <c r="AJ49" s="292"/>
      <c r="AK49" s="295"/>
      <c r="AL49" s="292"/>
      <c r="AM49" s="294"/>
      <c r="AN49" s="292"/>
      <c r="AO49" s="292"/>
      <c r="AP49" s="292"/>
      <c r="AQ49" s="295"/>
      <c r="AR49" s="292"/>
      <c r="AS49" s="294"/>
      <c r="AT49" s="292"/>
      <c r="AU49" s="292"/>
      <c r="AV49" s="292"/>
      <c r="AW49" s="295"/>
      <c r="AX49" s="292"/>
      <c r="AY49" s="294"/>
      <c r="AZ49" s="292"/>
      <c r="BA49" s="292"/>
      <c r="BB49" s="292"/>
      <c r="BC49" s="295"/>
      <c r="BD49" s="292"/>
      <c r="BE49" s="294"/>
      <c r="BF49" s="292"/>
      <c r="BG49" s="292"/>
      <c r="BH49" s="292"/>
      <c r="BI49" s="295"/>
      <c r="BJ49" s="292"/>
      <c r="BK49" s="294"/>
      <c r="BL49" s="292"/>
      <c r="BM49" s="292"/>
      <c r="BN49" s="292"/>
      <c r="BO49" s="295"/>
      <c r="BP49" s="292"/>
      <c r="BQ49" s="294"/>
      <c r="BR49" s="292"/>
      <c r="BS49" s="292"/>
      <c r="BT49" s="292"/>
      <c r="BU49" s="295"/>
      <c r="BV49" s="97"/>
      <c r="BW49" s="294"/>
      <c r="BX49" s="292"/>
      <c r="BY49" s="292"/>
      <c r="BZ49" s="292"/>
      <c r="CA49" s="295"/>
      <c r="CB49" s="97"/>
      <c r="CC49" s="294"/>
      <c r="CD49" s="292"/>
      <c r="CE49" s="292"/>
      <c r="CF49" s="292"/>
      <c r="CG49" s="295"/>
      <c r="CH49" s="97"/>
      <c r="CI49" s="294"/>
      <c r="CJ49" s="292"/>
      <c r="CK49" s="292"/>
      <c r="CL49" s="292"/>
      <c r="CM49" s="295"/>
    </row>
    <row r="50" spans="1:91" s="15" customFormat="1" ht="12.75" customHeight="1">
      <c r="A50" s="296" t="s">
        <v>62</v>
      </c>
      <c r="B50" s="297"/>
      <c r="C50" s="297"/>
      <c r="D50" s="297"/>
      <c r="E50" s="297"/>
      <c r="F50" s="297"/>
      <c r="G50" s="298"/>
      <c r="H50" s="299"/>
      <c r="I50" s="299"/>
      <c r="J50" s="299"/>
      <c r="K50" s="299"/>
      <c r="L50" s="299"/>
      <c r="M50" s="300"/>
      <c r="N50" s="299"/>
      <c r="O50" s="301"/>
      <c r="P50" s="302"/>
      <c r="Q50" s="302"/>
      <c r="R50" s="303"/>
      <c r="S50" s="300"/>
      <c r="T50" s="299"/>
      <c r="U50" s="301"/>
      <c r="V50" s="302"/>
      <c r="W50" s="302"/>
      <c r="X50" s="303"/>
      <c r="Y50" s="300">
        <f>BS!S10</f>
        <v>630.25700000000006</v>
      </c>
      <c r="Z50" s="299"/>
      <c r="AA50" s="301">
        <f>BS!Y10</f>
        <v>946.4190000000001</v>
      </c>
      <c r="AB50" s="302">
        <f>BS!AA10</f>
        <v>1039.049</v>
      </c>
      <c r="AC50" s="302">
        <f>BS!AB10</f>
        <v>1121.6770000000001</v>
      </c>
      <c r="AD50" s="303">
        <f>BS!AC10</f>
        <v>1194.2170000000001</v>
      </c>
      <c r="AE50" s="300">
        <f>AA50</f>
        <v>946.4190000000001</v>
      </c>
      <c r="AF50" s="299"/>
      <c r="AG50" s="301">
        <f>BS!AE10</f>
        <v>1281.3510000000001</v>
      </c>
      <c r="AH50" s="302">
        <f>BS!AG10</f>
        <v>1353.5529999999999</v>
      </c>
      <c r="AI50" s="302">
        <f>BS!AH10</f>
        <v>1392.1369999999999</v>
      </c>
      <c r="AJ50" s="303">
        <f>BS!AI10</f>
        <v>1448.4409999999998</v>
      </c>
      <c r="AK50" s="300">
        <f>AG50</f>
        <v>1281.3510000000001</v>
      </c>
      <c r="AL50" s="299"/>
      <c r="AM50" s="301">
        <f>BS!AK10</f>
        <v>1539.0250000000001</v>
      </c>
      <c r="AN50" s="302">
        <f>BS!AM10</f>
        <v>1589.854</v>
      </c>
      <c r="AO50" s="302">
        <f>BS!AN10</f>
        <v>1649.722</v>
      </c>
      <c r="AP50" s="303">
        <f>BS!AO10</f>
        <v>1699.107</v>
      </c>
      <c r="AQ50" s="300">
        <f>AM50</f>
        <v>1539.0250000000001</v>
      </c>
      <c r="AR50" s="299"/>
      <c r="AS50" s="301">
        <f>BS!AQ10</f>
        <v>1803.67</v>
      </c>
      <c r="AT50" s="302">
        <f>BS!AS10</f>
        <v>1853.1950000000002</v>
      </c>
      <c r="AU50" s="302">
        <f>BS!AT10</f>
        <v>1917.56</v>
      </c>
      <c r="AV50" s="303">
        <f>BS!AU10</f>
        <v>1946.357</v>
      </c>
      <c r="AW50" s="300">
        <f>AS50</f>
        <v>1803.67</v>
      </c>
      <c r="AX50" s="299"/>
      <c r="AY50" s="1896">
        <f>BS!AW10</f>
        <v>2055.3879999999999</v>
      </c>
      <c r="AZ50" s="1897">
        <f>BS!AY10</f>
        <v>2109.0450000000001</v>
      </c>
      <c r="BA50" s="1897">
        <f>BS!AZ10</f>
        <v>2208.893</v>
      </c>
      <c r="BB50" s="1898">
        <f>BS!BA10</f>
        <v>2310.7339999999999</v>
      </c>
      <c r="BC50" s="1899">
        <f>AY50</f>
        <v>2055.3879999999999</v>
      </c>
      <c r="BD50" s="297"/>
      <c r="BE50" s="1896">
        <f>BS!BC10</f>
        <v>2399.2629999999999</v>
      </c>
      <c r="BF50" s="1897">
        <f>BS!BE10</f>
        <v>2505.1680000000001</v>
      </c>
      <c r="BG50" s="1897">
        <f>BS!BF10</f>
        <v>2599.7860000000001</v>
      </c>
      <c r="BH50" s="1898">
        <f>BS!BG10</f>
        <v>2713.0149999999999</v>
      </c>
      <c r="BI50" s="1899">
        <f>BE50</f>
        <v>2399.2629999999999</v>
      </c>
      <c r="BJ50" s="297"/>
      <c r="BK50" s="1896">
        <f>BS!BI10</f>
        <v>2813.0319999999997</v>
      </c>
      <c r="BL50" s="1897">
        <f>BS!BK10</f>
        <v>2966.4629999999997</v>
      </c>
      <c r="BM50" s="1897">
        <f>BS!BL10</f>
        <v>3125.9459999999999</v>
      </c>
      <c r="BN50" s="1898">
        <f>BS!BM10</f>
        <v>3254.9570000000003</v>
      </c>
      <c r="BO50" s="1899">
        <f>BK50</f>
        <v>2813.0319999999997</v>
      </c>
      <c r="BP50" s="297"/>
      <c r="BQ50" s="1896">
        <f>BS!BO10</f>
        <v>3393.701</v>
      </c>
      <c r="BR50" s="1897">
        <f>BS!BQ10</f>
        <v>3195.9808295283719</v>
      </c>
      <c r="BS50" s="1897">
        <f>BS!BR10</f>
        <v>3212.197653067914</v>
      </c>
      <c r="BT50" s="1898">
        <f>BS!BS10</f>
        <v>3234.7284707096856</v>
      </c>
      <c r="BU50" s="1899">
        <f>BQ50</f>
        <v>3393.701</v>
      </c>
      <c r="BV50" s="97"/>
      <c r="BW50" s="1896">
        <f>BS!BU10</f>
        <v>3307.2191339707474</v>
      </c>
      <c r="BX50" s="1897">
        <f>BS!BW10</f>
        <v>3085.3509652192438</v>
      </c>
      <c r="BY50" s="1897">
        <f>BS!BX10</f>
        <v>3098.0151444883968</v>
      </c>
      <c r="BZ50" s="1898">
        <f>BS!BY10</f>
        <v>3115.857974900006</v>
      </c>
      <c r="CA50" s="1899">
        <f>BW50</f>
        <v>3307.2191339707474</v>
      </c>
      <c r="CB50" s="97"/>
      <c r="CC50" s="1896">
        <f>BS!CA10</f>
        <v>3182.0935602388281</v>
      </c>
      <c r="CD50" s="1897">
        <f>BS!CC10</f>
        <v>3076.462407155273</v>
      </c>
      <c r="CE50" s="1897">
        <f>BS!CD10</f>
        <v>3165.5846732092446</v>
      </c>
      <c r="CF50" s="1898">
        <f>BS!CE10</f>
        <v>3257.602136068836</v>
      </c>
      <c r="CG50" s="1899">
        <f>CC50</f>
        <v>3182.0935602388281</v>
      </c>
      <c r="CH50" s="97"/>
      <c r="CI50" s="1896">
        <f>BS!CG10</f>
        <v>3404.2484170482658</v>
      </c>
      <c r="CJ50" s="1897">
        <f>BS!CI10</f>
        <v>3380.4804670835438</v>
      </c>
      <c r="CK50" s="1897">
        <f>BS!CJ10</f>
        <v>3434.2104740883124</v>
      </c>
      <c r="CL50" s="1898">
        <f>BS!CK10</f>
        <v>3483.4240647027382</v>
      </c>
      <c r="CM50" s="1899">
        <f>CI50</f>
        <v>3404.2484170482658</v>
      </c>
    </row>
    <row r="51" spans="1:91" s="15" customFormat="1" ht="12.75" customHeight="1">
      <c r="A51" s="304" t="s">
        <v>63</v>
      </c>
      <c r="B51" s="149"/>
      <c r="C51" s="149"/>
      <c r="D51" s="149"/>
      <c r="E51" s="149"/>
      <c r="F51" s="149"/>
      <c r="G51" s="305"/>
      <c r="H51" s="23"/>
      <c r="I51" s="23"/>
      <c r="J51" s="23"/>
      <c r="K51" s="23"/>
      <c r="L51" s="23"/>
      <c r="M51" s="305"/>
      <c r="N51" s="23"/>
      <c r="O51" s="306"/>
      <c r="P51" s="307"/>
      <c r="Q51" s="307"/>
      <c r="R51" s="308"/>
      <c r="S51" s="309"/>
      <c r="T51" s="23"/>
      <c r="U51" s="306"/>
      <c r="V51" s="307"/>
      <c r="W51" s="307"/>
      <c r="X51" s="308"/>
      <c r="Y51" s="309">
        <f>Y50*Y52</f>
        <v>3.1512850000000006</v>
      </c>
      <c r="Z51" s="23"/>
      <c r="AA51" s="311">
        <f>AA50*AA52/4</f>
        <v>1.18302375</v>
      </c>
      <c r="AB51" s="312">
        <f>AB50*AB52/4</f>
        <v>1.29881125</v>
      </c>
      <c r="AC51" s="312">
        <f>AC50*AC52/4</f>
        <v>1.4020962500000003</v>
      </c>
      <c r="AD51" s="310">
        <f>AD50*AD52/4</f>
        <v>1.4927712500000001</v>
      </c>
      <c r="AE51" s="309">
        <f>SUM(AA51:AD51)</f>
        <v>5.3767025000000004</v>
      </c>
      <c r="AF51" s="23"/>
      <c r="AG51" s="311">
        <f>AG50*AG52/4</f>
        <v>1.6016887500000001</v>
      </c>
      <c r="AH51" s="312">
        <f>AH50*AH52/4</f>
        <v>1.69194125</v>
      </c>
      <c r="AI51" s="312">
        <f>AI50*AI52/4</f>
        <v>1.7401712499999999</v>
      </c>
      <c r="AJ51" s="310">
        <f>AJ50*AJ52/4</f>
        <v>1.8105512499999998</v>
      </c>
      <c r="AK51" s="309">
        <f>SUM(AG51:AJ51)</f>
        <v>6.8443524999999994</v>
      </c>
      <c r="AL51" s="23"/>
      <c r="AM51" s="311">
        <f>AM50*AM52/4</f>
        <v>1.1542687500000002</v>
      </c>
      <c r="AN51" s="312">
        <f>AN50*AN52/4</f>
        <v>1.1923905000000001</v>
      </c>
      <c r="AO51" s="312">
        <f>AO50*AO52/4</f>
        <v>1.2372915</v>
      </c>
      <c r="AP51" s="310">
        <f>AP50*AP52/4</f>
        <v>1.27433025</v>
      </c>
      <c r="AQ51" s="309">
        <f>SUM(AM51:AP51)</f>
        <v>4.8582809999999998</v>
      </c>
      <c r="AR51" s="23"/>
      <c r="AS51" s="311">
        <f>AS50*AS52/4</f>
        <v>2.2545875</v>
      </c>
      <c r="AT51" s="312">
        <f>AT50*AT52/4</f>
        <v>2.3164937500000002</v>
      </c>
      <c r="AU51" s="312">
        <f>AU50*AU52/4</f>
        <v>2.3969499999999999</v>
      </c>
      <c r="AV51" s="310">
        <f>AV50*AV52/4</f>
        <v>2.4329462500000001</v>
      </c>
      <c r="AW51" s="309">
        <f>SUM(AS51:AV51)</f>
        <v>9.4009775000000015</v>
      </c>
      <c r="AX51" s="23"/>
      <c r="AY51" s="1900">
        <v>2.34</v>
      </c>
      <c r="AZ51" s="1901">
        <v>2.5</v>
      </c>
      <c r="BA51" s="1901">
        <v>2.7360000000000002</v>
      </c>
      <c r="BB51" s="1902">
        <v>3.1349999999999998</v>
      </c>
      <c r="BC51" s="63">
        <f>SUM(AY51:BB51)</f>
        <v>10.711</v>
      </c>
      <c r="BD51" s="149"/>
      <c r="BE51" s="1900">
        <v>4.0869999999999997</v>
      </c>
      <c r="BF51" s="1901">
        <v>4.827</v>
      </c>
      <c r="BG51" s="1901">
        <v>5.4260000000000002</v>
      </c>
      <c r="BH51" s="1902">
        <v>6.3460000000000001</v>
      </c>
      <c r="BI51" s="63">
        <f>SUM(BE51:BH51)</f>
        <v>20.686</v>
      </c>
      <c r="BJ51" s="149"/>
      <c r="BK51" s="1900">
        <v>7.343</v>
      </c>
      <c r="BL51" s="1901">
        <v>8.3699999999999992</v>
      </c>
      <c r="BM51" s="1901">
        <v>9.516</v>
      </c>
      <c r="BN51" s="1902">
        <v>10.849</v>
      </c>
      <c r="BO51" s="63">
        <f>SUM(BK51:BN51)</f>
        <v>36.078000000000003</v>
      </c>
      <c r="BP51" s="149"/>
      <c r="BQ51" s="61">
        <f>BQ50*BQ52/4</f>
        <v>12.72637875</v>
      </c>
      <c r="BR51" s="60">
        <f>BR50*BR52/4</f>
        <v>11.984928110731394</v>
      </c>
      <c r="BS51" s="60">
        <f>BS50*BS52/4</f>
        <v>12.045741199004677</v>
      </c>
      <c r="BT51" s="1903">
        <f>BT50*BT52/4</f>
        <v>12.130231765161321</v>
      </c>
      <c r="BU51" s="63">
        <f>SUM(BQ51:BT51)</f>
        <v>48.887279824897391</v>
      </c>
      <c r="BV51" s="97"/>
      <c r="BW51" s="61">
        <f>BW50*BW52/4</f>
        <v>12.402071752390302</v>
      </c>
      <c r="BX51" s="60">
        <f>BX50*BX52/4</f>
        <v>11.570066119572164</v>
      </c>
      <c r="BY51" s="60">
        <f>BY50*BY52/4</f>
        <v>11.617556791831488</v>
      </c>
      <c r="BZ51" s="1903">
        <f>BZ50*BZ52/4</f>
        <v>11.684467405875022</v>
      </c>
      <c r="CA51" s="63">
        <f>SUM(BW51:BZ51)</f>
        <v>47.274162069668975</v>
      </c>
      <c r="CB51" s="97"/>
      <c r="CC51" s="61">
        <f>CC50*CC52/4</f>
        <v>11.932850850895605</v>
      </c>
      <c r="CD51" s="60">
        <f>CD50*CD52/4</f>
        <v>85.785970968752807</v>
      </c>
      <c r="CE51" s="60">
        <f>CE50*CE52/4</f>
        <v>88.271111079873165</v>
      </c>
      <c r="CF51" s="1903">
        <f>CF50*CF52/4</f>
        <v>90.836982640381009</v>
      </c>
      <c r="CG51" s="63">
        <f>SUM(CC51:CF51)</f>
        <v>276.82691553990259</v>
      </c>
      <c r="CH51" s="97"/>
      <c r="CI51" s="61">
        <f>CI50*CI52/4</f>
        <v>94.926157783076647</v>
      </c>
      <c r="CJ51" s="60">
        <f>CJ50*CJ52/4</f>
        <v>12.676801751563289</v>
      </c>
      <c r="CK51" s="60">
        <f>CK50*CK52/4</f>
        <v>12.87828927783117</v>
      </c>
      <c r="CL51" s="1903">
        <f>CL50*CL52/4</f>
        <v>13.062840242635268</v>
      </c>
      <c r="CM51" s="63">
        <f>SUM(CI51:CL51)</f>
        <v>133.54408905510638</v>
      </c>
    </row>
    <row r="52" spans="1:91" s="15" customFormat="1" ht="12.75" customHeight="1">
      <c r="A52" s="313" t="s">
        <v>64</v>
      </c>
      <c r="B52" s="314"/>
      <c r="C52" s="314"/>
      <c r="D52" s="314"/>
      <c r="E52" s="314"/>
      <c r="F52" s="314"/>
      <c r="G52" s="315"/>
      <c r="H52" s="316"/>
      <c r="I52" s="316"/>
      <c r="J52" s="316"/>
      <c r="K52" s="316"/>
      <c r="L52" s="316"/>
      <c r="M52" s="315"/>
      <c r="N52" s="316"/>
      <c r="O52" s="317"/>
      <c r="P52" s="318"/>
      <c r="Q52" s="318"/>
      <c r="R52" s="319"/>
      <c r="S52" s="320"/>
      <c r="T52" s="316"/>
      <c r="U52" s="317"/>
      <c r="V52" s="318"/>
      <c r="W52" s="318"/>
      <c r="X52" s="321"/>
      <c r="Y52" s="334">
        <v>5.0000000000000001E-3</v>
      </c>
      <c r="Z52" s="335"/>
      <c r="AA52" s="336">
        <v>5.0000000000000001E-3</v>
      </c>
      <c r="AB52" s="337">
        <v>5.0000000000000001E-3</v>
      </c>
      <c r="AC52" s="337">
        <v>5.0000000000000001E-3</v>
      </c>
      <c r="AD52" s="338">
        <v>5.0000000000000001E-3</v>
      </c>
      <c r="AE52" s="320">
        <f>AE51/AE50</f>
        <v>5.681101605103025E-3</v>
      </c>
      <c r="AF52" s="316"/>
      <c r="AG52" s="336">
        <v>5.0000000000000001E-3</v>
      </c>
      <c r="AH52" s="337">
        <v>5.0000000000000001E-3</v>
      </c>
      <c r="AI52" s="337">
        <v>5.0000000000000001E-3</v>
      </c>
      <c r="AJ52" s="338">
        <v>5.0000000000000001E-3</v>
      </c>
      <c r="AK52" s="320">
        <f>AK51/AK50</f>
        <v>5.3415125910074588E-3</v>
      </c>
      <c r="AL52" s="316"/>
      <c r="AM52" s="336">
        <v>3.0000000000000001E-3</v>
      </c>
      <c r="AN52" s="337">
        <v>3.0000000000000001E-3</v>
      </c>
      <c r="AO52" s="337">
        <v>3.0000000000000001E-3</v>
      </c>
      <c r="AP52" s="338">
        <v>3.0000000000000001E-3</v>
      </c>
      <c r="AQ52" s="320">
        <f>AQ51/AQ50</f>
        <v>3.1567264989197704E-3</v>
      </c>
      <c r="AR52" s="316"/>
      <c r="AS52" s="336">
        <v>5.0000000000000001E-3</v>
      </c>
      <c r="AT52" s="337">
        <v>5.0000000000000001E-3</v>
      </c>
      <c r="AU52" s="337">
        <v>5.0000000000000001E-3</v>
      </c>
      <c r="AV52" s="338">
        <v>5.0000000000000001E-3</v>
      </c>
      <c r="AW52" s="320">
        <f>AW51/AW50</f>
        <v>5.212138306896495E-3</v>
      </c>
      <c r="AX52" s="316"/>
      <c r="AY52" s="1428">
        <f>(AY51/AY50)*4</f>
        <v>4.5538847166569033E-3</v>
      </c>
      <c r="AZ52" s="1527">
        <f>(AZ51/AZ50)*4</f>
        <v>4.7414825193393215E-3</v>
      </c>
      <c r="BA52" s="1527">
        <f>(BA51/BA50)*4</f>
        <v>4.9545179417925635E-3</v>
      </c>
      <c r="BB52" s="1904">
        <f>(BB51/BB50)*4</f>
        <v>5.4268470537932965E-3</v>
      </c>
      <c r="BC52" s="1198">
        <f>BC51/BC50</f>
        <v>5.2111815384735145E-3</v>
      </c>
      <c r="BD52" s="314"/>
      <c r="BE52" s="1428">
        <f>(BE51/BE50)*4</f>
        <v>6.8137590585108845E-3</v>
      </c>
      <c r="BF52" s="1527">
        <f>(BF51/BF50)*4</f>
        <v>7.7072675365484466E-3</v>
      </c>
      <c r="BG52" s="1527">
        <f>(BG51/BG50)*4</f>
        <v>8.3483794435388146E-3</v>
      </c>
      <c r="BH52" s="1904">
        <f>(BH51/BH50)*4</f>
        <v>9.3563802632864179E-3</v>
      </c>
      <c r="BI52" s="1198">
        <f>BI51/BI50</f>
        <v>8.6218142821358063E-3</v>
      </c>
      <c r="BJ52" s="314"/>
      <c r="BK52" s="1428">
        <f>(BK51/BK50)*4</f>
        <v>1.0441402728443901E-2</v>
      </c>
      <c r="BL52" s="1527">
        <f>(BL51/BL50)*4</f>
        <v>1.1286168072886802E-2</v>
      </c>
      <c r="BM52" s="1527">
        <f>(BM51/BM50)*4</f>
        <v>1.2176793840968462E-2</v>
      </c>
      <c r="BN52" s="1904">
        <f>(BN51/BN50)*4</f>
        <v>1.3332280580050673E-2</v>
      </c>
      <c r="BO52" s="1198">
        <f>BO51/BO50</f>
        <v>1.2825307355195393E-2</v>
      </c>
      <c r="BP52" s="314"/>
      <c r="BQ52" s="1905">
        <v>1.4999999999999999E-2</v>
      </c>
      <c r="BR52" s="1906">
        <v>1.4999999999999999E-2</v>
      </c>
      <c r="BS52" s="1906">
        <v>1.4999999999999999E-2</v>
      </c>
      <c r="BT52" s="1907">
        <v>1.4999999999999999E-2</v>
      </c>
      <c r="BU52" s="1198">
        <f>BU51/BU50</f>
        <v>1.4405299649231736E-2</v>
      </c>
      <c r="BV52" s="97"/>
      <c r="BW52" s="1905">
        <v>1.4999999999999999E-2</v>
      </c>
      <c r="BX52" s="1906">
        <v>1.4999999999999999E-2</v>
      </c>
      <c r="BY52" s="1906">
        <v>1.4999999999999999E-2</v>
      </c>
      <c r="BZ52" s="1907">
        <v>1.4999999999999999E-2</v>
      </c>
      <c r="CA52" s="1198">
        <f>CA51/CA50</f>
        <v>1.4294233358800808E-2</v>
      </c>
      <c r="CB52" s="97"/>
      <c r="CC52" s="1905">
        <v>1.4999999999999999E-2</v>
      </c>
      <c r="CD52" s="1906">
        <v>0.11153846153846154</v>
      </c>
      <c r="CE52" s="1906">
        <v>0.11153846153846154</v>
      </c>
      <c r="CF52" s="1907">
        <v>0.11153846153846154</v>
      </c>
      <c r="CG52" s="1198">
        <f>CG51/CG50</f>
        <v>8.6995215665225653E-2</v>
      </c>
      <c r="CH52" s="97"/>
      <c r="CI52" s="1905">
        <v>0.11153846153846154</v>
      </c>
      <c r="CJ52" s="1906">
        <v>1.4999999999999999E-2</v>
      </c>
      <c r="CK52" s="1906">
        <v>1.4999999999999999E-2</v>
      </c>
      <c r="CL52" s="1907">
        <v>1.4999999999999999E-2</v>
      </c>
      <c r="CM52" s="1198">
        <f>CM51/CM50</f>
        <v>3.9228655695725916E-2</v>
      </c>
    </row>
    <row r="53" spans="1:91">
      <c r="A53" s="24"/>
      <c r="B53" s="24"/>
      <c r="C53" s="24"/>
      <c r="D53" s="24"/>
      <c r="E53" s="24"/>
      <c r="F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</row>
    <row r="54" spans="1:91" s="15" customFormat="1" ht="12.75" customHeight="1">
      <c r="A54" s="1881" t="s">
        <v>544</v>
      </c>
      <c r="B54" s="1882"/>
      <c r="C54" s="1882"/>
      <c r="D54" s="1883"/>
      <c r="E54" s="1883"/>
      <c r="F54" s="1883"/>
      <c r="G54" s="1884"/>
      <c r="H54" s="1883"/>
      <c r="I54" s="1883"/>
      <c r="J54" s="1883"/>
      <c r="K54" s="1883"/>
      <c r="L54" s="1883"/>
      <c r="M54" s="1884"/>
      <c r="N54" s="1883"/>
      <c r="O54" s="1885"/>
      <c r="P54" s="1886"/>
      <c r="Q54" s="1886"/>
      <c r="R54" s="1886"/>
      <c r="S54" s="1887"/>
      <c r="T54" s="1883"/>
      <c r="U54" s="1885"/>
      <c r="V54" s="1886"/>
      <c r="W54" s="1886"/>
      <c r="X54" s="1886"/>
      <c r="Y54" s="1887"/>
      <c r="Z54" s="1883"/>
      <c r="AA54" s="1888">
        <f>+IS!AA28</f>
        <v>-3.37</v>
      </c>
      <c r="AB54" s="1889">
        <f>+IS!AB28</f>
        <v>-4.2389999999999999</v>
      </c>
      <c r="AC54" s="1889">
        <f>+IS!AC28</f>
        <v>-5.5459999999999994</v>
      </c>
      <c r="AD54" s="1889">
        <f>+IS!AD28</f>
        <v>-6.1929999999999996</v>
      </c>
      <c r="AE54" s="1887">
        <f>SUM(AA54:AD54)</f>
        <v>-19.347999999999999</v>
      </c>
      <c r="AF54" s="1883"/>
      <c r="AG54" s="1888">
        <f>+IS!AG28</f>
        <v>-5.7220000000000004</v>
      </c>
      <c r="AH54" s="1889">
        <f>+IS!AH28</f>
        <v>-5.8470000000000004</v>
      </c>
      <c r="AI54" s="1889">
        <f>+IS!AI28</f>
        <v>-5.923</v>
      </c>
      <c r="AJ54" s="1889">
        <f>+IS!AJ28</f>
        <v>-6.3730000000000002</v>
      </c>
      <c r="AK54" s="1887">
        <f>SUM(AG54:AJ54)</f>
        <v>-23.865000000000002</v>
      </c>
      <c r="AL54" s="1883"/>
      <c r="AM54" s="1888">
        <f>+IS!AM28</f>
        <v>-5.9980000000000002</v>
      </c>
      <c r="AN54" s="1889">
        <f>+IS!AN28</f>
        <v>-7.976</v>
      </c>
      <c r="AO54" s="1889">
        <f>+IS!AO28</f>
        <v>-6.4119999999999999</v>
      </c>
      <c r="AP54" s="1889">
        <f>+IS!AP28</f>
        <v>-6.8520000000000003</v>
      </c>
      <c r="AQ54" s="1887">
        <f>SUM(AM54:AP54)</f>
        <v>-27.238</v>
      </c>
      <c r="AR54" s="1883"/>
      <c r="AS54" s="1888">
        <f>+IS!AS28</f>
        <v>-6.0309999999999997</v>
      </c>
      <c r="AT54" s="1889">
        <f>+IS!AT28</f>
        <v>-6.2709999999999999</v>
      </c>
      <c r="AU54" s="1889">
        <f>+IS!AU28</f>
        <v>-7.3</v>
      </c>
      <c r="AV54" s="1889">
        <f>+IS!AV28</f>
        <v>-7.5659999999999998</v>
      </c>
      <c r="AW54" s="1887">
        <f>SUM(AS54:AV54)</f>
        <v>-27.167999999999999</v>
      </c>
      <c r="AX54" s="1883"/>
      <c r="AY54" s="1888">
        <f>+IS!AY28</f>
        <v>-6.6349999999999998</v>
      </c>
      <c r="AZ54" s="1889">
        <f>+IS!AZ28</f>
        <v>-6.5460000000000003</v>
      </c>
      <c r="BA54" s="1889">
        <f>+IS!BA28</f>
        <v>-6.2809999999999997</v>
      </c>
      <c r="BB54" s="1889">
        <f>+IS!BB28</f>
        <v>-6.07</v>
      </c>
      <c r="BC54" s="1887">
        <f>SUM(AY54:BB54)</f>
        <v>-25.532</v>
      </c>
      <c r="BD54" s="1883"/>
      <c r="BE54" s="1888">
        <f>+IS!BE28</f>
        <v>-6.032</v>
      </c>
      <c r="BF54" s="1889">
        <f>+IS!BF28</f>
        <v>-6.1559999999999997</v>
      </c>
      <c r="BG54" s="1889">
        <f>+IS!BG28</f>
        <v>-6.2809999999999997</v>
      </c>
      <c r="BH54" s="1889">
        <f>+IS!BH28</f>
        <v>-5.7560000000000002</v>
      </c>
      <c r="BI54" s="1887">
        <f>SUM(BE54:BH54)</f>
        <v>-24.224999999999998</v>
      </c>
      <c r="BJ54" s="1883"/>
      <c r="BK54" s="1888">
        <f>+IS!BK28</f>
        <v>-5.3819999999999997</v>
      </c>
      <c r="BL54" s="1889">
        <f>+IS!BL28</f>
        <v>-5.7130000000000001</v>
      </c>
      <c r="BM54" s="1889">
        <f>+IS!BM28</f>
        <v>-5.234</v>
      </c>
      <c r="BN54" s="1889">
        <f>+IS!BN28</f>
        <v>-4.4320000000000004</v>
      </c>
      <c r="BO54" s="1887">
        <f>SUM(BK54:BN54)</f>
        <v>-20.761000000000003</v>
      </c>
      <c r="BP54" s="1883"/>
      <c r="BQ54" s="1885">
        <f>BQ47+BQ51</f>
        <v>-1.4110137999999992</v>
      </c>
      <c r="BR54" s="1886">
        <f>BR47+BR51</f>
        <v>-2.1524644392686056</v>
      </c>
      <c r="BS54" s="1886">
        <f>BS47+BS51</f>
        <v>-2.0916513509953223</v>
      </c>
      <c r="BT54" s="1886">
        <f>BT47+BT51</f>
        <v>-2.0071607848386783</v>
      </c>
      <c r="BU54" s="1887">
        <f>SUM(BQ54:BT54)</f>
        <v>-7.6622903751026055</v>
      </c>
      <c r="BV54" s="1065"/>
      <c r="BW54" s="1885">
        <f>BW47+BW51</f>
        <v>-0.99032079760969793</v>
      </c>
      <c r="BX54" s="1886">
        <f>BX47+BX51</f>
        <v>-1.8223264304278359</v>
      </c>
      <c r="BY54" s="1886">
        <f>BY47+BY51</f>
        <v>-1.7748357581685124</v>
      </c>
      <c r="BZ54" s="1886">
        <f>BZ47+BZ51</f>
        <v>-1.7079251441249781</v>
      </c>
      <c r="CA54" s="1887">
        <f>SUM(BW54:BZ54)</f>
        <v>-6.2954081303310243</v>
      </c>
      <c r="CB54" s="1065"/>
      <c r="CC54" s="1885">
        <f>CC47+CC51</f>
        <v>-1.4595416991043955</v>
      </c>
      <c r="CD54" s="1886">
        <f>CD47+CD51</f>
        <v>72.39357841875281</v>
      </c>
      <c r="CE54" s="1886">
        <f>CE47+CE51</f>
        <v>74.878718529873169</v>
      </c>
      <c r="CF54" s="1886">
        <f>CF47+CF51</f>
        <v>77.444590090381013</v>
      </c>
      <c r="CG54" s="1887">
        <f>SUM(CC54:CF54)</f>
        <v>223.2573453399026</v>
      </c>
      <c r="CH54" s="1065"/>
      <c r="CI54" s="1885">
        <f>CI47+CI51</f>
        <v>81.53376523307665</v>
      </c>
      <c r="CJ54" s="1886">
        <f>CJ47+CJ51</f>
        <v>-0.71559079843671114</v>
      </c>
      <c r="CK54" s="1886">
        <f>CK47+CK51</f>
        <v>-0.51410327216883012</v>
      </c>
      <c r="CL54" s="1886">
        <f>CL47+CL51</f>
        <v>-0.3295523073647324</v>
      </c>
      <c r="CM54" s="1887">
        <f>SUM(CI54:CL54)</f>
        <v>79.974518855106382</v>
      </c>
    </row>
    <row r="55" spans="1:91" s="15" customFormat="1" ht="12.75" customHeight="1">
      <c r="A55" s="97"/>
      <c r="B55" s="97"/>
      <c r="C55" s="97"/>
      <c r="D55" s="97"/>
      <c r="E55" s="97"/>
      <c r="F55" s="97"/>
      <c r="BH55" s="1851"/>
      <c r="BK55" s="1851"/>
    </row>
    <row r="56" spans="1:91" ht="14.25" customHeight="1" outlineLevel="1">
      <c r="A56" s="4" t="s">
        <v>234</v>
      </c>
      <c r="B56" s="131"/>
      <c r="C56" s="131"/>
      <c r="D56" s="131"/>
      <c r="E56" s="131"/>
      <c r="F56" s="6"/>
      <c r="G56" s="5"/>
      <c r="H56" s="6"/>
      <c r="I56" s="6"/>
      <c r="J56" s="6"/>
      <c r="K56" s="6"/>
      <c r="L56" s="6"/>
      <c r="M56" s="5"/>
      <c r="N56" s="6"/>
      <c r="O56" s="6"/>
      <c r="P56" s="6"/>
      <c r="Q56" s="6"/>
      <c r="R56" s="6"/>
      <c r="S56" s="5"/>
      <c r="T56" s="6"/>
      <c r="U56" s="79"/>
      <c r="V56" s="6"/>
      <c r="W56" s="6"/>
      <c r="X56" s="6"/>
      <c r="Y56" s="5"/>
      <c r="Z56" s="6"/>
      <c r="AA56" s="6"/>
      <c r="AB56" s="6"/>
      <c r="AC56" s="6"/>
      <c r="AD56" s="6"/>
      <c r="AE56" s="5"/>
      <c r="AF56" s="6"/>
      <c r="AG56" s="6"/>
      <c r="AH56" s="6"/>
      <c r="AI56" s="6"/>
      <c r="AJ56" s="6"/>
      <c r="AK56" s="5"/>
      <c r="AL56" s="6"/>
      <c r="AM56" s="6"/>
      <c r="AN56" s="6"/>
      <c r="AO56" s="6"/>
      <c r="AP56" s="6"/>
      <c r="AQ56" s="5"/>
      <c r="AR56" s="6"/>
      <c r="AS56" s="6"/>
      <c r="AT56" s="6"/>
      <c r="AU56" s="6"/>
      <c r="AV56" s="6"/>
      <c r="AW56" s="5"/>
      <c r="AX56" s="6"/>
      <c r="AY56" s="6"/>
      <c r="AZ56" s="6"/>
      <c r="BA56" s="6"/>
      <c r="BB56" s="6"/>
      <c r="BC56" s="5"/>
      <c r="BD56" s="6"/>
      <c r="BE56" s="6"/>
      <c r="BF56" s="6"/>
      <c r="BG56" s="6"/>
      <c r="BH56" s="6"/>
      <c r="BI56" s="5"/>
      <c r="BJ56" s="6"/>
      <c r="BK56" s="6"/>
      <c r="BL56" s="6"/>
      <c r="BM56" s="6"/>
      <c r="BN56" s="6"/>
      <c r="BO56" s="5"/>
      <c r="BP56" s="6"/>
      <c r="BQ56" s="6"/>
      <c r="BR56" s="6"/>
      <c r="BS56" s="6"/>
      <c r="BT56" s="6"/>
      <c r="BU56" s="5"/>
      <c r="BW56" s="6"/>
      <c r="BX56" s="6"/>
      <c r="BY56" s="6"/>
      <c r="BZ56" s="6"/>
      <c r="CA56" s="5"/>
      <c r="CC56" s="6"/>
      <c r="CD56" s="6"/>
      <c r="CE56" s="6"/>
      <c r="CF56" s="6"/>
      <c r="CG56" s="5"/>
      <c r="CI56" s="6"/>
      <c r="CJ56" s="6"/>
      <c r="CK56" s="6"/>
      <c r="CL56" s="6"/>
      <c r="CM56" s="5"/>
    </row>
    <row r="57" spans="1:91" s="24" customFormat="1" outlineLevel="1">
      <c r="A57" s="148" t="s">
        <v>235</v>
      </c>
      <c r="B57" s="379"/>
      <c r="C57" s="379"/>
      <c r="D57" s="379"/>
      <c r="E57" s="379"/>
      <c r="F57" s="1719"/>
      <c r="G57" s="1720"/>
      <c r="H57" s="1721"/>
      <c r="I57" s="1719">
        <f>I61+I65</f>
        <v>929.3</v>
      </c>
      <c r="J57" s="1719">
        <f>J61+J65</f>
        <v>984.02</v>
      </c>
      <c r="K57" s="1719">
        <f>K61+K65</f>
        <v>1027.4880000000001</v>
      </c>
      <c r="L57" s="1719">
        <f>L61+L65</f>
        <v>536.12</v>
      </c>
      <c r="M57" s="1722"/>
      <c r="N57" s="1723"/>
      <c r="O57" s="1724">
        <f>O61+O65</f>
        <v>588</v>
      </c>
      <c r="P57" s="1724">
        <f>P61+P65</f>
        <v>631</v>
      </c>
      <c r="Q57" s="1724">
        <f>Q61+Q65</f>
        <v>645</v>
      </c>
      <c r="R57" s="1724">
        <f>R61+R65</f>
        <v>632</v>
      </c>
      <c r="S57" s="1720">
        <f>+R57</f>
        <v>632</v>
      </c>
      <c r="T57" s="1719"/>
      <c r="U57" s="1719">
        <f>U61+U69+U74</f>
        <v>620</v>
      </c>
      <c r="V57" s="1719">
        <f>V61+V69+V74</f>
        <v>620</v>
      </c>
      <c r="W57" s="1719">
        <f>W61+W69+W74</f>
        <v>620</v>
      </c>
      <c r="X57" s="1719">
        <f>X61+X69+X74</f>
        <v>620</v>
      </c>
      <c r="Y57" s="1720">
        <f>+X57</f>
        <v>620</v>
      </c>
      <c r="Z57" s="1719"/>
      <c r="AA57" s="1724">
        <f>AA61+AA69+AA74</f>
        <v>620</v>
      </c>
      <c r="AB57" s="1719">
        <f>AB61+AB69+AB74</f>
        <v>620</v>
      </c>
      <c r="AC57" s="1719">
        <f>AC61+AC69+AC74</f>
        <v>620</v>
      </c>
      <c r="AD57" s="1719">
        <f>AD61+AD69+AD74</f>
        <v>620</v>
      </c>
      <c r="AE57" s="1725">
        <f>AE61+AE69+AE74</f>
        <v>620</v>
      </c>
      <c r="AF57" s="1719"/>
      <c r="AG57" s="1724">
        <f>AG61+AG65</f>
        <v>456</v>
      </c>
      <c r="AH57" s="1719">
        <f>AH61+AH69+AH74</f>
        <v>620</v>
      </c>
      <c r="AI57" s="1719">
        <f>AI61+AI69+AI74</f>
        <v>620</v>
      </c>
      <c r="AJ57" s="1719">
        <f>AJ61+AJ69+AJ74</f>
        <v>620</v>
      </c>
      <c r="AK57" s="1725">
        <f>AK61+AK69+AK74</f>
        <v>620</v>
      </c>
      <c r="AL57" s="1719"/>
      <c r="AM57" s="1724">
        <f>AM61+AM65</f>
        <v>456</v>
      </c>
      <c r="AN57" s="1724">
        <f>AN61+AN65</f>
        <v>456</v>
      </c>
      <c r="AO57" s="1724">
        <f>AO61+AO65</f>
        <v>456</v>
      </c>
      <c r="AP57" s="1724">
        <f>AP61+AP65</f>
        <v>456</v>
      </c>
      <c r="AQ57" s="1725">
        <f>AQ61+AQ69+AQ74</f>
        <v>620</v>
      </c>
      <c r="AR57" s="1719"/>
      <c r="AS57" s="1724">
        <f>AS61+AS65</f>
        <v>456</v>
      </c>
      <c r="AT57" s="1724">
        <f>AT61+AT65</f>
        <v>456</v>
      </c>
      <c r="AU57" s="1724">
        <f>AU61+AU65</f>
        <v>456</v>
      </c>
      <c r="AV57" s="1724">
        <f>AV61+AV65</f>
        <v>456</v>
      </c>
      <c r="AW57" s="1725">
        <f>AW61+AW69+AW74</f>
        <v>620</v>
      </c>
      <c r="AX57" s="1719"/>
      <c r="AY57" s="1724">
        <f>AY61+AY65</f>
        <v>456</v>
      </c>
      <c r="AZ57" s="1724">
        <f>AZ61+AZ65</f>
        <v>456</v>
      </c>
      <c r="BA57" s="1724">
        <f>BA61+BA65</f>
        <v>456</v>
      </c>
      <c r="BB57" s="1724">
        <f>BB61+BB65</f>
        <v>456</v>
      </c>
      <c r="BC57" s="1725">
        <f>BC61+BC69+BC74</f>
        <v>620</v>
      </c>
      <c r="BD57" s="1719"/>
      <c r="BE57" s="1724">
        <f>BE61+BE65</f>
        <v>456</v>
      </c>
      <c r="BF57" s="1724">
        <f>BF61+BF65</f>
        <v>456</v>
      </c>
      <c r="BG57" s="1724">
        <f>BG61+BG65</f>
        <v>456</v>
      </c>
      <c r="BH57" s="1724">
        <f>BH61+BH65</f>
        <v>456</v>
      </c>
      <c r="BI57" s="1725">
        <f>BI61+BI69+BI74</f>
        <v>620</v>
      </c>
      <c r="BJ57" s="1719"/>
      <c r="BK57" s="1724">
        <f>BK61+BK65</f>
        <v>456</v>
      </c>
      <c r="BL57" s="1724">
        <f>BL61+BL65</f>
        <v>456</v>
      </c>
      <c r="BM57" s="1724">
        <f>BM61+BM65</f>
        <v>456</v>
      </c>
      <c r="BN57" s="1724">
        <f>BN61+BN65</f>
        <v>456</v>
      </c>
      <c r="BO57" s="1725">
        <f>BO61+BO69+BO74</f>
        <v>620</v>
      </c>
      <c r="BP57" s="1719"/>
      <c r="BQ57" s="1724">
        <f>BQ61+BQ65</f>
        <v>456</v>
      </c>
      <c r="BR57" s="1724">
        <f>BR61+BR65</f>
        <v>456</v>
      </c>
      <c r="BS57" s="1724">
        <f>BS61+BS65</f>
        <v>456</v>
      </c>
      <c r="BT57" s="1724">
        <f>BT61+BT65</f>
        <v>456</v>
      </c>
      <c r="BU57" s="1725">
        <f>BU61+BU69+BU74</f>
        <v>620</v>
      </c>
      <c r="BW57" s="1724">
        <f>BW61+BW65</f>
        <v>456</v>
      </c>
      <c r="BX57" s="1724">
        <f>BX61+BX65</f>
        <v>456</v>
      </c>
      <c r="BY57" s="1724">
        <f>BY61+BY65</f>
        <v>456</v>
      </c>
      <c r="BZ57" s="1724">
        <f>BZ61+BZ65</f>
        <v>456</v>
      </c>
      <c r="CA57" s="1725">
        <f>CA61+CA69+CA74</f>
        <v>620</v>
      </c>
      <c r="CC57" s="1724">
        <f>CC61+CC65</f>
        <v>456</v>
      </c>
      <c r="CD57" s="1724">
        <f>CD61+CD65</f>
        <v>456</v>
      </c>
      <c r="CE57" s="1724">
        <f>CE61+CE65</f>
        <v>456</v>
      </c>
      <c r="CF57" s="1724">
        <f>CF61+CF65</f>
        <v>456</v>
      </c>
      <c r="CG57" s="1725">
        <f>CG61+CG69+CG74</f>
        <v>620</v>
      </c>
      <c r="CI57" s="1724">
        <f>CI61+CI65</f>
        <v>456</v>
      </c>
      <c r="CJ57" s="1724">
        <f>CJ61+CJ65</f>
        <v>456</v>
      </c>
      <c r="CK57" s="1724">
        <f>CK61+CK65</f>
        <v>456</v>
      </c>
      <c r="CL57" s="1724">
        <f>CL61+CL65</f>
        <v>456</v>
      </c>
      <c r="CM57" s="1725">
        <f>CM61+CM69+CM74</f>
        <v>620</v>
      </c>
    </row>
    <row r="58" spans="1:91" s="24" customFormat="1" outlineLevel="1">
      <c r="A58" s="474" t="s">
        <v>236</v>
      </c>
      <c r="B58" s="1726"/>
      <c r="C58" s="1726"/>
      <c r="D58" s="1726"/>
      <c r="E58" s="1726"/>
      <c r="F58" s="1700"/>
      <c r="G58" s="1706"/>
      <c r="H58" s="346"/>
      <c r="I58" s="1700"/>
      <c r="J58" s="1700"/>
      <c r="K58" s="1700"/>
      <c r="L58" s="1700"/>
      <c r="M58" s="957"/>
      <c r="N58" s="955"/>
      <c r="O58" s="1703"/>
      <c r="P58" s="1703"/>
      <c r="Q58" s="1703"/>
      <c r="R58" s="1703"/>
      <c r="S58" s="1706"/>
      <c r="T58" s="1700"/>
      <c r="U58" s="1700">
        <f>+U62+U69+U74</f>
        <v>500</v>
      </c>
      <c r="V58" s="1700">
        <f>+V62+V69+V74</f>
        <v>500</v>
      </c>
      <c r="W58" s="1700">
        <f>+W62+W69+W74</f>
        <v>500</v>
      </c>
      <c r="X58" s="1700">
        <f>+X62+X69+X74</f>
        <v>500</v>
      </c>
      <c r="Y58" s="1706">
        <f>+X58</f>
        <v>500</v>
      </c>
      <c r="Z58" s="1700"/>
      <c r="AA58" s="1703">
        <f>+AA62+AA69+AA74</f>
        <v>500</v>
      </c>
      <c r="AB58" s="1700">
        <f>+AB62+AB69+AB74</f>
        <v>500</v>
      </c>
      <c r="AC58" s="1700">
        <f>+AC62+AC69+AC74</f>
        <v>500</v>
      </c>
      <c r="AD58" s="1700">
        <f>+AD62+AD69+AD74</f>
        <v>500</v>
      </c>
      <c r="AE58" s="1706">
        <f>+AD58</f>
        <v>500</v>
      </c>
      <c r="AF58" s="1700"/>
      <c r="AG58" s="1703"/>
      <c r="AH58" s="1700">
        <f>+AH62+AH69+AH74</f>
        <v>620</v>
      </c>
      <c r="AI58" s="1700">
        <f>+AI62+AI69+AI74</f>
        <v>620</v>
      </c>
      <c r="AJ58" s="1700">
        <f>+AJ62+AJ69+AJ74</f>
        <v>620</v>
      </c>
      <c r="AK58" s="1706">
        <f>+AJ58</f>
        <v>620</v>
      </c>
      <c r="AL58" s="1700"/>
      <c r="AM58" s="1703"/>
      <c r="AN58" s="1703"/>
      <c r="AO58" s="1703"/>
      <c r="AP58" s="1703"/>
      <c r="AQ58" s="1706">
        <f>+AQ62+AQ69+AQ74</f>
        <v>500</v>
      </c>
      <c r="AR58" s="1700"/>
      <c r="AS58" s="1703"/>
      <c r="AT58" s="1703"/>
      <c r="AU58" s="1703"/>
      <c r="AV58" s="1703"/>
      <c r="AW58" s="1706">
        <f>+AW62+AW69+AW74</f>
        <v>500</v>
      </c>
      <c r="AX58" s="1700"/>
      <c r="AY58" s="1703"/>
      <c r="AZ58" s="1703"/>
      <c r="BA58" s="1703"/>
      <c r="BB58" s="1703"/>
      <c r="BC58" s="1706">
        <f>+BC62+BC69+BC74</f>
        <v>500</v>
      </c>
      <c r="BD58" s="1700"/>
      <c r="BE58" s="1703"/>
      <c r="BF58" s="1703"/>
      <c r="BG58" s="1703"/>
      <c r="BH58" s="1703"/>
      <c r="BI58" s="1706">
        <f>+BI62+BI69+BI74</f>
        <v>500</v>
      </c>
      <c r="BJ58" s="1700"/>
      <c r="BK58" s="1703"/>
      <c r="BL58" s="1703"/>
      <c r="BM58" s="1703"/>
      <c r="BN58" s="1703"/>
      <c r="BO58" s="1706">
        <f>+BO62+BO69+BO74</f>
        <v>500</v>
      </c>
      <c r="BP58" s="1700"/>
      <c r="BQ58" s="1703"/>
      <c r="BR58" s="1703"/>
      <c r="BS58" s="1703"/>
      <c r="BT58" s="1703"/>
      <c r="BU58" s="1706">
        <f>+BU62+BU69+BU74</f>
        <v>500</v>
      </c>
      <c r="BW58" s="1703"/>
      <c r="BX58" s="1703"/>
      <c r="BY58" s="1703"/>
      <c r="BZ58" s="1703"/>
      <c r="CA58" s="1706">
        <f>+CA62+CA69+CA74</f>
        <v>500</v>
      </c>
      <c r="CC58" s="1703"/>
      <c r="CD58" s="1703"/>
      <c r="CE58" s="1703"/>
      <c r="CF58" s="1703"/>
      <c r="CG58" s="1706">
        <f>+CG62+CG69+CG74</f>
        <v>500</v>
      </c>
      <c r="CI58" s="1703"/>
      <c r="CJ58" s="1703"/>
      <c r="CK58" s="1703"/>
      <c r="CL58" s="1703"/>
      <c r="CM58" s="1706">
        <f>+CM62+CM69+CM74</f>
        <v>500</v>
      </c>
    </row>
    <row r="59" spans="1:91" s="24" customFormat="1" outlineLevel="1">
      <c r="A59" s="474" t="s">
        <v>237</v>
      </c>
      <c r="B59" s="1726"/>
      <c r="C59" s="1726"/>
      <c r="D59" s="1726"/>
      <c r="E59" s="1726"/>
      <c r="F59" s="1700"/>
      <c r="G59" s="1706"/>
      <c r="H59" s="346"/>
      <c r="I59" s="1700"/>
      <c r="J59" s="1700"/>
      <c r="K59" s="1700"/>
      <c r="L59" s="1700"/>
      <c r="M59" s="957"/>
      <c r="N59" s="955"/>
      <c r="O59" s="1703"/>
      <c r="P59" s="1703"/>
      <c r="Q59" s="1703"/>
      <c r="R59" s="1703"/>
      <c r="S59" s="1706"/>
      <c r="T59" s="1700"/>
      <c r="U59" s="1700">
        <f>+U57-U58</f>
        <v>120</v>
      </c>
      <c r="V59" s="1700">
        <f>+V57-V58</f>
        <v>120</v>
      </c>
      <c r="W59" s="1700">
        <f>+W57-W58</f>
        <v>120</v>
      </c>
      <c r="X59" s="1700">
        <f>+X57-X58</f>
        <v>120</v>
      </c>
      <c r="Y59" s="1706">
        <f>+X59</f>
        <v>120</v>
      </c>
      <c r="Z59" s="1700"/>
      <c r="AA59" s="1703">
        <f>+AA57-AA58</f>
        <v>120</v>
      </c>
      <c r="AB59" s="1700">
        <f>+AB57-AB58</f>
        <v>120</v>
      </c>
      <c r="AC59" s="1700">
        <f>+AC57-AC58</f>
        <v>120</v>
      </c>
      <c r="AD59" s="1700">
        <f>+AD57-AD58</f>
        <v>120</v>
      </c>
      <c r="AE59" s="1706">
        <f>+AD59</f>
        <v>120</v>
      </c>
      <c r="AF59" s="1700"/>
      <c r="AG59" s="1703"/>
      <c r="AH59" s="1700">
        <f>+AH57-AH58</f>
        <v>0</v>
      </c>
      <c r="AI59" s="1700">
        <f>+AI57-AI58</f>
        <v>0</v>
      </c>
      <c r="AJ59" s="1700">
        <f>+AJ57-AJ58</f>
        <v>0</v>
      </c>
      <c r="AK59" s="1706">
        <f>+AJ59</f>
        <v>0</v>
      </c>
      <c r="AL59" s="1700"/>
      <c r="AM59" s="1703"/>
      <c r="AN59" s="1703"/>
      <c r="AO59" s="1703"/>
      <c r="AP59" s="1703"/>
      <c r="AQ59" s="1706">
        <f>+AQ57-AQ58</f>
        <v>120</v>
      </c>
      <c r="AR59" s="1700"/>
      <c r="AS59" s="1703"/>
      <c r="AT59" s="1703"/>
      <c r="AU59" s="1703"/>
      <c r="AV59" s="1703"/>
      <c r="AW59" s="1706">
        <f>+AW57-AW58</f>
        <v>120</v>
      </c>
      <c r="AX59" s="1700"/>
      <c r="AY59" s="1703"/>
      <c r="AZ59" s="1703"/>
      <c r="BA59" s="1703"/>
      <c r="BB59" s="1703"/>
      <c r="BC59" s="1706">
        <f>+BC57-BC58</f>
        <v>120</v>
      </c>
      <c r="BD59" s="1700"/>
      <c r="BE59" s="1703"/>
      <c r="BF59" s="1703"/>
      <c r="BG59" s="1703"/>
      <c r="BH59" s="1703"/>
      <c r="BI59" s="1706">
        <f>+BI57-BI58</f>
        <v>120</v>
      </c>
      <c r="BJ59" s="1700"/>
      <c r="BK59" s="1703"/>
      <c r="BL59" s="1703"/>
      <c r="BM59" s="1703"/>
      <c r="BN59" s="1703"/>
      <c r="BO59" s="1706">
        <f>+BO57-BO58</f>
        <v>120</v>
      </c>
      <c r="BP59" s="1700"/>
      <c r="BQ59" s="1703"/>
      <c r="BR59" s="1703"/>
      <c r="BS59" s="1703"/>
      <c r="BT59" s="1703"/>
      <c r="BU59" s="1706">
        <f>+BU57-BU58</f>
        <v>120</v>
      </c>
      <c r="BW59" s="1703"/>
      <c r="BX59" s="1703"/>
      <c r="BY59" s="1703"/>
      <c r="BZ59" s="1703"/>
      <c r="CA59" s="1706">
        <f>+CA57-CA58</f>
        <v>120</v>
      </c>
      <c r="CC59" s="1703"/>
      <c r="CD59" s="1703"/>
      <c r="CE59" s="1703"/>
      <c r="CF59" s="1703"/>
      <c r="CG59" s="1706">
        <f>+CG57-CG58</f>
        <v>120</v>
      </c>
      <c r="CI59" s="1703"/>
      <c r="CJ59" s="1703"/>
      <c r="CK59" s="1703"/>
      <c r="CL59" s="1703"/>
      <c r="CM59" s="1706">
        <f>+CM57-CM58</f>
        <v>120</v>
      </c>
    </row>
    <row r="60" spans="1:91" s="24" customFormat="1" outlineLevel="1">
      <c r="A60" s="398" t="s">
        <v>238</v>
      </c>
      <c r="B60" s="387"/>
      <c r="C60" s="387"/>
      <c r="D60" s="387"/>
      <c r="E60" s="387"/>
      <c r="F60" s="346"/>
      <c r="G60" s="956"/>
      <c r="H60" s="346"/>
      <c r="I60" s="1700">
        <f>(I57+F57)/2</f>
        <v>464.65</v>
      </c>
      <c r="J60" s="1700">
        <f>(J57+I57)/2</f>
        <v>956.66</v>
      </c>
      <c r="K60" s="1700">
        <f>(K57+J57)/2</f>
        <v>1005.754</v>
      </c>
      <c r="L60" s="1700">
        <f>(L57+K57)/2</f>
        <v>781.80400000000009</v>
      </c>
      <c r="M60" s="957"/>
      <c r="N60" s="955"/>
      <c r="O60" s="1703">
        <f>(O57+L57)/2</f>
        <v>562.05999999999995</v>
      </c>
      <c r="P60" s="1703">
        <f>(P57+O57)/2</f>
        <v>609.5</v>
      </c>
      <c r="Q60" s="1703">
        <f>(Q57+P57)/2</f>
        <v>638</v>
      </c>
      <c r="R60" s="1703">
        <f>(R57+Q57)/2</f>
        <v>638.5</v>
      </c>
      <c r="S60" s="957"/>
      <c r="T60" s="1700"/>
      <c r="U60" s="1700">
        <f>(U57+R57)/2</f>
        <v>626</v>
      </c>
      <c r="V60" s="1700">
        <f>(V57+U57)/2</f>
        <v>620</v>
      </c>
      <c r="W60" s="1700">
        <f>(W57+V57)/2</f>
        <v>620</v>
      </c>
      <c r="X60" s="1700">
        <f>(X57+W57)/2</f>
        <v>620</v>
      </c>
      <c r="Y60" s="1706"/>
      <c r="Z60" s="1700"/>
      <c r="AA60" s="1703">
        <f>(AA57+X57)/2</f>
        <v>620</v>
      </c>
      <c r="AB60" s="1700">
        <f>(AB57+AA57)/2</f>
        <v>620</v>
      </c>
      <c r="AC60" s="1700">
        <f>(AC57+AB57)/2</f>
        <v>620</v>
      </c>
      <c r="AD60" s="1700">
        <f>(AD57+AC57)/2</f>
        <v>620</v>
      </c>
      <c r="AE60" s="1706"/>
      <c r="AF60" s="1700"/>
      <c r="AG60" s="1703">
        <f>(AG57+AD57)/2</f>
        <v>538</v>
      </c>
      <c r="AH60" s="1700">
        <f>(AH57+AG57)/2</f>
        <v>538</v>
      </c>
      <c r="AI60" s="1700">
        <f>(AI57+AH57)/2</f>
        <v>620</v>
      </c>
      <c r="AJ60" s="1700">
        <f>(AJ57+AI57)/2</f>
        <v>620</v>
      </c>
      <c r="AK60" s="1706"/>
      <c r="AL60" s="1700"/>
      <c r="AM60" s="1703">
        <f>(AM57+AJ57)/2</f>
        <v>538</v>
      </c>
      <c r="AN60" s="1703">
        <f>(AN57+AM57)/2</f>
        <v>456</v>
      </c>
      <c r="AO60" s="1703">
        <f>(AO57+AN57)/2</f>
        <v>456</v>
      </c>
      <c r="AP60" s="1703">
        <f>(AP57+AO57)/2</f>
        <v>456</v>
      </c>
      <c r="AQ60" s="1706"/>
      <c r="AR60" s="1700"/>
      <c r="AS60" s="1703">
        <f>(AS57+AP57)/2</f>
        <v>456</v>
      </c>
      <c r="AT60" s="1703">
        <f>(AT57+AS57)/2</f>
        <v>456</v>
      </c>
      <c r="AU60" s="1703">
        <f>(AU57+AT57)/2</f>
        <v>456</v>
      </c>
      <c r="AV60" s="1703">
        <f>(AV57+AU57)/2</f>
        <v>456</v>
      </c>
      <c r="AW60" s="1706"/>
      <c r="AX60" s="1700"/>
      <c r="AY60" s="1703">
        <f>(AY57+AV57)/2</f>
        <v>456</v>
      </c>
      <c r="AZ60" s="1703">
        <f>(AZ57+AY57)/2</f>
        <v>456</v>
      </c>
      <c r="BA60" s="1703">
        <f>(BA57+AZ57)/2</f>
        <v>456</v>
      </c>
      <c r="BB60" s="1703">
        <f>(BB57+BA57)/2</f>
        <v>456</v>
      </c>
      <c r="BC60" s="1706"/>
      <c r="BD60" s="1700"/>
      <c r="BE60" s="1703">
        <f>(BE57+BB57)/2</f>
        <v>456</v>
      </c>
      <c r="BF60" s="1703">
        <f>(BF57+BE57)/2</f>
        <v>456</v>
      </c>
      <c r="BG60" s="1703">
        <f>(BG57+BF57)/2</f>
        <v>456</v>
      </c>
      <c r="BH60" s="1703">
        <f>(BH57+BG57)/2</f>
        <v>456</v>
      </c>
      <c r="BI60" s="1706"/>
      <c r="BJ60" s="1700"/>
      <c r="BK60" s="1703">
        <f>(BK57+BH57)/2</f>
        <v>456</v>
      </c>
      <c r="BL60" s="1703">
        <f>(BL57+BK57)/2</f>
        <v>456</v>
      </c>
      <c r="BM60" s="1703">
        <f>(BM57+BL57)/2</f>
        <v>456</v>
      </c>
      <c r="BN60" s="1703">
        <f>(BN57+BM57)/2</f>
        <v>456</v>
      </c>
      <c r="BO60" s="1706"/>
      <c r="BP60" s="1700"/>
      <c r="BQ60" s="1703">
        <f>(BQ57+BN57)/2</f>
        <v>456</v>
      </c>
      <c r="BR60" s="1703">
        <f>(BR57+BQ57)/2</f>
        <v>456</v>
      </c>
      <c r="BS60" s="1703">
        <f>(BS57+BR57)/2</f>
        <v>456</v>
      </c>
      <c r="BT60" s="1703">
        <f>(BT57+BS57)/2</f>
        <v>456</v>
      </c>
      <c r="BU60" s="1706"/>
      <c r="BW60" s="1703">
        <f>(BW57+BT57)/2</f>
        <v>456</v>
      </c>
      <c r="BX60" s="1703">
        <f>(BX57+BW57)/2</f>
        <v>456</v>
      </c>
      <c r="BY60" s="1703">
        <f>(BY57+BX57)/2</f>
        <v>456</v>
      </c>
      <c r="BZ60" s="1703">
        <f>(BZ57+BY57)/2</f>
        <v>456</v>
      </c>
      <c r="CA60" s="1706"/>
      <c r="CC60" s="1703">
        <f>(CC57+BZ57)/2</f>
        <v>456</v>
      </c>
      <c r="CD60" s="1703">
        <f>(CD57+CC57)/2</f>
        <v>456</v>
      </c>
      <c r="CE60" s="1703">
        <f>(CE57+CD57)/2</f>
        <v>456</v>
      </c>
      <c r="CF60" s="1703">
        <f>(CF57+CE57)/2</f>
        <v>456</v>
      </c>
      <c r="CG60" s="1706"/>
      <c r="CI60" s="1703">
        <f>(CI57+CF57)/2</f>
        <v>456</v>
      </c>
      <c r="CJ60" s="1703">
        <f>(CJ57+CI57)/2</f>
        <v>456</v>
      </c>
      <c r="CK60" s="1703">
        <f>(CK57+CJ57)/2</f>
        <v>456</v>
      </c>
      <c r="CL60" s="1703">
        <f>(CL57+CK57)/2</f>
        <v>456</v>
      </c>
      <c r="CM60" s="1706"/>
    </row>
    <row r="61" spans="1:91" s="24" customFormat="1" outlineLevel="1">
      <c r="A61" s="148" t="s">
        <v>239</v>
      </c>
      <c r="B61" s="379"/>
      <c r="C61" s="379"/>
      <c r="D61" s="379"/>
      <c r="E61" s="379"/>
      <c r="F61" s="1721"/>
      <c r="G61" s="1727"/>
      <c r="H61" s="1721"/>
      <c r="I61" s="1719">
        <v>650</v>
      </c>
      <c r="J61" s="1719">
        <f>+I61</f>
        <v>650</v>
      </c>
      <c r="K61" s="1719">
        <f>+J61-K64</f>
        <v>650</v>
      </c>
      <c r="L61" s="1719">
        <v>500</v>
      </c>
      <c r="M61" s="1722"/>
      <c r="N61" s="1723"/>
      <c r="O61" s="1724">
        <f>+O62+O63</f>
        <v>560</v>
      </c>
      <c r="P61" s="1724">
        <f>+P62+P63</f>
        <v>595</v>
      </c>
      <c r="Q61" s="1724">
        <f>+Q62+Q63</f>
        <v>610</v>
      </c>
      <c r="R61" s="1724">
        <f>+R62+R63</f>
        <v>620</v>
      </c>
      <c r="S61" s="1722">
        <f>+R61</f>
        <v>620</v>
      </c>
      <c r="T61" s="1719"/>
      <c r="U61" s="1719">
        <f>+S61-U64</f>
        <v>420</v>
      </c>
      <c r="V61" s="1719">
        <f>+U61-V64</f>
        <v>420</v>
      </c>
      <c r="W61" s="1719">
        <f>+V61-W64</f>
        <v>420</v>
      </c>
      <c r="X61" s="1719">
        <f>+W61-X64</f>
        <v>420</v>
      </c>
      <c r="Y61" s="1720">
        <f>+X61</f>
        <v>420</v>
      </c>
      <c r="Z61" s="1719"/>
      <c r="AA61" s="1719">
        <f>X61+(AD61-X61)/4</f>
        <v>420</v>
      </c>
      <c r="AB61" s="1719">
        <f>AA61+(AD61-X61)/4</f>
        <v>420</v>
      </c>
      <c r="AC61" s="1719">
        <f>AB61+(AD61-X61)/4</f>
        <v>420</v>
      </c>
      <c r="AD61" s="1728">
        <f>+AE61</f>
        <v>420</v>
      </c>
      <c r="AE61" s="1720">
        <f>+Y61-AE64</f>
        <v>420</v>
      </c>
      <c r="AF61" s="1719"/>
      <c r="AG61" s="1719">
        <f>AD61+(AJ61-AD61)/4</f>
        <v>420</v>
      </c>
      <c r="AH61" s="1719">
        <f>AG61+(AJ61-AD61)/4</f>
        <v>420</v>
      </c>
      <c r="AI61" s="1719">
        <f>AH61+(AJ61-AD61)/4</f>
        <v>420</v>
      </c>
      <c r="AJ61" s="1728">
        <f>+AK61</f>
        <v>420</v>
      </c>
      <c r="AK61" s="1720">
        <f>+AE61-AK64</f>
        <v>420</v>
      </c>
      <c r="AL61" s="1719"/>
      <c r="AM61" s="1719">
        <f>AJ61+(AP61-AJ61)/4</f>
        <v>420</v>
      </c>
      <c r="AN61" s="1719">
        <f>AM61+(AP61-AJ61)/4</f>
        <v>420</v>
      </c>
      <c r="AO61" s="1719">
        <f>AN61+(AP61-AJ61)/4</f>
        <v>420</v>
      </c>
      <c r="AP61" s="1728">
        <f>+AQ61</f>
        <v>420</v>
      </c>
      <c r="AQ61" s="1720">
        <f>+AK61-AQ64</f>
        <v>420</v>
      </c>
      <c r="AR61" s="1719"/>
      <c r="AS61" s="1719">
        <f>AP61+(AV61-AP61)/4</f>
        <v>420</v>
      </c>
      <c r="AT61" s="1719">
        <f>AS61+(AV61-AP61)/4</f>
        <v>420</v>
      </c>
      <c r="AU61" s="1719">
        <f>AT61+(AV61-AP61)/4</f>
        <v>420</v>
      </c>
      <c r="AV61" s="1728">
        <f>+AW61</f>
        <v>420</v>
      </c>
      <c r="AW61" s="1720">
        <f>+AQ61-AW64</f>
        <v>420</v>
      </c>
      <c r="AX61" s="1719"/>
      <c r="AY61" s="1719">
        <f>AV61+(BB61-AV61)/4</f>
        <v>420</v>
      </c>
      <c r="AZ61" s="1719">
        <f>AY61+(BB61-AV61)/4</f>
        <v>420</v>
      </c>
      <c r="BA61" s="1719">
        <f>AZ61+(BB61-AV61)/4</f>
        <v>420</v>
      </c>
      <c r="BB61" s="1728">
        <f>+BC61</f>
        <v>420</v>
      </c>
      <c r="BC61" s="1720">
        <f>+AW61-BC64</f>
        <v>420</v>
      </c>
      <c r="BD61" s="1719"/>
      <c r="BE61" s="1719">
        <f>BB61+(BH61-BB61)/4</f>
        <v>420</v>
      </c>
      <c r="BF61" s="1719">
        <f>BE61+(BH61-BB61)/4</f>
        <v>420</v>
      </c>
      <c r="BG61" s="1719">
        <f>BF61+(BI61-BC61)/4</f>
        <v>420</v>
      </c>
      <c r="BH61" s="1724">
        <f>+BI61</f>
        <v>420</v>
      </c>
      <c r="BI61" s="1720">
        <f>+BC61-BI64</f>
        <v>420</v>
      </c>
      <c r="BJ61" s="1719"/>
      <c r="BK61" s="1719">
        <f>BH61+(BN61-BH61)/4</f>
        <v>420</v>
      </c>
      <c r="BL61" s="1719">
        <f>BK61+(BN61-BH61)/4</f>
        <v>420</v>
      </c>
      <c r="BM61" s="1719">
        <f>BL61+(BN61-BH61)/4</f>
        <v>420</v>
      </c>
      <c r="BN61" s="1728">
        <f>+BO61</f>
        <v>420</v>
      </c>
      <c r="BO61" s="1720">
        <f>+BI61-BO64</f>
        <v>420</v>
      </c>
      <c r="BP61" s="1719"/>
      <c r="BQ61" s="1719">
        <f>BN61+(BT61-BN61)/4</f>
        <v>420</v>
      </c>
      <c r="BR61" s="1719">
        <f>BQ61+(BT61-BN61)/4</f>
        <v>420</v>
      </c>
      <c r="BS61" s="1719">
        <f>BR61+(BT61-BN61)/4</f>
        <v>420</v>
      </c>
      <c r="BT61" s="1728">
        <f>+BU61</f>
        <v>420</v>
      </c>
      <c r="BU61" s="1720">
        <f>+BO61-BU64</f>
        <v>420</v>
      </c>
      <c r="BW61" s="1719">
        <f>BT61+(BZ61-BT61)/4</f>
        <v>420</v>
      </c>
      <c r="BX61" s="1719">
        <f>BW61+(BZ61-BT61)/4</f>
        <v>420</v>
      </c>
      <c r="BY61" s="1719">
        <f>BX61+(BZ61-BT61)/4</f>
        <v>420</v>
      </c>
      <c r="BZ61" s="1728">
        <f>+CA61</f>
        <v>420</v>
      </c>
      <c r="CA61" s="1720">
        <f>+BU61-CA64</f>
        <v>420</v>
      </c>
      <c r="CC61" s="1719">
        <f>BZ61+(CF61-BZ61)/4</f>
        <v>420</v>
      </c>
      <c r="CD61" s="1719">
        <f>CC61+(CF61-BZ61)/4</f>
        <v>420</v>
      </c>
      <c r="CE61" s="1719">
        <f>CD61+(CF61-BZ61)/4</f>
        <v>420</v>
      </c>
      <c r="CF61" s="1728">
        <f>+CG61</f>
        <v>420</v>
      </c>
      <c r="CG61" s="1720">
        <f>+CA61-CG64</f>
        <v>420</v>
      </c>
      <c r="CI61" s="1719">
        <f>CF61+(CL61-CF61)/4</f>
        <v>420</v>
      </c>
      <c r="CJ61" s="1719">
        <f>CI61+(CL61-CF61)/4</f>
        <v>420</v>
      </c>
      <c r="CK61" s="1719">
        <f>CJ61+(CL61-CF61)/4</f>
        <v>420</v>
      </c>
      <c r="CL61" s="1728">
        <f>+CM61</f>
        <v>420</v>
      </c>
      <c r="CM61" s="1720">
        <f>+CG61-CM64</f>
        <v>420</v>
      </c>
    </row>
    <row r="62" spans="1:91" s="24" customFormat="1" outlineLevel="1">
      <c r="A62" s="474" t="s">
        <v>240</v>
      </c>
      <c r="B62" s="1726"/>
      <c r="C62" s="1726"/>
      <c r="D62" s="1726"/>
      <c r="E62" s="1726"/>
      <c r="F62" s="346"/>
      <c r="G62" s="956"/>
      <c r="H62" s="346"/>
      <c r="I62" s="1700"/>
      <c r="J62" s="1700"/>
      <c r="K62" s="1700"/>
      <c r="L62" s="1700"/>
      <c r="M62" s="957"/>
      <c r="N62" s="955"/>
      <c r="O62" s="1729">
        <v>500</v>
      </c>
      <c r="P62" s="1729">
        <v>500</v>
      </c>
      <c r="Q62" s="1729">
        <v>500</v>
      </c>
      <c r="R62" s="1729">
        <v>500</v>
      </c>
      <c r="S62" s="957"/>
      <c r="T62" s="1700"/>
      <c r="U62" s="1700">
        <f>+U61-U63</f>
        <v>300</v>
      </c>
      <c r="V62" s="1700">
        <f>+V61-V63</f>
        <v>300</v>
      </c>
      <c r="W62" s="1700">
        <f>+W61-W63</f>
        <v>300</v>
      </c>
      <c r="X62" s="1700">
        <f>+X61-X63</f>
        <v>300</v>
      </c>
      <c r="Y62" s="957"/>
      <c r="Z62" s="1700"/>
      <c r="AA62" s="1700">
        <f>+AA61-AA63</f>
        <v>300</v>
      </c>
      <c r="AB62" s="1700">
        <f>+AB61-AB63</f>
        <v>300</v>
      </c>
      <c r="AC62" s="1700">
        <f>+AC61-AC63</f>
        <v>300</v>
      </c>
      <c r="AD62" s="1700">
        <f>+AD61-AD63</f>
        <v>300</v>
      </c>
      <c r="AE62" s="1706">
        <f>+AE61-AE63</f>
        <v>300</v>
      </c>
      <c r="AF62" s="1700"/>
      <c r="AG62" s="1700"/>
      <c r="AH62" s="1700">
        <f>+AH61-AH63</f>
        <v>420</v>
      </c>
      <c r="AI62" s="1700">
        <f>+AI61-AI63</f>
        <v>420</v>
      </c>
      <c r="AJ62" s="1700">
        <f>+AJ61-AJ63</f>
        <v>420</v>
      </c>
      <c r="AK62" s="1706">
        <f>+AK61-AK63</f>
        <v>300</v>
      </c>
      <c r="AL62" s="1700"/>
      <c r="AM62" s="1700"/>
      <c r="AN62" s="1700"/>
      <c r="AO62" s="1700"/>
      <c r="AP62" s="1729"/>
      <c r="AQ62" s="1706">
        <f>+AQ61-AQ63</f>
        <v>300</v>
      </c>
      <c r="AR62" s="1700"/>
      <c r="AS62" s="1700"/>
      <c r="AT62" s="1700"/>
      <c r="AU62" s="1700"/>
      <c r="AV62" s="1729"/>
      <c r="AW62" s="1706">
        <f>+AW61-AW63</f>
        <v>300</v>
      </c>
      <c r="AX62" s="1700"/>
      <c r="AY62" s="1700"/>
      <c r="AZ62" s="1700"/>
      <c r="BA62" s="1700"/>
      <c r="BB62" s="1729"/>
      <c r="BC62" s="1706">
        <f>+BC61-BC63</f>
        <v>300</v>
      </c>
      <c r="BD62" s="1700"/>
      <c r="BE62" s="1700"/>
      <c r="BF62" s="1700"/>
      <c r="BG62" s="1700"/>
      <c r="BH62" s="1703"/>
      <c r="BI62" s="1706">
        <f>+BI61-BI63</f>
        <v>300</v>
      </c>
      <c r="BJ62" s="1700"/>
      <c r="BK62" s="1700"/>
      <c r="BL62" s="1700"/>
      <c r="BM62" s="1700"/>
      <c r="BN62" s="1729"/>
      <c r="BO62" s="1706">
        <f>+BO61-BO63</f>
        <v>300</v>
      </c>
      <c r="BP62" s="1700"/>
      <c r="BQ62" s="1700"/>
      <c r="BR62" s="1700"/>
      <c r="BS62" s="1700"/>
      <c r="BT62" s="1729"/>
      <c r="BU62" s="1706">
        <f>+BU61-BU63</f>
        <v>300</v>
      </c>
      <c r="BW62" s="1700"/>
      <c r="BX62" s="1700"/>
      <c r="BY62" s="1700"/>
      <c r="BZ62" s="1729"/>
      <c r="CA62" s="1706">
        <f>+CA61-CA63</f>
        <v>300</v>
      </c>
      <c r="CC62" s="1700"/>
      <c r="CD62" s="1700"/>
      <c r="CE62" s="1700"/>
      <c r="CF62" s="1729"/>
      <c r="CG62" s="1706">
        <f>+CG61-CG63</f>
        <v>300</v>
      </c>
      <c r="CI62" s="1700"/>
      <c r="CJ62" s="1700"/>
      <c r="CK62" s="1700"/>
      <c r="CL62" s="1729"/>
      <c r="CM62" s="1706">
        <f>+CM61-CM63</f>
        <v>300</v>
      </c>
    </row>
    <row r="63" spans="1:91" s="24" customFormat="1" outlineLevel="1">
      <c r="A63" s="474" t="s">
        <v>241</v>
      </c>
      <c r="B63" s="1726"/>
      <c r="C63" s="1726"/>
      <c r="D63" s="1726"/>
      <c r="E63" s="1726"/>
      <c r="F63" s="346"/>
      <c r="G63" s="956"/>
      <c r="H63" s="346"/>
      <c r="I63" s="1700"/>
      <c r="J63" s="1700"/>
      <c r="K63" s="1700"/>
      <c r="L63" s="1700"/>
      <c r="M63" s="957"/>
      <c r="N63" s="955"/>
      <c r="O63" s="1729">
        <v>60</v>
      </c>
      <c r="P63" s="1729">
        <v>95</v>
      </c>
      <c r="Q63" s="1729">
        <v>110</v>
      </c>
      <c r="R63" s="1729">
        <v>120</v>
      </c>
      <c r="S63" s="957"/>
      <c r="T63" s="1700"/>
      <c r="U63" s="1730">
        <f>+R63</f>
        <v>120</v>
      </c>
      <c r="V63" s="1730">
        <f>+U63</f>
        <v>120</v>
      </c>
      <c r="W63" s="1730">
        <f>+V63</f>
        <v>120</v>
      </c>
      <c r="X63" s="1730">
        <f>+W63</f>
        <v>120</v>
      </c>
      <c r="Y63" s="957"/>
      <c r="Z63" s="1700"/>
      <c r="AA63" s="1700">
        <f>+X63</f>
        <v>120</v>
      </c>
      <c r="AB63" s="1730">
        <f t="shared" ref="AB63:AD64" si="73">+AA63</f>
        <v>120</v>
      </c>
      <c r="AC63" s="1730">
        <f t="shared" si="73"/>
        <v>120</v>
      </c>
      <c r="AD63" s="1730">
        <f t="shared" si="73"/>
        <v>120</v>
      </c>
      <c r="AE63" s="1706">
        <f>+X63</f>
        <v>120</v>
      </c>
      <c r="AF63" s="1700"/>
      <c r="AG63" s="1700"/>
      <c r="AH63" s="1730">
        <f t="shared" ref="AH63:AJ64" si="74">+AG63</f>
        <v>0</v>
      </c>
      <c r="AI63" s="1730">
        <f t="shared" si="74"/>
        <v>0</v>
      </c>
      <c r="AJ63" s="1730">
        <f t="shared" si="74"/>
        <v>0</v>
      </c>
      <c r="AK63" s="1706">
        <f>+AE63</f>
        <v>120</v>
      </c>
      <c r="AL63" s="1700"/>
      <c r="AM63" s="1700"/>
      <c r="AN63" s="1700"/>
      <c r="AO63" s="1700"/>
      <c r="AP63" s="1729"/>
      <c r="AQ63" s="1706">
        <f>+AK63</f>
        <v>120</v>
      </c>
      <c r="AR63" s="1700"/>
      <c r="AS63" s="1700"/>
      <c r="AT63" s="1700"/>
      <c r="AU63" s="1700"/>
      <c r="AV63" s="1729"/>
      <c r="AW63" s="1706">
        <f>+AQ63</f>
        <v>120</v>
      </c>
      <c r="AX63" s="1700"/>
      <c r="AY63" s="1700"/>
      <c r="AZ63" s="1700"/>
      <c r="BA63" s="1700"/>
      <c r="BB63" s="1729"/>
      <c r="BC63" s="1706">
        <f>+AW63</f>
        <v>120</v>
      </c>
      <c r="BD63" s="1700"/>
      <c r="BE63" s="1700"/>
      <c r="BF63" s="1700"/>
      <c r="BG63" s="1700"/>
      <c r="BH63" s="1703"/>
      <c r="BI63" s="1706">
        <f>+BC63</f>
        <v>120</v>
      </c>
      <c r="BJ63" s="1700"/>
      <c r="BK63" s="1700"/>
      <c r="BL63" s="1700"/>
      <c r="BM63" s="1700"/>
      <c r="BN63" s="1729"/>
      <c r="BO63" s="1706">
        <f>+BI63</f>
        <v>120</v>
      </c>
      <c r="BP63" s="1700"/>
      <c r="BQ63" s="1700"/>
      <c r="BR63" s="1700"/>
      <c r="BS63" s="1700"/>
      <c r="BT63" s="1729"/>
      <c r="BU63" s="1706">
        <f>+BO63</f>
        <v>120</v>
      </c>
      <c r="BW63" s="1700"/>
      <c r="BX63" s="1700"/>
      <c r="BY63" s="1700"/>
      <c r="BZ63" s="1729"/>
      <c r="CA63" s="1706">
        <f>+BU63</f>
        <v>120</v>
      </c>
      <c r="CC63" s="1700"/>
      <c r="CD63" s="1700"/>
      <c r="CE63" s="1700"/>
      <c r="CF63" s="1729"/>
      <c r="CG63" s="1706">
        <f>+CA63</f>
        <v>120</v>
      </c>
      <c r="CI63" s="1700"/>
      <c r="CJ63" s="1700"/>
      <c r="CK63" s="1700"/>
      <c r="CL63" s="1729"/>
      <c r="CM63" s="1706">
        <f>+CG63</f>
        <v>120</v>
      </c>
    </row>
    <row r="64" spans="1:91" s="24" customFormat="1" outlineLevel="1">
      <c r="A64" s="398" t="s">
        <v>242</v>
      </c>
      <c r="B64" s="387"/>
      <c r="C64" s="387"/>
      <c r="D64" s="387"/>
      <c r="E64" s="387"/>
      <c r="F64" s="986"/>
      <c r="G64" s="956"/>
      <c r="H64" s="346"/>
      <c r="I64" s="986">
        <v>0</v>
      </c>
      <c r="J64" s="986">
        <f>+I64</f>
        <v>0</v>
      </c>
      <c r="K64" s="986">
        <f>+J64</f>
        <v>0</v>
      </c>
      <c r="L64" s="1730">
        <f>(K61-L61)+(K65-L65)</f>
        <v>491.36799999999999</v>
      </c>
      <c r="M64" s="1731">
        <f>SUM(I64:L64)</f>
        <v>491.36799999999999</v>
      </c>
      <c r="N64" s="1702"/>
      <c r="O64" s="986">
        <v>0</v>
      </c>
      <c r="P64" s="986">
        <f>+O64</f>
        <v>0</v>
      </c>
      <c r="Q64" s="986">
        <f>+P64</f>
        <v>0</v>
      </c>
      <c r="R64" s="986">
        <f>+Q64</f>
        <v>0</v>
      </c>
      <c r="S64" s="988">
        <v>0</v>
      </c>
      <c r="T64" s="986"/>
      <c r="U64" s="1730">
        <v>200</v>
      </c>
      <c r="V64" s="1730">
        <v>0</v>
      </c>
      <c r="W64" s="1730">
        <v>0</v>
      </c>
      <c r="X64" s="1730">
        <f>+W64</f>
        <v>0</v>
      </c>
      <c r="Y64" s="957">
        <f>SUM(U64:X64)</f>
        <v>200</v>
      </c>
      <c r="Z64" s="1700"/>
      <c r="AA64" s="1700">
        <v>0</v>
      </c>
      <c r="AB64" s="1730">
        <f t="shared" si="73"/>
        <v>0</v>
      </c>
      <c r="AC64" s="1730">
        <f t="shared" si="73"/>
        <v>0</v>
      </c>
      <c r="AD64" s="1730">
        <f t="shared" si="73"/>
        <v>0</v>
      </c>
      <c r="AE64" s="1706">
        <v>0</v>
      </c>
      <c r="AF64" s="1700"/>
      <c r="AG64" s="1700">
        <v>0</v>
      </c>
      <c r="AH64" s="1730">
        <f t="shared" si="74"/>
        <v>0</v>
      </c>
      <c r="AI64" s="1730">
        <f t="shared" si="74"/>
        <v>0</v>
      </c>
      <c r="AJ64" s="1730">
        <f t="shared" si="74"/>
        <v>0</v>
      </c>
      <c r="AK64" s="1706">
        <v>0</v>
      </c>
      <c r="AL64" s="1700"/>
      <c r="AM64" s="1730">
        <v>0</v>
      </c>
      <c r="AN64" s="1730">
        <v>0</v>
      </c>
      <c r="AO64" s="1730">
        <v>0</v>
      </c>
      <c r="AP64" s="1729">
        <f>+AO64</f>
        <v>0</v>
      </c>
      <c r="AQ64" s="1706">
        <v>0</v>
      </c>
      <c r="AR64" s="1700"/>
      <c r="AS64" s="1700">
        <v>0</v>
      </c>
      <c r="AT64" s="1700">
        <f>+AS64</f>
        <v>0</v>
      </c>
      <c r="AU64" s="1700">
        <f>+AT64</f>
        <v>0</v>
      </c>
      <c r="AV64" s="1729">
        <f>+AU64</f>
        <v>0</v>
      </c>
      <c r="AW64" s="1706">
        <v>0</v>
      </c>
      <c r="AX64" s="1700"/>
      <c r="AY64" s="1700">
        <v>0</v>
      </c>
      <c r="AZ64" s="1700">
        <f>+AY64</f>
        <v>0</v>
      </c>
      <c r="BA64" s="1700">
        <f>+AZ64</f>
        <v>0</v>
      </c>
      <c r="BB64" s="1729">
        <f>+BA64</f>
        <v>0</v>
      </c>
      <c r="BC64" s="1706">
        <v>0</v>
      </c>
      <c r="BD64" s="1700"/>
      <c r="BE64" s="1700">
        <v>0</v>
      </c>
      <c r="BF64" s="1700">
        <f>+BE64</f>
        <v>0</v>
      </c>
      <c r="BG64" s="1700">
        <f>+BF64</f>
        <v>0</v>
      </c>
      <c r="BH64" s="1703">
        <f>+BG64</f>
        <v>0</v>
      </c>
      <c r="BI64" s="1706">
        <v>0</v>
      </c>
      <c r="BJ64" s="1700"/>
      <c r="BK64" s="1700">
        <v>0</v>
      </c>
      <c r="BL64" s="1700">
        <f>+BK64</f>
        <v>0</v>
      </c>
      <c r="BM64" s="1700">
        <f>+BL64</f>
        <v>0</v>
      </c>
      <c r="BN64" s="1729">
        <f>+BM64</f>
        <v>0</v>
      </c>
      <c r="BO64" s="1706">
        <v>0</v>
      </c>
      <c r="BP64" s="1700"/>
      <c r="BQ64" s="1700">
        <v>0</v>
      </c>
      <c r="BR64" s="1700">
        <f>+BQ64</f>
        <v>0</v>
      </c>
      <c r="BS64" s="1700">
        <f>+BR64</f>
        <v>0</v>
      </c>
      <c r="BT64" s="1729">
        <f>+BS64</f>
        <v>0</v>
      </c>
      <c r="BU64" s="1706">
        <v>0</v>
      </c>
      <c r="BW64" s="1700">
        <v>0</v>
      </c>
      <c r="BX64" s="1700">
        <f>+BW64</f>
        <v>0</v>
      </c>
      <c r="BY64" s="1700">
        <f>+BX64</f>
        <v>0</v>
      </c>
      <c r="BZ64" s="1729">
        <f>+BY64</f>
        <v>0</v>
      </c>
      <c r="CA64" s="1706">
        <v>0</v>
      </c>
      <c r="CC64" s="1700">
        <v>0</v>
      </c>
      <c r="CD64" s="1700">
        <f>+CC64</f>
        <v>0</v>
      </c>
      <c r="CE64" s="1700">
        <f>+CD64</f>
        <v>0</v>
      </c>
      <c r="CF64" s="1729">
        <f>+CE64</f>
        <v>0</v>
      </c>
      <c r="CG64" s="1706">
        <v>0</v>
      </c>
      <c r="CI64" s="1700">
        <v>0</v>
      </c>
      <c r="CJ64" s="1700">
        <f>+CI64</f>
        <v>0</v>
      </c>
      <c r="CK64" s="1700">
        <f>+CJ64</f>
        <v>0</v>
      </c>
      <c r="CL64" s="1729">
        <f>+CK64</f>
        <v>0</v>
      </c>
      <c r="CM64" s="1706">
        <v>0</v>
      </c>
    </row>
    <row r="65" spans="1:91" s="24" customFormat="1" outlineLevel="1">
      <c r="A65" s="148" t="s">
        <v>243</v>
      </c>
      <c r="B65" s="379"/>
      <c r="C65" s="379"/>
      <c r="D65" s="379"/>
      <c r="E65" s="379"/>
      <c r="F65" s="1719"/>
      <c r="G65" s="1727"/>
      <c r="H65" s="1721"/>
      <c r="I65" s="1719">
        <f>250+29.3</f>
        <v>279.3</v>
      </c>
      <c r="J65" s="1719">
        <v>334.02</v>
      </c>
      <c r="K65" s="1719">
        <v>377.488</v>
      </c>
      <c r="L65" s="1719">
        <v>36.119999999999997</v>
      </c>
      <c r="M65" s="1732"/>
      <c r="N65" s="1723"/>
      <c r="O65" s="1728">
        <v>28</v>
      </c>
      <c r="P65" s="1728">
        <v>36</v>
      </c>
      <c r="Q65" s="1728">
        <v>35</v>
      </c>
      <c r="R65" s="1728">
        <v>12</v>
      </c>
      <c r="S65" s="1732"/>
      <c r="T65" s="1733"/>
      <c r="U65" s="1719">
        <f>R65+($X65-R65)/4</f>
        <v>18</v>
      </c>
      <c r="V65" s="1719">
        <f>U65+($X65-R65)/4</f>
        <v>24</v>
      </c>
      <c r="W65" s="1719">
        <f>V65+($X65-R65)/4</f>
        <v>30</v>
      </c>
      <c r="X65" s="1728">
        <v>36</v>
      </c>
      <c r="Y65" s="1732"/>
      <c r="Z65" s="1723"/>
      <c r="AA65" s="1719">
        <f>X65+(AD65-X65)/4</f>
        <v>36</v>
      </c>
      <c r="AB65" s="1719">
        <f>AA65+(AD65-X65)/4</f>
        <v>36</v>
      </c>
      <c r="AC65" s="1719">
        <f>AB65+(AD65-X65)/4</f>
        <v>36</v>
      </c>
      <c r="AD65" s="1728">
        <f>+AE65</f>
        <v>36</v>
      </c>
      <c r="AE65" s="1720">
        <v>36</v>
      </c>
      <c r="AF65" s="1723"/>
      <c r="AG65" s="1719">
        <f>AD65+(AJ65-AD65)/4</f>
        <v>36</v>
      </c>
      <c r="AH65" s="1719">
        <f>AG65+(AJ65-AD65)/4</f>
        <v>36</v>
      </c>
      <c r="AI65" s="1719">
        <f>AH65+(AJ65-AD65)/4</f>
        <v>36</v>
      </c>
      <c r="AJ65" s="1728">
        <f>+AK65</f>
        <v>36</v>
      </c>
      <c r="AK65" s="1720">
        <v>36</v>
      </c>
      <c r="AL65" s="1723"/>
      <c r="AM65" s="1719">
        <f>AJ65+(AP65-AJ65)/4</f>
        <v>36</v>
      </c>
      <c r="AN65" s="1719">
        <f>AM65+(AP65-AJ65)/4</f>
        <v>36</v>
      </c>
      <c r="AO65" s="1719">
        <f>AN65+(AP65-AJ65)/4</f>
        <v>36</v>
      </c>
      <c r="AP65" s="1728">
        <f>+AQ65</f>
        <v>36</v>
      </c>
      <c r="AQ65" s="1720">
        <v>36</v>
      </c>
      <c r="AR65" s="1723"/>
      <c r="AS65" s="1719">
        <f>AP65+(AV65-AP65)/4</f>
        <v>36</v>
      </c>
      <c r="AT65" s="1719">
        <f>AS65+(AV65-AP65)/4</f>
        <v>36</v>
      </c>
      <c r="AU65" s="1719">
        <f>AT65+(AV65-AP65)/4</f>
        <v>36</v>
      </c>
      <c r="AV65" s="1728">
        <f>+AW65</f>
        <v>36</v>
      </c>
      <c r="AW65" s="1720">
        <v>36</v>
      </c>
      <c r="AX65" s="1723"/>
      <c r="AY65" s="1719">
        <f>AV65+(BB65-AV65)/4</f>
        <v>36</v>
      </c>
      <c r="AZ65" s="1719">
        <f>AY65+(BB65-AV65)/4</f>
        <v>36</v>
      </c>
      <c r="BA65" s="1719">
        <f>AZ65+(BB65-AV65)/4</f>
        <v>36</v>
      </c>
      <c r="BB65" s="1728">
        <f>+BC65</f>
        <v>36</v>
      </c>
      <c r="BC65" s="1720">
        <v>36</v>
      </c>
      <c r="BD65" s="1723"/>
      <c r="BE65" s="1719">
        <f>BB65+(BH65-BB65)/4</f>
        <v>36</v>
      </c>
      <c r="BF65" s="1719">
        <f>BE65+(BH65-BB65)/4</f>
        <v>36</v>
      </c>
      <c r="BG65" s="1719">
        <f>BF65+(BI65-BC65)/4</f>
        <v>36</v>
      </c>
      <c r="BH65" s="1724">
        <f>+BI65</f>
        <v>36</v>
      </c>
      <c r="BI65" s="1720">
        <v>36</v>
      </c>
      <c r="BJ65" s="1723"/>
      <c r="BK65" s="1719">
        <f>BH65+(BN65-BH65)/4</f>
        <v>36</v>
      </c>
      <c r="BL65" s="1719">
        <f>BK65+(BN65-BH65)/4</f>
        <v>36</v>
      </c>
      <c r="BM65" s="1719">
        <f>BL65+(BN65-BH65)/4</f>
        <v>36</v>
      </c>
      <c r="BN65" s="1728">
        <f>+BO65</f>
        <v>36</v>
      </c>
      <c r="BO65" s="1720">
        <v>36</v>
      </c>
      <c r="BP65" s="1723"/>
      <c r="BQ65" s="1719">
        <f>BN65+(BT65-BN65)/4</f>
        <v>36</v>
      </c>
      <c r="BR65" s="1719">
        <f>BQ65+(BT65-BN65)/4</f>
        <v>36</v>
      </c>
      <c r="BS65" s="1719">
        <f>BR65+(BT65-BN65)/4</f>
        <v>36</v>
      </c>
      <c r="BT65" s="1728">
        <f>+BU65</f>
        <v>36</v>
      </c>
      <c r="BU65" s="1720">
        <v>36</v>
      </c>
      <c r="BW65" s="1719">
        <f>BT65+(BZ65-BT65)/4</f>
        <v>36</v>
      </c>
      <c r="BX65" s="1719">
        <f>BW65+(BZ65-BT65)/4</f>
        <v>36</v>
      </c>
      <c r="BY65" s="1719">
        <f>BX65+(BZ65-BT65)/4</f>
        <v>36</v>
      </c>
      <c r="BZ65" s="1728">
        <f>+CA65</f>
        <v>36</v>
      </c>
      <c r="CA65" s="1720">
        <v>36</v>
      </c>
      <c r="CC65" s="1719">
        <f>BZ65+(CF65-BZ65)/4</f>
        <v>36</v>
      </c>
      <c r="CD65" s="1719">
        <f>CC65+(CF65-BZ65)/4</f>
        <v>36</v>
      </c>
      <c r="CE65" s="1719">
        <f>CD65+(CF65-BZ65)/4</f>
        <v>36</v>
      </c>
      <c r="CF65" s="1728">
        <f>+CG65</f>
        <v>36</v>
      </c>
      <c r="CG65" s="1720">
        <v>36</v>
      </c>
      <c r="CI65" s="1719">
        <f>CF65+(CL65-CF65)/4</f>
        <v>36</v>
      </c>
      <c r="CJ65" s="1719">
        <f>CI65+(CL65-CF65)/4</f>
        <v>36</v>
      </c>
      <c r="CK65" s="1719">
        <f>CJ65+(CL65-CF65)/4</f>
        <v>36</v>
      </c>
      <c r="CL65" s="1728">
        <f>+CM65</f>
        <v>36</v>
      </c>
      <c r="CM65" s="1720">
        <v>36</v>
      </c>
    </row>
    <row r="66" spans="1:91" s="24" customFormat="1" outlineLevel="1">
      <c r="A66" s="1734" t="s">
        <v>244</v>
      </c>
      <c r="B66" s="1735"/>
      <c r="C66" s="1735"/>
      <c r="D66" s="1735"/>
      <c r="E66" s="1735"/>
      <c r="F66" s="475"/>
      <c r="G66" s="956"/>
      <c r="H66" s="346"/>
      <c r="I66" s="475">
        <f>(I79*4)/I57</f>
        <v>4.8208328849671793E-2</v>
      </c>
      <c r="J66" s="475">
        <f>(J79*4)/J57</f>
        <v>3.9865043393426967E-2</v>
      </c>
      <c r="K66" s="475">
        <f>(K79*4)/K57</f>
        <v>4.1148899062568127E-2</v>
      </c>
      <c r="L66" s="475">
        <f>(L79*4)/L57</f>
        <v>5.1809296426173261E-2</v>
      </c>
      <c r="M66" s="1736"/>
      <c r="N66" s="955"/>
      <c r="O66" s="475">
        <f>(O79*4)/O57</f>
        <v>2.1292517006802722E-2</v>
      </c>
      <c r="P66" s="475">
        <f>(P79*4)/P57</f>
        <v>1.6792393026941362E-2</v>
      </c>
      <c r="Q66" s="475">
        <f>(Q79*4)/Q57</f>
        <v>1.776124031007752E-2</v>
      </c>
      <c r="R66" s="475">
        <f>(R79*4)/R57</f>
        <v>1.4829113924050633E-2</v>
      </c>
      <c r="S66" s="476">
        <f>(S79)/S57</f>
        <v>1.7382911392405064E-2</v>
      </c>
      <c r="T66" s="1737"/>
      <c r="U66" s="475">
        <v>0.02</v>
      </c>
      <c r="V66" s="475">
        <f>U66</f>
        <v>0.02</v>
      </c>
      <c r="W66" s="475">
        <f>V66</f>
        <v>0.02</v>
      </c>
      <c r="X66" s="475">
        <f>W66</f>
        <v>0.02</v>
      </c>
      <c r="Y66" s="476"/>
      <c r="Z66" s="475"/>
      <c r="AA66" s="475">
        <v>3.2500000000000001E-2</v>
      </c>
      <c r="AB66" s="475">
        <f>AA66</f>
        <v>3.2500000000000001E-2</v>
      </c>
      <c r="AC66" s="475">
        <f>AB66</f>
        <v>3.2500000000000001E-2</v>
      </c>
      <c r="AD66" s="475">
        <f>AC66</f>
        <v>3.2500000000000001E-2</v>
      </c>
      <c r="AE66" s="476">
        <f>+AD66</f>
        <v>3.2500000000000001E-2</v>
      </c>
      <c r="AF66" s="475"/>
      <c r="AG66" s="475">
        <f>+AD66</f>
        <v>3.2500000000000001E-2</v>
      </c>
      <c r="AH66" s="475">
        <f>AG66</f>
        <v>3.2500000000000001E-2</v>
      </c>
      <c r="AI66" s="475">
        <f>AH66</f>
        <v>3.2500000000000001E-2</v>
      </c>
      <c r="AJ66" s="475">
        <f>AI66</f>
        <v>3.2500000000000001E-2</v>
      </c>
      <c r="AK66" s="476">
        <f>+AJ66</f>
        <v>3.2500000000000001E-2</v>
      </c>
      <c r="AL66" s="475"/>
      <c r="AM66" s="475">
        <f>+AJ66</f>
        <v>3.2500000000000001E-2</v>
      </c>
      <c r="AN66" s="475">
        <f>AM66</f>
        <v>3.2500000000000001E-2</v>
      </c>
      <c r="AO66" s="475">
        <f>AN66</f>
        <v>3.2500000000000001E-2</v>
      </c>
      <c r="AP66" s="475">
        <f>AO66</f>
        <v>3.2500000000000001E-2</v>
      </c>
      <c r="AQ66" s="476">
        <f>+AP66</f>
        <v>3.2500000000000001E-2</v>
      </c>
      <c r="AR66" s="475"/>
      <c r="AS66" s="475">
        <f>+AP66</f>
        <v>3.2500000000000001E-2</v>
      </c>
      <c r="AT66" s="475">
        <f>AS66</f>
        <v>3.2500000000000001E-2</v>
      </c>
      <c r="AU66" s="475">
        <f>AT66</f>
        <v>3.2500000000000001E-2</v>
      </c>
      <c r="AV66" s="475">
        <f>AU66</f>
        <v>3.2500000000000001E-2</v>
      </c>
      <c r="AW66" s="476">
        <f>+AV66</f>
        <v>3.2500000000000001E-2</v>
      </c>
      <c r="AX66" s="475"/>
      <c r="AY66" s="475">
        <f>+AV66</f>
        <v>3.2500000000000001E-2</v>
      </c>
      <c r="AZ66" s="475">
        <f>AY66</f>
        <v>3.2500000000000001E-2</v>
      </c>
      <c r="BA66" s="475">
        <f>AZ66</f>
        <v>3.2500000000000001E-2</v>
      </c>
      <c r="BB66" s="475">
        <f>BA66</f>
        <v>3.2500000000000001E-2</v>
      </c>
      <c r="BC66" s="476">
        <f>+BB66</f>
        <v>3.2500000000000001E-2</v>
      </c>
      <c r="BD66" s="475"/>
      <c r="BE66" s="475">
        <f>+BB66</f>
        <v>3.2500000000000001E-2</v>
      </c>
      <c r="BF66" s="475">
        <f>BE66</f>
        <v>3.2500000000000001E-2</v>
      </c>
      <c r="BG66" s="475">
        <f>BF66</f>
        <v>3.2500000000000001E-2</v>
      </c>
      <c r="BH66" s="475">
        <f>BG66</f>
        <v>3.2500000000000001E-2</v>
      </c>
      <c r="BI66" s="476">
        <f>+BH66</f>
        <v>3.2500000000000001E-2</v>
      </c>
      <c r="BJ66" s="475"/>
      <c r="BK66" s="475">
        <f>+BH66</f>
        <v>3.2500000000000001E-2</v>
      </c>
      <c r="BL66" s="475">
        <f>BK66</f>
        <v>3.2500000000000001E-2</v>
      </c>
      <c r="BM66" s="475">
        <f>BL66</f>
        <v>3.2500000000000001E-2</v>
      </c>
      <c r="BN66" s="475">
        <f>BM66</f>
        <v>3.2500000000000001E-2</v>
      </c>
      <c r="BO66" s="476">
        <f>+BN66</f>
        <v>3.2500000000000001E-2</v>
      </c>
      <c r="BP66" s="475"/>
      <c r="BQ66" s="475">
        <f>+BN66</f>
        <v>3.2500000000000001E-2</v>
      </c>
      <c r="BR66" s="475">
        <f>BQ66</f>
        <v>3.2500000000000001E-2</v>
      </c>
      <c r="BS66" s="475">
        <f>BR66</f>
        <v>3.2500000000000001E-2</v>
      </c>
      <c r="BT66" s="475">
        <f>BS66</f>
        <v>3.2500000000000001E-2</v>
      </c>
      <c r="BU66" s="476">
        <f>+BT66</f>
        <v>3.2500000000000001E-2</v>
      </c>
      <c r="BW66" s="475">
        <f>+BT66</f>
        <v>3.2500000000000001E-2</v>
      </c>
      <c r="BX66" s="475">
        <f>BW66</f>
        <v>3.2500000000000001E-2</v>
      </c>
      <c r="BY66" s="475">
        <f>BX66</f>
        <v>3.2500000000000001E-2</v>
      </c>
      <c r="BZ66" s="475">
        <f>BY66</f>
        <v>3.2500000000000001E-2</v>
      </c>
      <c r="CA66" s="476">
        <f>+BZ66</f>
        <v>3.2500000000000001E-2</v>
      </c>
      <c r="CC66" s="475">
        <f>+BZ66</f>
        <v>3.2500000000000001E-2</v>
      </c>
      <c r="CD66" s="475">
        <f>CC66</f>
        <v>3.2500000000000001E-2</v>
      </c>
      <c r="CE66" s="475">
        <f>CD66</f>
        <v>3.2500000000000001E-2</v>
      </c>
      <c r="CF66" s="475">
        <f>CE66</f>
        <v>3.2500000000000001E-2</v>
      </c>
      <c r="CG66" s="476">
        <f>+CF66</f>
        <v>3.2500000000000001E-2</v>
      </c>
      <c r="CI66" s="475">
        <f>+CF66</f>
        <v>3.2500000000000001E-2</v>
      </c>
      <c r="CJ66" s="475">
        <f>CI66</f>
        <v>3.2500000000000001E-2</v>
      </c>
      <c r="CK66" s="475">
        <f>CJ66</f>
        <v>3.2500000000000001E-2</v>
      </c>
      <c r="CL66" s="475">
        <f>CK66</f>
        <v>3.2500000000000001E-2</v>
      </c>
      <c r="CM66" s="476">
        <f>+CL66</f>
        <v>3.2500000000000001E-2</v>
      </c>
    </row>
    <row r="67" spans="1:91" s="24" customFormat="1" outlineLevel="1">
      <c r="A67" s="398" t="s">
        <v>234</v>
      </c>
      <c r="B67" s="387"/>
      <c r="C67" s="387"/>
      <c r="D67" s="387"/>
      <c r="E67" s="387"/>
      <c r="F67" s="986"/>
      <c r="G67" s="956"/>
      <c r="H67" s="346"/>
      <c r="I67" s="986"/>
      <c r="J67" s="986"/>
      <c r="K67" s="986"/>
      <c r="L67" s="1730"/>
      <c r="M67" s="988"/>
      <c r="N67" s="1702"/>
      <c r="O67" s="955">
        <f>+(O61+O65)*O66/4</f>
        <v>3.1300000000000003</v>
      </c>
      <c r="P67" s="955">
        <f>+(P61+P65)*P66/4</f>
        <v>2.6489999999999996</v>
      </c>
      <c r="Q67" s="955">
        <f>+(Q61+Q65)*Q66/4</f>
        <v>2.8640000000000003</v>
      </c>
      <c r="R67" s="955">
        <f>+(R61+R65)*R66/4</f>
        <v>2.343</v>
      </c>
      <c r="S67" s="988"/>
      <c r="T67" s="986"/>
      <c r="U67" s="955">
        <f>+(U61+U65)*U66/4*(1/3)+(R61+R65)*U66/4*(2/3)</f>
        <v>2.8366666666666664</v>
      </c>
      <c r="V67" s="955">
        <f>+(V61+V65)*V66/4</f>
        <v>2.2200000000000002</v>
      </c>
      <c r="W67" s="955">
        <f>+(W61+W65)*W66/4</f>
        <v>2.25</v>
      </c>
      <c r="X67" s="955">
        <f>+(X61+X65)*X66/4</f>
        <v>2.2800000000000002</v>
      </c>
      <c r="Y67" s="957">
        <f>SUM(U67:X67)</f>
        <v>9.586666666666666</v>
      </c>
      <c r="Z67" s="986"/>
      <c r="AA67" s="955">
        <f>+(AA61+AA65)*AA66/4*(1/3)+(X61+X65)*AA66/4*(2/3)</f>
        <v>3.7049999999999996</v>
      </c>
      <c r="AB67" s="955">
        <f>+(AB61+AB65)*AB66/4</f>
        <v>3.7050000000000001</v>
      </c>
      <c r="AC67" s="955">
        <f>+(AC61+AC65)*AC66/4</f>
        <v>3.7050000000000001</v>
      </c>
      <c r="AD67" s="955">
        <f>+(AD61+AD65)*AD66/4</f>
        <v>3.7050000000000001</v>
      </c>
      <c r="AE67" s="957">
        <f>SUM(AA67:AD67)</f>
        <v>14.82</v>
      </c>
      <c r="AF67" s="986"/>
      <c r="AG67" s="955">
        <f>+(AG61+AG65)*AG66/4</f>
        <v>3.7050000000000001</v>
      </c>
      <c r="AH67" s="955">
        <f>+(AH61+AH65)*AH66/4</f>
        <v>3.7050000000000001</v>
      </c>
      <c r="AI67" s="955">
        <f>+(AI61+AI65)*AI66/4</f>
        <v>3.7050000000000001</v>
      </c>
      <c r="AJ67" s="955">
        <f>+(AJ61+AJ65)*AJ66/4</f>
        <v>3.7050000000000001</v>
      </c>
      <c r="AK67" s="957">
        <f>SUM(AG67:AJ67)</f>
        <v>14.82</v>
      </c>
      <c r="AL67" s="986"/>
      <c r="AM67" s="955">
        <f>+(AM61+AM65)*AM66/4</f>
        <v>3.7050000000000001</v>
      </c>
      <c r="AN67" s="955">
        <f>+(AN61+AN65)*AN66/4</f>
        <v>3.7050000000000001</v>
      </c>
      <c r="AO67" s="955">
        <f>+(AO61+AO65)*AO66/4</f>
        <v>3.7050000000000001</v>
      </c>
      <c r="AP67" s="955">
        <f>+(AP61+AP65)*AP66/4</f>
        <v>3.7050000000000001</v>
      </c>
      <c r="AQ67" s="957">
        <f>SUM(AM67:AP67)</f>
        <v>14.82</v>
      </c>
      <c r="AR67" s="986"/>
      <c r="AS67" s="955">
        <f>+(AS61+AS65)*AS66/4</f>
        <v>3.7050000000000001</v>
      </c>
      <c r="AT67" s="955">
        <f>+(AT61+AT65)*AT66/4</f>
        <v>3.7050000000000001</v>
      </c>
      <c r="AU67" s="955">
        <f>+(AU61+AU65)*AU66/4</f>
        <v>3.7050000000000001</v>
      </c>
      <c r="AV67" s="955">
        <f>+(AV61+AV65)*AV66/4</f>
        <v>3.7050000000000001</v>
      </c>
      <c r="AW67" s="957">
        <f>SUM(AS67:AV67)</f>
        <v>14.82</v>
      </c>
      <c r="AX67" s="986"/>
      <c r="AY67" s="955">
        <f>+(AY61+AY65)*AY66/4</f>
        <v>3.7050000000000001</v>
      </c>
      <c r="AZ67" s="955">
        <f>+(AZ61+AZ65)*AZ66/4</f>
        <v>3.7050000000000001</v>
      </c>
      <c r="BA67" s="955">
        <f>+(BA61+BA65)*BA66/4</f>
        <v>3.7050000000000001</v>
      </c>
      <c r="BB67" s="955">
        <f>+(BB61+BB65)*BB66/4</f>
        <v>3.7050000000000001</v>
      </c>
      <c r="BC67" s="957">
        <f>SUM(AY67:BB67)</f>
        <v>14.82</v>
      </c>
      <c r="BD67" s="986"/>
      <c r="BE67" s="955">
        <f>+(BE61+BE65)*BE66/4</f>
        <v>3.7050000000000001</v>
      </c>
      <c r="BF67" s="955">
        <f>+(BF61+BF65)*BF66/4</f>
        <v>3.7050000000000001</v>
      </c>
      <c r="BG67" s="955">
        <f>+(BG61+BG65)*BG66/4</f>
        <v>3.7050000000000001</v>
      </c>
      <c r="BH67" s="955">
        <f>+(BH61+BH65)*BH66/4</f>
        <v>3.7050000000000001</v>
      </c>
      <c r="BI67" s="957">
        <f>SUM(BE67:BH67)</f>
        <v>14.82</v>
      </c>
      <c r="BJ67" s="986"/>
      <c r="BK67" s="955">
        <f>+(BK61+BK65)*BK66/4</f>
        <v>3.7050000000000001</v>
      </c>
      <c r="BL67" s="955">
        <f>+(BL61+BL65)*BL66/4</f>
        <v>3.7050000000000001</v>
      </c>
      <c r="BM67" s="955">
        <f>+(BM61+BM65)*BM66/4</f>
        <v>3.7050000000000001</v>
      </c>
      <c r="BN67" s="955">
        <f>+(BN61+BN65)*BN66/4</f>
        <v>3.7050000000000001</v>
      </c>
      <c r="BO67" s="957">
        <f>SUM(BK67:BN67)</f>
        <v>14.82</v>
      </c>
      <c r="BP67" s="986"/>
      <c r="BQ67" s="955">
        <f>+(BQ61+BQ65)*BQ66/4</f>
        <v>3.7050000000000001</v>
      </c>
      <c r="BR67" s="955">
        <f>+(BR61+BR65)*BR66/4</f>
        <v>3.7050000000000001</v>
      </c>
      <c r="BS67" s="955">
        <f>+(BS61+BS65)*BS66/4</f>
        <v>3.7050000000000001</v>
      </c>
      <c r="BT67" s="955">
        <f>+(BT61+BT65)*BT66/4</f>
        <v>3.7050000000000001</v>
      </c>
      <c r="BU67" s="957">
        <f>SUM(BQ67:BT67)</f>
        <v>14.82</v>
      </c>
      <c r="BW67" s="955">
        <f>+(BW61+BW65)*BW66/4</f>
        <v>3.7050000000000001</v>
      </c>
      <c r="BX67" s="955">
        <f>+(BX61+BX65)*BX66/4</f>
        <v>3.7050000000000001</v>
      </c>
      <c r="BY67" s="955">
        <f>+(BY61+BY65)*BY66/4</f>
        <v>3.7050000000000001</v>
      </c>
      <c r="BZ67" s="955">
        <f>+(BZ61+BZ65)*BZ66/4</f>
        <v>3.7050000000000001</v>
      </c>
      <c r="CA67" s="957">
        <f>SUM(BW67:BZ67)</f>
        <v>14.82</v>
      </c>
      <c r="CC67" s="955">
        <f>+(CC61+CC65)*CC66/4</f>
        <v>3.7050000000000001</v>
      </c>
      <c r="CD67" s="955">
        <f>+(CD61+CD65)*CD66/4</f>
        <v>3.7050000000000001</v>
      </c>
      <c r="CE67" s="955">
        <f>+(CE61+CE65)*CE66/4</f>
        <v>3.7050000000000001</v>
      </c>
      <c r="CF67" s="955">
        <f>+(CF61+CF65)*CF66/4</f>
        <v>3.7050000000000001</v>
      </c>
      <c r="CG67" s="957">
        <f>SUM(CC67:CF67)</f>
        <v>14.82</v>
      </c>
      <c r="CI67" s="955">
        <f>+(CI61+CI65)*CI66/4</f>
        <v>3.7050000000000001</v>
      </c>
      <c r="CJ67" s="955">
        <f>+(CJ61+CJ65)*CJ66/4</f>
        <v>3.7050000000000001</v>
      </c>
      <c r="CK67" s="955">
        <f>+(CK61+CK65)*CK66/4</f>
        <v>3.7050000000000001</v>
      </c>
      <c r="CL67" s="955">
        <f>+(CL61+CL65)*CL66/4</f>
        <v>3.7050000000000001</v>
      </c>
      <c r="CM67" s="957">
        <f>SUM(CI67:CL67)</f>
        <v>14.82</v>
      </c>
    </row>
    <row r="68" spans="1:91" s="24" customFormat="1" outlineLevel="1">
      <c r="A68" s="398"/>
      <c r="B68" s="387"/>
      <c r="C68" s="387"/>
      <c r="D68" s="387"/>
      <c r="E68" s="387"/>
      <c r="F68" s="986"/>
      <c r="G68" s="956"/>
      <c r="H68" s="346"/>
      <c r="I68" s="986"/>
      <c r="J68" s="986"/>
      <c r="K68" s="986"/>
      <c r="L68" s="1730"/>
      <c r="M68" s="988"/>
      <c r="N68" s="1702"/>
      <c r="O68" s="986"/>
      <c r="P68" s="986"/>
      <c r="Q68" s="986"/>
      <c r="R68" s="986"/>
      <c r="S68" s="988"/>
      <c r="T68" s="986"/>
      <c r="U68" s="986"/>
      <c r="V68" s="986"/>
      <c r="W68" s="986"/>
      <c r="X68" s="986"/>
      <c r="Y68" s="988"/>
      <c r="Z68" s="986"/>
      <c r="AA68" s="986"/>
      <c r="AB68" s="986"/>
      <c r="AC68" s="986"/>
      <c r="AD68" s="986"/>
      <c r="AE68" s="988"/>
      <c r="AF68" s="986"/>
      <c r="AG68" s="986"/>
      <c r="AH68" s="986"/>
      <c r="AI68" s="986"/>
      <c r="AJ68" s="986"/>
      <c r="AK68" s="988"/>
      <c r="AL68" s="986"/>
      <c r="AM68" s="986"/>
      <c r="AN68" s="986"/>
      <c r="AO68" s="986"/>
      <c r="AP68" s="986"/>
      <c r="AQ68" s="988"/>
      <c r="AR68" s="986"/>
      <c r="AS68" s="986"/>
      <c r="AT68" s="986"/>
      <c r="AU68" s="986"/>
      <c r="AV68" s="986"/>
      <c r="AW68" s="988"/>
      <c r="AX68" s="986"/>
      <c r="AY68" s="986"/>
      <c r="AZ68" s="986"/>
      <c r="BA68" s="986"/>
      <c r="BB68" s="986"/>
      <c r="BC68" s="988"/>
      <c r="BD68" s="986"/>
      <c r="BE68" s="986"/>
      <c r="BF68" s="986"/>
      <c r="BG68" s="986"/>
      <c r="BH68" s="986"/>
      <c r="BI68" s="988"/>
      <c r="BJ68" s="986"/>
      <c r="BK68" s="986"/>
      <c r="BL68" s="986"/>
      <c r="BM68" s="986"/>
      <c r="BN68" s="986"/>
      <c r="BO68" s="988"/>
      <c r="BP68" s="986"/>
      <c r="BQ68" s="986"/>
      <c r="BR68" s="986"/>
      <c r="BS68" s="986"/>
      <c r="BT68" s="986"/>
      <c r="BU68" s="988"/>
      <c r="BW68" s="986"/>
      <c r="BX68" s="986"/>
      <c r="BY68" s="986"/>
      <c r="BZ68" s="986"/>
      <c r="CA68" s="988"/>
      <c r="CC68" s="986"/>
      <c r="CD68" s="986"/>
      <c r="CE68" s="986"/>
      <c r="CF68" s="986"/>
      <c r="CG68" s="988"/>
      <c r="CI68" s="986"/>
      <c r="CJ68" s="986"/>
      <c r="CK68" s="986"/>
      <c r="CL68" s="986"/>
      <c r="CM68" s="988"/>
    </row>
    <row r="69" spans="1:91" s="24" customFormat="1" outlineLevel="1">
      <c r="A69" s="398" t="s">
        <v>245</v>
      </c>
      <c r="B69" s="387"/>
      <c r="C69" s="387"/>
      <c r="D69" s="387"/>
      <c r="E69" s="387"/>
      <c r="F69" s="346"/>
      <c r="G69" s="956"/>
      <c r="H69" s="346"/>
      <c r="I69" s="1700">
        <v>650</v>
      </c>
      <c r="J69" s="1700">
        <f>+I69</f>
        <v>650</v>
      </c>
      <c r="K69" s="1700">
        <f>+J69-K71</f>
        <v>650</v>
      </c>
      <c r="L69" s="1700">
        <v>500</v>
      </c>
      <c r="M69" s="957"/>
      <c r="N69" s="955"/>
      <c r="O69" s="1703"/>
      <c r="P69" s="1703"/>
      <c r="Q69" s="1703"/>
      <c r="R69" s="1729"/>
      <c r="S69" s="957"/>
      <c r="T69" s="1700"/>
      <c r="U69" s="1730">
        <v>100</v>
      </c>
      <c r="V69" s="1700">
        <f>+U69-U71</f>
        <v>100</v>
      </c>
      <c r="W69" s="1700">
        <f>+V69-V71</f>
        <v>100</v>
      </c>
      <c r="X69" s="1700">
        <f>+W69-W71</f>
        <v>100</v>
      </c>
      <c r="Y69" s="957">
        <f>+X69</f>
        <v>100</v>
      </c>
      <c r="Z69" s="1700"/>
      <c r="AA69" s="1730">
        <v>100</v>
      </c>
      <c r="AB69" s="1700">
        <f>+AA69-AA71</f>
        <v>100</v>
      </c>
      <c r="AC69" s="1700">
        <f>+AB69-AB71</f>
        <v>100</v>
      </c>
      <c r="AD69" s="1700">
        <f>+AC69-AC71</f>
        <v>100</v>
      </c>
      <c r="AE69" s="957">
        <f>+AD69</f>
        <v>100</v>
      </c>
      <c r="AF69" s="1700"/>
      <c r="AG69" s="1730">
        <v>100</v>
      </c>
      <c r="AH69" s="1700">
        <f>+AG69-AG71</f>
        <v>100</v>
      </c>
      <c r="AI69" s="1700">
        <f>+AH69-AH71</f>
        <v>100</v>
      </c>
      <c r="AJ69" s="1700">
        <f>+AI69-AI71</f>
        <v>100</v>
      </c>
      <c r="AK69" s="957">
        <f>+AJ69</f>
        <v>100</v>
      </c>
      <c r="AL69" s="1700"/>
      <c r="AM69" s="1730">
        <v>100</v>
      </c>
      <c r="AN69" s="1700">
        <f>+AM69-AM71</f>
        <v>100</v>
      </c>
      <c r="AO69" s="1700">
        <f>+AN69-AN71</f>
        <v>100</v>
      </c>
      <c r="AP69" s="1700">
        <f>+AO69-AO71</f>
        <v>100</v>
      </c>
      <c r="AQ69" s="957">
        <f>+AP69</f>
        <v>100</v>
      </c>
      <c r="AR69" s="1700"/>
      <c r="AS69" s="1730">
        <v>100</v>
      </c>
      <c r="AT69" s="1700">
        <f>+AS69-AS71</f>
        <v>100</v>
      </c>
      <c r="AU69" s="1700">
        <f>+AT69-AT71</f>
        <v>100</v>
      </c>
      <c r="AV69" s="1700">
        <f>+AU69-AU71</f>
        <v>100</v>
      </c>
      <c r="AW69" s="957">
        <f>+AV69</f>
        <v>100</v>
      </c>
      <c r="AX69" s="1700"/>
      <c r="AY69" s="1730">
        <v>100</v>
      </c>
      <c r="AZ69" s="1700">
        <f>+AY69-AY71</f>
        <v>100</v>
      </c>
      <c r="BA69" s="1700">
        <f>+AZ69-AZ71</f>
        <v>100</v>
      </c>
      <c r="BB69" s="1700">
        <f>+BA69-BA71</f>
        <v>100</v>
      </c>
      <c r="BC69" s="957">
        <f>+BB69</f>
        <v>100</v>
      </c>
      <c r="BD69" s="1700"/>
      <c r="BE69" s="1730">
        <v>100</v>
      </c>
      <c r="BF69" s="1700">
        <f>+BE69-BE71</f>
        <v>100</v>
      </c>
      <c r="BG69" s="1700">
        <f>+BF69-BF71</f>
        <v>100</v>
      </c>
      <c r="BH69" s="1700">
        <f>+BG69-BG71</f>
        <v>100</v>
      </c>
      <c r="BI69" s="957">
        <f>+BH69</f>
        <v>100</v>
      </c>
      <c r="BJ69" s="1700"/>
      <c r="BK69" s="1730">
        <v>100</v>
      </c>
      <c r="BL69" s="1700">
        <f>+BK69-BK71</f>
        <v>100</v>
      </c>
      <c r="BM69" s="1700">
        <f>+BL69-BL71</f>
        <v>100</v>
      </c>
      <c r="BN69" s="1700">
        <f>+BM69-BM71</f>
        <v>100</v>
      </c>
      <c r="BO69" s="957">
        <f>+BN69</f>
        <v>100</v>
      </c>
      <c r="BP69" s="1700"/>
      <c r="BQ69" s="1730">
        <v>100</v>
      </c>
      <c r="BR69" s="1700">
        <f>+BQ69-BQ71</f>
        <v>100</v>
      </c>
      <c r="BS69" s="1700">
        <f>+BR69-BR71</f>
        <v>100</v>
      </c>
      <c r="BT69" s="1700">
        <f>+BS69-BS71</f>
        <v>100</v>
      </c>
      <c r="BU69" s="957">
        <f>+BT69</f>
        <v>100</v>
      </c>
      <c r="BW69" s="1730">
        <v>100</v>
      </c>
      <c r="BX69" s="1700">
        <f>+BW69-BW71</f>
        <v>100</v>
      </c>
      <c r="BY69" s="1700">
        <f>+BX69-BX71</f>
        <v>100</v>
      </c>
      <c r="BZ69" s="1700">
        <f>+BY69-BY71</f>
        <v>100</v>
      </c>
      <c r="CA69" s="957">
        <f>+BZ69</f>
        <v>100</v>
      </c>
      <c r="CC69" s="1730">
        <v>100</v>
      </c>
      <c r="CD69" s="1700">
        <f>+CC69-CC71</f>
        <v>100</v>
      </c>
      <c r="CE69" s="1700">
        <f>+CD69-CD71</f>
        <v>100</v>
      </c>
      <c r="CF69" s="1700">
        <f>+CE69-CE71</f>
        <v>100</v>
      </c>
      <c r="CG69" s="957">
        <f>+CF69</f>
        <v>100</v>
      </c>
      <c r="CI69" s="1730">
        <v>100</v>
      </c>
      <c r="CJ69" s="1700">
        <f>+CI69-CI71</f>
        <v>100</v>
      </c>
      <c r="CK69" s="1700">
        <f>+CJ69-CJ71</f>
        <v>100</v>
      </c>
      <c r="CL69" s="1700">
        <f>+CK69-CK71</f>
        <v>100</v>
      </c>
      <c r="CM69" s="957">
        <f>+CL69</f>
        <v>100</v>
      </c>
    </row>
    <row r="70" spans="1:91" s="24" customFormat="1" outlineLevel="1">
      <c r="A70" s="1734" t="s">
        <v>244</v>
      </c>
      <c r="B70" s="1735"/>
      <c r="C70" s="1735"/>
      <c r="D70" s="1735"/>
      <c r="E70" s="1735"/>
      <c r="F70" s="475"/>
      <c r="G70" s="956"/>
      <c r="H70" s="346"/>
      <c r="I70" s="475">
        <f>(I83*4)/I66</f>
        <v>0</v>
      </c>
      <c r="J70" s="475">
        <f>(J83*4)/J66</f>
        <v>0</v>
      </c>
      <c r="K70" s="475">
        <f>(K83*4)/K66</f>
        <v>0</v>
      </c>
      <c r="L70" s="475">
        <f>(L83*4)/L66</f>
        <v>0</v>
      </c>
      <c r="M70" s="1736"/>
      <c r="N70" s="955"/>
      <c r="O70" s="475"/>
      <c r="P70" s="475"/>
      <c r="Q70" s="475"/>
      <c r="R70" s="475"/>
      <c r="S70" s="1736"/>
      <c r="T70" s="1737"/>
      <c r="U70" s="1738">
        <v>3.7499999999999999E-2</v>
      </c>
      <c r="V70" s="477">
        <f t="shared" ref="V70:X71" si="75">+U70</f>
        <v>3.7499999999999999E-2</v>
      </c>
      <c r="W70" s="477">
        <f t="shared" si="75"/>
        <v>3.7499999999999999E-2</v>
      </c>
      <c r="X70" s="477">
        <f t="shared" si="75"/>
        <v>3.7499999999999999E-2</v>
      </c>
      <c r="Y70" s="1736"/>
      <c r="Z70" s="475"/>
      <c r="AA70" s="1738">
        <v>3.7499999999999999E-2</v>
      </c>
      <c r="AB70" s="477">
        <f t="shared" ref="AB70:AD71" si="76">+AA70</f>
        <v>3.7499999999999999E-2</v>
      </c>
      <c r="AC70" s="477">
        <f t="shared" si="76"/>
        <v>3.7499999999999999E-2</v>
      </c>
      <c r="AD70" s="477">
        <f t="shared" si="76"/>
        <v>3.7499999999999999E-2</v>
      </c>
      <c r="AE70" s="1739">
        <f>AVERAGE(AA70:AD70)</f>
        <v>3.7499999999999999E-2</v>
      </c>
      <c r="AF70" s="475"/>
      <c r="AG70" s="1738">
        <v>3.7499999999999999E-2</v>
      </c>
      <c r="AH70" s="477">
        <f t="shared" ref="AH70:AJ71" si="77">+AG70</f>
        <v>3.7499999999999999E-2</v>
      </c>
      <c r="AI70" s="477">
        <f t="shared" si="77"/>
        <v>3.7499999999999999E-2</v>
      </c>
      <c r="AJ70" s="477">
        <f t="shared" si="77"/>
        <v>3.7499999999999999E-2</v>
      </c>
      <c r="AK70" s="1739">
        <f>AVERAGE(AG70:AJ70)</f>
        <v>3.7499999999999999E-2</v>
      </c>
      <c r="AL70" s="475"/>
      <c r="AM70" s="1738">
        <v>3.7499999999999999E-2</v>
      </c>
      <c r="AN70" s="477">
        <f t="shared" ref="AN70:AP71" si="78">+AM70</f>
        <v>3.7499999999999999E-2</v>
      </c>
      <c r="AO70" s="477">
        <f t="shared" si="78"/>
        <v>3.7499999999999999E-2</v>
      </c>
      <c r="AP70" s="477">
        <f t="shared" si="78"/>
        <v>3.7499999999999999E-2</v>
      </c>
      <c r="AQ70" s="1739">
        <f>AVERAGE(AM70:AP70)</f>
        <v>3.7499999999999999E-2</v>
      </c>
      <c r="AR70" s="475"/>
      <c r="AS70" s="1738">
        <v>3.7499999999999999E-2</v>
      </c>
      <c r="AT70" s="477">
        <f t="shared" ref="AT70:AV71" si="79">+AS70</f>
        <v>3.7499999999999999E-2</v>
      </c>
      <c r="AU70" s="477">
        <f t="shared" si="79"/>
        <v>3.7499999999999999E-2</v>
      </c>
      <c r="AV70" s="477">
        <f t="shared" si="79"/>
        <v>3.7499999999999999E-2</v>
      </c>
      <c r="AW70" s="1739">
        <f>AVERAGE(AS70:AV70)</f>
        <v>3.7499999999999999E-2</v>
      </c>
      <c r="AX70" s="475"/>
      <c r="AY70" s="1738">
        <v>3.7499999999999999E-2</v>
      </c>
      <c r="AZ70" s="477">
        <f t="shared" ref="AZ70:BB71" si="80">+AY70</f>
        <v>3.7499999999999999E-2</v>
      </c>
      <c r="BA70" s="477">
        <f t="shared" si="80"/>
        <v>3.7499999999999999E-2</v>
      </c>
      <c r="BB70" s="477">
        <f t="shared" si="80"/>
        <v>3.7499999999999999E-2</v>
      </c>
      <c r="BC70" s="1739">
        <f>AVERAGE(AY70:BB70)</f>
        <v>3.7499999999999999E-2</v>
      </c>
      <c r="BD70" s="475"/>
      <c r="BE70" s="1738">
        <v>3.7499999999999999E-2</v>
      </c>
      <c r="BF70" s="477">
        <f t="shared" ref="BF70:BH71" si="81">+BE70</f>
        <v>3.7499999999999999E-2</v>
      </c>
      <c r="BG70" s="477">
        <f t="shared" si="81"/>
        <v>3.7499999999999999E-2</v>
      </c>
      <c r="BH70" s="477">
        <f t="shared" si="81"/>
        <v>3.7499999999999999E-2</v>
      </c>
      <c r="BI70" s="1739">
        <f>AVERAGE(BE70:BH70)</f>
        <v>3.7499999999999999E-2</v>
      </c>
      <c r="BJ70" s="475"/>
      <c r="BK70" s="1738">
        <v>3.7499999999999999E-2</v>
      </c>
      <c r="BL70" s="477">
        <f t="shared" ref="BL70:BN71" si="82">+BK70</f>
        <v>3.7499999999999999E-2</v>
      </c>
      <c r="BM70" s="477">
        <f t="shared" si="82"/>
        <v>3.7499999999999999E-2</v>
      </c>
      <c r="BN70" s="477">
        <f t="shared" si="82"/>
        <v>3.7499999999999999E-2</v>
      </c>
      <c r="BO70" s="1739">
        <f>AVERAGE(BK70:BN70)</f>
        <v>3.7499999999999999E-2</v>
      </c>
      <c r="BP70" s="475"/>
      <c r="BQ70" s="1738">
        <v>3.7499999999999999E-2</v>
      </c>
      <c r="BR70" s="477">
        <f t="shared" ref="BR70:BT71" si="83">+BQ70</f>
        <v>3.7499999999999999E-2</v>
      </c>
      <c r="BS70" s="477">
        <f t="shared" si="83"/>
        <v>3.7499999999999999E-2</v>
      </c>
      <c r="BT70" s="477">
        <f t="shared" si="83"/>
        <v>3.7499999999999999E-2</v>
      </c>
      <c r="BU70" s="1739">
        <f>AVERAGE(BQ70:BT70)</f>
        <v>3.7499999999999999E-2</v>
      </c>
      <c r="BW70" s="1738">
        <v>3.7499999999999999E-2</v>
      </c>
      <c r="BX70" s="477">
        <f t="shared" ref="BX70:BZ71" si="84">+BW70</f>
        <v>3.7499999999999999E-2</v>
      </c>
      <c r="BY70" s="477">
        <f t="shared" si="84"/>
        <v>3.7499999999999999E-2</v>
      </c>
      <c r="BZ70" s="477">
        <f t="shared" si="84"/>
        <v>3.7499999999999999E-2</v>
      </c>
      <c r="CA70" s="1739">
        <f>AVERAGE(BW70:BZ70)</f>
        <v>3.7499999999999999E-2</v>
      </c>
      <c r="CC70" s="1738">
        <v>3.7499999999999999E-2</v>
      </c>
      <c r="CD70" s="477">
        <f t="shared" ref="CD70:CF71" si="85">+CC70</f>
        <v>3.7499999999999999E-2</v>
      </c>
      <c r="CE70" s="477">
        <f t="shared" si="85"/>
        <v>3.7499999999999999E-2</v>
      </c>
      <c r="CF70" s="477">
        <f t="shared" si="85"/>
        <v>3.7499999999999999E-2</v>
      </c>
      <c r="CG70" s="1739">
        <f>AVERAGE(CC70:CF70)</f>
        <v>3.7499999999999999E-2</v>
      </c>
      <c r="CI70" s="1738">
        <v>3.7499999999999999E-2</v>
      </c>
      <c r="CJ70" s="477">
        <f t="shared" ref="CJ70:CL71" si="86">+CI70</f>
        <v>3.7499999999999999E-2</v>
      </c>
      <c r="CK70" s="477">
        <f t="shared" si="86"/>
        <v>3.7499999999999999E-2</v>
      </c>
      <c r="CL70" s="477">
        <f t="shared" si="86"/>
        <v>3.7499999999999999E-2</v>
      </c>
      <c r="CM70" s="1739">
        <f>AVERAGE(CI70:CL70)</f>
        <v>3.7499999999999999E-2</v>
      </c>
    </row>
    <row r="71" spans="1:91" s="24" customFormat="1" outlineLevel="1">
      <c r="A71" s="398" t="s">
        <v>242</v>
      </c>
      <c r="B71" s="387"/>
      <c r="C71" s="387"/>
      <c r="D71" s="387"/>
      <c r="E71" s="387"/>
      <c r="F71" s="986"/>
      <c r="G71" s="956"/>
      <c r="H71" s="346"/>
      <c r="I71" s="986"/>
      <c r="J71" s="986"/>
      <c r="K71" s="986"/>
      <c r="L71" s="1730"/>
      <c r="M71" s="988"/>
      <c r="N71" s="1702"/>
      <c r="O71" s="986"/>
      <c r="P71" s="986"/>
      <c r="Q71" s="986"/>
      <c r="R71" s="986"/>
      <c r="S71" s="988"/>
      <c r="T71" s="986"/>
      <c r="U71" s="986">
        <v>0</v>
      </c>
      <c r="V71" s="986">
        <f t="shared" si="75"/>
        <v>0</v>
      </c>
      <c r="W71" s="986">
        <f t="shared" si="75"/>
        <v>0</v>
      </c>
      <c r="X71" s="986">
        <f t="shared" si="75"/>
        <v>0</v>
      </c>
      <c r="Y71" s="988">
        <f>SUM(U71:X71)</f>
        <v>0</v>
      </c>
      <c r="Z71" s="987"/>
      <c r="AA71" s="986">
        <v>0</v>
      </c>
      <c r="AB71" s="986">
        <f t="shared" si="76"/>
        <v>0</v>
      </c>
      <c r="AC71" s="986">
        <f t="shared" si="76"/>
        <v>0</v>
      </c>
      <c r="AD71" s="986">
        <f t="shared" si="76"/>
        <v>0</v>
      </c>
      <c r="AE71" s="988">
        <f>SUM(AA71:AD71)</f>
        <v>0</v>
      </c>
      <c r="AF71" s="987"/>
      <c r="AG71" s="986">
        <v>0</v>
      </c>
      <c r="AH71" s="986">
        <f t="shared" si="77"/>
        <v>0</v>
      </c>
      <c r="AI71" s="986">
        <f t="shared" si="77"/>
        <v>0</v>
      </c>
      <c r="AJ71" s="986">
        <f t="shared" si="77"/>
        <v>0</v>
      </c>
      <c r="AK71" s="988">
        <f>SUM(AG71:AJ71)</f>
        <v>0</v>
      </c>
      <c r="AL71" s="987"/>
      <c r="AM71" s="986">
        <v>0</v>
      </c>
      <c r="AN71" s="986">
        <f t="shared" si="78"/>
        <v>0</v>
      </c>
      <c r="AO71" s="986">
        <f t="shared" si="78"/>
        <v>0</v>
      </c>
      <c r="AP71" s="986">
        <f t="shared" si="78"/>
        <v>0</v>
      </c>
      <c r="AQ71" s="988">
        <f>SUM(AM71:AP71)</f>
        <v>0</v>
      </c>
      <c r="AR71" s="987"/>
      <c r="AS71" s="986">
        <v>0</v>
      </c>
      <c r="AT71" s="986">
        <f t="shared" si="79"/>
        <v>0</v>
      </c>
      <c r="AU71" s="986">
        <f t="shared" si="79"/>
        <v>0</v>
      </c>
      <c r="AV71" s="986">
        <f t="shared" si="79"/>
        <v>0</v>
      </c>
      <c r="AW71" s="988">
        <f>SUM(AS71:AV71)</f>
        <v>0</v>
      </c>
      <c r="AX71" s="987"/>
      <c r="AY71" s="986">
        <v>0</v>
      </c>
      <c r="AZ71" s="986">
        <f t="shared" si="80"/>
        <v>0</v>
      </c>
      <c r="BA71" s="986">
        <f t="shared" si="80"/>
        <v>0</v>
      </c>
      <c r="BB71" s="986">
        <f t="shared" si="80"/>
        <v>0</v>
      </c>
      <c r="BC71" s="988">
        <f>SUM(AY71:BB71)</f>
        <v>0</v>
      </c>
      <c r="BD71" s="987"/>
      <c r="BE71" s="986">
        <v>0</v>
      </c>
      <c r="BF71" s="986">
        <f t="shared" si="81"/>
        <v>0</v>
      </c>
      <c r="BG71" s="986">
        <f t="shared" si="81"/>
        <v>0</v>
      </c>
      <c r="BH71" s="986">
        <f t="shared" si="81"/>
        <v>0</v>
      </c>
      <c r="BI71" s="988">
        <f>SUM(BE71:BH71)</f>
        <v>0</v>
      </c>
      <c r="BJ71" s="987"/>
      <c r="BK71" s="986">
        <v>0</v>
      </c>
      <c r="BL71" s="986">
        <f t="shared" si="82"/>
        <v>0</v>
      </c>
      <c r="BM71" s="986">
        <f t="shared" si="82"/>
        <v>0</v>
      </c>
      <c r="BN71" s="986">
        <f t="shared" si="82"/>
        <v>0</v>
      </c>
      <c r="BO71" s="988">
        <f>SUM(BK71:BN71)</f>
        <v>0</v>
      </c>
      <c r="BP71" s="987"/>
      <c r="BQ71" s="986">
        <v>0</v>
      </c>
      <c r="BR71" s="986">
        <f t="shared" si="83"/>
        <v>0</v>
      </c>
      <c r="BS71" s="986">
        <f t="shared" si="83"/>
        <v>0</v>
      </c>
      <c r="BT71" s="986">
        <f t="shared" si="83"/>
        <v>0</v>
      </c>
      <c r="BU71" s="988">
        <f>SUM(BQ71:BT71)</f>
        <v>0</v>
      </c>
      <c r="BW71" s="986">
        <v>0</v>
      </c>
      <c r="BX71" s="986">
        <f t="shared" si="84"/>
        <v>0</v>
      </c>
      <c r="BY71" s="986">
        <f t="shared" si="84"/>
        <v>0</v>
      </c>
      <c r="BZ71" s="986">
        <f t="shared" si="84"/>
        <v>0</v>
      </c>
      <c r="CA71" s="988">
        <f>SUM(BW71:BZ71)</f>
        <v>0</v>
      </c>
      <c r="CC71" s="986">
        <v>0</v>
      </c>
      <c r="CD71" s="986">
        <f t="shared" si="85"/>
        <v>0</v>
      </c>
      <c r="CE71" s="986">
        <f t="shared" si="85"/>
        <v>0</v>
      </c>
      <c r="CF71" s="986">
        <f t="shared" si="85"/>
        <v>0</v>
      </c>
      <c r="CG71" s="988">
        <f>SUM(CC71:CF71)</f>
        <v>0</v>
      </c>
      <c r="CI71" s="986">
        <v>0</v>
      </c>
      <c r="CJ71" s="986">
        <f t="shared" si="86"/>
        <v>0</v>
      </c>
      <c r="CK71" s="986">
        <f t="shared" si="86"/>
        <v>0</v>
      </c>
      <c r="CL71" s="986">
        <f t="shared" si="86"/>
        <v>0</v>
      </c>
      <c r="CM71" s="988">
        <f>SUM(CI71:CL71)</f>
        <v>0</v>
      </c>
    </row>
    <row r="72" spans="1:91" s="24" customFormat="1" outlineLevel="1">
      <c r="A72" s="398" t="s">
        <v>234</v>
      </c>
      <c r="B72" s="387"/>
      <c r="C72" s="387"/>
      <c r="D72" s="387"/>
      <c r="E72" s="387"/>
      <c r="F72" s="1700"/>
      <c r="G72" s="956"/>
      <c r="H72" s="346"/>
      <c r="I72" s="1700">
        <f>250+29.3</f>
        <v>279.3</v>
      </c>
      <c r="J72" s="1700">
        <v>334.02</v>
      </c>
      <c r="K72" s="1700">
        <v>377.488</v>
      </c>
      <c r="L72" s="1700">
        <v>36.119999999999997</v>
      </c>
      <c r="M72" s="1736"/>
      <c r="N72" s="955"/>
      <c r="O72" s="1703"/>
      <c r="P72" s="1703"/>
      <c r="Q72" s="1703"/>
      <c r="R72" s="1729"/>
      <c r="S72" s="1736"/>
      <c r="T72" s="1737"/>
      <c r="U72" s="1740">
        <f>+U69*U70/4*(2/3)</f>
        <v>0.625</v>
      </c>
      <c r="V72" s="1740">
        <f>+V69*V70/4</f>
        <v>0.9375</v>
      </c>
      <c r="W72" s="1740">
        <f>+W69*W70/4</f>
        <v>0.9375</v>
      </c>
      <c r="X72" s="1740">
        <f>+X69*X70/4</f>
        <v>0.9375</v>
      </c>
      <c r="Y72" s="1741">
        <f>SUM(U72:X72)</f>
        <v>3.4375</v>
      </c>
      <c r="Z72" s="955"/>
      <c r="AA72" s="1740">
        <f>+AA69*AA70/4</f>
        <v>0.9375</v>
      </c>
      <c r="AB72" s="1740">
        <f>+AB69*AB70/4</f>
        <v>0.9375</v>
      </c>
      <c r="AC72" s="1740">
        <f>+AC69*AC70/4</f>
        <v>0.9375</v>
      </c>
      <c r="AD72" s="1740">
        <f>+AD69*AD70/4</f>
        <v>0.9375</v>
      </c>
      <c r="AE72" s="1741">
        <f>SUM(AA72:AD72)</f>
        <v>3.75</v>
      </c>
      <c r="AF72" s="955"/>
      <c r="AG72" s="1740">
        <f>+AG69*AG70/4</f>
        <v>0.9375</v>
      </c>
      <c r="AH72" s="1740">
        <f>+AH69*AH70/4</f>
        <v>0.9375</v>
      </c>
      <c r="AI72" s="1740">
        <f>+AI69*AI70/4</f>
        <v>0.9375</v>
      </c>
      <c r="AJ72" s="1740">
        <f>+AJ69*AJ70/4</f>
        <v>0.9375</v>
      </c>
      <c r="AK72" s="1741">
        <f>SUM(AG72:AJ72)</f>
        <v>3.75</v>
      </c>
      <c r="AL72" s="955"/>
      <c r="AM72" s="1740">
        <f>+AM69*AM70/4</f>
        <v>0.9375</v>
      </c>
      <c r="AN72" s="1740">
        <f>+AN69*AN70/4</f>
        <v>0.9375</v>
      </c>
      <c r="AO72" s="1740">
        <f>+AO69*AO70/4</f>
        <v>0.9375</v>
      </c>
      <c r="AP72" s="1740">
        <f>+AP69*AP70/4</f>
        <v>0.9375</v>
      </c>
      <c r="AQ72" s="1741">
        <f>SUM(AM72:AP72)</f>
        <v>3.75</v>
      </c>
      <c r="AR72" s="955"/>
      <c r="AS72" s="1740">
        <f>+AS69*AS70/4</f>
        <v>0.9375</v>
      </c>
      <c r="AT72" s="1740">
        <f>+AT69*AT70/4</f>
        <v>0.9375</v>
      </c>
      <c r="AU72" s="1740">
        <f>+AU69*AU70/4</f>
        <v>0.9375</v>
      </c>
      <c r="AV72" s="1740">
        <f>+AV69*AV70/4</f>
        <v>0.9375</v>
      </c>
      <c r="AW72" s="1741">
        <f>SUM(AS72:AV72)</f>
        <v>3.75</v>
      </c>
      <c r="AX72" s="955"/>
      <c r="AY72" s="1740">
        <f>+AY69*AY70/4</f>
        <v>0.9375</v>
      </c>
      <c r="AZ72" s="1740">
        <f>+AZ69*AZ70/4</f>
        <v>0.9375</v>
      </c>
      <c r="BA72" s="1740">
        <f>+BA69*BA70/4</f>
        <v>0.9375</v>
      </c>
      <c r="BB72" s="1740">
        <f>+BB69*BB70/4</f>
        <v>0.9375</v>
      </c>
      <c r="BC72" s="1741">
        <f>SUM(AY72:BB72)</f>
        <v>3.75</v>
      </c>
      <c r="BD72" s="955"/>
      <c r="BE72" s="1740">
        <f>+BE69*BE70/4</f>
        <v>0.9375</v>
      </c>
      <c r="BF72" s="1740">
        <f>+BF69*BF70/4</f>
        <v>0.9375</v>
      </c>
      <c r="BG72" s="1740">
        <f>+BG69*BG70/4</f>
        <v>0.9375</v>
      </c>
      <c r="BH72" s="1740">
        <f>+BH69*BH70/4</f>
        <v>0.9375</v>
      </c>
      <c r="BI72" s="1741">
        <f>SUM(BE72:BH72)</f>
        <v>3.75</v>
      </c>
      <c r="BJ72" s="955"/>
      <c r="BK72" s="1740">
        <f>+BK69*BK70/4</f>
        <v>0.9375</v>
      </c>
      <c r="BL72" s="1740">
        <f>+BL69*BL70/4</f>
        <v>0.9375</v>
      </c>
      <c r="BM72" s="1740">
        <f>+BM69*BM70/4</f>
        <v>0.9375</v>
      </c>
      <c r="BN72" s="1740">
        <f>+BN69*BN70/4</f>
        <v>0.9375</v>
      </c>
      <c r="BO72" s="1741">
        <f>SUM(BK72:BN72)</f>
        <v>3.75</v>
      </c>
      <c r="BP72" s="955"/>
      <c r="BQ72" s="1740">
        <f>+BQ69*BQ70/4</f>
        <v>0.9375</v>
      </c>
      <c r="BR72" s="1740">
        <f>+BR69*BR70/4</f>
        <v>0.9375</v>
      </c>
      <c r="BS72" s="1740">
        <f>+BS69*BS70/4</f>
        <v>0.9375</v>
      </c>
      <c r="BT72" s="1740">
        <f>+BT69*BT70/4</f>
        <v>0.9375</v>
      </c>
      <c r="BU72" s="1741">
        <f>SUM(BQ72:BT72)</f>
        <v>3.75</v>
      </c>
      <c r="BW72" s="1740">
        <f>+BW69*BW70/4</f>
        <v>0.9375</v>
      </c>
      <c r="BX72" s="1740">
        <f>+BX69*BX70/4</f>
        <v>0.9375</v>
      </c>
      <c r="BY72" s="1740">
        <f>+BY69*BY70/4</f>
        <v>0.9375</v>
      </c>
      <c r="BZ72" s="1740">
        <f>+BZ69*BZ70/4</f>
        <v>0.9375</v>
      </c>
      <c r="CA72" s="1741">
        <f>SUM(BW72:BZ72)</f>
        <v>3.75</v>
      </c>
      <c r="CC72" s="1740">
        <f>+CC69*CC70/4</f>
        <v>0.9375</v>
      </c>
      <c r="CD72" s="1740">
        <f>+CD69*CD70/4</f>
        <v>0.9375</v>
      </c>
      <c r="CE72" s="1740">
        <f>+CE69*CE70/4</f>
        <v>0.9375</v>
      </c>
      <c r="CF72" s="1740">
        <f>+CF69*CF70/4</f>
        <v>0.9375</v>
      </c>
      <c r="CG72" s="1741">
        <f>SUM(CC72:CF72)</f>
        <v>3.75</v>
      </c>
      <c r="CI72" s="1740">
        <f>+CI69*CI70/4</f>
        <v>0.9375</v>
      </c>
      <c r="CJ72" s="1740">
        <f>+CJ69*CJ70/4</f>
        <v>0.9375</v>
      </c>
      <c r="CK72" s="1740">
        <f>+CK69*CK70/4</f>
        <v>0.9375</v>
      </c>
      <c r="CL72" s="1740">
        <f>+CL69*CL70/4</f>
        <v>0.9375</v>
      </c>
      <c r="CM72" s="1741">
        <f>SUM(CI72:CL72)</f>
        <v>3.75</v>
      </c>
    </row>
    <row r="73" spans="1:91" s="24" customFormat="1" outlineLevel="1">
      <c r="A73" s="398"/>
      <c r="B73" s="387"/>
      <c r="C73" s="387"/>
      <c r="D73" s="387"/>
      <c r="E73" s="387"/>
      <c r="F73" s="986"/>
      <c r="G73" s="956"/>
      <c r="H73" s="346"/>
      <c r="I73" s="986"/>
      <c r="J73" s="986"/>
      <c r="K73" s="986"/>
      <c r="L73" s="1730"/>
      <c r="M73" s="988"/>
      <c r="N73" s="1702"/>
      <c r="O73" s="986"/>
      <c r="P73" s="986"/>
      <c r="Q73" s="986"/>
      <c r="R73" s="986"/>
      <c r="S73" s="988"/>
      <c r="T73" s="986"/>
      <c r="U73" s="986"/>
      <c r="V73" s="986"/>
      <c r="W73" s="986"/>
      <c r="X73" s="1742"/>
      <c r="Y73" s="988"/>
      <c r="Z73" s="986"/>
      <c r="AA73" s="986"/>
      <c r="AB73" s="986"/>
      <c r="AC73" s="986"/>
      <c r="AD73" s="1742"/>
      <c r="AE73" s="988"/>
      <c r="AF73" s="986"/>
      <c r="AG73" s="986"/>
      <c r="AH73" s="986"/>
      <c r="AI73" s="986"/>
      <c r="AJ73" s="1742"/>
      <c r="AK73" s="988"/>
      <c r="AL73" s="986"/>
      <c r="AM73" s="986"/>
      <c r="AN73" s="986"/>
      <c r="AO73" s="986"/>
      <c r="AP73" s="1742"/>
      <c r="AQ73" s="988"/>
      <c r="AR73" s="986"/>
      <c r="AS73" s="986"/>
      <c r="AT73" s="986"/>
      <c r="AU73" s="986"/>
      <c r="AV73" s="1742"/>
      <c r="AW73" s="988"/>
      <c r="AX73" s="986"/>
      <c r="AY73" s="986"/>
      <c r="AZ73" s="986"/>
      <c r="BA73" s="986"/>
      <c r="BB73" s="1742"/>
      <c r="BC73" s="988"/>
      <c r="BD73" s="986"/>
      <c r="BE73" s="986"/>
      <c r="BF73" s="986"/>
      <c r="BG73" s="986"/>
      <c r="BH73" s="1742"/>
      <c r="BI73" s="988"/>
      <c r="BJ73" s="986"/>
      <c r="BK73" s="986"/>
      <c r="BL73" s="986"/>
      <c r="BM73" s="986"/>
      <c r="BN73" s="1742"/>
      <c r="BO73" s="988"/>
      <c r="BP73" s="986"/>
      <c r="BQ73" s="986"/>
      <c r="BR73" s="986"/>
      <c r="BS73" s="986"/>
      <c r="BT73" s="1742"/>
      <c r="BU73" s="988"/>
      <c r="BW73" s="986"/>
      <c r="BX73" s="986"/>
      <c r="BY73" s="986"/>
      <c r="BZ73" s="1742"/>
      <c r="CA73" s="988"/>
      <c r="CC73" s="986"/>
      <c r="CD73" s="986"/>
      <c r="CE73" s="986"/>
      <c r="CF73" s="1742"/>
      <c r="CG73" s="988"/>
      <c r="CI73" s="986"/>
      <c r="CJ73" s="986"/>
      <c r="CK73" s="986"/>
      <c r="CL73" s="1742"/>
      <c r="CM73" s="988"/>
    </row>
    <row r="74" spans="1:91" s="24" customFormat="1" outlineLevel="1">
      <c r="A74" s="398" t="s">
        <v>246</v>
      </c>
      <c r="B74" s="387"/>
      <c r="C74" s="387"/>
      <c r="D74" s="387"/>
      <c r="E74" s="387"/>
      <c r="F74" s="346"/>
      <c r="G74" s="956"/>
      <c r="H74" s="346"/>
      <c r="I74" s="1700">
        <v>650</v>
      </c>
      <c r="J74" s="1700">
        <f>+I74</f>
        <v>650</v>
      </c>
      <c r="K74" s="1700">
        <f>+J74-K76</f>
        <v>650</v>
      </c>
      <c r="L74" s="1700">
        <v>500</v>
      </c>
      <c r="M74" s="957"/>
      <c r="N74" s="955"/>
      <c r="O74" s="1703"/>
      <c r="P74" s="1703"/>
      <c r="Q74" s="1703"/>
      <c r="R74" s="1729"/>
      <c r="S74" s="957"/>
      <c r="T74" s="1700"/>
      <c r="U74" s="1730">
        <v>100</v>
      </c>
      <c r="V74" s="1700">
        <f>+U74-U76</f>
        <v>100</v>
      </c>
      <c r="W74" s="1700">
        <f>+V74-V76</f>
        <v>100</v>
      </c>
      <c r="X74" s="1700">
        <f>+W74-W76</f>
        <v>100</v>
      </c>
      <c r="Y74" s="957">
        <f>+X74</f>
        <v>100</v>
      </c>
      <c r="Z74" s="1700"/>
      <c r="AA74" s="1730">
        <v>100</v>
      </c>
      <c r="AB74" s="1700">
        <f>+AA74-AA76</f>
        <v>100</v>
      </c>
      <c r="AC74" s="1700">
        <f>+AB74-AB76</f>
        <v>100</v>
      </c>
      <c r="AD74" s="1700">
        <f>+AC74-AC76</f>
        <v>100</v>
      </c>
      <c r="AE74" s="957">
        <f>+AD74</f>
        <v>100</v>
      </c>
      <c r="AF74" s="1700"/>
      <c r="AG74" s="1730">
        <v>100</v>
      </c>
      <c r="AH74" s="1700">
        <f>+AG74-AG76</f>
        <v>100</v>
      </c>
      <c r="AI74" s="1700">
        <f>+AH74-AH76</f>
        <v>100</v>
      </c>
      <c r="AJ74" s="1700">
        <f>+AI74-AI76</f>
        <v>100</v>
      </c>
      <c r="AK74" s="957">
        <f>+AJ74</f>
        <v>100</v>
      </c>
      <c r="AL74" s="1700"/>
      <c r="AM74" s="1730">
        <v>100</v>
      </c>
      <c r="AN74" s="1700">
        <f>+AM74-AM76</f>
        <v>100</v>
      </c>
      <c r="AO74" s="1700">
        <f>+AN74-AN76</f>
        <v>100</v>
      </c>
      <c r="AP74" s="1700">
        <f>+AO74-AO76</f>
        <v>100</v>
      </c>
      <c r="AQ74" s="957">
        <f>+AP74</f>
        <v>100</v>
      </c>
      <c r="AR74" s="1700"/>
      <c r="AS74" s="1730">
        <v>100</v>
      </c>
      <c r="AT74" s="1700">
        <f>+AS74-AS76</f>
        <v>100</v>
      </c>
      <c r="AU74" s="1700">
        <f>+AT74-AT76</f>
        <v>100</v>
      </c>
      <c r="AV74" s="1700">
        <f>+AU74-AU76</f>
        <v>100</v>
      </c>
      <c r="AW74" s="957">
        <f>+AV74</f>
        <v>100</v>
      </c>
      <c r="AX74" s="1700"/>
      <c r="AY74" s="1730">
        <v>100</v>
      </c>
      <c r="AZ74" s="1700">
        <f>+AY74-AY76</f>
        <v>100</v>
      </c>
      <c r="BA74" s="1700">
        <f>+AZ74-AZ76</f>
        <v>100</v>
      </c>
      <c r="BB74" s="1700">
        <f>+BA74-BA76</f>
        <v>100</v>
      </c>
      <c r="BC74" s="957">
        <f>+BB74</f>
        <v>100</v>
      </c>
      <c r="BD74" s="1700"/>
      <c r="BE74" s="1730">
        <v>100</v>
      </c>
      <c r="BF74" s="1700">
        <f>+BE74-BE76</f>
        <v>100</v>
      </c>
      <c r="BG74" s="1700">
        <f>+BF74-BF76</f>
        <v>100</v>
      </c>
      <c r="BH74" s="1700">
        <f>+BG74-BG76</f>
        <v>100</v>
      </c>
      <c r="BI74" s="957">
        <f>+BH74</f>
        <v>100</v>
      </c>
      <c r="BJ74" s="1700"/>
      <c r="BK74" s="1730">
        <v>100</v>
      </c>
      <c r="BL74" s="1700">
        <f>+BK74-BK76</f>
        <v>100</v>
      </c>
      <c r="BM74" s="1700">
        <f>+BL74-BL76</f>
        <v>100</v>
      </c>
      <c r="BN74" s="1700">
        <f>+BM74-BM76</f>
        <v>100</v>
      </c>
      <c r="BO74" s="957">
        <f>+BN74</f>
        <v>100</v>
      </c>
      <c r="BP74" s="1700"/>
      <c r="BQ74" s="1730">
        <v>100</v>
      </c>
      <c r="BR74" s="1700">
        <f>+BQ74-BQ76</f>
        <v>100</v>
      </c>
      <c r="BS74" s="1700">
        <f>+BR74-BR76</f>
        <v>100</v>
      </c>
      <c r="BT74" s="1700">
        <f>+BS74-BS76</f>
        <v>100</v>
      </c>
      <c r="BU74" s="957">
        <f>+BT74</f>
        <v>100</v>
      </c>
      <c r="BW74" s="1730">
        <v>100</v>
      </c>
      <c r="BX74" s="1700">
        <f>+BW74-BW76</f>
        <v>100</v>
      </c>
      <c r="BY74" s="1700">
        <f>+BX74-BX76</f>
        <v>100</v>
      </c>
      <c r="BZ74" s="1700">
        <f>+BY74-BY76</f>
        <v>100</v>
      </c>
      <c r="CA74" s="957">
        <f>+BZ74</f>
        <v>100</v>
      </c>
      <c r="CC74" s="1730">
        <v>100</v>
      </c>
      <c r="CD74" s="1700">
        <f>+CC74-CC76</f>
        <v>100</v>
      </c>
      <c r="CE74" s="1700">
        <f>+CD74-CD76</f>
        <v>100</v>
      </c>
      <c r="CF74" s="1700">
        <f>+CE74-CE76</f>
        <v>100</v>
      </c>
      <c r="CG74" s="957">
        <f>+CF74</f>
        <v>100</v>
      </c>
      <c r="CI74" s="1730">
        <v>100</v>
      </c>
      <c r="CJ74" s="1700">
        <f>+CI74-CI76</f>
        <v>100</v>
      </c>
      <c r="CK74" s="1700">
        <f>+CJ74-CJ76</f>
        <v>100</v>
      </c>
      <c r="CL74" s="1700">
        <f>+CK74-CK76</f>
        <v>100</v>
      </c>
      <c r="CM74" s="957">
        <f>+CL74</f>
        <v>100</v>
      </c>
    </row>
    <row r="75" spans="1:91" s="24" customFormat="1" outlineLevel="1">
      <c r="A75" s="1734" t="s">
        <v>244</v>
      </c>
      <c r="B75" s="1735"/>
      <c r="C75" s="1735"/>
      <c r="D75" s="1735"/>
      <c r="E75" s="1735"/>
      <c r="F75" s="475"/>
      <c r="G75" s="956"/>
      <c r="H75" s="346"/>
      <c r="I75" s="475" t="e">
        <f>(I88*4)/I71</f>
        <v>#DIV/0!</v>
      </c>
      <c r="J75" s="475" t="e">
        <f>(J88*4)/J71</f>
        <v>#DIV/0!</v>
      </c>
      <c r="K75" s="475" t="e">
        <f>(K88*4)/K71</f>
        <v>#DIV/0!</v>
      </c>
      <c r="L75" s="475" t="e">
        <f>(L88*4)/L71</f>
        <v>#DIV/0!</v>
      </c>
      <c r="M75" s="1736"/>
      <c r="N75" s="955"/>
      <c r="O75" s="475"/>
      <c r="P75" s="475"/>
      <c r="Q75" s="475"/>
      <c r="R75" s="475"/>
      <c r="S75" s="1736"/>
      <c r="T75" s="1737"/>
      <c r="U75" s="1738">
        <v>0.05</v>
      </c>
      <c r="V75" s="477">
        <f t="shared" ref="V75:X76" si="87">+U75</f>
        <v>0.05</v>
      </c>
      <c r="W75" s="477">
        <f t="shared" si="87"/>
        <v>0.05</v>
      </c>
      <c r="X75" s="477">
        <f t="shared" si="87"/>
        <v>0.05</v>
      </c>
      <c r="Y75" s="1736"/>
      <c r="Z75" s="475"/>
      <c r="AA75" s="1738">
        <v>0.05</v>
      </c>
      <c r="AB75" s="477">
        <f t="shared" ref="AB75:AD76" si="88">+AA75</f>
        <v>0.05</v>
      </c>
      <c r="AC75" s="477">
        <f t="shared" si="88"/>
        <v>0.05</v>
      </c>
      <c r="AD75" s="477">
        <f t="shared" si="88"/>
        <v>0.05</v>
      </c>
      <c r="AE75" s="1739">
        <f>AVERAGE(AA75:AD75)</f>
        <v>0.05</v>
      </c>
      <c r="AF75" s="475"/>
      <c r="AG75" s="1738">
        <v>0.05</v>
      </c>
      <c r="AH75" s="477">
        <f t="shared" ref="AH75:AJ76" si="89">+AG75</f>
        <v>0.05</v>
      </c>
      <c r="AI75" s="477">
        <f t="shared" si="89"/>
        <v>0.05</v>
      </c>
      <c r="AJ75" s="477">
        <f t="shared" si="89"/>
        <v>0.05</v>
      </c>
      <c r="AK75" s="1739">
        <f>AVERAGE(AG75:AJ75)</f>
        <v>0.05</v>
      </c>
      <c r="AL75" s="475"/>
      <c r="AM75" s="1738">
        <v>0.05</v>
      </c>
      <c r="AN75" s="477">
        <f t="shared" ref="AN75:AP76" si="90">+AM75</f>
        <v>0.05</v>
      </c>
      <c r="AO75" s="477">
        <f t="shared" si="90"/>
        <v>0.05</v>
      </c>
      <c r="AP75" s="477">
        <f t="shared" si="90"/>
        <v>0.05</v>
      </c>
      <c r="AQ75" s="1739">
        <f>AVERAGE(AM75:AP75)</f>
        <v>0.05</v>
      </c>
      <c r="AR75" s="475"/>
      <c r="AS75" s="1738">
        <v>0.05</v>
      </c>
      <c r="AT75" s="477">
        <f t="shared" ref="AT75:AV76" si="91">+AS75</f>
        <v>0.05</v>
      </c>
      <c r="AU75" s="477">
        <f t="shared" si="91"/>
        <v>0.05</v>
      </c>
      <c r="AV75" s="477">
        <f t="shared" si="91"/>
        <v>0.05</v>
      </c>
      <c r="AW75" s="1739">
        <f>AVERAGE(AS75:AV75)</f>
        <v>0.05</v>
      </c>
      <c r="AX75" s="475"/>
      <c r="AY75" s="1738">
        <v>0.05</v>
      </c>
      <c r="AZ75" s="477">
        <f t="shared" ref="AZ75:BB76" si="92">+AY75</f>
        <v>0.05</v>
      </c>
      <c r="BA75" s="477">
        <f t="shared" si="92"/>
        <v>0.05</v>
      </c>
      <c r="BB75" s="477">
        <f t="shared" si="92"/>
        <v>0.05</v>
      </c>
      <c r="BC75" s="1739">
        <f>AVERAGE(AY75:BB75)</f>
        <v>0.05</v>
      </c>
      <c r="BD75" s="475"/>
      <c r="BE75" s="1738">
        <v>0.05</v>
      </c>
      <c r="BF75" s="477">
        <f t="shared" ref="BF75:BH76" si="93">+BE75</f>
        <v>0.05</v>
      </c>
      <c r="BG75" s="477">
        <f t="shared" si="93"/>
        <v>0.05</v>
      </c>
      <c r="BH75" s="477">
        <f t="shared" si="93"/>
        <v>0.05</v>
      </c>
      <c r="BI75" s="1739">
        <f>AVERAGE(BE75:BH75)</f>
        <v>0.05</v>
      </c>
      <c r="BJ75" s="475"/>
      <c r="BK75" s="1738">
        <v>0.05</v>
      </c>
      <c r="BL75" s="477">
        <f t="shared" ref="BL75:BN76" si="94">+BK75</f>
        <v>0.05</v>
      </c>
      <c r="BM75" s="477">
        <f t="shared" si="94"/>
        <v>0.05</v>
      </c>
      <c r="BN75" s="477">
        <f t="shared" si="94"/>
        <v>0.05</v>
      </c>
      <c r="BO75" s="1739">
        <f>AVERAGE(BK75:BN75)</f>
        <v>0.05</v>
      </c>
      <c r="BP75" s="475"/>
      <c r="BQ75" s="1738">
        <v>0.05</v>
      </c>
      <c r="BR75" s="477">
        <f t="shared" ref="BR75:BT76" si="95">+BQ75</f>
        <v>0.05</v>
      </c>
      <c r="BS75" s="477">
        <f t="shared" si="95"/>
        <v>0.05</v>
      </c>
      <c r="BT75" s="477">
        <f t="shared" si="95"/>
        <v>0.05</v>
      </c>
      <c r="BU75" s="1739">
        <f>AVERAGE(BQ75:BT75)</f>
        <v>0.05</v>
      </c>
      <c r="BW75" s="1738">
        <v>0.05</v>
      </c>
      <c r="BX75" s="477">
        <f t="shared" ref="BX75:BZ76" si="96">+BW75</f>
        <v>0.05</v>
      </c>
      <c r="BY75" s="477">
        <f t="shared" si="96"/>
        <v>0.05</v>
      </c>
      <c r="BZ75" s="477">
        <f t="shared" si="96"/>
        <v>0.05</v>
      </c>
      <c r="CA75" s="1739">
        <f>AVERAGE(BW75:BZ75)</f>
        <v>0.05</v>
      </c>
      <c r="CC75" s="1738">
        <v>0.05</v>
      </c>
      <c r="CD75" s="477">
        <f t="shared" ref="CD75:CF76" si="97">+CC75</f>
        <v>0.05</v>
      </c>
      <c r="CE75" s="477">
        <f t="shared" si="97"/>
        <v>0.05</v>
      </c>
      <c r="CF75" s="477">
        <f t="shared" si="97"/>
        <v>0.05</v>
      </c>
      <c r="CG75" s="1739">
        <f>AVERAGE(CC75:CF75)</f>
        <v>0.05</v>
      </c>
      <c r="CI75" s="1738">
        <v>0.05</v>
      </c>
      <c r="CJ75" s="477">
        <f t="shared" ref="CJ75:CL76" si="98">+CI75</f>
        <v>0.05</v>
      </c>
      <c r="CK75" s="477">
        <f t="shared" si="98"/>
        <v>0.05</v>
      </c>
      <c r="CL75" s="477">
        <f t="shared" si="98"/>
        <v>0.05</v>
      </c>
      <c r="CM75" s="1739">
        <f>AVERAGE(CI75:CL75)</f>
        <v>0.05</v>
      </c>
    </row>
    <row r="76" spans="1:91" s="24" customFormat="1" outlineLevel="1">
      <c r="A76" s="398" t="s">
        <v>242</v>
      </c>
      <c r="B76" s="387"/>
      <c r="C76" s="387"/>
      <c r="D76" s="387"/>
      <c r="E76" s="387"/>
      <c r="F76" s="986"/>
      <c r="G76" s="956"/>
      <c r="H76" s="346"/>
      <c r="I76" s="986"/>
      <c r="J76" s="986"/>
      <c r="K76" s="986"/>
      <c r="L76" s="1730"/>
      <c r="M76" s="988"/>
      <c r="N76" s="1702"/>
      <c r="O76" s="986"/>
      <c r="P76" s="986"/>
      <c r="Q76" s="986"/>
      <c r="R76" s="986"/>
      <c r="S76" s="988"/>
      <c r="T76" s="986"/>
      <c r="U76" s="986">
        <v>0</v>
      </c>
      <c r="V76" s="986">
        <f t="shared" si="87"/>
        <v>0</v>
      </c>
      <c r="W76" s="986">
        <f t="shared" si="87"/>
        <v>0</v>
      </c>
      <c r="X76" s="986">
        <f t="shared" si="87"/>
        <v>0</v>
      </c>
      <c r="Y76" s="988">
        <f>SUM(U76:X76)</f>
        <v>0</v>
      </c>
      <c r="Z76" s="987"/>
      <c r="AA76" s="986">
        <v>0</v>
      </c>
      <c r="AB76" s="986">
        <f t="shared" si="88"/>
        <v>0</v>
      </c>
      <c r="AC76" s="986">
        <f t="shared" si="88"/>
        <v>0</v>
      </c>
      <c r="AD76" s="986">
        <f t="shared" si="88"/>
        <v>0</v>
      </c>
      <c r="AE76" s="988">
        <f>SUM(AA76:AD76)</f>
        <v>0</v>
      </c>
      <c r="AF76" s="987"/>
      <c r="AG76" s="986">
        <v>0</v>
      </c>
      <c r="AH76" s="986">
        <f t="shared" si="89"/>
        <v>0</v>
      </c>
      <c r="AI76" s="986">
        <f t="shared" si="89"/>
        <v>0</v>
      </c>
      <c r="AJ76" s="986">
        <f t="shared" si="89"/>
        <v>0</v>
      </c>
      <c r="AK76" s="988">
        <f>SUM(AG76:AJ76)</f>
        <v>0</v>
      </c>
      <c r="AL76" s="987"/>
      <c r="AM76" s="986">
        <v>0</v>
      </c>
      <c r="AN76" s="986">
        <f t="shared" si="90"/>
        <v>0</v>
      </c>
      <c r="AO76" s="986">
        <f t="shared" si="90"/>
        <v>0</v>
      </c>
      <c r="AP76" s="986">
        <f t="shared" si="90"/>
        <v>0</v>
      </c>
      <c r="AQ76" s="988">
        <f>SUM(AM76:AP76)</f>
        <v>0</v>
      </c>
      <c r="AR76" s="987"/>
      <c r="AS76" s="986">
        <v>0</v>
      </c>
      <c r="AT76" s="986">
        <f t="shared" si="91"/>
        <v>0</v>
      </c>
      <c r="AU76" s="986">
        <f t="shared" si="91"/>
        <v>0</v>
      </c>
      <c r="AV76" s="986">
        <f t="shared" si="91"/>
        <v>0</v>
      </c>
      <c r="AW76" s="988">
        <f>SUM(AS76:AV76)</f>
        <v>0</v>
      </c>
      <c r="AX76" s="987"/>
      <c r="AY76" s="986">
        <v>0</v>
      </c>
      <c r="AZ76" s="986">
        <f t="shared" si="92"/>
        <v>0</v>
      </c>
      <c r="BA76" s="986">
        <f t="shared" si="92"/>
        <v>0</v>
      </c>
      <c r="BB76" s="986">
        <f t="shared" si="92"/>
        <v>0</v>
      </c>
      <c r="BC76" s="988">
        <f>SUM(AY76:BB76)</f>
        <v>0</v>
      </c>
      <c r="BD76" s="987"/>
      <c r="BE76" s="986">
        <v>0</v>
      </c>
      <c r="BF76" s="986">
        <f t="shared" si="93"/>
        <v>0</v>
      </c>
      <c r="BG76" s="986">
        <f t="shared" si="93"/>
        <v>0</v>
      </c>
      <c r="BH76" s="986">
        <f t="shared" si="93"/>
        <v>0</v>
      </c>
      <c r="BI76" s="988">
        <f>SUM(BE76:BH76)</f>
        <v>0</v>
      </c>
      <c r="BJ76" s="987"/>
      <c r="BK76" s="986">
        <v>0</v>
      </c>
      <c r="BL76" s="986">
        <f t="shared" si="94"/>
        <v>0</v>
      </c>
      <c r="BM76" s="986">
        <f t="shared" si="94"/>
        <v>0</v>
      </c>
      <c r="BN76" s="986">
        <f t="shared" si="94"/>
        <v>0</v>
      </c>
      <c r="BO76" s="988">
        <f>SUM(BK76:BN76)</f>
        <v>0</v>
      </c>
      <c r="BP76" s="987"/>
      <c r="BQ76" s="986">
        <v>0</v>
      </c>
      <c r="BR76" s="986">
        <f t="shared" si="95"/>
        <v>0</v>
      </c>
      <c r="BS76" s="986">
        <f t="shared" si="95"/>
        <v>0</v>
      </c>
      <c r="BT76" s="986">
        <f t="shared" si="95"/>
        <v>0</v>
      </c>
      <c r="BU76" s="988">
        <f>SUM(BQ76:BT76)</f>
        <v>0</v>
      </c>
      <c r="BW76" s="986">
        <v>0</v>
      </c>
      <c r="BX76" s="986">
        <f t="shared" si="96"/>
        <v>0</v>
      </c>
      <c r="BY76" s="986">
        <f t="shared" si="96"/>
        <v>0</v>
      </c>
      <c r="BZ76" s="986">
        <f t="shared" si="96"/>
        <v>0</v>
      </c>
      <c r="CA76" s="988">
        <f>SUM(BW76:BZ76)</f>
        <v>0</v>
      </c>
      <c r="CC76" s="986">
        <v>0</v>
      </c>
      <c r="CD76" s="986">
        <f t="shared" si="97"/>
        <v>0</v>
      </c>
      <c r="CE76" s="986">
        <f t="shared" si="97"/>
        <v>0</v>
      </c>
      <c r="CF76" s="986">
        <f t="shared" si="97"/>
        <v>0</v>
      </c>
      <c r="CG76" s="988">
        <f>SUM(CC76:CF76)</f>
        <v>0</v>
      </c>
      <c r="CI76" s="986">
        <v>0</v>
      </c>
      <c r="CJ76" s="986">
        <f t="shared" si="98"/>
        <v>0</v>
      </c>
      <c r="CK76" s="986">
        <f t="shared" si="98"/>
        <v>0</v>
      </c>
      <c r="CL76" s="986">
        <f t="shared" si="98"/>
        <v>0</v>
      </c>
      <c r="CM76" s="988">
        <f>SUM(CI76:CL76)</f>
        <v>0</v>
      </c>
    </row>
    <row r="77" spans="1:91" s="24" customFormat="1" outlineLevel="1">
      <c r="A77" s="398" t="s">
        <v>234</v>
      </c>
      <c r="B77" s="387"/>
      <c r="C77" s="387"/>
      <c r="D77" s="387"/>
      <c r="E77" s="387"/>
      <c r="F77" s="1700"/>
      <c r="G77" s="956"/>
      <c r="H77" s="346"/>
      <c r="I77" s="1700">
        <f>250+29.3</f>
        <v>279.3</v>
      </c>
      <c r="J77" s="1700">
        <v>334.02</v>
      </c>
      <c r="K77" s="1700">
        <v>377.488</v>
      </c>
      <c r="L77" s="1700">
        <v>36.119999999999997</v>
      </c>
      <c r="M77" s="1736"/>
      <c r="N77" s="955"/>
      <c r="O77" s="1703"/>
      <c r="P77" s="1703"/>
      <c r="Q77" s="1703"/>
      <c r="R77" s="1729"/>
      <c r="S77" s="1736"/>
      <c r="T77" s="1737"/>
      <c r="U77" s="1740">
        <f>+U74*U75/4*(1/3)</f>
        <v>0.41666666666666663</v>
      </c>
      <c r="V77" s="1740">
        <f>+V74*V75/4</f>
        <v>1.25</v>
      </c>
      <c r="W77" s="1740">
        <f>+W74*W75/4</f>
        <v>1.25</v>
      </c>
      <c r="X77" s="1740">
        <f>+X74*X75/4</f>
        <v>1.25</v>
      </c>
      <c r="Y77" s="1741">
        <f>SUM(U77:X77)</f>
        <v>4.1666666666666661</v>
      </c>
      <c r="Z77" s="955"/>
      <c r="AA77" s="1740">
        <f>+AA74*AA75/4</f>
        <v>1.25</v>
      </c>
      <c r="AB77" s="1740">
        <f>+AB74*AB75/4</f>
        <v>1.25</v>
      </c>
      <c r="AC77" s="1740">
        <f>+AC74*AC75/4</f>
        <v>1.25</v>
      </c>
      <c r="AD77" s="1740">
        <f>+AD74*AD75/4</f>
        <v>1.25</v>
      </c>
      <c r="AE77" s="1741">
        <f>SUM(AA77:AD77)</f>
        <v>5</v>
      </c>
      <c r="AF77" s="955"/>
      <c r="AG77" s="1740">
        <f>+AG74*AG75/4</f>
        <v>1.25</v>
      </c>
      <c r="AH77" s="1740">
        <f>+AH74*AH75/4</f>
        <v>1.25</v>
      </c>
      <c r="AI77" s="1740">
        <f>+AI74*AI75/4</f>
        <v>1.25</v>
      </c>
      <c r="AJ77" s="1740">
        <f>+AJ74*AJ75/4</f>
        <v>1.25</v>
      </c>
      <c r="AK77" s="1741">
        <f>SUM(AG77:AJ77)</f>
        <v>5</v>
      </c>
      <c r="AL77" s="955"/>
      <c r="AM77" s="1740">
        <f>+AM74*AM75/4</f>
        <v>1.25</v>
      </c>
      <c r="AN77" s="1740">
        <f>+AN74*AN75/4</f>
        <v>1.25</v>
      </c>
      <c r="AO77" s="1740">
        <f>+AO74*AO75/4</f>
        <v>1.25</v>
      </c>
      <c r="AP77" s="1740">
        <f>+AP74*AP75/4</f>
        <v>1.25</v>
      </c>
      <c r="AQ77" s="1741">
        <f>SUM(AM77:AP77)</f>
        <v>5</v>
      </c>
      <c r="AR77" s="955"/>
      <c r="AS77" s="1740">
        <f>+AS74*AS75/4</f>
        <v>1.25</v>
      </c>
      <c r="AT77" s="1740">
        <f>+AT74*AT75/4</f>
        <v>1.25</v>
      </c>
      <c r="AU77" s="1740">
        <f>+AU74*AU75/4</f>
        <v>1.25</v>
      </c>
      <c r="AV77" s="1740">
        <f>+AV74*AV75/4</f>
        <v>1.25</v>
      </c>
      <c r="AW77" s="1741">
        <f>SUM(AS77:AV77)</f>
        <v>5</v>
      </c>
      <c r="AX77" s="955"/>
      <c r="AY77" s="1740">
        <f>+AY74*AY75/4</f>
        <v>1.25</v>
      </c>
      <c r="AZ77" s="1740">
        <f>+AZ74*AZ75/4</f>
        <v>1.25</v>
      </c>
      <c r="BA77" s="1740">
        <f>+BA74*BA75/4</f>
        <v>1.25</v>
      </c>
      <c r="BB77" s="1740">
        <f>+BB74*BB75/4</f>
        <v>1.25</v>
      </c>
      <c r="BC77" s="1741">
        <f>SUM(AY77:BB77)</f>
        <v>5</v>
      </c>
      <c r="BD77" s="955"/>
      <c r="BE77" s="1740">
        <f>+BE74*BE75/4</f>
        <v>1.25</v>
      </c>
      <c r="BF77" s="1740">
        <f>+BF74*BF75/4</f>
        <v>1.25</v>
      </c>
      <c r="BG77" s="1740">
        <f>+BG74*BG75/4</f>
        <v>1.25</v>
      </c>
      <c r="BH77" s="1740">
        <f>+BH74*BH75/4</f>
        <v>1.25</v>
      </c>
      <c r="BI77" s="1741">
        <f>SUM(BE77:BH77)</f>
        <v>5</v>
      </c>
      <c r="BJ77" s="955"/>
      <c r="BK77" s="1740">
        <f>+BK74*BK75/4</f>
        <v>1.25</v>
      </c>
      <c r="BL77" s="1740">
        <f>+BL74*BL75/4</f>
        <v>1.25</v>
      </c>
      <c r="BM77" s="1740">
        <f>+BM74*BM75/4</f>
        <v>1.25</v>
      </c>
      <c r="BN77" s="1740">
        <f>+BN74*BN75/4</f>
        <v>1.25</v>
      </c>
      <c r="BO77" s="1741">
        <f>SUM(BK77:BN77)</f>
        <v>5</v>
      </c>
      <c r="BP77" s="955"/>
      <c r="BQ77" s="1740">
        <f>+BQ74*BQ75/4</f>
        <v>1.25</v>
      </c>
      <c r="BR77" s="1740">
        <f>+BR74*BR75/4</f>
        <v>1.25</v>
      </c>
      <c r="BS77" s="1740">
        <f>+BS74*BS75/4</f>
        <v>1.25</v>
      </c>
      <c r="BT77" s="1740">
        <f>+BT74*BT75/4</f>
        <v>1.25</v>
      </c>
      <c r="BU77" s="1741">
        <f>SUM(BQ77:BT77)</f>
        <v>5</v>
      </c>
      <c r="BW77" s="1740">
        <f>+BW74*BW75/4</f>
        <v>1.25</v>
      </c>
      <c r="BX77" s="1740">
        <f>+BX74*BX75/4</f>
        <v>1.25</v>
      </c>
      <c r="BY77" s="1740">
        <f>+BY74*BY75/4</f>
        <v>1.25</v>
      </c>
      <c r="BZ77" s="1740">
        <f>+BZ74*BZ75/4</f>
        <v>1.25</v>
      </c>
      <c r="CA77" s="1741">
        <f>SUM(BW77:BZ77)</f>
        <v>5</v>
      </c>
      <c r="CC77" s="1740">
        <f>+CC74*CC75/4</f>
        <v>1.25</v>
      </c>
      <c r="CD77" s="1740">
        <f>+CD74*CD75/4</f>
        <v>1.25</v>
      </c>
      <c r="CE77" s="1740">
        <f>+CE74*CE75/4</f>
        <v>1.25</v>
      </c>
      <c r="CF77" s="1740">
        <f>+CF74*CF75/4</f>
        <v>1.25</v>
      </c>
      <c r="CG77" s="1741">
        <f>SUM(CC77:CF77)</f>
        <v>5</v>
      </c>
      <c r="CI77" s="1740">
        <f>+CI74*CI75/4</f>
        <v>1.25</v>
      </c>
      <c r="CJ77" s="1740">
        <f>+CJ74*CJ75/4</f>
        <v>1.25</v>
      </c>
      <c r="CK77" s="1740">
        <f>+CK74*CK75/4</f>
        <v>1.25</v>
      </c>
      <c r="CL77" s="1740">
        <f>+CL74*CL75/4</f>
        <v>1.25</v>
      </c>
      <c r="CM77" s="1741">
        <f>SUM(CI77:CL77)</f>
        <v>5</v>
      </c>
    </row>
    <row r="78" spans="1:91" s="24" customFormat="1" outlineLevel="1">
      <c r="A78" s="398"/>
      <c r="B78" s="387"/>
      <c r="C78" s="387"/>
      <c r="D78" s="387"/>
      <c r="E78" s="387"/>
      <c r="F78" s="1700"/>
      <c r="G78" s="956"/>
      <c r="H78" s="346"/>
      <c r="I78" s="1700"/>
      <c r="J78" s="1700"/>
      <c r="K78" s="1700"/>
      <c r="L78" s="1700"/>
      <c r="M78" s="1736"/>
      <c r="N78" s="955"/>
      <c r="O78" s="348"/>
      <c r="P78" s="348"/>
      <c r="Q78" s="348"/>
      <c r="R78" s="348"/>
      <c r="S78" s="1736"/>
      <c r="T78" s="1737"/>
      <c r="U78" s="1700"/>
      <c r="V78" s="1700"/>
      <c r="W78" s="955"/>
      <c r="X78" s="1742"/>
      <c r="Y78" s="1736"/>
      <c r="Z78" s="955"/>
      <c r="AA78" s="1700"/>
      <c r="AB78" s="1700"/>
      <c r="AC78" s="955"/>
      <c r="AD78" s="1742"/>
      <c r="AE78" s="1736"/>
      <c r="AF78" s="955"/>
      <c r="AG78" s="1700"/>
      <c r="AH78" s="1700"/>
      <c r="AI78" s="955"/>
      <c r="AJ78" s="1742"/>
      <c r="AK78" s="1736"/>
      <c r="AL78" s="955"/>
      <c r="AM78" s="1700"/>
      <c r="AN78" s="1700"/>
      <c r="AO78" s="955"/>
      <c r="AP78" s="1742"/>
      <c r="AQ78" s="1736"/>
      <c r="AR78" s="955"/>
      <c r="AS78" s="1700"/>
      <c r="AT78" s="1700"/>
      <c r="AU78" s="955"/>
      <c r="AV78" s="1742"/>
      <c r="AW78" s="1736"/>
      <c r="AX78" s="955"/>
      <c r="AY78" s="1700"/>
      <c r="AZ78" s="1700"/>
      <c r="BA78" s="955"/>
      <c r="BB78" s="1742"/>
      <c r="BC78" s="1736"/>
      <c r="BD78" s="955"/>
      <c r="BE78" s="1700"/>
      <c r="BF78" s="1700"/>
      <c r="BG78" s="1700"/>
      <c r="BH78" s="1742"/>
      <c r="BI78" s="1736"/>
      <c r="BJ78" s="955"/>
      <c r="BK78" s="1700"/>
      <c r="BL78" s="1700"/>
      <c r="BM78" s="955"/>
      <c r="BN78" s="1742"/>
      <c r="BO78" s="1736"/>
      <c r="BP78" s="955"/>
      <c r="BQ78" s="1700"/>
      <c r="BR78" s="1700"/>
      <c r="BS78" s="955"/>
      <c r="BT78" s="1742"/>
      <c r="BU78" s="1736"/>
      <c r="BW78" s="1700"/>
      <c r="BX78" s="1700"/>
      <c r="BY78" s="955"/>
      <c r="BZ78" s="1742"/>
      <c r="CA78" s="1736"/>
      <c r="CC78" s="1700"/>
      <c r="CD78" s="1700"/>
      <c r="CE78" s="955"/>
      <c r="CF78" s="1742"/>
      <c r="CG78" s="1736"/>
      <c r="CI78" s="1700"/>
      <c r="CJ78" s="1700"/>
      <c r="CK78" s="955"/>
      <c r="CL78" s="1742"/>
      <c r="CM78" s="1736"/>
    </row>
    <row r="79" spans="1:91" s="24" customFormat="1" outlineLevel="1" collapsed="1">
      <c r="A79" s="1269" t="s">
        <v>247</v>
      </c>
      <c r="B79" s="1711"/>
      <c r="C79" s="1711"/>
      <c r="D79" s="1711"/>
      <c r="E79" s="1711"/>
      <c r="F79" s="959"/>
      <c r="G79" s="1193"/>
      <c r="H79" s="959"/>
      <c r="I79" s="1743">
        <v>11.2</v>
      </c>
      <c r="J79" s="1743">
        <f>9.807</f>
        <v>9.8070000000000004</v>
      </c>
      <c r="K79" s="1743">
        <v>10.57</v>
      </c>
      <c r="L79" s="1743">
        <f>M79-SUM(I79:K79)</f>
        <v>6.9440000000000026</v>
      </c>
      <c r="M79" s="1744">
        <v>38.521000000000001</v>
      </c>
      <c r="N79" s="1745"/>
      <c r="O79" s="1743">
        <v>3.13</v>
      </c>
      <c r="P79" s="1743">
        <v>2.649</v>
      </c>
      <c r="Q79" s="1743">
        <v>2.8639999999999999</v>
      </c>
      <c r="R79" s="1743">
        <f>+S79-SUM(O79:Q79)</f>
        <v>2.343</v>
      </c>
      <c r="S79" s="1744">
        <v>10.986000000000001</v>
      </c>
      <c r="T79" s="1745"/>
      <c r="U79" s="1716">
        <f>+U67+U72+U77</f>
        <v>3.878333333333333</v>
      </c>
      <c r="V79" s="1716">
        <f>+V67+V72+V77</f>
        <v>4.4075000000000006</v>
      </c>
      <c r="W79" s="1716">
        <f>+W67+W72+W77</f>
        <v>4.4375</v>
      </c>
      <c r="X79" s="1716">
        <f>+X67+X72+X77</f>
        <v>4.4675000000000002</v>
      </c>
      <c r="Y79" s="1744">
        <f>SUM(U79:X79)</f>
        <v>17.190833333333334</v>
      </c>
      <c r="Z79" s="1745"/>
      <c r="AA79" s="1716">
        <f>+AA67+AA72+AA77</f>
        <v>5.8925000000000001</v>
      </c>
      <c r="AB79" s="1716">
        <f>+AB67+AB72+AB77</f>
        <v>5.8925000000000001</v>
      </c>
      <c r="AC79" s="1716">
        <f>+AC67+AC72+AC77</f>
        <v>5.8925000000000001</v>
      </c>
      <c r="AD79" s="1716">
        <f>+AD67+AD72+AD77</f>
        <v>5.8925000000000001</v>
      </c>
      <c r="AE79" s="1744">
        <f>SUM(AA79:AD79)</f>
        <v>23.57</v>
      </c>
      <c r="AF79" s="1745"/>
      <c r="AG79" s="1716">
        <f>+AG67+AG72+AG77</f>
        <v>5.8925000000000001</v>
      </c>
      <c r="AH79" s="1716">
        <f>+AH67+AH72+AH77</f>
        <v>5.8925000000000001</v>
      </c>
      <c r="AI79" s="1716">
        <f>+AI67+AI72+AI77</f>
        <v>5.8925000000000001</v>
      </c>
      <c r="AJ79" s="1716">
        <f>+AJ67+AJ72+AJ77</f>
        <v>5.8925000000000001</v>
      </c>
      <c r="AK79" s="1744">
        <f>SUM(AG79:AJ79)</f>
        <v>23.57</v>
      </c>
      <c r="AL79" s="1745"/>
      <c r="AM79" s="1716">
        <f>+AM67+AM72+AM77</f>
        <v>5.8925000000000001</v>
      </c>
      <c r="AN79" s="1716">
        <f>+AN67+AN72+AN77</f>
        <v>5.8925000000000001</v>
      </c>
      <c r="AO79" s="1716">
        <f>+AO67+AO72+AO77</f>
        <v>5.8925000000000001</v>
      </c>
      <c r="AP79" s="1716">
        <f>+AP67+AP72+AP77</f>
        <v>5.8925000000000001</v>
      </c>
      <c r="AQ79" s="1744">
        <f>SUM(AM79:AP79)</f>
        <v>23.57</v>
      </c>
      <c r="AR79" s="1745"/>
      <c r="AS79" s="1716">
        <f>+AS67+AS72+AS77</f>
        <v>5.8925000000000001</v>
      </c>
      <c r="AT79" s="1716">
        <f>+AT67+AT72+AT77</f>
        <v>5.8925000000000001</v>
      </c>
      <c r="AU79" s="1716">
        <f>+AU67+AU72+AU77</f>
        <v>5.8925000000000001</v>
      </c>
      <c r="AV79" s="1716">
        <f>+AV67+AV72+AV77</f>
        <v>5.8925000000000001</v>
      </c>
      <c r="AW79" s="1744">
        <f>SUM(AS79:AV79)</f>
        <v>23.57</v>
      </c>
      <c r="AX79" s="1745"/>
      <c r="AY79" s="1716">
        <f>+AY67+AY72+AY77</f>
        <v>5.8925000000000001</v>
      </c>
      <c r="AZ79" s="1716">
        <f>+AZ67+AZ72+AZ77</f>
        <v>5.8925000000000001</v>
      </c>
      <c r="BA79" s="1716">
        <f>+BA67+BA72+BA77</f>
        <v>5.8925000000000001</v>
      </c>
      <c r="BB79" s="1716">
        <f>+BB67+BB72+BB77</f>
        <v>5.8925000000000001</v>
      </c>
      <c r="BC79" s="1744">
        <f>SUM(AY79:BB79)</f>
        <v>23.57</v>
      </c>
      <c r="BD79" s="1745"/>
      <c r="BE79" s="1716">
        <f>+BE67+BE72+BE77</f>
        <v>5.8925000000000001</v>
      </c>
      <c r="BF79" s="1716">
        <f>+BF67+BF72+BF77</f>
        <v>5.8925000000000001</v>
      </c>
      <c r="BG79" s="1716">
        <f>+BG67+BG72+BG77</f>
        <v>5.8925000000000001</v>
      </c>
      <c r="BH79" s="1716">
        <f>+BH67+BH72+BH77</f>
        <v>5.8925000000000001</v>
      </c>
      <c r="BI79" s="1744">
        <f>SUM(BE79:BH79)</f>
        <v>23.57</v>
      </c>
      <c r="BJ79" s="1745"/>
      <c r="BK79" s="1716">
        <f>+BK67+BK72+BK77</f>
        <v>5.8925000000000001</v>
      </c>
      <c r="BL79" s="1716">
        <f>+BL67+BL72+BL77</f>
        <v>5.8925000000000001</v>
      </c>
      <c r="BM79" s="1716">
        <f>+BM67+BM72+BM77</f>
        <v>5.8925000000000001</v>
      </c>
      <c r="BN79" s="1716">
        <f>+BN67+BN72+BN77</f>
        <v>5.8925000000000001</v>
      </c>
      <c r="BO79" s="1744">
        <f>SUM(BK79:BN79)</f>
        <v>23.57</v>
      </c>
      <c r="BP79" s="1745"/>
      <c r="BQ79" s="1716">
        <f>+BQ67+BQ72+BQ77</f>
        <v>5.8925000000000001</v>
      </c>
      <c r="BR79" s="1716">
        <f>+BR67+BR72+BR77</f>
        <v>5.8925000000000001</v>
      </c>
      <c r="BS79" s="1716">
        <f>+BS67+BS72+BS77</f>
        <v>5.8925000000000001</v>
      </c>
      <c r="BT79" s="1716">
        <f>+BT67+BT72+BT77</f>
        <v>5.8925000000000001</v>
      </c>
      <c r="BU79" s="1744">
        <f>SUM(BQ79:BT79)</f>
        <v>23.57</v>
      </c>
      <c r="BW79" s="1716">
        <f>+BW67+BW72+BW77</f>
        <v>5.8925000000000001</v>
      </c>
      <c r="BX79" s="1716">
        <f>+BX67+BX72+BX77</f>
        <v>5.8925000000000001</v>
      </c>
      <c r="BY79" s="1716">
        <f>+BY67+BY72+BY77</f>
        <v>5.8925000000000001</v>
      </c>
      <c r="BZ79" s="1716">
        <f>+BZ67+BZ72+BZ77</f>
        <v>5.8925000000000001</v>
      </c>
      <c r="CA79" s="1744">
        <f>SUM(BW79:BZ79)</f>
        <v>23.57</v>
      </c>
      <c r="CC79" s="1716">
        <f>+CC67+CC72+CC77</f>
        <v>5.8925000000000001</v>
      </c>
      <c r="CD79" s="1716">
        <f>+CD67+CD72+CD77</f>
        <v>5.8925000000000001</v>
      </c>
      <c r="CE79" s="1716">
        <f>+CE67+CE72+CE77</f>
        <v>5.8925000000000001</v>
      </c>
      <c r="CF79" s="1716">
        <f>+CF67+CF72+CF77</f>
        <v>5.8925000000000001</v>
      </c>
      <c r="CG79" s="1744">
        <f>SUM(CC79:CF79)</f>
        <v>23.57</v>
      </c>
      <c r="CI79" s="1716">
        <f>+CI67+CI72+CI77</f>
        <v>5.8925000000000001</v>
      </c>
      <c r="CJ79" s="1716">
        <f>+CJ67+CJ72+CJ77</f>
        <v>5.8925000000000001</v>
      </c>
      <c r="CK79" s="1716">
        <f>+CK67+CK72+CK77</f>
        <v>5.8925000000000001</v>
      </c>
      <c r="CL79" s="1716">
        <f>+CL67+CL72+CL77</f>
        <v>5.8925000000000001</v>
      </c>
      <c r="CM79" s="1744">
        <f>SUM(CI79:CL79)</f>
        <v>23.57</v>
      </c>
    </row>
    <row r="80" spans="1:91" s="24" customFormat="1" outlineLevel="1">
      <c r="A80" s="1735" t="s">
        <v>248</v>
      </c>
      <c r="B80" s="1735"/>
      <c r="C80" s="1735"/>
      <c r="D80" s="1735"/>
      <c r="E80" s="1735"/>
      <c r="F80" s="346"/>
      <c r="G80" s="956"/>
      <c r="H80" s="346"/>
      <c r="I80" s="1746">
        <f>-(I89-I57)</f>
        <v>174.71299999999985</v>
      </c>
      <c r="J80" s="1746">
        <f>-(J89-J57)</f>
        <v>156.346</v>
      </c>
      <c r="K80" s="1746">
        <f>-(K89-K57)</f>
        <v>138.37400000000014</v>
      </c>
      <c r="L80" s="1746">
        <f>-(L89-L57)</f>
        <v>51.189000000000135</v>
      </c>
      <c r="M80" s="1720"/>
      <c r="N80" s="1700"/>
      <c r="O80" s="1747"/>
      <c r="P80" s="1719"/>
      <c r="Q80" s="1719"/>
      <c r="R80" s="1719"/>
      <c r="S80" s="1720"/>
      <c r="T80" s="1700"/>
      <c r="U80" s="1719"/>
      <c r="V80" s="1719"/>
      <c r="W80" s="1719"/>
      <c r="X80" s="1719"/>
      <c r="Y80" s="1720"/>
      <c r="Z80" s="1700"/>
      <c r="AA80" s="1719"/>
      <c r="AB80" s="1719"/>
      <c r="AC80" s="1719"/>
      <c r="AD80" s="1719"/>
      <c r="AE80" s="1720"/>
      <c r="AF80" s="1700"/>
      <c r="AG80" s="1719"/>
      <c r="AH80" s="1719"/>
      <c r="AI80" s="1719"/>
      <c r="AJ80" s="1719"/>
      <c r="AK80" s="1720"/>
      <c r="AL80" s="1700"/>
      <c r="AM80" s="1719"/>
      <c r="AN80" s="1719"/>
      <c r="AO80" s="1719"/>
      <c r="AP80" s="1719"/>
      <c r="AQ80" s="1720"/>
      <c r="AR80" s="1700"/>
      <c r="AS80" s="1719"/>
      <c r="AT80" s="1719"/>
      <c r="AU80" s="1719"/>
      <c r="AV80" s="1719"/>
      <c r="AW80" s="1720"/>
      <c r="AX80" s="1700"/>
      <c r="AY80" s="1719"/>
      <c r="AZ80" s="1719"/>
      <c r="BA80" s="1719"/>
      <c r="BB80" s="1719"/>
      <c r="BC80" s="1720"/>
      <c r="BD80" s="1700"/>
      <c r="BE80" s="1719"/>
      <c r="BF80" s="1719"/>
      <c r="BG80" s="1719"/>
      <c r="BH80" s="1719"/>
      <c r="BI80" s="1720"/>
      <c r="BJ80" s="1700"/>
      <c r="BK80" s="1719"/>
      <c r="BL80" s="1719"/>
      <c r="BM80" s="1719"/>
      <c r="BN80" s="1719"/>
      <c r="BO80" s="1720"/>
      <c r="BP80" s="1700"/>
      <c r="BQ80" s="1719"/>
      <c r="BR80" s="1719"/>
      <c r="BS80" s="1719"/>
      <c r="BT80" s="1719"/>
      <c r="BU80" s="1720"/>
      <c r="BW80" s="1719"/>
      <c r="BX80" s="1719"/>
      <c r="BY80" s="1719"/>
      <c r="BZ80" s="1719"/>
      <c r="CA80" s="1720"/>
      <c r="CC80" s="1719"/>
      <c r="CD80" s="1719"/>
      <c r="CE80" s="1719"/>
      <c r="CF80" s="1719"/>
      <c r="CG80" s="1720"/>
      <c r="CI80" s="1719"/>
      <c r="CJ80" s="1719"/>
      <c r="CK80" s="1719"/>
      <c r="CL80" s="1719"/>
      <c r="CM80" s="1720"/>
    </row>
    <row r="81" spans="1:91" s="24" customFormat="1" outlineLevel="1">
      <c r="A81" s="1735" t="s">
        <v>249</v>
      </c>
      <c r="B81" s="1735"/>
      <c r="C81" s="1735"/>
      <c r="D81" s="1735"/>
      <c r="E81" s="1735"/>
      <c r="F81" s="346"/>
      <c r="G81" s="956"/>
      <c r="H81" s="346"/>
      <c r="I81" s="1746">
        <f>IS!I22/I79</f>
        <v>8.1182142857142914</v>
      </c>
      <c r="J81" s="1746">
        <f>IS!J22/J79</f>
        <v>9.9714489650249831</v>
      </c>
      <c r="K81" s="1746">
        <f>IS!K22/K79</f>
        <v>9.6103122043519349</v>
      </c>
      <c r="L81" s="1746">
        <f>IS!L22/L79</f>
        <v>18.141705069124406</v>
      </c>
      <c r="M81" s="1720">
        <f>IS!M22/M79</f>
        <v>10.806339399288701</v>
      </c>
      <c r="N81" s="1700"/>
      <c r="O81" s="1719"/>
      <c r="P81" s="1719"/>
      <c r="Q81" s="1719"/>
      <c r="R81" s="1719"/>
      <c r="S81" s="1720">
        <f>IS!S22/S79</f>
        <v>37.862825414163488</v>
      </c>
      <c r="T81" s="1700"/>
      <c r="U81" s="1719"/>
      <c r="V81" s="1719"/>
      <c r="W81" s="1719"/>
      <c r="X81" s="1719"/>
      <c r="Y81" s="1720">
        <f>IS!Y22/Y79</f>
        <v>27.41798439090601</v>
      </c>
      <c r="Z81" s="1700"/>
      <c r="AA81" s="1719"/>
      <c r="AB81" s="1719"/>
      <c r="AC81" s="1719"/>
      <c r="AD81" s="1719"/>
      <c r="AE81" s="1720">
        <f>IS!AE22/AE79</f>
        <v>23.051887993211714</v>
      </c>
      <c r="AF81" s="1700"/>
      <c r="AG81" s="1719"/>
      <c r="AH81" s="1719"/>
      <c r="AI81" s="1719"/>
      <c r="AJ81" s="1719"/>
      <c r="AK81" s="1720">
        <f>IS!AK22/AK79</f>
        <v>22.977259227831993</v>
      </c>
      <c r="AL81" s="1700"/>
      <c r="AM81" s="1719"/>
      <c r="AN81" s="1719"/>
      <c r="AO81" s="1719"/>
      <c r="AP81" s="1719"/>
      <c r="AQ81" s="1720">
        <f>IS!AQ22/AQ79</f>
        <v>22.77496817988969</v>
      </c>
      <c r="AR81" s="1700"/>
      <c r="AS81" s="1719"/>
      <c r="AT81" s="1719"/>
      <c r="AU81" s="1719"/>
      <c r="AV81" s="1719"/>
      <c r="AW81" s="1720">
        <f>IS!AW22/AW79</f>
        <v>23.830929147221042</v>
      </c>
      <c r="AX81" s="1700"/>
      <c r="AY81" s="1719"/>
      <c r="AZ81" s="1719"/>
      <c r="BA81" s="1719"/>
      <c r="BB81" s="1719"/>
      <c r="BC81" s="1720">
        <f>IS!BC22/BC79</f>
        <v>25.151591005515481</v>
      </c>
      <c r="BD81" s="1700"/>
      <c r="BE81" s="1719"/>
      <c r="BF81" s="1719"/>
      <c r="BG81" s="1719"/>
      <c r="BH81" s="1719"/>
      <c r="BI81" s="1720">
        <f>IS!BI22/BI79</f>
        <v>27.649257530759428</v>
      </c>
      <c r="BJ81" s="1700"/>
      <c r="BK81" s="1719"/>
      <c r="BL81" s="1719"/>
      <c r="BM81" s="1719"/>
      <c r="BN81" s="1719"/>
      <c r="BO81" s="1720">
        <f>IS!BO22/BO79</f>
        <v>29.908442935935515</v>
      </c>
      <c r="BP81" s="1700"/>
      <c r="BQ81" s="1719"/>
      <c r="BR81" s="1719"/>
      <c r="BS81" s="1719"/>
      <c r="BT81" s="1719"/>
      <c r="BU81" s="1720">
        <f>IS!BU22/BU79</f>
        <v>32.442991172338203</v>
      </c>
      <c r="BW81" s="1719"/>
      <c r="BX81" s="1719"/>
      <c r="BY81" s="1719"/>
      <c r="BZ81" s="1719"/>
      <c r="CA81" s="1720">
        <f>IS!CA22/CA79</f>
        <v>34.528318945962155</v>
      </c>
      <c r="CC81" s="1719"/>
      <c r="CD81" s="1719"/>
      <c r="CE81" s="1719"/>
      <c r="CF81" s="1719"/>
      <c r="CG81" s="1720">
        <f>IS!CG22/CG79</f>
        <v>36.486165326590701</v>
      </c>
      <c r="CI81" s="1719"/>
      <c r="CJ81" s="1719"/>
      <c r="CK81" s="1719"/>
      <c r="CL81" s="1719"/>
      <c r="CM81" s="1720">
        <f>IS!CM22/CM79</f>
        <v>38.557808736972191</v>
      </c>
    </row>
    <row r="82" spans="1:91" s="24" customFormat="1" ht="8.25" customHeight="1" outlineLevel="1">
      <c r="A82" s="401"/>
      <c r="B82" s="401"/>
      <c r="C82" s="401"/>
      <c r="D82" s="401"/>
      <c r="E82" s="401"/>
      <c r="F82" s="1748"/>
      <c r="G82" s="956"/>
      <c r="H82" s="1748"/>
      <c r="I82" s="1749"/>
      <c r="J82" s="1749"/>
      <c r="K82" s="1749"/>
      <c r="L82" s="1749"/>
      <c r="M82" s="1701"/>
      <c r="N82" s="1749"/>
      <c r="O82" s="1749"/>
      <c r="P82" s="1749"/>
      <c r="Q82" s="1749"/>
      <c r="R82" s="1749"/>
      <c r="S82" s="1701"/>
      <c r="T82" s="1749"/>
      <c r="U82" s="1749"/>
      <c r="V82" s="1749"/>
      <c r="W82" s="1749"/>
      <c r="X82" s="1749"/>
      <c r="Y82" s="1701"/>
      <c r="Z82" s="1749"/>
      <c r="AA82" s="1749"/>
      <c r="AB82" s="1749"/>
      <c r="AC82" s="1749"/>
      <c r="AD82" s="1749"/>
      <c r="AE82" s="1701"/>
      <c r="AF82" s="1749"/>
      <c r="AG82" s="1749"/>
      <c r="AH82" s="1749"/>
      <c r="AI82" s="1749"/>
      <c r="AJ82" s="1749"/>
      <c r="AK82" s="1701"/>
      <c r="AL82" s="1749"/>
      <c r="AM82" s="1749"/>
      <c r="AN82" s="1749"/>
      <c r="AO82" s="1749"/>
      <c r="AP82" s="1749"/>
      <c r="AQ82" s="1701"/>
      <c r="AR82" s="1749"/>
      <c r="AS82" s="1749"/>
      <c r="AT82" s="1749"/>
      <c r="AU82" s="1749"/>
      <c r="AV82" s="1749"/>
      <c r="AW82" s="1701"/>
      <c r="AX82" s="1749"/>
      <c r="AY82" s="1749"/>
      <c r="AZ82" s="1749"/>
      <c r="BA82" s="1749"/>
      <c r="BB82" s="1749"/>
      <c r="BC82" s="1701"/>
      <c r="BD82" s="1749"/>
      <c r="BE82" s="1749"/>
      <c r="BF82" s="1749"/>
      <c r="BG82" s="1749"/>
      <c r="BH82" s="1749"/>
      <c r="BI82" s="1701"/>
      <c r="BJ82" s="1749"/>
      <c r="BK82" s="1749"/>
      <c r="BL82" s="1749"/>
      <c r="BM82" s="1749"/>
      <c r="BN82" s="1749"/>
      <c r="BO82" s="1701"/>
      <c r="BP82" s="1749"/>
      <c r="BQ82" s="1749"/>
      <c r="BR82" s="1749"/>
      <c r="BS82" s="1749"/>
      <c r="BT82" s="1749"/>
      <c r="BU82" s="1701"/>
      <c r="BW82" s="1749"/>
      <c r="BX82" s="1749"/>
      <c r="BY82" s="1749"/>
      <c r="BZ82" s="1749"/>
      <c r="CA82" s="1701"/>
      <c r="CC82" s="1749"/>
      <c r="CD82" s="1749"/>
      <c r="CE82" s="1749"/>
      <c r="CF82" s="1749"/>
      <c r="CG82" s="1701"/>
      <c r="CI82" s="1749"/>
      <c r="CJ82" s="1749"/>
      <c r="CK82" s="1749"/>
      <c r="CL82" s="1749"/>
      <c r="CM82" s="1701"/>
    </row>
    <row r="83" spans="1:91" ht="13.5" customHeight="1" outlineLevel="1">
      <c r="A83" s="1" t="s">
        <v>250</v>
      </c>
      <c r="B83" s="132"/>
      <c r="C83" s="132"/>
      <c r="D83" s="132"/>
      <c r="E83" s="132"/>
      <c r="F83" s="7"/>
      <c r="G83" s="8"/>
      <c r="H83" s="7"/>
      <c r="I83" s="7"/>
      <c r="J83" s="7"/>
      <c r="K83" s="7"/>
      <c r="L83" s="7"/>
      <c r="M83" s="8"/>
      <c r="N83" s="7"/>
      <c r="O83" s="7"/>
      <c r="P83" s="7"/>
      <c r="Q83" s="7"/>
      <c r="R83" s="7"/>
      <c r="S83" s="8"/>
      <c r="T83" s="7"/>
      <c r="U83" s="33"/>
      <c r="V83" s="7"/>
      <c r="W83" s="7"/>
      <c r="X83" s="7"/>
      <c r="Y83" s="8"/>
      <c r="Z83" s="7"/>
      <c r="AA83" s="7"/>
      <c r="AB83" s="7"/>
      <c r="AC83" s="7"/>
      <c r="AD83" s="7"/>
      <c r="AE83" s="8"/>
      <c r="AF83" s="7"/>
      <c r="AG83" s="7"/>
      <c r="AH83" s="7"/>
      <c r="AI83" s="7"/>
      <c r="AJ83" s="7"/>
      <c r="AK83" s="8"/>
      <c r="AL83" s="7"/>
      <c r="AM83" s="7"/>
      <c r="AN83" s="7"/>
      <c r="AO83" s="7"/>
      <c r="AP83" s="7"/>
      <c r="AQ83" s="8"/>
      <c r="AR83" s="7"/>
      <c r="AS83" s="7"/>
      <c r="AT83" s="7"/>
      <c r="AU83" s="7"/>
      <c r="AV83" s="7"/>
      <c r="AW83" s="8"/>
      <c r="AX83" s="7"/>
      <c r="AY83" s="7"/>
      <c r="AZ83" s="7"/>
      <c r="BA83" s="7"/>
      <c r="BB83" s="7"/>
      <c r="BC83" s="8"/>
      <c r="BD83" s="7"/>
      <c r="BE83" s="7"/>
      <c r="BF83" s="7"/>
      <c r="BG83" s="7"/>
      <c r="BH83" s="7"/>
      <c r="BI83" s="8"/>
      <c r="BJ83" s="7"/>
      <c r="BK83" s="7"/>
      <c r="BL83" s="7"/>
      <c r="BM83" s="7"/>
      <c r="BN83" s="7"/>
      <c r="BO83" s="8"/>
      <c r="BP83" s="7"/>
      <c r="BQ83" s="7"/>
      <c r="BR83" s="7"/>
      <c r="BS83" s="7"/>
      <c r="BT83" s="7"/>
      <c r="BU83" s="8"/>
      <c r="BW83" s="7"/>
      <c r="BX83" s="7"/>
      <c r="BY83" s="7"/>
      <c r="BZ83" s="7"/>
      <c r="CA83" s="8"/>
      <c r="CC83" s="7"/>
      <c r="CD83" s="7"/>
      <c r="CE83" s="7"/>
      <c r="CF83" s="7"/>
      <c r="CG83" s="8"/>
      <c r="CI83" s="7"/>
      <c r="CJ83" s="7"/>
      <c r="CK83" s="7"/>
      <c r="CL83" s="7"/>
      <c r="CM83" s="8"/>
    </row>
    <row r="84" spans="1:91" s="24" customFormat="1" outlineLevel="1">
      <c r="A84" s="398" t="s">
        <v>251</v>
      </c>
      <c r="B84" s="387"/>
      <c r="C84" s="387"/>
      <c r="D84" s="387"/>
      <c r="E84" s="387"/>
      <c r="F84" s="346"/>
      <c r="G84" s="956"/>
      <c r="H84" s="346"/>
      <c r="I84" s="1700">
        <f>BS!G10</f>
        <v>693.01400000000001</v>
      </c>
      <c r="J84" s="1700">
        <f>+I89</f>
        <v>754.5870000000001</v>
      </c>
      <c r="K84" s="1700">
        <f>+J89</f>
        <v>827.67399999999998</v>
      </c>
      <c r="L84" s="1700">
        <f>+K89</f>
        <v>889.11399999999992</v>
      </c>
      <c r="M84" s="1701"/>
      <c r="N84" s="1702"/>
      <c r="O84" s="1700">
        <f>BS!M10</f>
        <v>428.52199999999999</v>
      </c>
      <c r="P84" s="1700">
        <f>+O89</f>
        <v>488.03100000000001</v>
      </c>
      <c r="Q84" s="1700">
        <f>+P89</f>
        <v>530.27300000000002</v>
      </c>
      <c r="R84" s="1700">
        <f>+Q89</f>
        <v>591.05000000000007</v>
      </c>
      <c r="S84" s="1701"/>
      <c r="T84" s="1702"/>
      <c r="U84" s="1700">
        <f>BS!S10</f>
        <v>630.25700000000006</v>
      </c>
      <c r="V84" s="1700">
        <f>+U89</f>
        <v>504.05100000000016</v>
      </c>
      <c r="W84" s="1700">
        <f>+V89</f>
        <v>586.58600000000024</v>
      </c>
      <c r="X84" s="1700">
        <f>+W89</f>
        <v>664.03600000000029</v>
      </c>
      <c r="Y84" s="1701"/>
      <c r="Z84" s="1702"/>
      <c r="AA84" s="1703">
        <f>BS!Y10</f>
        <v>946.4190000000001</v>
      </c>
      <c r="AB84" s="1700">
        <f>+AA89</f>
        <v>1032.7090000000003</v>
      </c>
      <c r="AC84" s="1700">
        <f>+AB89</f>
        <v>1123.6500000000003</v>
      </c>
      <c r="AD84" s="1700">
        <f>+AC89</f>
        <v>1218.1630000000005</v>
      </c>
      <c r="AE84" s="1701"/>
      <c r="AF84" s="1702"/>
      <c r="AG84" s="1703">
        <f>BS!AE10</f>
        <v>1281.3510000000001</v>
      </c>
      <c r="AH84" s="1700">
        <f>+AG89</f>
        <v>1362.2459999999999</v>
      </c>
      <c r="AI84" s="1700">
        <f>+AH89</f>
        <v>1437.9889999999998</v>
      </c>
      <c r="AJ84" s="1703">
        <f>+AI89</f>
        <v>1520.9029999999998</v>
      </c>
      <c r="AK84" s="1701"/>
      <c r="AL84" s="1702"/>
      <c r="AM84" s="1703">
        <f>BS!AK10</f>
        <v>1539.0250000000001</v>
      </c>
      <c r="AN84" s="1703">
        <f>+AM89</f>
        <v>1637.9340000000002</v>
      </c>
      <c r="AO84" s="1703">
        <f>+AN89</f>
        <v>1706.2130000000004</v>
      </c>
      <c r="AP84" s="1703">
        <f>+AO89</f>
        <v>1782.4370000000004</v>
      </c>
      <c r="AQ84" s="1701"/>
      <c r="AR84" s="1702"/>
      <c r="AS84" s="1703">
        <f>BS!AQ10</f>
        <v>1803.67</v>
      </c>
      <c r="AT84" s="1703">
        <f>+AS89</f>
        <v>1861.396</v>
      </c>
      <c r="AU84" s="1703">
        <f>+AT89</f>
        <v>1947.7669999999998</v>
      </c>
      <c r="AV84" s="1703">
        <f>+AU89</f>
        <v>2052.3149999999996</v>
      </c>
      <c r="AW84" s="1701"/>
      <c r="AX84" s="1702"/>
      <c r="AY84" s="1703">
        <f>+AV89</f>
        <v>2190.5609999999997</v>
      </c>
      <c r="AZ84" s="1703">
        <f>+AY89</f>
        <v>2276.6570000000002</v>
      </c>
      <c r="BA84" s="1703">
        <f>+AZ89</f>
        <v>2369.7520000000004</v>
      </c>
      <c r="BB84" s="1703">
        <f>+BA89</f>
        <v>2469.5120000000006</v>
      </c>
      <c r="BC84" s="1701"/>
      <c r="BD84" s="1702"/>
      <c r="BE84" s="1703">
        <f>+BB89</f>
        <v>2604.8890000000006</v>
      </c>
      <c r="BF84" s="1703">
        <f>+BE89</f>
        <v>2686.6450000000009</v>
      </c>
      <c r="BG84" s="1703">
        <f>+BF89</f>
        <v>2803.5170000000012</v>
      </c>
      <c r="BH84" s="1703">
        <f>+BG89</f>
        <v>2918.5720000000015</v>
      </c>
      <c r="BI84" s="1701"/>
      <c r="BJ84" s="1702"/>
      <c r="BK84" s="1703">
        <f>BS!BI10</f>
        <v>2813.0319999999997</v>
      </c>
      <c r="BL84" s="1703">
        <f>+BK89</f>
        <v>2913.6610000000001</v>
      </c>
      <c r="BM84" s="1703">
        <f>+BL89</f>
        <v>3045.8490000000002</v>
      </c>
      <c r="BN84" s="1703">
        <f>+BM89</f>
        <v>3176.712</v>
      </c>
      <c r="BO84" s="1701"/>
      <c r="BP84" s="1702"/>
      <c r="BQ84" s="1703">
        <f>BS!BO10</f>
        <v>3393.701</v>
      </c>
      <c r="BR84" s="1703">
        <f>+BQ89</f>
        <v>3502.5933280957615</v>
      </c>
      <c r="BS84" s="1703">
        <f>+BR89</f>
        <v>3639.8479306401236</v>
      </c>
      <c r="BT84" s="1703">
        <f>+BS89</f>
        <v>3774.2182492552647</v>
      </c>
      <c r="BU84" s="1701"/>
      <c r="BW84" s="1703">
        <f>BS!BU10</f>
        <v>3307.2191339707474</v>
      </c>
      <c r="BX84" s="1703">
        <f>+BW89</f>
        <v>3414.3670714519731</v>
      </c>
      <c r="BY84" s="1703">
        <f>+BX89</f>
        <v>3548.602466643958</v>
      </c>
      <c r="BZ84" s="1703">
        <f>+BY89</f>
        <v>3679.7152941550662</v>
      </c>
      <c r="CA84" s="1701"/>
      <c r="CC84" s="1703">
        <f>BS!CA10</f>
        <v>3182.0935602388281</v>
      </c>
      <c r="CD84" s="1703">
        <f>+CC89</f>
        <v>3297.5841469121897</v>
      </c>
      <c r="CE84" s="1703">
        <f>+CD89</f>
        <v>3505.2283827405095</v>
      </c>
      <c r="CF84" s="1703">
        <f>+CE89</f>
        <v>3711.4784737415766</v>
      </c>
      <c r="CG84" s="1701"/>
      <c r="CI84" s="1703">
        <f>BS!CG10</f>
        <v>3404.2484170482658</v>
      </c>
      <c r="CJ84" s="1703">
        <f>+CI89</f>
        <v>3611.9064936569894</v>
      </c>
      <c r="CK84" s="1703">
        <f>+CJ89</f>
        <v>3779.3491952738627</v>
      </c>
      <c r="CL84" s="1703">
        <f>+CK89</f>
        <v>3942.6936171506582</v>
      </c>
      <c r="CM84" s="1701"/>
    </row>
    <row r="85" spans="1:91" s="24" customFormat="1" outlineLevel="1">
      <c r="A85" s="398" t="s">
        <v>252</v>
      </c>
      <c r="B85" s="387"/>
      <c r="C85" s="387"/>
      <c r="D85" s="387"/>
      <c r="E85" s="387"/>
      <c r="F85" s="346"/>
      <c r="G85" s="956"/>
      <c r="H85" s="346"/>
      <c r="I85" s="1185">
        <f>IS!I33</f>
        <v>68.761000000000053</v>
      </c>
      <c r="J85" s="1185">
        <f>IS!J33</f>
        <v>82.862000000000009</v>
      </c>
      <c r="K85" s="1185">
        <f>IS!K33</f>
        <v>71.502999999999957</v>
      </c>
      <c r="L85" s="1185">
        <f>IS!L33</f>
        <v>100.15299999999991</v>
      </c>
      <c r="M85" s="1701"/>
      <c r="N85" s="1702"/>
      <c r="O85" s="1704">
        <f>IS!O33</f>
        <v>73.302000000000021</v>
      </c>
      <c r="P85" s="1704">
        <f>IS!P33</f>
        <v>69.906999999999996</v>
      </c>
      <c r="Q85" s="1704">
        <f>IS!Q33</f>
        <v>75.936000000000035</v>
      </c>
      <c r="R85" s="1704">
        <f>IS!R33</f>
        <v>104.12299999999998</v>
      </c>
      <c r="S85" s="1701"/>
      <c r="T85" s="1702"/>
      <c r="U85" s="1704">
        <f>IS!U33</f>
        <v>75.518000000000001</v>
      </c>
      <c r="V85" s="1704">
        <f>IS!V33</f>
        <v>84.921999999999997</v>
      </c>
      <c r="W85" s="1704">
        <f>IS!W33</f>
        <v>94.718999999999994</v>
      </c>
      <c r="X85" s="1704">
        <f>IS!X33</f>
        <v>126.604</v>
      </c>
      <c r="Y85" s="1701"/>
      <c r="Z85" s="1702"/>
      <c r="AA85" s="1704">
        <f>IS!AA33</f>
        <v>94.489000000000019</v>
      </c>
      <c r="AB85" s="1704">
        <f>IS!AB33</f>
        <v>100.07500000000006</v>
      </c>
      <c r="AC85" s="1704">
        <f>IS!AC33</f>
        <v>101.25700000000001</v>
      </c>
      <c r="AD85" s="1704">
        <f>IS!AD33</f>
        <v>137.22799999999998</v>
      </c>
      <c r="AE85" s="1701"/>
      <c r="AF85" s="1702"/>
      <c r="AG85" s="1704">
        <f>IS!AG33</f>
        <v>88.666000000000039</v>
      </c>
      <c r="AH85" s="1704">
        <f>IS!AH33</f>
        <v>97.724000000000004</v>
      </c>
      <c r="AI85" s="1704">
        <f>IS!AI33</f>
        <v>99.109000000000009</v>
      </c>
      <c r="AJ85" s="1704">
        <f>IS!AJ33</f>
        <v>175.9439999999999</v>
      </c>
      <c r="AK85" s="1701"/>
      <c r="AL85" s="1702"/>
      <c r="AM85" s="1704">
        <f>IS!AM33</f>
        <v>121.05900000000003</v>
      </c>
      <c r="AN85" s="1704">
        <f>IS!AN33</f>
        <v>89.314000000000021</v>
      </c>
      <c r="AO85" s="1704">
        <f>IS!AO33</f>
        <v>98.04800000000003</v>
      </c>
      <c r="AP85" s="1704">
        <f>IS!AP33</f>
        <v>141.58199999999994</v>
      </c>
      <c r="AQ85" s="1701"/>
      <c r="AR85" s="1702"/>
      <c r="AS85" s="1704">
        <f>IS!AS33</f>
        <v>70.301999999999964</v>
      </c>
      <c r="AT85" s="1704">
        <f>IS!AT33</f>
        <v>96.528999999999982</v>
      </c>
      <c r="AU85" s="1704">
        <f>IS!AU33</f>
        <v>113.49700000000003</v>
      </c>
      <c r="AV85" s="1704">
        <f>IS!AV33</f>
        <v>151.29199999999997</v>
      </c>
      <c r="AW85" s="1701"/>
      <c r="AX85" s="1702"/>
      <c r="AY85" s="1704">
        <f>IS!AY33</f>
        <v>96.061000000000035</v>
      </c>
      <c r="AZ85" s="1704">
        <f>IS!AZ33</f>
        <v>105.65700000000001</v>
      </c>
      <c r="BA85" s="1704">
        <f>IS!BA33</f>
        <v>116.28099999999993</v>
      </c>
      <c r="BB85" s="1704">
        <f>IS!BB33</f>
        <v>151.054</v>
      </c>
      <c r="BC85" s="1701"/>
      <c r="BD85" s="1702"/>
      <c r="BE85" s="1704">
        <f>IS!BE33</f>
        <v>94.051999999999964</v>
      </c>
      <c r="BF85" s="1704">
        <f>IS!BF33</f>
        <v>128.21699999999993</v>
      </c>
      <c r="BG85" s="1704">
        <f>IS!BG33</f>
        <v>124.85600000000005</v>
      </c>
      <c r="BH85" s="1704">
        <f>IS!BH33</f>
        <v>174.37799999999996</v>
      </c>
      <c r="BI85" s="1701"/>
      <c r="BJ85" s="1702"/>
      <c r="BK85" s="1704">
        <f>IS!BK33</f>
        <v>105.55700000000002</v>
      </c>
      <c r="BL85" s="1704">
        <f>IS!BL33</f>
        <v>131.822</v>
      </c>
      <c r="BM85" s="1704">
        <f>IS!BM33</f>
        <v>136.10399999999993</v>
      </c>
      <c r="BN85" s="1704">
        <f>IS!BN33</f>
        <v>-353.17200000000003</v>
      </c>
      <c r="BO85" s="1701"/>
      <c r="BP85" s="1702"/>
      <c r="BQ85" s="1704">
        <f>IS!BQ33</f>
        <v>120.67472369378999</v>
      </c>
      <c r="BR85" s="1704">
        <f>IS!BR33</f>
        <v>151.64871689256745</v>
      </c>
      <c r="BS85" s="1704">
        <f>IS!BS33</f>
        <v>148.0866692641045</v>
      </c>
      <c r="BT85" s="1704">
        <f>IS!BT33</f>
        <v>211.59901492334876</v>
      </c>
      <c r="BU85" s="1701"/>
      <c r="BW85" s="1704">
        <f>IS!BW33</f>
        <v>131.59051125642418</v>
      </c>
      <c r="BX85" s="1704">
        <f>IS!BX33</f>
        <v>162.47580258576488</v>
      </c>
      <c r="BY85" s="1704">
        <f>IS!BY33</f>
        <v>158.26428984701346</v>
      </c>
      <c r="BZ85" s="1704">
        <f>IS!BZ33</f>
        <v>224.15127601715488</v>
      </c>
      <c r="CA85" s="1701"/>
      <c r="CC85" s="1704">
        <f>IS!CC33</f>
        <v>140.26773879583797</v>
      </c>
      <c r="CD85" s="1704">
        <f>IS!CD33</f>
        <v>236.11506464795346</v>
      </c>
      <c r="CE85" s="1704">
        <f>IS!CE33</f>
        <v>233.60003475521148</v>
      </c>
      <c r="CF85" s="1704">
        <f>IS!CF33</f>
        <v>303.60034719637196</v>
      </c>
      <c r="CG85" s="1701"/>
      <c r="CI85" s="1704">
        <f>IS!CI33</f>
        <v>221.31740046230712</v>
      </c>
      <c r="CJ85" s="1704">
        <f>IS!CJ33</f>
        <v>183.62512212168841</v>
      </c>
      <c r="CK85" s="1704">
        <f>IS!CK33</f>
        <v>178.71309328305139</v>
      </c>
      <c r="CL85" s="1704">
        <f>IS!CL33</f>
        <v>248.69696500851811</v>
      </c>
      <c r="CM85" s="1701"/>
    </row>
    <row r="86" spans="1:91" s="24" customFormat="1" outlineLevel="1">
      <c r="A86" s="398" t="s">
        <v>253</v>
      </c>
      <c r="B86" s="387"/>
      <c r="C86" s="387"/>
      <c r="D86" s="387"/>
      <c r="E86" s="387"/>
      <c r="F86" s="346"/>
      <c r="G86" s="956"/>
      <c r="H86" s="346"/>
      <c r="I86" s="387">
        <f>CFS!I13</f>
        <v>7.1139999999999999</v>
      </c>
      <c r="J86" s="387">
        <f>CFS!J13</f>
        <v>8.4969999999999999</v>
      </c>
      <c r="K86" s="387">
        <f>CFS!K13</f>
        <v>6.4409999999999989</v>
      </c>
      <c r="L86" s="387">
        <f>CFS!L13</f>
        <v>7.0190000000000019</v>
      </c>
      <c r="M86" s="1701"/>
      <c r="N86" s="1702"/>
      <c r="O86" s="387">
        <f>CFS!O13</f>
        <v>8.3629999999999995</v>
      </c>
      <c r="P86" s="387">
        <f>CFS!P13</f>
        <v>7.9329999999999998</v>
      </c>
      <c r="Q86" s="387">
        <f>CFS!Q13</f>
        <v>7.4860000000000007</v>
      </c>
      <c r="R86" s="387">
        <f>CFS!R13</f>
        <v>8.0229999999999997</v>
      </c>
      <c r="S86" s="1701"/>
      <c r="T86" s="1702"/>
      <c r="U86" s="387">
        <f>CFS!U13</f>
        <v>8.4410000000000007</v>
      </c>
      <c r="V86" s="387">
        <f>CFS!V13</f>
        <v>8.6769999999999978</v>
      </c>
      <c r="W86" s="387">
        <f>CFS!W13</f>
        <v>8.7789999999999981</v>
      </c>
      <c r="X86" s="387">
        <f>CFS!X13</f>
        <v>8.5239999999999991</v>
      </c>
      <c r="Y86" s="1701"/>
      <c r="Z86" s="1702"/>
      <c r="AA86" s="387">
        <f>CFS!AA13</f>
        <v>8.64</v>
      </c>
      <c r="AB86" s="387">
        <f>CFS!AB13</f>
        <v>9.2989999999999995</v>
      </c>
      <c r="AC86" s="387">
        <f>CFS!AC13</f>
        <v>9.3279999999999994</v>
      </c>
      <c r="AD86" s="387">
        <f>CFS!AD13</f>
        <v>9.2639999999999993</v>
      </c>
      <c r="AE86" s="1701"/>
      <c r="AF86" s="1702"/>
      <c r="AG86" s="387">
        <f>CFS!AG13</f>
        <v>7.7629999999999999</v>
      </c>
      <c r="AH86" s="387">
        <f>CFS!AH13</f>
        <v>9.4049999999999994</v>
      </c>
      <c r="AI86" s="387">
        <f>CFS!AI13</f>
        <v>9.9329999999999998</v>
      </c>
      <c r="AJ86" s="387">
        <f>CFS!AJ13</f>
        <v>10.320999999999998</v>
      </c>
      <c r="AK86" s="1701"/>
      <c r="AL86" s="1702"/>
      <c r="AM86" s="387">
        <f>CFS!AM13</f>
        <v>8.4870000000000001</v>
      </c>
      <c r="AN86" s="387">
        <f>CFS!AN13</f>
        <v>9.604000000000001</v>
      </c>
      <c r="AO86" s="387">
        <f>CFS!AO13</f>
        <v>9.7159999999999958</v>
      </c>
      <c r="AP86" s="387">
        <f>CFS!AP13</f>
        <v>10.358000000000004</v>
      </c>
      <c r="AQ86" s="1701"/>
      <c r="AR86" s="1702"/>
      <c r="AS86" s="387">
        <f>CFS!AS13</f>
        <v>8.8190000000000008</v>
      </c>
      <c r="AT86" s="387">
        <f>CFS!AT13</f>
        <v>12.598000000000001</v>
      </c>
      <c r="AU86" s="387">
        <f>CFS!AU13</f>
        <v>17.336999999999996</v>
      </c>
      <c r="AV86" s="387">
        <f>CFS!AV13</f>
        <v>7.6390000000000029</v>
      </c>
      <c r="AW86" s="1701"/>
      <c r="AX86" s="1702"/>
      <c r="AY86" s="387">
        <f>CFS!AY13</f>
        <v>11.445</v>
      </c>
      <c r="AZ86" s="387">
        <f>CFS!AZ13</f>
        <v>11.320999999999998</v>
      </c>
      <c r="BA86" s="387">
        <f>CFS!BA13</f>
        <v>10.436</v>
      </c>
      <c r="BB86" s="387">
        <f>CFS!BB13</f>
        <v>12.085000000000001</v>
      </c>
      <c r="BC86" s="1701"/>
      <c r="BD86" s="1702"/>
      <c r="BE86" s="387">
        <f>CFS!BE13</f>
        <v>12.356</v>
      </c>
      <c r="BF86" s="387">
        <f>CFS!BF13</f>
        <v>13.699</v>
      </c>
      <c r="BG86" s="387">
        <f>CFS!BG13</f>
        <v>12.798999999999999</v>
      </c>
      <c r="BH86" s="387">
        <f>CFS!BH13</f>
        <v>12.829999999999998</v>
      </c>
      <c r="BI86" s="1701"/>
      <c r="BJ86" s="1702"/>
      <c r="BK86" s="387">
        <f>CFS!BK13</f>
        <v>12.782999999999999</v>
      </c>
      <c r="BL86" s="387">
        <f>CFS!BL13</f>
        <v>18.012999999999998</v>
      </c>
      <c r="BM86" s="387">
        <f>CFS!BM13</f>
        <v>14.658000000000001</v>
      </c>
      <c r="BN86" s="387">
        <f>CFS!BN13</f>
        <v>15.996000000000002</v>
      </c>
      <c r="BO86" s="1701"/>
      <c r="BP86" s="1702"/>
      <c r="BQ86" s="387">
        <f>CFS!BQ13</f>
        <v>12.946315669005504</v>
      </c>
      <c r="BR86" s="387">
        <f>CFS!BR13</f>
        <v>13.362667395155919</v>
      </c>
      <c r="BS86" s="387">
        <f>CFS!BS13</f>
        <v>13.775038228315095</v>
      </c>
      <c r="BT86" s="387">
        <f>CFS!BT13</f>
        <v>14.276862254471872</v>
      </c>
      <c r="BU86" s="1701"/>
      <c r="BW86" s="387">
        <f>CFS!BW13</f>
        <v>13.610351455183638</v>
      </c>
      <c r="BX86" s="387">
        <f>CFS!BX13</f>
        <v>14.193822110872613</v>
      </c>
      <c r="BY86" s="387">
        <f>CFS!BY13</f>
        <v>14.770245594921482</v>
      </c>
      <c r="BZ86" s="387">
        <f>CFS!BZ13</f>
        <v>15.467268178256088</v>
      </c>
      <c r="CA86" s="1701"/>
      <c r="CC86" s="387">
        <f>CFS!CC13</f>
        <v>14.552777003397139</v>
      </c>
      <c r="CD86" s="387">
        <f>CFS!CD13</f>
        <v>15.097379608751964</v>
      </c>
      <c r="CE86" s="387">
        <f>CFS!CE13</f>
        <v>15.634687499421535</v>
      </c>
      <c r="CF86" s="387">
        <f>CFS!CF13</f>
        <v>16.280207240500648</v>
      </c>
      <c r="CG86" s="1701"/>
      <c r="CI86" s="387">
        <f>CFS!CI13</f>
        <v>14.974314953024921</v>
      </c>
      <c r="CJ86" s="387">
        <f>CFS!CJ13</f>
        <v>15.328816367842313</v>
      </c>
      <c r="CK86" s="387">
        <f>CFS!CK13</f>
        <v>15.678092461352914</v>
      </c>
      <c r="CL86" s="387">
        <f>CFS!CL13</f>
        <v>16.095072751911342</v>
      </c>
      <c r="CM86" s="1701"/>
    </row>
    <row r="87" spans="1:91" s="24" customFormat="1" outlineLevel="1">
      <c r="A87" s="398" t="s">
        <v>254</v>
      </c>
      <c r="B87" s="387"/>
      <c r="C87" s="387"/>
      <c r="D87" s="387"/>
      <c r="E87" s="387"/>
      <c r="F87" s="346"/>
      <c r="G87" s="956"/>
      <c r="H87" s="346"/>
      <c r="I87" s="387">
        <f>CFS!I28</f>
        <v>-14.302</v>
      </c>
      <c r="J87" s="387">
        <f>CFS!J28</f>
        <v>-18.271999999999998</v>
      </c>
      <c r="K87" s="387">
        <f>CFS!K28</f>
        <v>-16.504000000000005</v>
      </c>
      <c r="L87" s="387">
        <f>CFS!L28</f>
        <v>-19.986999999999995</v>
      </c>
      <c r="M87" s="1701"/>
      <c r="N87" s="1702"/>
      <c r="O87" s="387">
        <f>CFS!O28</f>
        <v>-22.155999999999999</v>
      </c>
      <c r="P87" s="387">
        <f>CFS!P28</f>
        <v>-35.597999999999999</v>
      </c>
      <c r="Q87" s="387">
        <f>CFS!Q28</f>
        <v>-22.645000000000003</v>
      </c>
      <c r="R87" s="387">
        <f>CFS!R28</f>
        <v>-13.397000000000006</v>
      </c>
      <c r="S87" s="1701"/>
      <c r="T87" s="1702"/>
      <c r="U87" s="387">
        <f>CFS!U28</f>
        <v>-10.164999999999999</v>
      </c>
      <c r="V87" s="387">
        <f>CFS!V28</f>
        <v>-11.064</v>
      </c>
      <c r="W87" s="387">
        <f>CFS!W28</f>
        <v>-26.048000000000002</v>
      </c>
      <c r="X87" s="387">
        <f>CFS!X28</f>
        <v>-15.463000000000001</v>
      </c>
      <c r="Y87" s="1701"/>
      <c r="Z87" s="1702"/>
      <c r="AA87" s="387">
        <f>CFS!AA28</f>
        <v>-16.838999999999999</v>
      </c>
      <c r="AB87" s="387">
        <f>CFS!AB28</f>
        <v>-18.433</v>
      </c>
      <c r="AC87" s="387">
        <f>CFS!AC28</f>
        <v>-16.072000000000003</v>
      </c>
      <c r="AD87" s="387">
        <f>CFS!AD28</f>
        <v>-34.092000000000006</v>
      </c>
      <c r="AE87" s="1701"/>
      <c r="AF87" s="1702"/>
      <c r="AG87" s="387">
        <f>CFS!AG28</f>
        <v>-15.534000000000001</v>
      </c>
      <c r="AH87" s="387">
        <f>CFS!AH28</f>
        <v>-31.386000000000003</v>
      </c>
      <c r="AI87" s="387">
        <f>CFS!AI28</f>
        <v>-26.128</v>
      </c>
      <c r="AJ87" s="387">
        <f>CFS!AJ28</f>
        <v>-31.700999999999993</v>
      </c>
      <c r="AK87" s="1701"/>
      <c r="AL87" s="1702"/>
      <c r="AM87" s="387">
        <f>CFS!AM28</f>
        <v>-30.637</v>
      </c>
      <c r="AN87" s="387">
        <f>CFS!AN28</f>
        <v>-30.639000000000003</v>
      </c>
      <c r="AO87" s="387">
        <f>CFS!AO28</f>
        <v>-31.54</v>
      </c>
      <c r="AP87" s="387">
        <f>CFS!AP28</f>
        <v>-25.634</v>
      </c>
      <c r="AQ87" s="1701"/>
      <c r="AR87" s="1702"/>
      <c r="AS87" s="387">
        <f>CFS!AS28</f>
        <v>-21.395</v>
      </c>
      <c r="AT87" s="387">
        <f>CFS!AT28</f>
        <v>-22.756000000000004</v>
      </c>
      <c r="AU87" s="387">
        <f>CFS!AU28</f>
        <v>-26.285999999999994</v>
      </c>
      <c r="AV87" s="387">
        <f>CFS!AV28</f>
        <v>-20.685000000000002</v>
      </c>
      <c r="AW87" s="1701"/>
      <c r="AX87" s="1702"/>
      <c r="AY87" s="387">
        <f>CFS!AY28</f>
        <v>-21.41</v>
      </c>
      <c r="AZ87" s="387">
        <f>CFS!AZ28</f>
        <v>-23.882999999999999</v>
      </c>
      <c r="BA87" s="387">
        <f>CFS!BA28</f>
        <v>-26.957000000000001</v>
      </c>
      <c r="BB87" s="387">
        <f>CFS!BB28</f>
        <v>-27.762</v>
      </c>
      <c r="BC87" s="1701"/>
      <c r="BD87" s="1702"/>
      <c r="BE87" s="387">
        <f>CFS!BE28</f>
        <v>-24.652000000000001</v>
      </c>
      <c r="BF87" s="387">
        <f>CFS!BF28</f>
        <v>-25.043999999999997</v>
      </c>
      <c r="BG87" s="387">
        <f>CFS!BG28</f>
        <v>-22.600000000000009</v>
      </c>
      <c r="BH87" s="387">
        <f>CFS!BH28</f>
        <v>-22.670999999999992</v>
      </c>
      <c r="BI87" s="1701"/>
      <c r="BJ87" s="1702"/>
      <c r="BK87" s="387">
        <f>CFS!BK28</f>
        <v>-17.710999999999999</v>
      </c>
      <c r="BL87" s="387">
        <f>CFS!BL28</f>
        <v>-17.646999999999998</v>
      </c>
      <c r="BM87" s="387">
        <f>CFS!BM28</f>
        <v>-19.899000000000001</v>
      </c>
      <c r="BN87" s="387">
        <f>CFS!BN28</f>
        <v>-30.216000000000001</v>
      </c>
      <c r="BO87" s="1701"/>
      <c r="BP87" s="1702"/>
      <c r="BQ87" s="387">
        <f>CFS!BQ28</f>
        <v>-24.728711267033646</v>
      </c>
      <c r="BR87" s="387">
        <f>CFS!BR28</f>
        <v>-27.756781743361028</v>
      </c>
      <c r="BS87" s="387">
        <f>CFS!BS28</f>
        <v>-27.491388877278499</v>
      </c>
      <c r="BT87" s="387">
        <f>CFS!BT28</f>
        <v>-33.454935077118385</v>
      </c>
      <c r="BU87" s="1701"/>
      <c r="BW87" s="387">
        <f>CFS!BW28</f>
        <v>-38.0529252303823</v>
      </c>
      <c r="BX87" s="387">
        <f>CFS!BX28</f>
        <v>-42.434229504652585</v>
      </c>
      <c r="BY87" s="387">
        <f>CFS!BY28</f>
        <v>-41.921707930826969</v>
      </c>
      <c r="BZ87" s="387">
        <f>CFS!BZ28</f>
        <v>-50.692551515244013</v>
      </c>
      <c r="CA87" s="1701"/>
      <c r="CC87" s="387">
        <f>CFS!CC28</f>
        <v>-39.329929125873761</v>
      </c>
      <c r="CD87" s="387">
        <f>CFS!CD28</f>
        <v>-43.568208428385979</v>
      </c>
      <c r="CE87" s="387">
        <f>CFS!CE28</f>
        <v>-42.984631253565503</v>
      </c>
      <c r="CF87" s="387">
        <f>CFS!CF28</f>
        <v>-51.641579286328998</v>
      </c>
      <c r="CG87" s="1701"/>
      <c r="CI87" s="387">
        <f>CFS!CI28</f>
        <v>-28.633638806608154</v>
      </c>
      <c r="CJ87" s="387">
        <f>CFS!CJ28</f>
        <v>-31.511236872657093</v>
      </c>
      <c r="CK87" s="387">
        <f>CFS!CK28</f>
        <v>-31.046763867609126</v>
      </c>
      <c r="CL87" s="387">
        <f>CFS!CL28</f>
        <v>-37.064914716304557</v>
      </c>
      <c r="CM87" s="1701"/>
    </row>
    <row r="88" spans="1:91" s="24" customFormat="1" outlineLevel="1">
      <c r="A88" s="398" t="s">
        <v>255</v>
      </c>
      <c r="B88" s="387"/>
      <c r="C88" s="387"/>
      <c r="D88" s="387"/>
      <c r="E88" s="387"/>
      <c r="F88" s="346"/>
      <c r="G88" s="956"/>
      <c r="H88" s="346"/>
      <c r="I88" s="346">
        <f>-I64</f>
        <v>0</v>
      </c>
      <c r="J88" s="346">
        <f>-J64</f>
        <v>0</v>
      </c>
      <c r="K88" s="346">
        <f>-K64</f>
        <v>0</v>
      </c>
      <c r="L88" s="387">
        <f>-L64</f>
        <v>-491.36799999999999</v>
      </c>
      <c r="M88" s="988"/>
      <c r="N88" s="1702"/>
      <c r="O88" s="346">
        <f>-O64</f>
        <v>0</v>
      </c>
      <c r="P88" s="346">
        <f>-P64</f>
        <v>0</v>
      </c>
      <c r="Q88" s="346">
        <f>-Q64</f>
        <v>0</v>
      </c>
      <c r="R88" s="346">
        <f>-R64</f>
        <v>0</v>
      </c>
      <c r="S88" s="1701"/>
      <c r="T88" s="1702"/>
      <c r="U88" s="1705">
        <f>-U64</f>
        <v>-200</v>
      </c>
      <c r="V88" s="1705">
        <f>-V64</f>
        <v>0</v>
      </c>
      <c r="W88" s="1705">
        <f>-W64</f>
        <v>0</v>
      </c>
      <c r="X88" s="1705">
        <f>-X64</f>
        <v>0</v>
      </c>
      <c r="Y88" s="1701"/>
      <c r="Z88" s="1702"/>
      <c r="AA88" s="1705">
        <f>-AA64</f>
        <v>0</v>
      </c>
      <c r="AB88" s="1705">
        <f>-AB64</f>
        <v>0</v>
      </c>
      <c r="AC88" s="1705">
        <f>-AC64</f>
        <v>0</v>
      </c>
      <c r="AD88" s="1705">
        <f>-AD64</f>
        <v>0</v>
      </c>
      <c r="AE88" s="1701"/>
      <c r="AF88" s="1702"/>
      <c r="AG88" s="1705">
        <f>-AG64</f>
        <v>0</v>
      </c>
      <c r="AH88" s="1705">
        <f>-AH64</f>
        <v>0</v>
      </c>
      <c r="AI88" s="1705">
        <f>-AI64</f>
        <v>0</v>
      </c>
      <c r="AJ88" s="1705">
        <f>-AJ64</f>
        <v>0</v>
      </c>
      <c r="AK88" s="1701"/>
      <c r="AL88" s="1702"/>
      <c r="AM88" s="1705">
        <f>-AM64</f>
        <v>0</v>
      </c>
      <c r="AN88" s="1705">
        <f>-AN64</f>
        <v>0</v>
      </c>
      <c r="AO88" s="1705">
        <f>-AO64</f>
        <v>0</v>
      </c>
      <c r="AP88" s="1705">
        <f>-AP64</f>
        <v>0</v>
      </c>
      <c r="AQ88" s="1701"/>
      <c r="AR88" s="1702"/>
      <c r="AS88" s="1705">
        <f>-AS64</f>
        <v>0</v>
      </c>
      <c r="AT88" s="1705">
        <f>-AT64</f>
        <v>0</v>
      </c>
      <c r="AU88" s="1705">
        <f>-AU64</f>
        <v>0</v>
      </c>
      <c r="AV88" s="1705">
        <f>-AV64</f>
        <v>0</v>
      </c>
      <c r="AW88" s="1701"/>
      <c r="AX88" s="1702"/>
      <c r="AY88" s="1705">
        <f>-AY64</f>
        <v>0</v>
      </c>
      <c r="AZ88" s="1705">
        <f>-AZ64</f>
        <v>0</v>
      </c>
      <c r="BA88" s="1705">
        <f>-BA64</f>
        <v>0</v>
      </c>
      <c r="BB88" s="1705">
        <f>-BB64</f>
        <v>0</v>
      </c>
      <c r="BC88" s="1701"/>
      <c r="BD88" s="1702"/>
      <c r="BE88" s="1705">
        <f>-BE64</f>
        <v>0</v>
      </c>
      <c r="BF88" s="1705">
        <f>-BF64</f>
        <v>0</v>
      </c>
      <c r="BG88" s="1705">
        <f>-BG64</f>
        <v>0</v>
      </c>
      <c r="BH88" s="1705">
        <f>-BH64</f>
        <v>0</v>
      </c>
      <c r="BI88" s="1701"/>
      <c r="BJ88" s="1702"/>
      <c r="BK88" s="1705">
        <f>-BK64</f>
        <v>0</v>
      </c>
      <c r="BL88" s="1705">
        <f>-BL64</f>
        <v>0</v>
      </c>
      <c r="BM88" s="1705">
        <f>-BM64</f>
        <v>0</v>
      </c>
      <c r="BN88" s="1705">
        <f>-BN64</f>
        <v>0</v>
      </c>
      <c r="BO88" s="1701"/>
      <c r="BP88" s="1702"/>
      <c r="BQ88" s="1705">
        <f>-BQ64</f>
        <v>0</v>
      </c>
      <c r="BR88" s="1705">
        <f>-BR64</f>
        <v>0</v>
      </c>
      <c r="BS88" s="1705">
        <f>-BS64</f>
        <v>0</v>
      </c>
      <c r="BT88" s="1705">
        <f>-BT64</f>
        <v>0</v>
      </c>
      <c r="BU88" s="1701"/>
      <c r="BW88" s="1705">
        <f>-BW64</f>
        <v>0</v>
      </c>
      <c r="BX88" s="1705">
        <f>-BX64</f>
        <v>0</v>
      </c>
      <c r="BY88" s="1705">
        <f>-BY64</f>
        <v>0</v>
      </c>
      <c r="BZ88" s="1705">
        <f>-BZ64</f>
        <v>0</v>
      </c>
      <c r="CA88" s="1701"/>
      <c r="CC88" s="1705">
        <f>-CC64</f>
        <v>0</v>
      </c>
      <c r="CD88" s="1705">
        <f>-CD64</f>
        <v>0</v>
      </c>
      <c r="CE88" s="1705">
        <f>-CE64</f>
        <v>0</v>
      </c>
      <c r="CF88" s="1705">
        <f>-CF64</f>
        <v>0</v>
      </c>
      <c r="CG88" s="1701"/>
      <c r="CI88" s="1705">
        <f>-CI64</f>
        <v>0</v>
      </c>
      <c r="CJ88" s="1705">
        <f>-CJ64</f>
        <v>0</v>
      </c>
      <c r="CK88" s="1705">
        <f>-CK64</f>
        <v>0</v>
      </c>
      <c r="CL88" s="1705">
        <f>-CL64</f>
        <v>0</v>
      </c>
      <c r="CM88" s="1701"/>
    </row>
    <row r="89" spans="1:91" s="24" customFormat="1" outlineLevel="1">
      <c r="A89" s="398" t="s">
        <v>256</v>
      </c>
      <c r="B89" s="387"/>
      <c r="C89" s="387"/>
      <c r="D89" s="387"/>
      <c r="E89" s="387"/>
      <c r="F89" s="346"/>
      <c r="G89" s="956"/>
      <c r="H89" s="346"/>
      <c r="I89" s="1703">
        <f>SUM(I84:I88)</f>
        <v>754.5870000000001</v>
      </c>
      <c r="J89" s="1703">
        <f>SUM(J84:J88)</f>
        <v>827.67399999999998</v>
      </c>
      <c r="K89" s="1703">
        <f>SUM(K84:K88)</f>
        <v>889.11399999999992</v>
      </c>
      <c r="L89" s="1703">
        <f>SUM(L84:L88)</f>
        <v>484.93099999999987</v>
      </c>
      <c r="M89" s="1706"/>
      <c r="N89" s="1702"/>
      <c r="O89" s="1703">
        <f>SUM(O84:O88)</f>
        <v>488.03100000000001</v>
      </c>
      <c r="P89" s="1703">
        <f>SUM(P84:P88)</f>
        <v>530.27300000000002</v>
      </c>
      <c r="Q89" s="1703">
        <f>SUM(Q84:Q88)</f>
        <v>591.05000000000007</v>
      </c>
      <c r="R89" s="1703">
        <f>SUM(R84:R88)</f>
        <v>689.79899999999998</v>
      </c>
      <c r="S89" s="1707"/>
      <c r="T89" s="1702"/>
      <c r="U89" s="1703">
        <f>SUM(U84:U88)</f>
        <v>504.05100000000016</v>
      </c>
      <c r="V89" s="1703">
        <f>SUM(V84:V88)</f>
        <v>586.58600000000024</v>
      </c>
      <c r="W89" s="1703">
        <f>SUM(W84:W88)</f>
        <v>664.03600000000029</v>
      </c>
      <c r="X89" s="1703">
        <f>SUM(X84:X88)</f>
        <v>783.70100000000036</v>
      </c>
      <c r="Y89" s="1707"/>
      <c r="Z89" s="1702"/>
      <c r="AA89" s="1703">
        <f>SUM(AA84:AA88)</f>
        <v>1032.7090000000003</v>
      </c>
      <c r="AB89" s="1700">
        <f>SUM(AB84:AB88)</f>
        <v>1123.6500000000003</v>
      </c>
      <c r="AC89" s="1700">
        <f>SUM(AC84:AC88)</f>
        <v>1218.1630000000005</v>
      </c>
      <c r="AD89" s="1700">
        <f>SUM(AD84:AD88)</f>
        <v>1330.5630000000003</v>
      </c>
      <c r="AE89" s="1707"/>
      <c r="AF89" s="1702"/>
      <c r="AG89" s="1703">
        <f>SUM(AG84:AG88)</f>
        <v>1362.2459999999999</v>
      </c>
      <c r="AH89" s="1700">
        <f>SUM(AH84:AH88)</f>
        <v>1437.9889999999998</v>
      </c>
      <c r="AI89" s="1700">
        <f>SUM(AI84:AI88)</f>
        <v>1520.9029999999998</v>
      </c>
      <c r="AJ89" s="1703">
        <f>SUM(AJ84:AJ88)</f>
        <v>1675.4669999999996</v>
      </c>
      <c r="AK89" s="1707"/>
      <c r="AL89" s="1702"/>
      <c r="AM89" s="1703">
        <f>SUM(AM84:AM88)</f>
        <v>1637.9340000000002</v>
      </c>
      <c r="AN89" s="1703">
        <f>SUM(AN84:AN88)</f>
        <v>1706.2130000000004</v>
      </c>
      <c r="AO89" s="1703">
        <f>SUM(AO84:AO88)</f>
        <v>1782.4370000000004</v>
      </c>
      <c r="AP89" s="1703">
        <f>SUM(AP84:AP88)</f>
        <v>1908.7430000000002</v>
      </c>
      <c r="AQ89" s="1707"/>
      <c r="AR89" s="1702"/>
      <c r="AS89" s="1703">
        <f>SUM(AS84:AS88)</f>
        <v>1861.396</v>
      </c>
      <c r="AT89" s="1703">
        <f>SUM(AT84:AT88)</f>
        <v>1947.7669999999998</v>
      </c>
      <c r="AU89" s="1703">
        <f>SUM(AU84:AU88)</f>
        <v>2052.3149999999996</v>
      </c>
      <c r="AV89" s="1703">
        <f>SUM(AV84:AV88)</f>
        <v>2190.5609999999997</v>
      </c>
      <c r="AW89" s="1707"/>
      <c r="AX89" s="1702"/>
      <c r="AY89" s="1703">
        <f>SUM(AY84:AY88)</f>
        <v>2276.6570000000002</v>
      </c>
      <c r="AZ89" s="1703">
        <f>SUM(AZ84:AZ88)</f>
        <v>2369.7520000000004</v>
      </c>
      <c r="BA89" s="1703">
        <f>SUM(BA84:BA88)</f>
        <v>2469.5120000000006</v>
      </c>
      <c r="BB89" s="1703">
        <f>SUM(BB84:BB88)</f>
        <v>2604.8890000000006</v>
      </c>
      <c r="BC89" s="1707"/>
      <c r="BD89" s="1702"/>
      <c r="BE89" s="1703">
        <f>SUM(BE84:BE88)</f>
        <v>2686.6450000000009</v>
      </c>
      <c r="BF89" s="1703">
        <f>SUM(BF84:BF88)</f>
        <v>2803.5170000000012</v>
      </c>
      <c r="BG89" s="1703">
        <f>SUM(BG84:BG88)</f>
        <v>2918.5720000000015</v>
      </c>
      <c r="BH89" s="1703">
        <f>SUM(BH84:BH88)</f>
        <v>3083.1090000000017</v>
      </c>
      <c r="BI89" s="1707"/>
      <c r="BJ89" s="1702"/>
      <c r="BK89" s="1703">
        <f>SUM(BK84:BK88)</f>
        <v>2913.6610000000001</v>
      </c>
      <c r="BL89" s="1703">
        <f>SUM(BL84:BL88)</f>
        <v>3045.8490000000002</v>
      </c>
      <c r="BM89" s="1703">
        <f>SUM(BM84:BM88)</f>
        <v>3176.712</v>
      </c>
      <c r="BN89" s="1703">
        <f>SUM(BN84:BN88)</f>
        <v>2809.32</v>
      </c>
      <c r="BO89" s="1707"/>
      <c r="BP89" s="1702"/>
      <c r="BQ89" s="1703">
        <f>SUM(BQ84:BQ88)</f>
        <v>3502.5933280957615</v>
      </c>
      <c r="BR89" s="1703">
        <f>SUM(BR84:BR88)</f>
        <v>3639.8479306401236</v>
      </c>
      <c r="BS89" s="1703">
        <f>SUM(BS84:BS88)</f>
        <v>3774.2182492552647</v>
      </c>
      <c r="BT89" s="1703">
        <f>SUM(BT84:BT88)</f>
        <v>3966.6391913559669</v>
      </c>
      <c r="BU89" s="1707"/>
      <c r="BW89" s="1703">
        <f>SUM(BW84:BW88)</f>
        <v>3414.3670714519731</v>
      </c>
      <c r="BX89" s="1703">
        <f>SUM(BX84:BX88)</f>
        <v>3548.602466643958</v>
      </c>
      <c r="BY89" s="1703">
        <f>SUM(BY84:BY88)</f>
        <v>3679.7152941550662</v>
      </c>
      <c r="BZ89" s="1703">
        <f>SUM(BZ84:BZ88)</f>
        <v>3868.6412868352336</v>
      </c>
      <c r="CA89" s="1707"/>
      <c r="CC89" s="1703">
        <f>SUM(CC84:CC88)</f>
        <v>3297.5841469121897</v>
      </c>
      <c r="CD89" s="1703">
        <f>SUM(CD84:CD88)</f>
        <v>3505.2283827405095</v>
      </c>
      <c r="CE89" s="1703">
        <f>SUM(CE84:CE88)</f>
        <v>3711.4784737415766</v>
      </c>
      <c r="CF89" s="1703">
        <f>SUM(CF84:CF88)</f>
        <v>3979.71744889212</v>
      </c>
      <c r="CG89" s="1707"/>
      <c r="CI89" s="1703">
        <f>SUM(CI84:CI88)</f>
        <v>3611.9064936569894</v>
      </c>
      <c r="CJ89" s="1703">
        <f>SUM(CJ84:CJ88)</f>
        <v>3779.3491952738627</v>
      </c>
      <c r="CK89" s="1703">
        <f>SUM(CK84:CK88)</f>
        <v>3942.6936171506582</v>
      </c>
      <c r="CL89" s="1703">
        <f>SUM(CL84:CL88)</f>
        <v>4170.4207401947824</v>
      </c>
      <c r="CM89" s="1707"/>
    </row>
    <row r="90" spans="1:91" s="24" customFormat="1" outlineLevel="1">
      <c r="A90" s="398" t="s">
        <v>257</v>
      </c>
      <c r="B90" s="387"/>
      <c r="C90" s="387"/>
      <c r="D90" s="387"/>
      <c r="E90" s="387"/>
      <c r="F90" s="346"/>
      <c r="G90" s="956"/>
      <c r="H90" s="346"/>
      <c r="I90" s="1700">
        <f>+(I89+I84)/2</f>
        <v>723.80050000000006</v>
      </c>
      <c r="J90" s="1700">
        <f>+(J89+J84)/2</f>
        <v>791.13049999999998</v>
      </c>
      <c r="K90" s="1700">
        <f>+(K89+K84)/2</f>
        <v>858.39400000000001</v>
      </c>
      <c r="L90" s="1700">
        <f>+(L89+L84)/2</f>
        <v>687.02249999999992</v>
      </c>
      <c r="M90" s="956"/>
      <c r="N90" s="1702"/>
      <c r="O90" s="1703">
        <f>+(O89+O84)/2</f>
        <v>458.2765</v>
      </c>
      <c r="P90" s="1703">
        <f>+(P89+P84)/2</f>
        <v>509.15200000000004</v>
      </c>
      <c r="Q90" s="1703">
        <v>578.14800000000002</v>
      </c>
      <c r="R90" s="1703">
        <f>+(R89+R84)/2</f>
        <v>640.42450000000008</v>
      </c>
      <c r="S90" s="1708">
        <f>AVERAGE(O90:R90)</f>
        <v>546.50025000000005</v>
      </c>
      <c r="T90" s="1702"/>
      <c r="U90" s="1700">
        <f>+(U89+U84)/2</f>
        <v>567.15400000000011</v>
      </c>
      <c r="V90" s="1700">
        <f>+(V89+V84)/2</f>
        <v>545.3185000000002</v>
      </c>
      <c r="W90" s="1700">
        <f>+(W89+W84)/2</f>
        <v>625.31100000000026</v>
      </c>
      <c r="X90" s="1700">
        <f>+(X89+X84)/2</f>
        <v>723.86850000000027</v>
      </c>
      <c r="Y90" s="1708">
        <f>AVERAGE(U90:X90)</f>
        <v>615.41300000000024</v>
      </c>
      <c r="Z90" s="1702"/>
      <c r="AA90" s="1703">
        <f>+(AA89+AA84)/2</f>
        <v>989.56400000000019</v>
      </c>
      <c r="AB90" s="1700">
        <f>+(AB89+AB84)/2</f>
        <v>1078.1795000000002</v>
      </c>
      <c r="AC90" s="1700">
        <f>+(AC89+AC84)/2</f>
        <v>1170.9065000000005</v>
      </c>
      <c r="AD90" s="1700">
        <f>+(AD89+AD84)/2</f>
        <v>1274.3630000000003</v>
      </c>
      <c r="AE90" s="1708">
        <f>AVERAGE(AA90:AD90)</f>
        <v>1128.2532500000002</v>
      </c>
      <c r="AF90" s="1702"/>
      <c r="AG90" s="1703">
        <f>+(AG89+AG84)/2</f>
        <v>1321.7984999999999</v>
      </c>
      <c r="AH90" s="1700">
        <f>+(AH89+AH84)/2</f>
        <v>1400.1174999999998</v>
      </c>
      <c r="AI90" s="1700">
        <f>+(AI89+AI84)/2</f>
        <v>1479.4459999999999</v>
      </c>
      <c r="AJ90" s="1703">
        <f>+(AJ89+AJ84)/2</f>
        <v>1598.1849999999997</v>
      </c>
      <c r="AK90" s="1708">
        <f>AVERAGE(AG90:AJ90)</f>
        <v>1449.8867499999997</v>
      </c>
      <c r="AL90" s="1702"/>
      <c r="AM90" s="1703">
        <f>+(AM89+AM84)/2</f>
        <v>1588.4795000000001</v>
      </c>
      <c r="AN90" s="1703">
        <f>+(AN89+AN84)/2</f>
        <v>1672.0735000000004</v>
      </c>
      <c r="AO90" s="1703">
        <f>+(AO89+AO84)/2</f>
        <v>1744.3250000000003</v>
      </c>
      <c r="AP90" s="1703">
        <f>+(AP89+AP84)/2</f>
        <v>1845.5900000000001</v>
      </c>
      <c r="AQ90" s="1708">
        <f>AVERAGE(AM90:AP90)</f>
        <v>1712.6170000000002</v>
      </c>
      <c r="AR90" s="1702"/>
      <c r="AS90" s="1703">
        <f>+(AS89+AS84)/2</f>
        <v>1832.5329999999999</v>
      </c>
      <c r="AT90" s="1703">
        <f>+(AT89+AT84)/2</f>
        <v>1904.5814999999998</v>
      </c>
      <c r="AU90" s="1703">
        <f>+(AU89+AU84)/2</f>
        <v>2000.0409999999997</v>
      </c>
      <c r="AV90" s="1703">
        <f>+(AV89+AV84)/2</f>
        <v>2121.4379999999996</v>
      </c>
      <c r="AW90" s="1708">
        <f>AVERAGE(AS90:AV90)</f>
        <v>1964.6483749999998</v>
      </c>
      <c r="AX90" s="1702"/>
      <c r="AY90" s="1703">
        <f>+(AY89+AY84)/2</f>
        <v>2233.6089999999999</v>
      </c>
      <c r="AZ90" s="1703">
        <f>+(AZ89+AZ84)/2</f>
        <v>2323.2045000000003</v>
      </c>
      <c r="BA90" s="1703">
        <f>+(BA89+BA84)/2</f>
        <v>2419.6320000000005</v>
      </c>
      <c r="BB90" s="1703">
        <f>+(BB89+BB84)/2</f>
        <v>2537.2005000000008</v>
      </c>
      <c r="BC90" s="1708">
        <f>AVERAGE(AY90:BB90)</f>
        <v>2378.4115000000002</v>
      </c>
      <c r="BD90" s="1702"/>
      <c r="BE90" s="1703">
        <f>+(BE89+BE84)/2</f>
        <v>2645.7670000000007</v>
      </c>
      <c r="BF90" s="1703">
        <f>+(BF89+BF84)/2</f>
        <v>2745.081000000001</v>
      </c>
      <c r="BG90" s="1703">
        <f>+(BG89+BG84)/2</f>
        <v>2861.0445000000013</v>
      </c>
      <c r="BH90" s="1703">
        <f>+(BH89+BH84)/2</f>
        <v>3000.8405000000016</v>
      </c>
      <c r="BI90" s="1708">
        <f>AVERAGE(BE90:BH90)</f>
        <v>2813.1832500000014</v>
      </c>
      <c r="BJ90" s="1702"/>
      <c r="BK90" s="1703">
        <f>+(BK89+BK84)/2</f>
        <v>2863.3464999999997</v>
      </c>
      <c r="BL90" s="1703">
        <f>+(BL89+BL84)/2</f>
        <v>2979.7550000000001</v>
      </c>
      <c r="BM90" s="1703">
        <f>+(BM89+BM84)/2</f>
        <v>3111.2804999999998</v>
      </c>
      <c r="BN90" s="1703">
        <f>+(BN89+BN84)/2</f>
        <v>2993.0160000000001</v>
      </c>
      <c r="BO90" s="1708">
        <f>AVERAGE(BK90:BN90)</f>
        <v>2986.8494999999998</v>
      </c>
      <c r="BP90" s="1702"/>
      <c r="BQ90" s="1703">
        <f>+(BQ89+BQ84)/2</f>
        <v>3448.1471640478808</v>
      </c>
      <c r="BR90" s="1703">
        <f>+(BR89+BR84)/2</f>
        <v>3571.2206293679428</v>
      </c>
      <c r="BS90" s="1703">
        <f>+(BS89+BS84)/2</f>
        <v>3707.033089947694</v>
      </c>
      <c r="BT90" s="1703">
        <f>+(BT89+BT84)/2</f>
        <v>3870.4287203056156</v>
      </c>
      <c r="BU90" s="1708">
        <f>AVERAGE(BQ90:BT90)</f>
        <v>3649.2074009172834</v>
      </c>
      <c r="BW90" s="1703">
        <f>+(BW89+BW84)/2</f>
        <v>3360.79310271136</v>
      </c>
      <c r="BX90" s="1703">
        <f>+(BX89+BX84)/2</f>
        <v>3481.4847690479655</v>
      </c>
      <c r="BY90" s="1703">
        <f>+(BY89+BY84)/2</f>
        <v>3614.1588803995119</v>
      </c>
      <c r="BZ90" s="1703">
        <f>+(BZ89+BZ84)/2</f>
        <v>3774.1782904951497</v>
      </c>
      <c r="CA90" s="1708">
        <f>AVERAGE(BW90:BZ90)</f>
        <v>3557.6537606634965</v>
      </c>
      <c r="CC90" s="1703">
        <f>+(CC89+CC84)/2</f>
        <v>3239.8388535755089</v>
      </c>
      <c r="CD90" s="1703">
        <f>+(CD89+CD84)/2</f>
        <v>3401.4062648263498</v>
      </c>
      <c r="CE90" s="1703">
        <f>+(CE89+CE84)/2</f>
        <v>3608.3534282410428</v>
      </c>
      <c r="CF90" s="1703">
        <f>+(CF89+CF84)/2</f>
        <v>3845.5979613168483</v>
      </c>
      <c r="CG90" s="1708">
        <f>AVERAGE(CC90:CF90)</f>
        <v>3523.7991269899376</v>
      </c>
      <c r="CI90" s="1703">
        <f>+(CI89+CI84)/2</f>
        <v>3508.0774553526276</v>
      </c>
      <c r="CJ90" s="1703">
        <f>+(CJ89+CJ84)/2</f>
        <v>3695.6278444654263</v>
      </c>
      <c r="CK90" s="1703">
        <f>+(CK89+CK84)/2</f>
        <v>3861.0214062122604</v>
      </c>
      <c r="CL90" s="1703">
        <f>+(CL89+CL84)/2</f>
        <v>4056.5571786727205</v>
      </c>
      <c r="CM90" s="1708">
        <f>AVERAGE(CI90:CL90)</f>
        <v>3780.3209711757581</v>
      </c>
    </row>
    <row r="91" spans="1:91" s="24" customFormat="1" outlineLevel="1">
      <c r="A91" s="1709" t="s">
        <v>258</v>
      </c>
      <c r="B91" s="1710"/>
      <c r="C91" s="1710"/>
      <c r="D91" s="1710"/>
      <c r="E91" s="1710"/>
      <c r="F91" s="346"/>
      <c r="G91" s="956"/>
      <c r="H91" s="346"/>
      <c r="I91" s="480">
        <f>(I92*4)/I90</f>
        <v>3.8203897344641233E-2</v>
      </c>
      <c r="J91" s="480">
        <f>(J92*4)/J90</f>
        <v>2.5037588615279022E-2</v>
      </c>
      <c r="K91" s="480">
        <f>(K92*4)/K90</f>
        <v>2.8089665118814902E-2</v>
      </c>
      <c r="L91" s="480">
        <f>(L92*4)/L90</f>
        <v>1.7850943746383859E-2</v>
      </c>
      <c r="M91" s="476"/>
      <c r="N91" s="1702"/>
      <c r="O91" s="475">
        <f>+O92/O90</f>
        <v>1.9813365948286679E-3</v>
      </c>
      <c r="P91" s="475">
        <f>+P92/P90</f>
        <v>1.1686097668279806E-3</v>
      </c>
      <c r="Q91" s="475">
        <f>+Q92/Q90</f>
        <v>1.3577838200599154E-3</v>
      </c>
      <c r="R91" s="475">
        <f>+R92/R90</f>
        <v>1.1679753038804726E-3</v>
      </c>
      <c r="S91" s="476">
        <f>+S92/S90</f>
        <v>5.5553497002059924E-3</v>
      </c>
      <c r="T91" s="1702"/>
      <c r="U91" s="480">
        <v>7.4999999999999997E-3</v>
      </c>
      <c r="V91" s="480">
        <v>3.3999999999999998E-3</v>
      </c>
      <c r="W91" s="480">
        <v>2E-3</v>
      </c>
      <c r="X91" s="480">
        <f>W91</f>
        <v>2E-3</v>
      </c>
      <c r="Y91" s="476">
        <f>+Y92/Y90</f>
        <v>3.5773118621153601E-3</v>
      </c>
      <c r="Z91" s="1702"/>
      <c r="AA91" s="480">
        <v>6.0000000000000001E-3</v>
      </c>
      <c r="AB91" s="480">
        <v>6.0000000000000001E-3</v>
      </c>
      <c r="AC91" s="480">
        <v>6.0000000000000001E-3</v>
      </c>
      <c r="AD91" s="480">
        <v>6.0000000000000001E-3</v>
      </c>
      <c r="AE91" s="476">
        <f>+AE92/AE90</f>
        <v>5.7446424373251313E-3</v>
      </c>
      <c r="AF91" s="1702"/>
      <c r="AG91" s="480">
        <v>1E-3</v>
      </c>
      <c r="AH91" s="480">
        <v>1E-3</v>
      </c>
      <c r="AI91" s="480">
        <v>1E-3</v>
      </c>
      <c r="AJ91" s="480">
        <v>1E-3</v>
      </c>
      <c r="AK91" s="476">
        <f>+AK92/AK90</f>
        <v>9.6602182894629535E-4</v>
      </c>
      <c r="AL91" s="1702"/>
      <c r="AM91" s="480">
        <f>AJ91</f>
        <v>1E-3</v>
      </c>
      <c r="AN91" s="480">
        <f>AM91</f>
        <v>1E-3</v>
      </c>
      <c r="AO91" s="480">
        <f>AN91</f>
        <v>1E-3</v>
      </c>
      <c r="AP91" s="480">
        <f>AO91</f>
        <v>1E-3</v>
      </c>
      <c r="AQ91" s="476">
        <f>+AQ92/AQ90</f>
        <v>9.7301512830948189E-4</v>
      </c>
      <c r="AR91" s="1702"/>
      <c r="AS91" s="480">
        <f>AP91</f>
        <v>1E-3</v>
      </c>
      <c r="AT91" s="480">
        <f>AS91</f>
        <v>1E-3</v>
      </c>
      <c r="AU91" s="480">
        <f>AT91</f>
        <v>1E-3</v>
      </c>
      <c r="AV91" s="480">
        <f>AU91</f>
        <v>1E-3</v>
      </c>
      <c r="AW91" s="476">
        <f>+AW92/AW90</f>
        <v>9.7538420838283609E-4</v>
      </c>
      <c r="AX91" s="1702"/>
      <c r="AY91" s="480">
        <f>AV91</f>
        <v>1E-3</v>
      </c>
      <c r="AZ91" s="480">
        <f>AY91</f>
        <v>1E-3</v>
      </c>
      <c r="BA91" s="480">
        <f>AZ91</f>
        <v>1E-3</v>
      </c>
      <c r="BB91" s="480">
        <f>BA91</f>
        <v>1E-3</v>
      </c>
      <c r="BC91" s="476">
        <f>+BC92/BC90</f>
        <v>9.7822454188436288E-4</v>
      </c>
      <c r="BD91" s="1702"/>
      <c r="BE91" s="480">
        <f>BB91</f>
        <v>1E-3</v>
      </c>
      <c r="BF91" s="480">
        <f>BE91</f>
        <v>1E-3</v>
      </c>
      <c r="BG91" s="480">
        <f>BF91</f>
        <v>1E-3</v>
      </c>
      <c r="BH91" s="480">
        <f>BG91</f>
        <v>1E-3</v>
      </c>
      <c r="BI91" s="476">
        <f>+BI92/BI90</f>
        <v>9.7875093988278208E-4</v>
      </c>
      <c r="BJ91" s="1702"/>
      <c r="BK91" s="480">
        <f>BH91</f>
        <v>1E-3</v>
      </c>
      <c r="BL91" s="480">
        <f>BK91</f>
        <v>1E-3</v>
      </c>
      <c r="BM91" s="480">
        <f>BL91</f>
        <v>1E-3</v>
      </c>
      <c r="BN91" s="480">
        <f>BM91</f>
        <v>1E-3</v>
      </c>
      <c r="BO91" s="476">
        <f>+BO92/BO90</f>
        <v>1.0001553476330161E-3</v>
      </c>
      <c r="BP91" s="1702"/>
      <c r="BQ91" s="480">
        <f>BN91</f>
        <v>1E-3</v>
      </c>
      <c r="BR91" s="480">
        <f>BQ91</f>
        <v>1E-3</v>
      </c>
      <c r="BS91" s="480">
        <f>BR91</f>
        <v>1E-3</v>
      </c>
      <c r="BT91" s="480">
        <f>BS91</f>
        <v>1E-3</v>
      </c>
      <c r="BU91" s="476">
        <f>+BU92/BU90</f>
        <v>9.8037456739195092E-4</v>
      </c>
      <c r="BW91" s="480">
        <f>BT91</f>
        <v>1E-3</v>
      </c>
      <c r="BX91" s="480">
        <f>BW91</f>
        <v>1E-3</v>
      </c>
      <c r="BY91" s="480">
        <f>BX91</f>
        <v>1E-3</v>
      </c>
      <c r="BZ91" s="480">
        <f>BY91</f>
        <v>1E-3</v>
      </c>
      <c r="CA91" s="476">
        <f>+CA92/CA90</f>
        <v>9.8027414306473362E-4</v>
      </c>
      <c r="CC91" s="480">
        <f>BZ91</f>
        <v>1E-3</v>
      </c>
      <c r="CD91" s="480">
        <f>CC91</f>
        <v>1E-3</v>
      </c>
      <c r="CE91" s="480">
        <f>CD91</f>
        <v>1E-3</v>
      </c>
      <c r="CF91" s="480">
        <f>CE91</f>
        <v>1E-3</v>
      </c>
      <c r="CG91" s="476">
        <f>+CG92/CG90</f>
        <v>9.717058258746921E-4</v>
      </c>
      <c r="CI91" s="480">
        <f>CF91</f>
        <v>1E-3</v>
      </c>
      <c r="CJ91" s="480">
        <f>CI91</f>
        <v>1E-3</v>
      </c>
      <c r="CK91" s="480">
        <f>CJ91</f>
        <v>1E-3</v>
      </c>
      <c r="CL91" s="480">
        <f>CK91</f>
        <v>1E-3</v>
      </c>
      <c r="CM91" s="476">
        <f>+CM92/CM90</f>
        <v>9.7466576485871065E-4</v>
      </c>
    </row>
    <row r="92" spans="1:91" s="24" customFormat="1" outlineLevel="1">
      <c r="A92" s="1269" t="s">
        <v>259</v>
      </c>
      <c r="B92" s="1711"/>
      <c r="C92" s="1711"/>
      <c r="D92" s="1711"/>
      <c r="E92" s="1711"/>
      <c r="F92" s="1712"/>
      <c r="G92" s="1193"/>
      <c r="H92" s="959"/>
      <c r="I92" s="1713">
        <v>6.9130000000000003</v>
      </c>
      <c r="J92" s="1713">
        <v>4.952</v>
      </c>
      <c r="K92" s="1713">
        <v>6.0279999999999996</v>
      </c>
      <c r="L92" s="1713">
        <f>M92-K92-J92-I92</f>
        <v>3.0660000000000007</v>
      </c>
      <c r="M92" s="1714">
        <v>20.959</v>
      </c>
      <c r="N92" s="1023"/>
      <c r="O92" s="1713">
        <v>0.90800000000000003</v>
      </c>
      <c r="P92" s="1713">
        <v>0.59499999999999997</v>
      </c>
      <c r="Q92" s="1713">
        <v>0.78500000000000003</v>
      </c>
      <c r="R92" s="1713">
        <f>+S92-SUM(O92:Q92)</f>
        <v>0.74799999999999978</v>
      </c>
      <c r="S92" s="1714">
        <v>3.036</v>
      </c>
      <c r="T92" s="1715"/>
      <c r="U92" s="1716">
        <f>+(U91*U90)/4</f>
        <v>1.0634137500000003</v>
      </c>
      <c r="V92" s="1716">
        <f>+(V91*V90)/4</f>
        <v>0.46352072500000013</v>
      </c>
      <c r="W92" s="1716">
        <f>+(W91*W90)/4</f>
        <v>0.31265550000000014</v>
      </c>
      <c r="X92" s="1716">
        <f>+(X91*X90)/4</f>
        <v>0.36193425000000012</v>
      </c>
      <c r="Y92" s="1717">
        <f>SUM(U92:X92)</f>
        <v>2.2015242250000009</v>
      </c>
      <c r="Z92" s="1715"/>
      <c r="AA92" s="1716">
        <f>+(AA91*AA84)/4</f>
        <v>1.4196285000000002</v>
      </c>
      <c r="AB92" s="1716">
        <f>+(AB91*AB84)/4</f>
        <v>1.5490635000000004</v>
      </c>
      <c r="AC92" s="1716">
        <f>+(AC91*AC84)/4</f>
        <v>1.6854750000000005</v>
      </c>
      <c r="AD92" s="1716">
        <f>+(AD91*AD84)/4</f>
        <v>1.8272445000000008</v>
      </c>
      <c r="AE92" s="1717">
        <f>SUM(AA92:AD92)</f>
        <v>6.4814115000000019</v>
      </c>
      <c r="AF92" s="1715"/>
      <c r="AG92" s="1716">
        <f>+(AG91*AG84)/4</f>
        <v>0.32033775000000003</v>
      </c>
      <c r="AH92" s="1716">
        <f>+(AH91*AH84)/4</f>
        <v>0.34056149999999996</v>
      </c>
      <c r="AI92" s="1716">
        <f>+(AI91*AI84)/4</f>
        <v>0.35949724999999993</v>
      </c>
      <c r="AJ92" s="1716">
        <f>+(AJ91*AJ84)/4</f>
        <v>0.38022574999999997</v>
      </c>
      <c r="AK92" s="1717">
        <f>SUM(AG92:AJ92)</f>
        <v>1.4006222499999998</v>
      </c>
      <c r="AL92" s="1715"/>
      <c r="AM92" s="1716">
        <f>+(AM91*AM84)/4</f>
        <v>0.38475625000000002</v>
      </c>
      <c r="AN92" s="1716">
        <f>+(AN91*AN84)/4</f>
        <v>0.40948350000000006</v>
      </c>
      <c r="AO92" s="1716">
        <f>+(AO91*AO84)/4</f>
        <v>0.42655325000000011</v>
      </c>
      <c r="AP92" s="1716">
        <f>+(AP91*AP84)/4</f>
        <v>0.44560925000000012</v>
      </c>
      <c r="AQ92" s="1717">
        <f>SUM(AM92:AP92)</f>
        <v>1.6664022500000002</v>
      </c>
      <c r="AR92" s="1715"/>
      <c r="AS92" s="1716">
        <f>+(AS91*AS84)/4</f>
        <v>0.45091750000000003</v>
      </c>
      <c r="AT92" s="1716">
        <f>+(AT91*AT84)/4</f>
        <v>0.46534900000000001</v>
      </c>
      <c r="AU92" s="1716">
        <f>+(AU91*AU84)/4</f>
        <v>0.48694174999999995</v>
      </c>
      <c r="AV92" s="1716">
        <f>+(AV91*AV84)/4</f>
        <v>0.51307874999999992</v>
      </c>
      <c r="AW92" s="1717">
        <f>SUM(AS92:AV92)</f>
        <v>1.9162870000000001</v>
      </c>
      <c r="AX92" s="1715"/>
      <c r="AY92" s="1716">
        <f>+(AY91*AY84)/4</f>
        <v>0.54764024999999994</v>
      </c>
      <c r="AZ92" s="1716">
        <f>+(AZ91*AZ84)/4</f>
        <v>0.56916425000000004</v>
      </c>
      <c r="BA92" s="1716">
        <f>+(BA91*BA84)/4</f>
        <v>0.59243800000000013</v>
      </c>
      <c r="BB92" s="1716">
        <f>+(BB91*BB84)/4</f>
        <v>0.6173780000000002</v>
      </c>
      <c r="BC92" s="1717">
        <f>SUM(AY92:BB92)</f>
        <v>2.3266205000000006</v>
      </c>
      <c r="BD92" s="1715"/>
      <c r="BE92" s="1716">
        <f>+(BE91*BE84)/4</f>
        <v>0.65122225000000011</v>
      </c>
      <c r="BF92" s="1716">
        <f>+(BF91*BF84)/4</f>
        <v>0.67166125000000021</v>
      </c>
      <c r="BG92" s="1716">
        <f>+(BG91*BG84)/4</f>
        <v>0.70087925000000029</v>
      </c>
      <c r="BH92" s="1716">
        <f>+(BH91*BH84)/4</f>
        <v>0.72964300000000037</v>
      </c>
      <c r="BI92" s="1717">
        <f>SUM(BE92:BH92)</f>
        <v>2.7534057500000007</v>
      </c>
      <c r="BJ92" s="1715"/>
      <c r="BK92" s="1716">
        <f>+(BK91*BK84)/4</f>
        <v>0.70325799999999994</v>
      </c>
      <c r="BL92" s="1716">
        <f>+(BL91*BL84)/4</f>
        <v>0.72841525000000007</v>
      </c>
      <c r="BM92" s="1716">
        <f>+(BM91*BM84)/4</f>
        <v>0.76146225000000001</v>
      </c>
      <c r="BN92" s="1716">
        <f>+(BN91*BN84)/4</f>
        <v>0.79417800000000005</v>
      </c>
      <c r="BO92" s="1717">
        <f>SUM(BK92:BN92)</f>
        <v>2.9873135</v>
      </c>
      <c r="BP92" s="1715"/>
      <c r="BQ92" s="1716">
        <f>+(BQ91*BQ84)/4</f>
        <v>0.84842525000000002</v>
      </c>
      <c r="BR92" s="1716">
        <f>+(BR91*BR84)/4</f>
        <v>0.87564833202394043</v>
      </c>
      <c r="BS92" s="1716">
        <f>+(BS91*BS84)/4</f>
        <v>0.90996198266003092</v>
      </c>
      <c r="BT92" s="1716">
        <f>+(BT91*BT84)/4</f>
        <v>0.94355456231381618</v>
      </c>
      <c r="BU92" s="1717">
        <f>SUM(BQ92:BT92)</f>
        <v>3.5775901269977877</v>
      </c>
      <c r="BW92" s="1716">
        <f>+(BW91*BW84)/4</f>
        <v>0.82680478349268682</v>
      </c>
      <c r="BX92" s="1716">
        <f>+(BX91*BX84)/4</f>
        <v>0.85359176786299329</v>
      </c>
      <c r="BY92" s="1716">
        <f>+(BY91*BY84)/4</f>
        <v>0.88715061666098949</v>
      </c>
      <c r="BZ92" s="1716">
        <f>+(BZ91*BZ84)/4</f>
        <v>0.91992882353876659</v>
      </c>
      <c r="CA92" s="1717">
        <f>SUM(BW92:BZ92)</f>
        <v>3.4874759915554363</v>
      </c>
      <c r="CC92" s="1716">
        <f>+(CC91*CC84)/4</f>
        <v>0.79552339005970707</v>
      </c>
      <c r="CD92" s="1716">
        <f>+(CD91*CD84)/4</f>
        <v>0.8243960367280474</v>
      </c>
      <c r="CE92" s="1716">
        <f>+(CE91*CE84)/4</f>
        <v>0.87630709568512744</v>
      </c>
      <c r="CF92" s="1716">
        <f>+(CF91*CF84)/4</f>
        <v>0.92786961843539417</v>
      </c>
      <c r="CG92" s="1717">
        <f>SUM(CC92:CF92)</f>
        <v>3.4240961409082762</v>
      </c>
      <c r="CI92" s="1716">
        <f>+(CI91*CI84)/4</f>
        <v>0.85106210426206641</v>
      </c>
      <c r="CJ92" s="1716">
        <f>+(CJ91*CJ84)/4</f>
        <v>0.90297662341424734</v>
      </c>
      <c r="CK92" s="1716">
        <f>+(CK91*CK84)/4</f>
        <v>0.94483729881846568</v>
      </c>
      <c r="CL92" s="1716">
        <f>+(CL91*CL84)/4</f>
        <v>0.98567340428766459</v>
      </c>
      <c r="CM92" s="1717">
        <f>SUM(CI92:CL92)</f>
        <v>3.684549430782444</v>
      </c>
    </row>
    <row r="93" spans="1:91" s="24" customFormat="1">
      <c r="F93" s="71"/>
    </row>
    <row r="94" spans="1:91" s="24" customFormat="1">
      <c r="A94" s="73"/>
      <c r="G94" s="1007"/>
      <c r="H94" s="1718"/>
      <c r="I94" s="1718"/>
      <c r="J94" s="1718"/>
      <c r="K94" s="1718"/>
      <c r="L94" s="1718"/>
      <c r="M94" s="1007"/>
      <c r="N94" s="1718"/>
      <c r="O94" s="1007"/>
      <c r="P94" s="1007"/>
      <c r="Q94" s="1007"/>
      <c r="R94" s="1007"/>
      <c r="S94" s="1007"/>
      <c r="T94" s="1718"/>
      <c r="U94" s="1007"/>
      <c r="V94" s="1007"/>
      <c r="W94" s="1007"/>
      <c r="X94" s="1007"/>
      <c r="Y94" s="1007"/>
      <c r="Z94" s="1718"/>
      <c r="AA94" s="1007"/>
      <c r="AB94" s="1007"/>
      <c r="AC94" s="1007"/>
      <c r="AD94" s="1007"/>
      <c r="AE94" s="1007"/>
      <c r="AF94" s="1718"/>
      <c r="AG94" s="1007"/>
      <c r="AH94" s="1007"/>
      <c r="AI94" s="1007"/>
      <c r="AJ94" s="1007"/>
      <c r="AK94" s="1007"/>
      <c r="AM94" s="1007"/>
      <c r="AN94" s="1007"/>
      <c r="AO94" s="1007"/>
      <c r="AP94" s="1007"/>
      <c r="AQ94" s="1007"/>
      <c r="AS94" s="1007"/>
      <c r="AT94" s="1007"/>
      <c r="AU94" s="1007"/>
      <c r="AV94" s="1007"/>
      <c r="AW94" s="1007"/>
      <c r="AY94" s="1007"/>
      <c r="AZ94" s="1007"/>
      <c r="BA94" s="1007"/>
      <c r="BB94" s="1007"/>
      <c r="BC94" s="1007"/>
      <c r="BE94" s="1007"/>
      <c r="BF94" s="1007"/>
      <c r="BG94" s="1007"/>
      <c r="BH94" s="1007"/>
      <c r="BI94" s="1007"/>
      <c r="BK94" s="1007"/>
      <c r="BL94" s="1007"/>
      <c r="BM94" s="1007"/>
      <c r="BN94" s="1007"/>
      <c r="BO94" s="1007"/>
      <c r="BQ94" s="1007"/>
      <c r="BR94" s="1007"/>
      <c r="BS94" s="1007"/>
      <c r="BT94" s="1007"/>
      <c r="BU94" s="1007"/>
      <c r="BW94" s="1007"/>
      <c r="BX94" s="1007"/>
      <c r="BY94" s="1007"/>
      <c r="BZ94" s="1007"/>
      <c r="CA94" s="1007"/>
      <c r="CC94" s="1007"/>
      <c r="CD94" s="1007"/>
      <c r="CE94" s="1007"/>
      <c r="CF94" s="1007"/>
      <c r="CG94" s="1007"/>
      <c r="CI94" s="1007"/>
      <c r="CJ94" s="1007"/>
      <c r="CK94" s="1007"/>
      <c r="CL94" s="1007"/>
      <c r="CM94" s="1007"/>
    </row>
    <row r="95" spans="1:91" s="24" customFormat="1"/>
    <row r="96" spans="1:91" s="24" customFormat="1"/>
    <row r="97" s="24" customFormat="1"/>
    <row r="98" s="24" customFormat="1"/>
    <row r="99" s="24" customFormat="1"/>
    <row r="100" s="24" customFormat="1"/>
    <row r="101" s="24" customFormat="1"/>
    <row r="102" s="24" customFormat="1"/>
    <row r="103" s="24" customFormat="1"/>
    <row r="104" s="24" customFormat="1"/>
    <row r="105" s="24" customFormat="1"/>
    <row r="106" s="24" customFormat="1"/>
    <row r="107" s="24" customFormat="1"/>
    <row r="108" s="24" customFormat="1"/>
    <row r="109" s="24" customFormat="1"/>
    <row r="110" s="24" customFormat="1"/>
    <row r="111" s="24" customFormat="1"/>
    <row r="112" s="24" customFormat="1"/>
    <row r="113" s="24" customFormat="1"/>
    <row r="114" s="24" customFormat="1"/>
    <row r="115" s="24" customFormat="1"/>
    <row r="116" s="24" customFormat="1"/>
    <row r="117" s="24" customFormat="1"/>
    <row r="118" s="24" customFormat="1"/>
    <row r="119" s="24" customFormat="1"/>
    <row r="120" s="24" customFormat="1"/>
    <row r="121" s="24" customFormat="1"/>
    <row r="122" s="24" customFormat="1"/>
    <row r="123" s="24" customFormat="1"/>
    <row r="124" s="24" customFormat="1"/>
    <row r="125" s="24" customFormat="1"/>
    <row r="126" s="24" customFormat="1"/>
    <row r="127" s="24" customFormat="1"/>
    <row r="128" s="24" customFormat="1"/>
    <row r="129" s="24" customFormat="1"/>
    <row r="130" s="24" customFormat="1"/>
    <row r="131" s="24" customFormat="1"/>
    <row r="132" s="24" customFormat="1"/>
    <row r="133" s="24" customFormat="1"/>
    <row r="134" s="24" customFormat="1"/>
    <row r="135" s="24" customFormat="1"/>
    <row r="136" s="24" customFormat="1"/>
    <row r="137" s="24" customFormat="1"/>
    <row r="138" s="24" customFormat="1"/>
    <row r="139" s="24" customFormat="1"/>
    <row r="140" s="24" customFormat="1"/>
    <row r="141" s="24" customFormat="1"/>
    <row r="142" s="24" customFormat="1"/>
    <row r="143" s="24" customFormat="1"/>
    <row r="144" s="24" customFormat="1"/>
    <row r="145" s="24" customFormat="1"/>
    <row r="146" s="24" customFormat="1"/>
    <row r="147" s="24" customFormat="1"/>
    <row r="148" s="24" customFormat="1"/>
    <row r="149" s="24" customFormat="1"/>
    <row r="150" s="24" customFormat="1"/>
    <row r="151" s="24" customFormat="1"/>
    <row r="152" s="24" customFormat="1"/>
    <row r="153" s="24" customFormat="1"/>
    <row r="154" s="24" customFormat="1"/>
    <row r="155" s="24" customFormat="1"/>
    <row r="156" s="24" customFormat="1"/>
    <row r="157" s="24" customFormat="1"/>
    <row r="158" s="24" customFormat="1"/>
    <row r="159" s="24" customFormat="1"/>
    <row r="160" s="24" customFormat="1"/>
    <row r="161" s="24" customFormat="1"/>
    <row r="162" s="24" customFormat="1"/>
    <row r="163" s="24" customFormat="1"/>
    <row r="164" s="24" customFormat="1"/>
    <row r="165" s="24" customFormat="1"/>
    <row r="166" s="24" customFormat="1"/>
    <row r="167" s="24" customFormat="1"/>
    <row r="168" s="24" customFormat="1"/>
    <row r="169" s="24" customFormat="1"/>
    <row r="170" s="24" customFormat="1"/>
    <row r="171" s="24" customFormat="1"/>
    <row r="172" s="24" customFormat="1"/>
    <row r="173" s="24" customFormat="1"/>
    <row r="174" s="24" customFormat="1"/>
    <row r="175" s="24" customFormat="1"/>
    <row r="176" s="24" customFormat="1"/>
    <row r="177" s="24" customFormat="1"/>
    <row r="178" s="24" customFormat="1"/>
    <row r="179" s="24" customFormat="1"/>
    <row r="180" s="24" customFormat="1"/>
    <row r="181" s="24" customFormat="1"/>
    <row r="182" s="24" customFormat="1"/>
    <row r="183" s="24" customFormat="1"/>
    <row r="184" s="24" customFormat="1"/>
    <row r="185" s="24" customFormat="1"/>
    <row r="186" s="24" customFormat="1"/>
    <row r="187" s="24" customFormat="1"/>
    <row r="188" s="24" customFormat="1"/>
    <row r="189" s="24" customFormat="1"/>
    <row r="190" s="24" customFormat="1"/>
    <row r="191" s="24" customFormat="1"/>
    <row r="192" s="24" customFormat="1"/>
    <row r="193" s="24" customFormat="1"/>
    <row r="194" s="24" customFormat="1"/>
    <row r="195" s="24" customFormat="1"/>
    <row r="196" s="24" customFormat="1"/>
    <row r="197" s="24" customFormat="1"/>
    <row r="198" s="24" customFormat="1"/>
    <row r="199" s="24" customFormat="1"/>
    <row r="200" s="24" customFormat="1"/>
    <row r="201" s="24" customFormat="1"/>
    <row r="202" s="24" customFormat="1"/>
    <row r="203" s="24" customFormat="1"/>
    <row r="204" s="24" customFormat="1"/>
    <row r="205" s="24" customFormat="1"/>
    <row r="206" s="24" customFormat="1"/>
    <row r="207" s="24" customFormat="1"/>
    <row r="208" s="24" customFormat="1"/>
    <row r="209" s="24" customFormat="1"/>
    <row r="210" s="24" customFormat="1"/>
    <row r="211" s="24" customFormat="1"/>
    <row r="212" s="24" customFormat="1"/>
    <row r="213" s="24" customFormat="1"/>
    <row r="214" s="24" customFormat="1"/>
    <row r="215" s="24" customFormat="1"/>
    <row r="216" s="24" customFormat="1"/>
    <row r="217" s="24" customFormat="1"/>
    <row r="218" s="24" customFormat="1"/>
    <row r="219" s="24" customFormat="1"/>
    <row r="220" s="24" customFormat="1"/>
    <row r="221" s="24" customFormat="1"/>
    <row r="222" s="24" customFormat="1"/>
    <row r="223" s="24" customFormat="1"/>
    <row r="224" s="24" customFormat="1"/>
    <row r="225" spans="45:54" s="24" customFormat="1"/>
    <row r="226" spans="45:54" s="24" customFormat="1"/>
    <row r="227" spans="45:54" s="24" customFormat="1"/>
    <row r="228" spans="45:54" s="24" customFormat="1"/>
    <row r="229" spans="45:54" s="24" customFormat="1"/>
    <row r="230" spans="45:54" s="24" customFormat="1"/>
    <row r="231" spans="45:54" s="24" customFormat="1"/>
    <row r="232" spans="45:54" s="24" customFormat="1"/>
    <row r="233" spans="45:54" s="24" customFormat="1"/>
    <row r="234" spans="45:54" s="24" customFormat="1"/>
    <row r="235" spans="45:54" s="24" customFormat="1"/>
    <row r="236" spans="45:54" s="24" customFormat="1">
      <c r="AS236" s="443"/>
      <c r="AT236" s="443"/>
      <c r="AU236" s="443"/>
      <c r="AV236" s="443"/>
      <c r="AW236" s="443"/>
      <c r="BB236" s="443"/>
    </row>
    <row r="237" spans="45:54" s="24" customFormat="1"/>
    <row r="238" spans="45:54" s="24" customFormat="1"/>
  </sheetData>
  <phoneticPr fontId="7" type="noConversion"/>
  <pageMargins left="0.75" right="0.75" top="1" bottom="1" header="0.5" footer="0.5"/>
  <pageSetup paperSize="9" scale="73" orientation="landscape" r:id="rId1"/>
  <headerFooter alignWithMargins="0"/>
  <ignoredErrors>
    <ignoredError sqref="AE48:AS48 AE44:AF44 AL44 AR44:AS44 AY48:BD48 AY44:BD46 BJ44:BJ46 BJ48 AE45:AS46 BF48 BL48 BP44:BU46 BN48:BU4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"/>
  <sheetViews>
    <sheetView workbookViewId="0">
      <selection activeCell="B42" sqref="B42"/>
    </sheetView>
  </sheetViews>
  <sheetFormatPr defaultRowHeight="12.75"/>
  <cols>
    <col min="1" max="1" width="29.5703125" style="2116" bestFit="1" customWidth="1"/>
    <col min="2" max="2" width="19.85546875" style="2138" customWidth="1"/>
    <col min="3" max="3" width="12" style="2116" bestFit="1" customWidth="1"/>
    <col min="4" max="256" width="9.140625" style="2116"/>
    <col min="257" max="257" width="29.5703125" style="2116" bestFit="1" customWidth="1"/>
    <col min="258" max="258" width="19.85546875" style="2116" customWidth="1"/>
    <col min="259" max="259" width="12" style="2116" bestFit="1" customWidth="1"/>
    <col min="260" max="512" width="9.140625" style="2116"/>
    <col min="513" max="513" width="29.5703125" style="2116" bestFit="1" customWidth="1"/>
    <col min="514" max="514" width="19.85546875" style="2116" customWidth="1"/>
    <col min="515" max="515" width="12" style="2116" bestFit="1" customWidth="1"/>
    <col min="516" max="768" width="9.140625" style="2116"/>
    <col min="769" max="769" width="29.5703125" style="2116" bestFit="1" customWidth="1"/>
    <col min="770" max="770" width="19.85546875" style="2116" customWidth="1"/>
    <col min="771" max="771" width="12" style="2116" bestFit="1" customWidth="1"/>
    <col min="772" max="1024" width="9.140625" style="2116"/>
    <col min="1025" max="1025" width="29.5703125" style="2116" bestFit="1" customWidth="1"/>
    <col min="1026" max="1026" width="19.85546875" style="2116" customWidth="1"/>
    <col min="1027" max="1027" width="12" style="2116" bestFit="1" customWidth="1"/>
    <col min="1028" max="1280" width="9.140625" style="2116"/>
    <col min="1281" max="1281" width="29.5703125" style="2116" bestFit="1" customWidth="1"/>
    <col min="1282" max="1282" width="19.85546875" style="2116" customWidth="1"/>
    <col min="1283" max="1283" width="12" style="2116" bestFit="1" customWidth="1"/>
    <col min="1284" max="1536" width="9.140625" style="2116"/>
    <col min="1537" max="1537" width="29.5703125" style="2116" bestFit="1" customWidth="1"/>
    <col min="1538" max="1538" width="19.85546875" style="2116" customWidth="1"/>
    <col min="1539" max="1539" width="12" style="2116" bestFit="1" customWidth="1"/>
    <col min="1540" max="1792" width="9.140625" style="2116"/>
    <col min="1793" max="1793" width="29.5703125" style="2116" bestFit="1" customWidth="1"/>
    <col min="1794" max="1794" width="19.85546875" style="2116" customWidth="1"/>
    <col min="1795" max="1795" width="12" style="2116" bestFit="1" customWidth="1"/>
    <col min="1796" max="2048" width="9.140625" style="2116"/>
    <col min="2049" max="2049" width="29.5703125" style="2116" bestFit="1" customWidth="1"/>
    <col min="2050" max="2050" width="19.85546875" style="2116" customWidth="1"/>
    <col min="2051" max="2051" width="12" style="2116" bestFit="1" customWidth="1"/>
    <col min="2052" max="2304" width="9.140625" style="2116"/>
    <col min="2305" max="2305" width="29.5703125" style="2116" bestFit="1" customWidth="1"/>
    <col min="2306" max="2306" width="19.85546875" style="2116" customWidth="1"/>
    <col min="2307" max="2307" width="12" style="2116" bestFit="1" customWidth="1"/>
    <col min="2308" max="2560" width="9.140625" style="2116"/>
    <col min="2561" max="2561" width="29.5703125" style="2116" bestFit="1" customWidth="1"/>
    <col min="2562" max="2562" width="19.85546875" style="2116" customWidth="1"/>
    <col min="2563" max="2563" width="12" style="2116" bestFit="1" customWidth="1"/>
    <col min="2564" max="2816" width="9.140625" style="2116"/>
    <col min="2817" max="2817" width="29.5703125" style="2116" bestFit="1" customWidth="1"/>
    <col min="2818" max="2818" width="19.85546875" style="2116" customWidth="1"/>
    <col min="2819" max="2819" width="12" style="2116" bestFit="1" customWidth="1"/>
    <col min="2820" max="3072" width="9.140625" style="2116"/>
    <col min="3073" max="3073" width="29.5703125" style="2116" bestFit="1" customWidth="1"/>
    <col min="3074" max="3074" width="19.85546875" style="2116" customWidth="1"/>
    <col min="3075" max="3075" width="12" style="2116" bestFit="1" customWidth="1"/>
    <col min="3076" max="3328" width="9.140625" style="2116"/>
    <col min="3329" max="3329" width="29.5703125" style="2116" bestFit="1" customWidth="1"/>
    <col min="3330" max="3330" width="19.85546875" style="2116" customWidth="1"/>
    <col min="3331" max="3331" width="12" style="2116" bestFit="1" customWidth="1"/>
    <col min="3332" max="3584" width="9.140625" style="2116"/>
    <col min="3585" max="3585" width="29.5703125" style="2116" bestFit="1" customWidth="1"/>
    <col min="3586" max="3586" width="19.85546875" style="2116" customWidth="1"/>
    <col min="3587" max="3587" width="12" style="2116" bestFit="1" customWidth="1"/>
    <col min="3588" max="3840" width="9.140625" style="2116"/>
    <col min="3841" max="3841" width="29.5703125" style="2116" bestFit="1" customWidth="1"/>
    <col min="3842" max="3842" width="19.85546875" style="2116" customWidth="1"/>
    <col min="3843" max="3843" width="12" style="2116" bestFit="1" customWidth="1"/>
    <col min="3844" max="4096" width="9.140625" style="2116"/>
    <col min="4097" max="4097" width="29.5703125" style="2116" bestFit="1" customWidth="1"/>
    <col min="4098" max="4098" width="19.85546875" style="2116" customWidth="1"/>
    <col min="4099" max="4099" width="12" style="2116" bestFit="1" customWidth="1"/>
    <col min="4100" max="4352" width="9.140625" style="2116"/>
    <col min="4353" max="4353" width="29.5703125" style="2116" bestFit="1" customWidth="1"/>
    <col min="4354" max="4354" width="19.85546875" style="2116" customWidth="1"/>
    <col min="4355" max="4355" width="12" style="2116" bestFit="1" customWidth="1"/>
    <col min="4356" max="4608" width="9.140625" style="2116"/>
    <col min="4609" max="4609" width="29.5703125" style="2116" bestFit="1" customWidth="1"/>
    <col min="4610" max="4610" width="19.85546875" style="2116" customWidth="1"/>
    <col min="4611" max="4611" width="12" style="2116" bestFit="1" customWidth="1"/>
    <col min="4612" max="4864" width="9.140625" style="2116"/>
    <col min="4865" max="4865" width="29.5703125" style="2116" bestFit="1" customWidth="1"/>
    <col min="4866" max="4866" width="19.85546875" style="2116" customWidth="1"/>
    <col min="4867" max="4867" width="12" style="2116" bestFit="1" customWidth="1"/>
    <col min="4868" max="5120" width="9.140625" style="2116"/>
    <col min="5121" max="5121" width="29.5703125" style="2116" bestFit="1" customWidth="1"/>
    <col min="5122" max="5122" width="19.85546875" style="2116" customWidth="1"/>
    <col min="5123" max="5123" width="12" style="2116" bestFit="1" customWidth="1"/>
    <col min="5124" max="5376" width="9.140625" style="2116"/>
    <col min="5377" max="5377" width="29.5703125" style="2116" bestFit="1" customWidth="1"/>
    <col min="5378" max="5378" width="19.85546875" style="2116" customWidth="1"/>
    <col min="5379" max="5379" width="12" style="2116" bestFit="1" customWidth="1"/>
    <col min="5380" max="5632" width="9.140625" style="2116"/>
    <col min="5633" max="5633" width="29.5703125" style="2116" bestFit="1" customWidth="1"/>
    <col min="5634" max="5634" width="19.85546875" style="2116" customWidth="1"/>
    <col min="5635" max="5635" width="12" style="2116" bestFit="1" customWidth="1"/>
    <col min="5636" max="5888" width="9.140625" style="2116"/>
    <col min="5889" max="5889" width="29.5703125" style="2116" bestFit="1" customWidth="1"/>
    <col min="5890" max="5890" width="19.85546875" style="2116" customWidth="1"/>
    <col min="5891" max="5891" width="12" style="2116" bestFit="1" customWidth="1"/>
    <col min="5892" max="6144" width="9.140625" style="2116"/>
    <col min="6145" max="6145" width="29.5703125" style="2116" bestFit="1" customWidth="1"/>
    <col min="6146" max="6146" width="19.85546875" style="2116" customWidth="1"/>
    <col min="6147" max="6147" width="12" style="2116" bestFit="1" customWidth="1"/>
    <col min="6148" max="6400" width="9.140625" style="2116"/>
    <col min="6401" max="6401" width="29.5703125" style="2116" bestFit="1" customWidth="1"/>
    <col min="6402" max="6402" width="19.85546875" style="2116" customWidth="1"/>
    <col min="6403" max="6403" width="12" style="2116" bestFit="1" customWidth="1"/>
    <col min="6404" max="6656" width="9.140625" style="2116"/>
    <col min="6657" max="6657" width="29.5703125" style="2116" bestFit="1" customWidth="1"/>
    <col min="6658" max="6658" width="19.85546875" style="2116" customWidth="1"/>
    <col min="6659" max="6659" width="12" style="2116" bestFit="1" customWidth="1"/>
    <col min="6660" max="6912" width="9.140625" style="2116"/>
    <col min="6913" max="6913" width="29.5703125" style="2116" bestFit="1" customWidth="1"/>
    <col min="6914" max="6914" width="19.85546875" style="2116" customWidth="1"/>
    <col min="6915" max="6915" width="12" style="2116" bestFit="1" customWidth="1"/>
    <col min="6916" max="7168" width="9.140625" style="2116"/>
    <col min="7169" max="7169" width="29.5703125" style="2116" bestFit="1" customWidth="1"/>
    <col min="7170" max="7170" width="19.85546875" style="2116" customWidth="1"/>
    <col min="7171" max="7171" width="12" style="2116" bestFit="1" customWidth="1"/>
    <col min="7172" max="7424" width="9.140625" style="2116"/>
    <col min="7425" max="7425" width="29.5703125" style="2116" bestFit="1" customWidth="1"/>
    <col min="7426" max="7426" width="19.85546875" style="2116" customWidth="1"/>
    <col min="7427" max="7427" width="12" style="2116" bestFit="1" customWidth="1"/>
    <col min="7428" max="7680" width="9.140625" style="2116"/>
    <col min="7681" max="7681" width="29.5703125" style="2116" bestFit="1" customWidth="1"/>
    <col min="7682" max="7682" width="19.85546875" style="2116" customWidth="1"/>
    <col min="7683" max="7683" width="12" style="2116" bestFit="1" customWidth="1"/>
    <col min="7684" max="7936" width="9.140625" style="2116"/>
    <col min="7937" max="7937" width="29.5703125" style="2116" bestFit="1" customWidth="1"/>
    <col min="7938" max="7938" width="19.85546875" style="2116" customWidth="1"/>
    <col min="7939" max="7939" width="12" style="2116" bestFit="1" customWidth="1"/>
    <col min="7940" max="8192" width="9.140625" style="2116"/>
    <col min="8193" max="8193" width="29.5703125" style="2116" bestFit="1" customWidth="1"/>
    <col min="8194" max="8194" width="19.85546875" style="2116" customWidth="1"/>
    <col min="8195" max="8195" width="12" style="2116" bestFit="1" customWidth="1"/>
    <col min="8196" max="8448" width="9.140625" style="2116"/>
    <col min="8449" max="8449" width="29.5703125" style="2116" bestFit="1" customWidth="1"/>
    <col min="8450" max="8450" width="19.85546875" style="2116" customWidth="1"/>
    <col min="8451" max="8451" width="12" style="2116" bestFit="1" customWidth="1"/>
    <col min="8452" max="8704" width="9.140625" style="2116"/>
    <col min="8705" max="8705" width="29.5703125" style="2116" bestFit="1" customWidth="1"/>
    <col min="8706" max="8706" width="19.85546875" style="2116" customWidth="1"/>
    <col min="8707" max="8707" width="12" style="2116" bestFit="1" customWidth="1"/>
    <col min="8708" max="8960" width="9.140625" style="2116"/>
    <col min="8961" max="8961" width="29.5703125" style="2116" bestFit="1" customWidth="1"/>
    <col min="8962" max="8962" width="19.85546875" style="2116" customWidth="1"/>
    <col min="8963" max="8963" width="12" style="2116" bestFit="1" customWidth="1"/>
    <col min="8964" max="9216" width="9.140625" style="2116"/>
    <col min="9217" max="9217" width="29.5703125" style="2116" bestFit="1" customWidth="1"/>
    <col min="9218" max="9218" width="19.85546875" style="2116" customWidth="1"/>
    <col min="9219" max="9219" width="12" style="2116" bestFit="1" customWidth="1"/>
    <col min="9220" max="9472" width="9.140625" style="2116"/>
    <col min="9473" max="9473" width="29.5703125" style="2116" bestFit="1" customWidth="1"/>
    <col min="9474" max="9474" width="19.85546875" style="2116" customWidth="1"/>
    <col min="9475" max="9475" width="12" style="2116" bestFit="1" customWidth="1"/>
    <col min="9476" max="9728" width="9.140625" style="2116"/>
    <col min="9729" max="9729" width="29.5703125" style="2116" bestFit="1" customWidth="1"/>
    <col min="9730" max="9730" width="19.85546875" style="2116" customWidth="1"/>
    <col min="9731" max="9731" width="12" style="2116" bestFit="1" customWidth="1"/>
    <col min="9732" max="9984" width="9.140625" style="2116"/>
    <col min="9985" max="9985" width="29.5703125" style="2116" bestFit="1" customWidth="1"/>
    <col min="9986" max="9986" width="19.85546875" style="2116" customWidth="1"/>
    <col min="9987" max="9987" width="12" style="2116" bestFit="1" customWidth="1"/>
    <col min="9988" max="10240" width="9.140625" style="2116"/>
    <col min="10241" max="10241" width="29.5703125" style="2116" bestFit="1" customWidth="1"/>
    <col min="10242" max="10242" width="19.85546875" style="2116" customWidth="1"/>
    <col min="10243" max="10243" width="12" style="2116" bestFit="1" customWidth="1"/>
    <col min="10244" max="10496" width="9.140625" style="2116"/>
    <col min="10497" max="10497" width="29.5703125" style="2116" bestFit="1" customWidth="1"/>
    <col min="10498" max="10498" width="19.85546875" style="2116" customWidth="1"/>
    <col min="10499" max="10499" width="12" style="2116" bestFit="1" customWidth="1"/>
    <col min="10500" max="10752" width="9.140625" style="2116"/>
    <col min="10753" max="10753" width="29.5703125" style="2116" bestFit="1" customWidth="1"/>
    <col min="10754" max="10754" width="19.85546875" style="2116" customWidth="1"/>
    <col min="10755" max="10755" width="12" style="2116" bestFit="1" customWidth="1"/>
    <col min="10756" max="11008" width="9.140625" style="2116"/>
    <col min="11009" max="11009" width="29.5703125" style="2116" bestFit="1" customWidth="1"/>
    <col min="11010" max="11010" width="19.85546875" style="2116" customWidth="1"/>
    <col min="11011" max="11011" width="12" style="2116" bestFit="1" customWidth="1"/>
    <col min="11012" max="11264" width="9.140625" style="2116"/>
    <col min="11265" max="11265" width="29.5703125" style="2116" bestFit="1" customWidth="1"/>
    <col min="11266" max="11266" width="19.85546875" style="2116" customWidth="1"/>
    <col min="11267" max="11267" width="12" style="2116" bestFit="1" customWidth="1"/>
    <col min="11268" max="11520" width="9.140625" style="2116"/>
    <col min="11521" max="11521" width="29.5703125" style="2116" bestFit="1" customWidth="1"/>
    <col min="11522" max="11522" width="19.85546875" style="2116" customWidth="1"/>
    <col min="11523" max="11523" width="12" style="2116" bestFit="1" customWidth="1"/>
    <col min="11524" max="11776" width="9.140625" style="2116"/>
    <col min="11777" max="11777" width="29.5703125" style="2116" bestFit="1" customWidth="1"/>
    <col min="11778" max="11778" width="19.85546875" style="2116" customWidth="1"/>
    <col min="11779" max="11779" width="12" style="2116" bestFit="1" customWidth="1"/>
    <col min="11780" max="12032" width="9.140625" style="2116"/>
    <col min="12033" max="12033" width="29.5703125" style="2116" bestFit="1" customWidth="1"/>
    <col min="12034" max="12034" width="19.85546875" style="2116" customWidth="1"/>
    <col min="12035" max="12035" width="12" style="2116" bestFit="1" customWidth="1"/>
    <col min="12036" max="12288" width="9.140625" style="2116"/>
    <col min="12289" max="12289" width="29.5703125" style="2116" bestFit="1" customWidth="1"/>
    <col min="12290" max="12290" width="19.85546875" style="2116" customWidth="1"/>
    <col min="12291" max="12291" width="12" style="2116" bestFit="1" customWidth="1"/>
    <col min="12292" max="12544" width="9.140625" style="2116"/>
    <col min="12545" max="12545" width="29.5703125" style="2116" bestFit="1" customWidth="1"/>
    <col min="12546" max="12546" width="19.85546875" style="2116" customWidth="1"/>
    <col min="12547" max="12547" width="12" style="2116" bestFit="1" customWidth="1"/>
    <col min="12548" max="12800" width="9.140625" style="2116"/>
    <col min="12801" max="12801" width="29.5703125" style="2116" bestFit="1" customWidth="1"/>
    <col min="12802" max="12802" width="19.85546875" style="2116" customWidth="1"/>
    <col min="12803" max="12803" width="12" style="2116" bestFit="1" customWidth="1"/>
    <col min="12804" max="13056" width="9.140625" style="2116"/>
    <col min="13057" max="13057" width="29.5703125" style="2116" bestFit="1" customWidth="1"/>
    <col min="13058" max="13058" width="19.85546875" style="2116" customWidth="1"/>
    <col min="13059" max="13059" width="12" style="2116" bestFit="1" customWidth="1"/>
    <col min="13060" max="13312" width="9.140625" style="2116"/>
    <col min="13313" max="13313" width="29.5703125" style="2116" bestFit="1" customWidth="1"/>
    <col min="13314" max="13314" width="19.85546875" style="2116" customWidth="1"/>
    <col min="13315" max="13315" width="12" style="2116" bestFit="1" customWidth="1"/>
    <col min="13316" max="13568" width="9.140625" style="2116"/>
    <col min="13569" max="13569" width="29.5703125" style="2116" bestFit="1" customWidth="1"/>
    <col min="13570" max="13570" width="19.85546875" style="2116" customWidth="1"/>
    <col min="13571" max="13571" width="12" style="2116" bestFit="1" customWidth="1"/>
    <col min="13572" max="13824" width="9.140625" style="2116"/>
    <col min="13825" max="13825" width="29.5703125" style="2116" bestFit="1" customWidth="1"/>
    <col min="13826" max="13826" width="19.85546875" style="2116" customWidth="1"/>
    <col min="13827" max="13827" width="12" style="2116" bestFit="1" customWidth="1"/>
    <col min="13828" max="14080" width="9.140625" style="2116"/>
    <col min="14081" max="14081" width="29.5703125" style="2116" bestFit="1" customWidth="1"/>
    <col min="14082" max="14082" width="19.85546875" style="2116" customWidth="1"/>
    <col min="14083" max="14083" width="12" style="2116" bestFit="1" customWidth="1"/>
    <col min="14084" max="14336" width="9.140625" style="2116"/>
    <col min="14337" max="14337" width="29.5703125" style="2116" bestFit="1" customWidth="1"/>
    <col min="14338" max="14338" width="19.85546875" style="2116" customWidth="1"/>
    <col min="14339" max="14339" width="12" style="2116" bestFit="1" customWidth="1"/>
    <col min="14340" max="14592" width="9.140625" style="2116"/>
    <col min="14593" max="14593" width="29.5703125" style="2116" bestFit="1" customWidth="1"/>
    <col min="14594" max="14594" width="19.85546875" style="2116" customWidth="1"/>
    <col min="14595" max="14595" width="12" style="2116" bestFit="1" customWidth="1"/>
    <col min="14596" max="14848" width="9.140625" style="2116"/>
    <col min="14849" max="14849" width="29.5703125" style="2116" bestFit="1" customWidth="1"/>
    <col min="14850" max="14850" width="19.85546875" style="2116" customWidth="1"/>
    <col min="14851" max="14851" width="12" style="2116" bestFit="1" customWidth="1"/>
    <col min="14852" max="15104" width="9.140625" style="2116"/>
    <col min="15105" max="15105" width="29.5703125" style="2116" bestFit="1" customWidth="1"/>
    <col min="15106" max="15106" width="19.85546875" style="2116" customWidth="1"/>
    <col min="15107" max="15107" width="12" style="2116" bestFit="1" customWidth="1"/>
    <col min="15108" max="15360" width="9.140625" style="2116"/>
    <col min="15361" max="15361" width="29.5703125" style="2116" bestFit="1" customWidth="1"/>
    <col min="15362" max="15362" width="19.85546875" style="2116" customWidth="1"/>
    <col min="15363" max="15363" width="12" style="2116" bestFit="1" customWidth="1"/>
    <col min="15364" max="15616" width="9.140625" style="2116"/>
    <col min="15617" max="15617" width="29.5703125" style="2116" bestFit="1" customWidth="1"/>
    <col min="15618" max="15618" width="19.85546875" style="2116" customWidth="1"/>
    <col min="15619" max="15619" width="12" style="2116" bestFit="1" customWidth="1"/>
    <col min="15620" max="15872" width="9.140625" style="2116"/>
    <col min="15873" max="15873" width="29.5703125" style="2116" bestFit="1" customWidth="1"/>
    <col min="15874" max="15874" width="19.85546875" style="2116" customWidth="1"/>
    <col min="15875" max="15875" width="12" style="2116" bestFit="1" customWidth="1"/>
    <col min="15876" max="16128" width="9.140625" style="2116"/>
    <col min="16129" max="16129" width="29.5703125" style="2116" bestFit="1" customWidth="1"/>
    <col min="16130" max="16130" width="19.85546875" style="2116" customWidth="1"/>
    <col min="16131" max="16131" width="12" style="2116" bestFit="1" customWidth="1"/>
    <col min="16132" max="16384" width="9.140625" style="2116"/>
  </cols>
  <sheetData>
    <row r="1" spans="1:2">
      <c r="A1" s="2116" t="s">
        <v>889</v>
      </c>
      <c r="B1" s="2137">
        <v>6.1</v>
      </c>
    </row>
    <row r="2" spans="1:2">
      <c r="A2" s="2116" t="s">
        <v>890</v>
      </c>
      <c r="B2" s="2141">
        <v>43201.408587962964</v>
      </c>
    </row>
    <row r="3" spans="1:2">
      <c r="A3" s="2116" t="s">
        <v>891</v>
      </c>
      <c r="B3" s="2138" t="s">
        <v>598</v>
      </c>
    </row>
    <row r="4" spans="1:2">
      <c r="A4" s="2116" t="s">
        <v>892</v>
      </c>
      <c r="B4" s="2138" t="s">
        <v>893</v>
      </c>
    </row>
    <row r="5" spans="1:2">
      <c r="A5" s="2116" t="s">
        <v>894</v>
      </c>
      <c r="B5" s="2138" t="s">
        <v>554</v>
      </c>
    </row>
    <row r="6" spans="1:2">
      <c r="A6" s="2116" t="s">
        <v>895</v>
      </c>
    </row>
    <row r="7" spans="1:2">
      <c r="A7" s="2116" t="s">
        <v>896</v>
      </c>
      <c r="B7" s="2138" t="s">
        <v>295</v>
      </c>
    </row>
    <row r="8" spans="1:2">
      <c r="A8" s="2116" t="s">
        <v>897</v>
      </c>
      <c r="B8" s="2138" t="s">
        <v>898</v>
      </c>
    </row>
    <row r="9" spans="1:2">
      <c r="A9" s="2116" t="s">
        <v>899</v>
      </c>
      <c r="B9" s="2138" t="s">
        <v>935</v>
      </c>
    </row>
    <row r="10" spans="1:2">
      <c r="A10" s="2116" t="s">
        <v>900</v>
      </c>
    </row>
    <row r="11" spans="1:2">
      <c r="A11" s="2116" t="s">
        <v>901</v>
      </c>
    </row>
    <row r="12" spans="1:2">
      <c r="A12" s="2116" t="s">
        <v>902</v>
      </c>
    </row>
    <row r="13" spans="1:2">
      <c r="A13" s="2116" t="s">
        <v>903</v>
      </c>
    </row>
    <row r="14" spans="1:2">
      <c r="A14" s="2116" t="s">
        <v>904</v>
      </c>
    </row>
    <row r="15" spans="1:2">
      <c r="A15" s="2116" t="s">
        <v>905</v>
      </c>
    </row>
    <row r="16" spans="1:2">
      <c r="A16" s="2116" t="s">
        <v>906</v>
      </c>
    </row>
    <row r="17" spans="1:4">
      <c r="A17" s="2116" t="s">
        <v>907</v>
      </c>
      <c r="B17" s="2138" t="s">
        <v>936</v>
      </c>
    </row>
    <row r="18" spans="1:4">
      <c r="A18" s="2116" t="s">
        <v>908</v>
      </c>
      <c r="B18" s="2138" t="s">
        <v>939</v>
      </c>
    </row>
    <row r="19" spans="1:4">
      <c r="A19" s="2116" t="s">
        <v>909</v>
      </c>
      <c r="B19" s="2138" t="s">
        <v>84</v>
      </c>
    </row>
    <row r="20" spans="1:4">
      <c r="A20" s="2116" t="s">
        <v>910</v>
      </c>
      <c r="B20" s="2139">
        <v>941848103</v>
      </c>
    </row>
    <row r="21" spans="1:4">
      <c r="A21" s="2116" t="s">
        <v>911</v>
      </c>
      <c r="B21" s="2138" t="s">
        <v>84</v>
      </c>
    </row>
    <row r="22" spans="1:4">
      <c r="A22" s="2116" t="s">
        <v>912</v>
      </c>
      <c r="B22" s="2139">
        <v>2937689</v>
      </c>
    </row>
    <row r="23" spans="1:4">
      <c r="A23" s="2116" t="s">
        <v>123</v>
      </c>
      <c r="B23" s="2137">
        <v>66.150000000000006</v>
      </c>
    </row>
    <row r="24" spans="1:4">
      <c r="A24" s="2116" t="s">
        <v>122</v>
      </c>
      <c r="B24" s="2138" t="s">
        <v>121</v>
      </c>
      <c r="D24" s="2116" t="s">
        <v>6</v>
      </c>
    </row>
    <row r="25" spans="1:4">
      <c r="A25" s="2116" t="s">
        <v>913</v>
      </c>
      <c r="B25" s="2138" t="s">
        <v>940</v>
      </c>
    </row>
    <row r="26" spans="1:4">
      <c r="A26" s="2116" t="s">
        <v>914</v>
      </c>
      <c r="B26" s="2138">
        <v>0</v>
      </c>
    </row>
    <row r="27" spans="1:4">
      <c r="A27" s="2116" t="s">
        <v>915</v>
      </c>
      <c r="B27" s="2138" t="s">
        <v>916</v>
      </c>
    </row>
    <row r="28" spans="1:4">
      <c r="A28" s="2116" t="s">
        <v>917</v>
      </c>
      <c r="B28" s="2138" t="s">
        <v>73</v>
      </c>
    </row>
    <row r="29" spans="1:4">
      <c r="A29" s="2116" t="s">
        <v>918</v>
      </c>
    </row>
    <row r="30" spans="1:4">
      <c r="A30" s="2116" t="s">
        <v>919</v>
      </c>
    </row>
    <row r="31" spans="1:4">
      <c r="A31" s="2116" t="s">
        <v>920</v>
      </c>
    </row>
    <row r="32" spans="1:4">
      <c r="A32" s="2116" t="s">
        <v>921</v>
      </c>
      <c r="B32" s="2137"/>
    </row>
    <row r="33" spans="1:2">
      <c r="A33" s="2116" t="s">
        <v>922</v>
      </c>
      <c r="B33" s="2137"/>
    </row>
    <row r="34" spans="1:2">
      <c r="A34" s="2116" t="s">
        <v>923</v>
      </c>
      <c r="B34" s="2137"/>
    </row>
    <row r="35" spans="1:2">
      <c r="A35" s="2116" t="s">
        <v>924</v>
      </c>
      <c r="B35" s="2138">
        <v>1000000</v>
      </c>
    </row>
    <row r="36" spans="1:2">
      <c r="A36" s="2116" t="s">
        <v>925</v>
      </c>
      <c r="B36" s="2138" t="s">
        <v>937</v>
      </c>
    </row>
    <row r="37" spans="1:2">
      <c r="A37" s="2116" t="s">
        <v>926</v>
      </c>
      <c r="B37" s="2138" t="s">
        <v>927</v>
      </c>
    </row>
    <row r="38" spans="1:2">
      <c r="A38" s="2116" t="s">
        <v>928</v>
      </c>
      <c r="B38" s="2138" t="s">
        <v>929</v>
      </c>
    </row>
    <row r="39" spans="1:2">
      <c r="A39" s="2116" t="s">
        <v>930</v>
      </c>
      <c r="B39" s="2138" t="s">
        <v>938</v>
      </c>
    </row>
    <row r="40" spans="1:2">
      <c r="A40" s="2116" t="s">
        <v>931</v>
      </c>
      <c r="B40" s="2138">
        <v>1500005571</v>
      </c>
    </row>
    <row r="41" spans="1:2">
      <c r="A41" s="2116" t="s">
        <v>932</v>
      </c>
      <c r="B41" s="2138">
        <v>1</v>
      </c>
    </row>
    <row r="42" spans="1:2">
      <c r="A42" s="2140" t="s">
        <v>933</v>
      </c>
    </row>
    <row r="43" spans="1:2">
      <c r="A43" s="2116" t="s">
        <v>934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3"/>
  <sheetViews>
    <sheetView workbookViewId="0">
      <selection activeCell="E11" sqref="E11"/>
    </sheetView>
  </sheetViews>
  <sheetFormatPr defaultRowHeight="12.75"/>
  <cols>
    <col min="1" max="1" width="28.5703125" style="2116" bestFit="1" customWidth="1"/>
    <col min="2" max="256" width="9.140625" style="2116"/>
    <col min="257" max="257" width="28.5703125" style="2116" bestFit="1" customWidth="1"/>
    <col min="258" max="512" width="9.140625" style="2116"/>
    <col min="513" max="513" width="28.5703125" style="2116" bestFit="1" customWidth="1"/>
    <col min="514" max="768" width="9.140625" style="2116"/>
    <col min="769" max="769" width="28.5703125" style="2116" bestFit="1" customWidth="1"/>
    <col min="770" max="1024" width="9.140625" style="2116"/>
    <col min="1025" max="1025" width="28.5703125" style="2116" bestFit="1" customWidth="1"/>
    <col min="1026" max="1280" width="9.140625" style="2116"/>
    <col min="1281" max="1281" width="28.5703125" style="2116" bestFit="1" customWidth="1"/>
    <col min="1282" max="1536" width="9.140625" style="2116"/>
    <col min="1537" max="1537" width="28.5703125" style="2116" bestFit="1" customWidth="1"/>
    <col min="1538" max="1792" width="9.140625" style="2116"/>
    <col min="1793" max="1793" width="28.5703125" style="2116" bestFit="1" customWidth="1"/>
    <col min="1794" max="2048" width="9.140625" style="2116"/>
    <col min="2049" max="2049" width="28.5703125" style="2116" bestFit="1" customWidth="1"/>
    <col min="2050" max="2304" width="9.140625" style="2116"/>
    <col min="2305" max="2305" width="28.5703125" style="2116" bestFit="1" customWidth="1"/>
    <col min="2306" max="2560" width="9.140625" style="2116"/>
    <col min="2561" max="2561" width="28.5703125" style="2116" bestFit="1" customWidth="1"/>
    <col min="2562" max="2816" width="9.140625" style="2116"/>
    <col min="2817" max="2817" width="28.5703125" style="2116" bestFit="1" customWidth="1"/>
    <col min="2818" max="3072" width="9.140625" style="2116"/>
    <col min="3073" max="3073" width="28.5703125" style="2116" bestFit="1" customWidth="1"/>
    <col min="3074" max="3328" width="9.140625" style="2116"/>
    <col min="3329" max="3329" width="28.5703125" style="2116" bestFit="1" customWidth="1"/>
    <col min="3330" max="3584" width="9.140625" style="2116"/>
    <col min="3585" max="3585" width="28.5703125" style="2116" bestFit="1" customWidth="1"/>
    <col min="3586" max="3840" width="9.140625" style="2116"/>
    <col min="3841" max="3841" width="28.5703125" style="2116" bestFit="1" customWidth="1"/>
    <col min="3842" max="4096" width="9.140625" style="2116"/>
    <col min="4097" max="4097" width="28.5703125" style="2116" bestFit="1" customWidth="1"/>
    <col min="4098" max="4352" width="9.140625" style="2116"/>
    <col min="4353" max="4353" width="28.5703125" style="2116" bestFit="1" customWidth="1"/>
    <col min="4354" max="4608" width="9.140625" style="2116"/>
    <col min="4609" max="4609" width="28.5703125" style="2116" bestFit="1" customWidth="1"/>
    <col min="4610" max="4864" width="9.140625" style="2116"/>
    <col min="4865" max="4865" width="28.5703125" style="2116" bestFit="1" customWidth="1"/>
    <col min="4866" max="5120" width="9.140625" style="2116"/>
    <col min="5121" max="5121" width="28.5703125" style="2116" bestFit="1" customWidth="1"/>
    <col min="5122" max="5376" width="9.140625" style="2116"/>
    <col min="5377" max="5377" width="28.5703125" style="2116" bestFit="1" customWidth="1"/>
    <col min="5378" max="5632" width="9.140625" style="2116"/>
    <col min="5633" max="5633" width="28.5703125" style="2116" bestFit="1" customWidth="1"/>
    <col min="5634" max="5888" width="9.140625" style="2116"/>
    <col min="5889" max="5889" width="28.5703125" style="2116" bestFit="1" customWidth="1"/>
    <col min="5890" max="6144" width="9.140625" style="2116"/>
    <col min="6145" max="6145" width="28.5703125" style="2116" bestFit="1" customWidth="1"/>
    <col min="6146" max="6400" width="9.140625" style="2116"/>
    <col min="6401" max="6401" width="28.5703125" style="2116" bestFit="1" customWidth="1"/>
    <col min="6402" max="6656" width="9.140625" style="2116"/>
    <col min="6657" max="6657" width="28.5703125" style="2116" bestFit="1" customWidth="1"/>
    <col min="6658" max="6912" width="9.140625" style="2116"/>
    <col min="6913" max="6913" width="28.5703125" style="2116" bestFit="1" customWidth="1"/>
    <col min="6914" max="7168" width="9.140625" style="2116"/>
    <col min="7169" max="7169" width="28.5703125" style="2116" bestFit="1" customWidth="1"/>
    <col min="7170" max="7424" width="9.140625" style="2116"/>
    <col min="7425" max="7425" width="28.5703125" style="2116" bestFit="1" customWidth="1"/>
    <col min="7426" max="7680" width="9.140625" style="2116"/>
    <col min="7681" max="7681" width="28.5703125" style="2116" bestFit="1" customWidth="1"/>
    <col min="7682" max="7936" width="9.140625" style="2116"/>
    <col min="7937" max="7937" width="28.5703125" style="2116" bestFit="1" customWidth="1"/>
    <col min="7938" max="8192" width="9.140625" style="2116"/>
    <col min="8193" max="8193" width="28.5703125" style="2116" bestFit="1" customWidth="1"/>
    <col min="8194" max="8448" width="9.140625" style="2116"/>
    <col min="8449" max="8449" width="28.5703125" style="2116" bestFit="1" customWidth="1"/>
    <col min="8450" max="8704" width="9.140625" style="2116"/>
    <col min="8705" max="8705" width="28.5703125" style="2116" bestFit="1" customWidth="1"/>
    <col min="8706" max="8960" width="9.140625" style="2116"/>
    <col min="8961" max="8961" width="28.5703125" style="2116" bestFit="1" customWidth="1"/>
    <col min="8962" max="9216" width="9.140625" style="2116"/>
    <col min="9217" max="9217" width="28.5703125" style="2116" bestFit="1" customWidth="1"/>
    <col min="9218" max="9472" width="9.140625" style="2116"/>
    <col min="9473" max="9473" width="28.5703125" style="2116" bestFit="1" customWidth="1"/>
    <col min="9474" max="9728" width="9.140625" style="2116"/>
    <col min="9729" max="9729" width="28.5703125" style="2116" bestFit="1" customWidth="1"/>
    <col min="9730" max="9984" width="9.140625" style="2116"/>
    <col min="9985" max="9985" width="28.5703125" style="2116" bestFit="1" customWidth="1"/>
    <col min="9986" max="10240" width="9.140625" style="2116"/>
    <col min="10241" max="10241" width="28.5703125" style="2116" bestFit="1" customWidth="1"/>
    <col min="10242" max="10496" width="9.140625" style="2116"/>
    <col min="10497" max="10497" width="28.5703125" style="2116" bestFit="1" customWidth="1"/>
    <col min="10498" max="10752" width="9.140625" style="2116"/>
    <col min="10753" max="10753" width="28.5703125" style="2116" bestFit="1" customWidth="1"/>
    <col min="10754" max="11008" width="9.140625" style="2116"/>
    <col min="11009" max="11009" width="28.5703125" style="2116" bestFit="1" customWidth="1"/>
    <col min="11010" max="11264" width="9.140625" style="2116"/>
    <col min="11265" max="11265" width="28.5703125" style="2116" bestFit="1" customWidth="1"/>
    <col min="11266" max="11520" width="9.140625" style="2116"/>
    <col min="11521" max="11521" width="28.5703125" style="2116" bestFit="1" customWidth="1"/>
    <col min="11522" max="11776" width="9.140625" style="2116"/>
    <col min="11777" max="11777" width="28.5703125" style="2116" bestFit="1" customWidth="1"/>
    <col min="11778" max="12032" width="9.140625" style="2116"/>
    <col min="12033" max="12033" width="28.5703125" style="2116" bestFit="1" customWidth="1"/>
    <col min="12034" max="12288" width="9.140625" style="2116"/>
    <col min="12289" max="12289" width="28.5703125" style="2116" bestFit="1" customWidth="1"/>
    <col min="12290" max="12544" width="9.140625" style="2116"/>
    <col min="12545" max="12545" width="28.5703125" style="2116" bestFit="1" customWidth="1"/>
    <col min="12546" max="12800" width="9.140625" style="2116"/>
    <col min="12801" max="12801" width="28.5703125" style="2116" bestFit="1" customWidth="1"/>
    <col min="12802" max="13056" width="9.140625" style="2116"/>
    <col min="13057" max="13057" width="28.5703125" style="2116" bestFit="1" customWidth="1"/>
    <col min="13058" max="13312" width="9.140625" style="2116"/>
    <col min="13313" max="13313" width="28.5703125" style="2116" bestFit="1" customWidth="1"/>
    <col min="13314" max="13568" width="9.140625" style="2116"/>
    <col min="13569" max="13569" width="28.5703125" style="2116" bestFit="1" customWidth="1"/>
    <col min="13570" max="13824" width="9.140625" style="2116"/>
    <col min="13825" max="13825" width="28.5703125" style="2116" bestFit="1" customWidth="1"/>
    <col min="13826" max="14080" width="9.140625" style="2116"/>
    <col min="14081" max="14081" width="28.5703125" style="2116" bestFit="1" customWidth="1"/>
    <col min="14082" max="14336" width="9.140625" style="2116"/>
    <col min="14337" max="14337" width="28.5703125" style="2116" bestFit="1" customWidth="1"/>
    <col min="14338" max="14592" width="9.140625" style="2116"/>
    <col min="14593" max="14593" width="28.5703125" style="2116" bestFit="1" customWidth="1"/>
    <col min="14594" max="14848" width="9.140625" style="2116"/>
    <col min="14849" max="14849" width="28.5703125" style="2116" bestFit="1" customWidth="1"/>
    <col min="14850" max="15104" width="9.140625" style="2116"/>
    <col min="15105" max="15105" width="28.5703125" style="2116" bestFit="1" customWidth="1"/>
    <col min="15106" max="15360" width="9.140625" style="2116"/>
    <col min="15361" max="15361" width="28.5703125" style="2116" bestFit="1" customWidth="1"/>
    <col min="15362" max="15616" width="9.140625" style="2116"/>
    <col min="15617" max="15617" width="28.5703125" style="2116" bestFit="1" customWidth="1"/>
    <col min="15618" max="15872" width="9.140625" style="2116"/>
    <col min="15873" max="15873" width="28.5703125" style="2116" bestFit="1" customWidth="1"/>
    <col min="15874" max="16128" width="9.140625" style="2116"/>
    <col min="16129" max="16129" width="28.5703125" style="2116" bestFit="1" customWidth="1"/>
    <col min="16130" max="16384" width="9.140625" style="2116"/>
  </cols>
  <sheetData>
    <row r="1" spans="1:1">
      <c r="A1" s="2142" t="s">
        <v>941</v>
      </c>
    </row>
    <row r="2" spans="1:1">
      <c r="A2" s="2142" t="s">
        <v>946</v>
      </c>
    </row>
    <row r="3" spans="1:1">
      <c r="A3" s="2142" t="s">
        <v>947</v>
      </c>
    </row>
    <row r="4" spans="1:1">
      <c r="A4" s="2142" t="s">
        <v>948</v>
      </c>
    </row>
    <row r="5" spans="1:1">
      <c r="A5" s="2142" t="s">
        <v>949</v>
      </c>
    </row>
    <row r="6" spans="1:1">
      <c r="A6" s="2142" t="s">
        <v>942</v>
      </c>
    </row>
    <row r="7" spans="1:1">
      <c r="A7" s="2142" t="s">
        <v>950</v>
      </c>
    </row>
    <row r="8" spans="1:1">
      <c r="A8" s="2142" t="s">
        <v>951</v>
      </c>
    </row>
    <row r="9" spans="1:1">
      <c r="A9" s="2142" t="s">
        <v>952</v>
      </c>
    </row>
    <row r="10" spans="1:1">
      <c r="A10" s="2142" t="s">
        <v>943</v>
      </c>
    </row>
    <row r="11" spans="1:1">
      <c r="A11" s="2142" t="s">
        <v>953</v>
      </c>
    </row>
    <row r="12" spans="1:1">
      <c r="A12" s="2142" t="s">
        <v>944</v>
      </c>
    </row>
    <row r="13" spans="1:1">
      <c r="A13" s="2142" t="s">
        <v>945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2"/>
  <sheetViews>
    <sheetView workbookViewId="0"/>
  </sheetViews>
  <sheetFormatPr defaultRowHeight="12.75"/>
  <sheetData>
    <row r="1" spans="1:22">
      <c r="A1" t="s">
        <v>304</v>
      </c>
    </row>
    <row r="2" spans="1:22">
      <c r="A2" s="74" t="s">
        <v>85</v>
      </c>
      <c r="B2" s="74" t="s">
        <v>479</v>
      </c>
      <c r="C2" s="74" t="s">
        <v>140</v>
      </c>
      <c r="D2" s="74" t="s">
        <v>470</v>
      </c>
      <c r="E2" s="74" t="s">
        <v>141</v>
      </c>
      <c r="F2" s="74" t="s">
        <v>470</v>
      </c>
      <c r="G2" s="74" t="s">
        <v>135</v>
      </c>
      <c r="H2" s="74" t="s">
        <v>137</v>
      </c>
      <c r="I2" s="74" t="s">
        <v>136</v>
      </c>
      <c r="J2" s="74" t="s">
        <v>138</v>
      </c>
      <c r="K2" s="74" t="s">
        <v>134</v>
      </c>
      <c r="L2" s="74" t="s">
        <v>121</v>
      </c>
      <c r="M2" s="74" t="s">
        <v>139</v>
      </c>
      <c r="N2" s="74" t="s">
        <v>470</v>
      </c>
      <c r="O2" s="74" t="s">
        <v>80</v>
      </c>
      <c r="P2" s="74" t="s">
        <v>121</v>
      </c>
      <c r="Q2" s="74" t="s">
        <v>86</v>
      </c>
      <c r="R2" s="74" t="s">
        <v>470</v>
      </c>
      <c r="S2" s="74" t="s">
        <v>303</v>
      </c>
      <c r="T2" s="74" t="s">
        <v>470</v>
      </c>
      <c r="U2" s="74" t="s">
        <v>81</v>
      </c>
      <c r="V2" s="74" t="s">
        <v>597</v>
      </c>
    </row>
  </sheetData>
  <phoneticPr fontId="7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B1"/>
  <sheetViews>
    <sheetView workbookViewId="0"/>
  </sheetViews>
  <sheetFormatPr defaultRowHeight="12.75"/>
  <sheetData>
    <row r="1" spans="1:2">
      <c r="B1" t="s">
        <v>113</v>
      </c>
    </row>
  </sheetData>
  <phoneticPr fontId="7" type="noConversion"/>
  <pageMargins left="0.75" right="0.75" top="1" bottom="1" header="0.5" footer="0.5"/>
  <pageSetup orientation="portrait" r:id="rId1"/>
  <headerFooter alignWithMargins="0"/>
  <legacyDrawing r:id="rId2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>
  <Link>
    <GUID>07f84fa5-bc36-4e56-90e2-3417e0ec24f0</GUID>
    <SOURCE_ALTADDRESS>$A$4:$R$51</SOURCE_ALTADDRESS>
    <SOURCETYPE>Table</SOURCETYPE>
    <SOURCE_OBJECTNAME>Linking_Range_68</SOURCE_OBJECTNAME>
    <OBJECTTYPE>Native</OBJECTTYPE>
    <SOURCE_SHEETCODE>Sheet32</SOURCE_SHEETCODE>
    <SOURCE_SHEETNAME>DCF</SOURCE_SHEETNAME>
    <SOURCEAPPLICATION>EXCEL_SOURCE</SOURCEAPPLICATION>
    <UPDATEDAT>9/12/2014 3:57:08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/MSResearch/Content/ExternalAssets/2014-08/Images/_SUwM7hHWk_zcvaGhc1-Fg--.png</TARGET_BINARYFULLNAME>
    <TARGET_STORYFULLNAME>/MSResearch/Content/ExternalAssets/2014-08/Sections/Linking_Range_68-018.xml</TARGET_STORYFULLNAME>
    <TARGET_UUID>10babb76-2e30-11e4-8fd1-f8d3a0aeecbc</TARGET_UUID>
    <LINKSTATUS>Unknown</LINKSTATUS>
  </Link>
  <Link>
    <GUID>5b1dc875-a347-47d7-b2d4-073f838626b8</GUID>
    <SOURCE_ALTADDRESS>$A$7:$BO$48</SOURCE_ALTADDRESS>
    <SOURCETYPE>Table</SOURCETYPE>
    <SOURCE_OBJECTNAME>Linking_Range_66</SOURCE_OBJECTNAME>
    <OBJECTTYPE>Native</OBJECTTYPE>
    <SOURCE_SHEETCODE>Sheet2</SOURCE_SHEETCODE>
    <SOURCE_SHEETNAME>BS</SOURCE_SHEETNAME>
    <SOURCEAPPLICATION>EXCEL_SOURCE</SOURCEAPPLICATION>
    <UPDATEDAT>9/12/2014 3:57:23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/MSResearch/Content/ExternalAssets/2014-08/Images/jMbrLZW7wGr_GNjLvmGrg--.png</TARGET_BINARYFULLNAME>
    <TARGET_STORYFULLNAME>/MSResearch/Content/ExternalAssets/2014-08/Sections/Linking_Range_66-025.xml</TARGET_STORYFULLNAME>
    <TARGET_UUID>accbbdae-2e2f-11e4-8fd1-f8d3a0aeecbc</TARGET_UUID>
    <LINKSTATUS>Unknown</LINKSTATUS>
    <TRANSPARENTBACKGROUND>False</TRANSPARENTBACKGROUND>
    <TRANSPARENTPLOTAREA>False</TRANSPARENTPLOTAREA>
  </Link>
  <Link>
    <GUID>69db807f-d639-4258-8461-f70ebc5cdb37</GUID>
    <SOURCE_ALTADDRESS>$A$7:$BO$49</SOURCE_ALTADDRESS>
    <SOURCETYPE>Table</SOURCETYPE>
    <SOURCE_OBJECTNAME>Linking_Range_48</SOURCE_OBJECTNAME>
    <OBJECTTYPE>Native</OBJECTTYPE>
    <SOURCE_SHEETCODE>Sheet3</SOURCE_SHEETCODE>
    <SOURCE_SHEETNAME>CFS</SOURCE_SHEETNAME>
    <SOURCEAPPLICATION>EXCEL_SOURCE</SOURCEAPPLICATION>
    <UPDATEDAT>9/12/2014 3:57:27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/MSResearch/Content/ExternalAssets/2014-08/Images/4RlD2qTPNkGZ_S1ZjQE4Q--.png</TARGET_BINARYFULLNAME>
    <TARGET_STORYFULLNAME>/MSResearch/Content/ExternalAssets/2014-08/Sections/Linking_Range_48-031.xml</TARGET_STORYFULLNAME>
    <TARGET_UUID>de20f6bc-2e2f-11e4-8fd1-f8d3a0aeecbc</TARGET_UUID>
    <LINKSTATUS>Unknown</LINKSTATUS>
    <TRANSPARENTBACKGROUND>False</TRANSPARENTBACKGROUND>
    <TRANSPARENTPLOTAREA>False</TRANSPARENTPLOTAREA>
  </Link>
  <Link>
    <GUID>92abcd01-2698-4809-80fd-6e52ba12c49c</GUID>
    <SOURCE_ALTADDRESS>$A$3:$R$51</SOURCE_ALTADDRESS>
    <SOURCETYPE>Table</SOURCETYPE>
    <SOURCE_OBJECTNAME>Linking_Range_70</SOURCE_OBJECTNAME>
    <OBJECTTYPE>Native</OBJECTTYPE>
    <SOURCE_SHEETCODE>Sheet32</SOURCE_SHEETCODE>
    <SOURCE_SHEETNAME>DCF</SOURCE_SHEETNAME>
    <SOURCEAPPLICATION>EXCEL_SOURCE</SOURCEAPPLICATION>
    <UPDATEDAT>9/12/2014 3:58:03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/MSResearch/Content/ExternalAssets/2014-09/Images/qyKfHnHojUazvvqTSh6ntw--.png</TARGET_BINARYFULLNAME>
    <TARGET_STORYFULLNAME>/MSResearch/Content/ExternalAssets/2014-09/Sections/Linking_Range_7-023.xml</TARGET_STORYFULLNAME>
    <TARGET_UUID>4c25e2b0-343b-11e4-bdd8-3ff9506af4dc</TARGET_UUID>
    <LINKSTATUS>Unknown</LINKSTATUS>
    <TRANSPARENTBACKGROUND>False</TRANSPARENTBACKGROUND>
    <TRANSPARENTPLOTAREA>False</TRANSPARENTPLOTAREA>
  </Link>
  <Link>
    <GUID>a233354e-a186-4032-9422-4da1e6cd25b2</GUID>
    <SOURCETYPE>Chart</SOURCETYPE>
    <SOURCE_OBJECTNAME>ILMN RR</SOURCE_OBJECTNAME>
    <SOURCE_SHEETCODE>MWRSSData</SOURCE_SHEETCODE>
    <SOURCE_SHEETNAME>MWA RR</SOURCE_SHEETNAME>
    <OBJECTTYPE>Native</OBJECTTYPE>
    <SOURCEAPPLICATION>EXCEL_SOURCE</SOURCEAPPLICATION>
    <UPDATEDAT>10/2/2014 5:34:08 PM</UPDATEDAT>
    <SOURCE_ISOUTOFDATE>False</SOURCE_ISOUTOFDATE>
    <SOURCE_WORKBOOKNAME>WAT.xls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/MSResearch/Content/ExternalAssets/2014-10/Images/p9oYc7qwWk_KKXE4ueWgXg--.png</TARGET_BINARYFULLNAME>
    <TARGET_STORYFULLNAME>/MSResearch/Content/ExternalAssets/2014-10/Sections/ILMNRR-001.xml</TARGET_STORYFULLNAME>
    <TARGET_UUID>8d607346-4a8c-11e4-939b-fa70b500ebdf</TARGET_UUID>
  </Link>
  <Link>
    <GUID>2de87325-953e-4530-8bc2-d9bb21b8736c</GUID>
    <SOURCE_ALTADDRESS>$Q$47:$W$82</SOURCE_ALTADDRESS>
    <SOURCETYPE>Table</SOURCETYPE>
    <SOURCE_OBJECTNAME>Linking_Range_74</SOURCE_OBJECTNAME>
    <OBJECTTYPE>Native</OBJECTTYPE>
    <SOURCE_SHEETCODE>Sheet10</SOURCE_SHEETCODE>
    <SOURCE_SHEETNAME>EPS Charts</SOURCE_SHEETNAME>
    <SOURCEAPPLICATION>EXCEL_SOURCE</SOURCEAPPLICATION>
    <UPDATEDAT>10/14/2014 3:47:13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/MSResearch/Content/ExternalAssets/2014-10/Images/jurSO6qMZqmtLUMxJZXRw--.png</TARGET_BINARYFULLNAME>
    <TARGET_STORYFULLNAME>/MSResearch/Content/ExternalAssets/2014-10/Sections/Linking_Range_74-014.xml</TARGET_STORYFULLNAME>
    <TARGET_UUID>a64e115c-53eb-11e4-b03b-7e57cd39a3c9</TARGET_UUID>
  </Link>
  <Link>
    <GUID>d503c202-6f4d-4508-9fdd-9aa89d23e8df</GUID>
    <SOURCE_ALTADDRESS>$A$4:$BI$71</SOURCE_ALTADDRESS>
    <SOURCETYPE>Table</SOURCETYPE>
    <SOURCE_OBJECTNAME>Linking_Range_78</SOURCE_OBJECTNAME>
    <OBJECTTYPE>Native</OBJECTTYPE>
    <SOURCE_SHEETCODE>Sheet4</SOURCE_SHEETCODE>
    <SOURCE_SHEETNAME>RevBuild</SOURCE_SHEETNAME>
    <SOURCEAPPLICATION>EXCEL_SOURCE</SOURCEAPPLICATION>
    <UPDATEDAT>10/14/2014 4:11:05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/MSResearch/Content/ExternalAssets/2014-10/Images/frNtrhG4eE2u51tkNHauA--.png</TARGET_BINARYFULLNAME>
    <TARGET_STORYFULLNAME>/MSResearch/Content/ExternalAssets/2014-10/Sections/Linking_Range_78-001.xml</TARGET_STORYFULLNAME>
    <TARGET_UUID>c1560344-53ee-11e4-b03b-7e57cd39a3c9</TARGET_UUID>
  </Link>
  <Link>
    <GUID>80627b80-8413-4cde-8b74-ccaa5e583fd3</GUID>
    <SOURCE_ALTADDRESS>$A$4:$BI$64</SOURCE_ALTADDRESS>
    <SOURCETYPE>Table</SOURCETYPE>
    <SOURCE_OBJECTNAME>Linking_Range_76</SOURCE_OBJECTNAME>
    <OBJECTTYPE>Native</OBJECTTYPE>
    <SOURCE_SHEETCODE>Sheet1</SOURCE_SHEETCODE>
    <SOURCE_SHEETNAME>IS</SOURCE_SHEETNAME>
    <SOURCEAPPLICATION>EXCEL_SOURCE</SOURCEAPPLICATION>
    <UPDATEDAT>10/14/2014 4:16:42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/MSResearch/Content/ExternalAssets/2014-10/Images/RUsajwtK4kKzVq4iDcpEPQ--.png</TARGET_BINARYFULLNAME>
    <TARGET_STORYFULLNAME>/MSResearch/Content/ExternalAssets/2014-10/Sections/Linking_Range_76-006.xml</TARGET_STORYFULLNAME>
    <TARGET_UUID>55a99fc0-53ee-11e4-b03b-7e57cd39a3c9</TARGET_UUID>
    <LINKSTATUS>Unknown</LINKSTATUS>
  </Link>
  <Link>
    <GUID>88cd8374-f4b5-49e4-998d-ff7508f8b757</GUID>
    <SOURCE_ALTADDRESS>$B$13</SOURCE_ALTADDRESS>
    <SOURCETYPE>Text</SOURCETYPE>
    <SOURCE_OBJECTNAME>Linking_Text_2</SOURCE_OBJECTNAME>
    <OBJECTTYPE>Native</OBJECTTYPE>
    <SOURCE_SHEETCODE>Sheet22</SOURCE_SHEETCODE>
    <SOURCE_SHEETNAME>Q Variance</SOURCE_SHEETNAME>
    <SOURCEAPPLICATION>EXCEL_SOURCE</SOURCEAPPLICATION>
    <UPDATEDAT>10/16/2014 9:41:21 AM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False</HIDEGRIDLINES>
    <TARGETTYPE>Text</TARGETTYPE>
    <TARGETAPPLICATION>METHODE_TARGET</TARGETAPPLICATION>
    <TARGET_BINARYFULLNAME/>
    <TARGET_STORYFULLNAME>/MSResearch/Content/ExternalAssets/2014-10/Sections/Linking_Text_2-011.xml</TARGET_STORYFULLNAME>
    <TARGET_UUID>dee65438-554a-11e4-b03b-7e57cd39a3c9</TARGET_UUID>
  </Link>
  <Link>
    <GUID>6acba543-87d4-4aff-83d1-919db870e319</GUID>
    <SOURCE_ALTADDRESS>$H$20:$I$35</SOURCE_ALTADDRESS>
    <SOURCETYPE>Table</SOURCETYPE>
    <SOURCE_OBJECTNAME>Linking_Range_79</SOURCE_OBJECTNAME>
    <OBJECTTYPE>Native</OBJECTTYPE>
    <SOURCE_SHEETCODE>Sheet10</SOURCE_SHEETCODE>
    <SOURCE_SHEETNAME>EPS Charts</SOURCE_SHEETNAME>
    <SOURCEAPPLICATION>EXCEL_SOURCE</SOURCEAPPLICATION>
    <UPDATEDAT>10/16/2014 1:16:26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/MSResearch/Content/ExternalAssets/2014-10/Images/7RpCvPWw8Eqovfz5fzpsvQ--.png</TARGET_BINARYFULLNAME>
    <TARGET_STORYFULLNAME>/MSResearch/Content/ExternalAssets/2014-10/Sections/Linking_Range_79-007.xml</TARGET_STORYFULLNAME>
    <TARGET_UUID>87bb1ce8-5545-11e4-b03b-7e57cd39a3c9</TARGET_UUID>
    <LINKSTATUS>Unknown</LINKSTATUS>
  </Link>
  <Link>
    <GUID>524c1c7d-4a3c-48cb-a54c-e1f621e65e6e</GUID>
    <SOURCE_ALTADDRESS>$Q$47:$V$82</SOURCE_ALTADDRESS>
    <SOURCETYPE>Table</SOURCETYPE>
    <SOURCE_OBJECTNAME>Linking_Range_75</SOURCE_OBJECTNAME>
    <OBJECTTYPE>Native</OBJECTTYPE>
    <SOURCE_SHEETCODE>Sheet10</SOURCE_SHEETCODE>
    <SOURCE_SHEETNAME>EPS Charts</SOURCE_SHEETNAME>
    <SOURCEAPPLICATION>EXCEL_SOURCE</SOURCEAPPLICATION>
    <UPDATEDAT>10/16/2014 1:19:39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/MSResearch/Content/ExternalAssets/2014-10/Images/AJTeamXVnUeqRhQ68RGZYw--.png</TARGET_BINARYFULLNAME>
    <TARGET_STORYFULLNAME>/MSResearch/Content/ExternalAssets/2014-10/Sections/Linking_Range_75-012.xml</TARGET_STORYFULLNAME>
    <TARGET_UUID>b3c41e62-53eb-11e4-b03b-7e57cd39a3c9</TARGET_UUID>
    <LINKSTATUS>Unknown</LINKSTATUS>
  </Link>
  <Link>
    <GUID>a9e2af61-cf59-4d37-9e39-282ef51ac7b3</GUID>
    <SOURCE_ALTADDRESS>$A$7:$BC$64</SOURCE_ALTADDRESS>
    <SOURCETYPE>Table</SOURCETYPE>
    <SOURCE_OBJECTNAME>Linking_Range_11</SOURCE_OBJECTNAME>
    <OBJECTTYPE>Native</OBJECTTYPE>
    <SOURCE_SHEETCODE>Sheet1</SOURCE_SHEETCODE>
    <SOURCE_SHEETNAME>IS</SOURCE_SHEETNAME>
    <SOURCEAPPLICATION>EXCEL_SOURCE</SOURCEAPPLICATION>
    <UPDATEDAT>10/21/2014 8:46:34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/MSResearch/Content/ExternalAssets/2014-10/Images/--Ye7II-ckC13C9o4xvGhg--.png</TARGET_BINARYFULLNAME>
    <TARGET_STORYFULLNAME>/MSResearch/Content/ExternalAssets/2014-10/Sections/20141021_084630_Linking_Range_11.xml</TARGET_STORYFULLNAME>
    <TARGET_UUID>dcfa7a30-5984-11e4-a5f5-00b8a37746a7</TARGET_UUID>
  </Link>
  <Link>
    <GUID>70c602ad-c6ab-4505-b86f-4b29a4d9e314</GUID>
    <SOURCE_ALTADDRESS>$BR$5:$CD$25</SOURCE_ALTADDRESS>
    <SOURCETYPE>Table</SOURCETYPE>
    <SOURCE_OBJECTNAME>Linking_Range_72</SOURCE_OBJECTNAME>
    <OBJECTTYPE>Native</OBJECTTYPE>
    <SOURCE_SHEETCODE>Sheet6</SOURCE_SHEETCODE>
    <SOURCE_SHEETNAME>OrgRev</SOURCE_SHEETNAME>
    <SOURCEAPPLICATION>EXCEL_SOURCE</SOURCEAPPLICATION>
    <UPDATEDAT>12/2/2014 9:40:25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/MSResearch/Content/ExternalAssets/2014-09/Images/-Tm4vBfJkkyPcvk1SDvUw--.png</TARGET_BINARYFULLNAME>
    <TARGET_STORYFULLNAME>/MSResearch/Content/ExternalAssets/2014-09/Sections/Linking_Range_72-015.xml</TARGET_STORYFULLNAME>
    <TARGET_UUID>4317dba6-48d1-11e4-939b-fa70b500ebdf</TARGET_UUID>
    <LINKSTATUS>Unknown</LINKSTATUS>
    <TRANSPARENTBACKGROUND>False</TRANSPARENTBACKGROUND>
    <TRANSPARENTPLOTAREA>False</TRANSPARENTPLOTAREA>
  </Link>
  <Link>
    <GUID>4e461eb9-429c-43d6-8eee-3acbcec2bf08</GUID>
    <SOURCETYPE>Chart</SOURCETYPE>
    <SOURCE_OBJECTNAME>WAT RR 2</SOURCE_OBJECTNAME>
    <SOURCE_SHEETCODE>MWRSSData</SOURCE_SHEETCODE>
    <SOURCE_SHEETNAME>MWA RR</SOURCE_SHEETNAME>
    <OBJECTTYPE>Native</OBJECTTYPE>
    <SOURCEAPPLICATION>EXCEL_SOURCE</SOURCEAPPLICATION>
    <UPDATEDAT>1/2/2015 10:47:28 PM</UPDATEDAT>
    <SOURCE_ISOUTOFDATE>False</SOURCE_ISOUTOFDATE>
    <SOURCE_WORKBOOKNAME>WAT.xls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/MSResearch/Content/ExternalAssets/2015-01/Images/OO8RcTbZ5GTc3zQFvHmXw--.png</TARGET_BINARYFULLNAME>
    <TARGET_STORYFULLNAME>/MSResearch/Content/ExternalAssets/2015-01/Sections/20150102_114724_WATRR2.xml</TARGET_STORYFULLNAME>
    <TARGET_UUID>9c8ce9fc-9303-11e4-ad2f-712a6db2d15f</TARGET_UUID>
  </Link>
  <Link>
    <GUID>15f30c73-01a0-4fe7-b61c-438139d88d83</GUID>
    <SOURCETYPE>Chart</SOURCETYPE>
    <SOURCE_OBJECTNAME>WAT RR</SOURCE_OBJECTNAME>
    <SOURCE_SHEETCODE>MWRSSData</SOURCE_SHEETCODE>
    <SOURCE_SHEETNAME>MWA RR</SOURCE_SHEETNAME>
    <OBJECTTYPE>Native</OBJECTTYPE>
    <SOURCEAPPLICATION>EXCEL_SOURCE</SOURCEAPPLICATION>
    <UPDATEDAT>1/15/2015 5:08:25 PM</UPDATEDAT>
    <SOURCE_ISOUTOFDATE>False</SOURCE_ISOUTOFDATE>
    <SOURCE_WORKBOOKNAME>WAT.xls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/MSResearch/Content/ExternalAssets/2014-10/Images/CAMHbHLaLkupz47S4v4USA--.png</TARGET_BINARYFULLNAME>
    <TARGET_STORYFULLNAME>/MSResearch/Content/ExternalAssets/2014-10/Sections/WATRR.xml</TARGET_STORYFULLNAME>
    <TARGET_UUID>dd340166-4e93-11e4-b7d5-857f2576cfc9</TARGET_UUID>
    <HIDEGRIDLINES>False</HIDEGRIDLINES>
  </Link>
  <Link>
    <GUID>290eeb37-9e13-4a05-8952-5274cfb702df</GUID>
    <SOURCE_ALTADDRESS>$A$80:$N$96</SOURCE_ALTADDRESS>
    <SOURCETYPE>Table</SOURCETYPE>
    <SOURCE_OBJECTNAME>Linking_Range_69</SOURCE_OBJECTNAME>
    <OBJECTTYPE>Native</OBJECTTYPE>
    <SOURCE_SHEETCODE>Sheet32</SOURCE_SHEETCODE>
    <SOURCE_SHEETNAME>DCF</SOURCE_SHEETNAME>
    <SOURCEAPPLICATION>EXCEL_SOURCE</SOURCEAPPLICATION>
    <UPDATEDAT>1/22/2015 5:11:46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/MSResearch/Content/ExternalAssets/2014-09/Images/mVptfpeweEiz-f2xE6FchQ--.png</TARGET_BINARYFULLNAME>
    <TARGET_STORYFULLNAME>/MSResearch/Content/ExternalAssets/2014-09/Sections/Linking_Range_69-001.xml</TARGET_STORYFULLNAME>
    <TARGET_UUID>d850dfa4-33de-11e4-bdd8-3ff9506af4dc</TARGET_UUID>
    <LINKSTATUS>Unknown</LINKSTATUS>
  </Link>
  <Link>
    <GUID>3b75c8dc-3c0d-4064-8f3d-e110d99358b2</GUID>
    <SOURCE_ALTADDRESS>$H$23:$I$34</SOURCE_ALTADDRESS>
    <SOURCETYPE>Table</SOURCETYPE>
    <SOURCE_OBJECTNAME>Linking_Range_82</SOURCE_OBJECTNAME>
    <OBJECTTYPE>Native</OBJECTTYPE>
    <SOURCE_SHEETCODE>Sheet10</SOURCE_SHEETCODE>
    <SOURCE_SHEETNAME>EPS Charts</SOURCE_SHEETNAME>
    <SOURCEAPPLICATION>EXCEL_SOURCE</SOURCEAPPLICATION>
    <UPDATEDAT>1/26/2015 11:05:30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/MSResearch/Content/ExternalAssets/2015-01/Images/krQklwIcWum1cOXJ3Hbzw--.png</TARGET_BINARYFULLNAME>
    <TARGET_STORYFULLNAME>/MSResearch/Content/ExternalAssets/2015-01/Sections/20150126_110527_Linking_Range_82.xml</TARGET_STORYFULLNAME>
    <TARGET_UUID>ba1f2fc8-a5d9-11e4-9d5a-3eb708603406</TARGET_UUID>
  </Link>
  <Link>
    <GUID>4a8f905b-3a1a-4d17-abc6-592f0a2bcc08</GUID>
    <SOURCE_ALTADDRESS>$A$7:$BI$64</SOURCE_ALTADDRESS>
    <SOURCETYPE>Table</SOURCETYPE>
    <SOURCE_OBJECTNAME>Linking_Range_61</SOURCE_OBJECTNAME>
    <OBJECTTYPE>Native</OBJECTTYPE>
    <SOURCE_SHEETCODE>Sheet1</SOURCE_SHEETCODE>
    <SOURCE_SHEETNAME>IS</SOURCE_SHEETNAME>
    <SOURCEAPPLICATION>EXCEL_SOURCE</SOURCEAPPLICATION>
    <UPDATEDAT>1/26/2015 11:15:10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/MSResearch/Content/ExternalAssets/2015-01/Images/futG5DQYhku_bjf6oN4KMQ--.png</TARGET_BINARYFULLNAME>
    <TARGET_STORYFULLNAME>/MSResearch/Content/ExternalAssets/2015-01/Sections/20150122_120717_Linking_Range_61.xml</TARGET_STORYFULLNAME>
    <TARGET_UUID>1e710e08-a259-11e4-9d5a-3eb708603406</TARGET_UUID>
    <TRANSPARENTBACKGROUND>False</TRANSPARENTBACKGROUND>
    <TRANSPARENTPLOTAREA>False</TRANSPARENTPLOTAREA>
  </Link>
  <Link>
    <GUID>1620c9d1-fdd6-419b-8d57-1c53c3e4c39e</GUID>
    <SOURCE_ALTADDRESS>$A$7:$BI$71</SOURCE_ALTADDRESS>
    <SOURCETYPE>Table</SOURCETYPE>
    <SOURCE_OBJECTNAME>Linking_Range_77</SOURCE_OBJECTNAME>
    <OBJECTTYPE>Native</OBJECTTYPE>
    <SOURCE_SHEETCODE>Sheet4</SOURCE_SHEETCODE>
    <SOURCE_SHEETNAME>RevBuild</SOURCE_SHEETNAME>
    <SOURCEAPPLICATION>EXCEL_SOURCE</SOURCEAPPLICATION>
    <UPDATEDAT>1/26/2015 11:16:52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/MSResearch/Content/ExternalAssets/2014-10/Images/hzJkIEe9UkyapjrTIgvaJA--.png</TARGET_BINARYFULLNAME>
    <TARGET_STORYFULLNAME>/MSResearch/Content/ExternalAssets/2014-10/Sections/Linking_Range_77-007.xml</TARGET_STORYFULLNAME>
    <TARGET_UUID>856e5412-53ee-11e4-b03b-7e57cd39a3c9</TARGET_UUID>
    <TRANSPARENTBACKGROUND>False</TRANSPARENTBACKGROUND>
    <TRANSPARENTPLOTAREA>False</TRANSPARENTPLOTAREA>
  </Link>
  <Link>
    <GUID>d08914ea-d111-470c-98cf-745047bac556</GUID>
    <SOURCE_ALTADDRESS>$N$11:$R$31</SOURCE_ALTADDRESS>
    <SOURCETYPE>Table</SOURCETYPE>
    <SOURCE_OBJECTNAME>Linking_Range_71</SOURCE_OBJECTNAME>
    <OBJECTTYPE>Native</OBJECTTYPE>
    <SOURCE_SHEETCODE>Sheet22</SOURCE_SHEETCODE>
    <SOURCE_SHEETNAME>Q Variance</SOURCE_SHEETNAME>
    <SOURCEAPPLICATION>EXCEL_SOURCE</SOURCEAPPLICATION>
    <UPDATEDAT>4/7/2015 3:16:32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/MSResearch/Content/ExternalAssets/2014-09/Images/PlHiRqN-iUmb1CJK5tRvRw--.png</TARGET_BINARYFULLNAME>
    <TARGET_STORYFULLNAME>/MSResearch/Content/ExternalAssets/2014-09/Sections/Linking_Range_71-007.xml</TARGET_STORYFULLNAME>
    <TARGET_UUID>996b8c04-4341-11e4-a584-8167cbfd5b17</TARGET_UUID>
    <LINKSTATUS>Unknown</LINKSTATUS>
    <TRANSPARENTBACKGROUND>False</TRANSPARENTBACKGROUND>
    <TRANSPARENTPLOTAREA>False</TRANSPARENTPLOTAREA>
    <EXTRACTSOURCEMODE>CopyToClipboard</EXTRACTSOURCEMODE>
  </Link>
  <Link>
    <GUID>c8445766-cf51-4bff-9248-66726bae7f2a</GUID>
    <SOURCE_ALTADDRESS>$B$18</SOURCE_ALTADDRESS>
    <SOURCETYPE>Text</SOURCETYPE>
    <SOURCE_OBJECTNAME>Linking_Text_3</SOURCE_OBJECTNAME>
    <OBJECTTYPE>Native</OBJECTTYPE>
    <SOURCE_SHEETCODE>MWRSSData</SOURCE_SHEETCODE>
    <SOURCE_SHEETNAME>MWA RR</SOURCE_SHEETNAME>
    <SOURCEAPPLICATION>EXCEL_SOURCE</SOURCEAPPLICATION>
    <UPDATEDAT>4/9/2015 7:07:52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False</HIDEGRIDLINES>
    <TARGETTYPE>Text</TARGETTYPE>
    <TARGETAPPLICATION>METHODE_TARGET</TARGETAPPLICATION>
    <EXTRACTSOURCEMODE>CopyToClipboard</EXTRACTSOURCEMODE>
    <TARGET_BINARYFULLNAME/>
    <TARGET_STORYFULLNAME>/MSResearch/Content/ExternalAssets/2015-04/Sections/20150409_090732_Linking_Text_3.xml</TARGET_STORYFULLNAME>
    <TARGET_UUID>f71ad26a-df1d-11e4-9cfb-6eb77350c59b</TARGET_UUID>
    <TRANSPARENTBACKGROUND>False</TRANSPARENTBACKGROUND>
    <TRANSPARENTPLOTAREA>False</TRANSPARENTPLOTAREA>
  </Link>
  <Link>
    <GUID>6fc99b75-6ed7-4adc-b545-8a80e470afa8</GUID>
    <SOURCE_ALTADDRESS>$H$20:$I$34</SOURCE_ALTADDRESS>
    <SOURCETYPE>Table</SOURCETYPE>
    <SOURCE_OBJECTNAME>Linking_Range_80</SOURCE_OBJECTNAME>
    <OBJECTTYPE>Native</OBJECTTYPE>
    <SOURCE_SHEETCODE>Sheet10</SOURCE_SHEETCODE>
    <SOURCE_SHEETNAME>EPS Charts</SOURCE_SHEETNAME>
    <SOURCEAPPLICATION>EXCEL_SOURCE</SOURCEAPPLICATION>
    <UPDATEDAT>4/15/2015 10:15:04 AM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/MSResearch/Content/ExternalAssets/2014-10/Images/RQu7PciF1EiKh2asVe4zg--.png</TARGET_BINARYFULLNAME>
    <TARGET_STORYFULLNAME>/MSResearch/Content/ExternalAssets/2014-10/Sections/20141021_044708_Linking_Range_8.xml</TARGET_STORYFULLNAME>
    <TARGET_UUID>6c6564f4-5963-11e4-a5f5-00b8a37746a7</TARGET_UUID>
    <LINKSTATUS>Unknown</LINKSTATUS>
    <TRANSPARENTBACKGROUND>False</TRANSPARENTBACKGROUND>
    <TRANSPARENTPLOTAREA>False</TRANSPARENTPLOTAREA>
    <EXTRACTSOURCEMODE>CopyToClipboard</EXTRACTSOURCEMODE>
  </Link>
  <Link>
    <GUID>1b0e4275-40e3-4b2d-8ed6-19bedd2a1871</GUID>
    <SOURCE_ALTADDRESS>$BR$5:$CH$25</SOURCE_ALTADDRESS>
    <SOURCETYPE>Table</SOURCETYPE>
    <SOURCE_OBJECTNAME>Linking_Range_81</SOURCE_OBJECTNAME>
    <OBJECTTYPE>Native</OBJECTTYPE>
    <SOURCE_SHEETCODE>Sheet6</SOURCE_SHEETCODE>
    <SOURCE_SHEETNAME>OrgRev</SOURCE_SHEETNAME>
    <SOURCEAPPLICATION>EXCEL_SOURCE</SOURCEAPPLICATION>
    <UPDATEDAT>4/15/2015 10:15:29 AM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/MSResearch/Content/ExternalAssets/2014-12/Images/9tYpA7a9UqJJ4ySckzQFQ--.png</TARGET_BINARYFULLNAME>
    <TARGET_STORYFULLNAME>/MSResearch/Content/ExternalAssets/2014-12/Sections/20141204_090201_Linking_Range_81.xml</TARGET_STORYFULLNAME>
    <TARGET_UUID>b38f3c56-7c22-11e4-a118-f2cb50997d55</TARGET_UUID>
    <LINKSTATUS>Unknown</LINKSTATUS>
    <TRANSPARENTBACKGROUND>False</TRANSPARENTBACKGROUND>
    <TRANSPARENTPLOTAREA>False</TRANSPARENTPLOTAREA>
    <EXTRACTSOURCEMODE>CopyToClipboard</EXTRACTSOURCEMODE>
  </Link>
  <Link>
    <GUID>d473cbeb-bb75-428c-a44a-7f15170bfa89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4/28/2015 8:57:10 PM</UPDATEDAT>
    <SOURCE_ISOUTOFDATE>False</SOURCE_ISOUTOFDATE>
    <SOURCE_WORKBOOKNAME>WAT.xls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/MSResearch/Content/ExternalAssets/2014-09/Images/G9IlWsNXKEu9Spbsp3Uaw--.png</TARGET_BINARYFULLNAME>
    <TARGET_STORYFULLNAME>/MSResearch/Content/ExternalAssets/2014-09/Sections/MWA_Risk_Reward-048.xml</TARGET_STORYFULLNAME>
    <TARGET_UUID>a0b7fe0a-32a4-11e4-bdd8-3ff9506af4dc</TARGET_UUID>
    <LINKSTATUS>Unknown</LINKSTATUS>
    <HIDEGRIDLINES>False</HIDEGRIDLINES>
    <EXTRACTSOURCEMODE>CopyToClipboard</EXTRACTSOURCEMODE>
  </Link>
  <Link>
    <GUID>33d8216c-a1f7-44fa-946c-30bc24415519</GUID>
    <SOURCETYPE>Chart</SOURCETYPE>
    <SOURCE_OBJECTNAME>WAT EBIT Trend</SOURCE_OBJECTNAME>
    <SOURCE_SHEETCODE>Sheet10</SOURCE_SHEETCODE>
    <SOURCE_SHEETNAME>EPS Charts</SOURCE_SHEETNAME>
    <OBJECTTYPE>Native</OBJECTTYPE>
    <SOURCEAPPLICATION>EXCEL_SOURCE</SOURCEAPPLICATION>
    <UPDATEDAT>4/28/2015 9:23:37 PM</UPDATEDAT>
    <SOURCE_ISOUTOFDATE>False</SOURCE_ISOUTOFDATE>
    <SOURCE_WORKBOOKNAME>WAT.xls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/MSResearch/Content/ExternalAssets/2014-10/Images/eHixzeia8kGTN1hOwInv8A--.png</TARGET_BINARYFULLNAME>
    <TARGET_STORYFULLNAME>/MSResearch/Content/ExternalAssets/2014-10/Sections/WATEBITTrend.xml</TARGET_STORYFULLNAME>
    <TARGET_UUID>acf7545c-5547-11e4-b03b-7e57cd39a3c9</TARGET_UUID>
    <LINKSTATUS>Unknown</LINKSTATUS>
    <HIDEGRIDLINES>False</HIDEGRIDLINES>
    <EXTRACTSOURCEMODE>CopyToClipboard</EXTRACTSOURCEMODE>
  </Link>
  <Link>
    <GUID>72888f55-cdb2-43c0-890b-bd5ef9253aac</GUID>
    <SOURCE_ALTADDRESS>$A$5:$I$29</SOURCE_ALTADDRESS>
    <SOURCETYPE>Table</SOURCETYPE>
    <SOURCE_OBJECTNAME>Linking_Range_73</SOURCE_OBJECTNAME>
    <OBJECTTYPE>Native</OBJECTTYPE>
    <SOURCE_SHEETCODE>Sheet12</SOURCE_SHEETCODE>
    <SOURCE_SHEETNAME>Guidance</SOURCE_SHEETNAME>
    <SOURCEAPPLICATION>EXCEL_SOURCE</SOURCEAPPLICATION>
    <UPDATEDAT>4/28/2015 9:24:09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/MSResearch/Content/ExternalAssets/2014-10/Images/xF8q9WrriEKRwGSC6MVjfA--.png</TARGET_BINARYFULLNAME>
    <TARGET_STORYFULLNAME>/MSResearch/Content/ExternalAssets/2014-10/Sections/Linking_Range_73-013.xml</TARGET_STORYFULLNAME>
    <TARGET_UUID>59c8ab8a-53eb-11e4-b03b-7e57cd39a3c9</TARGET_UUID>
    <LINKSTATUS>Unknown</LINKSTATUS>
    <TRANSPARENTBACKGROUND>False</TRANSPARENTBACKGROUND>
    <TRANSPARENTPLOTAREA>False</TRANSPARENTPLOTAREA>
    <EXTRACTSOURCEMODE>CopyToClipboard</EXTRACTSOURCEMODE>
  </Link>
  <Link>
    <GUID>e902f6b6-91c9-45a3-8e13-9bab5e95f74b</GUID>
    <SOURCE_ALTADDRESS>$Q$47:$W$87</SOURCE_ALTADDRESS>
    <SOURCETYPE>Table</SOURCETYPE>
    <SOURCE_OBJECTNAME>Linking_Range_67</SOURCE_OBJECTNAME>
    <OBJECTTYPE>Native</OBJECTTYPE>
    <SOURCE_SHEETCODE>Sheet10</SOURCE_SHEETCODE>
    <SOURCE_SHEETNAME>EPS Charts</SOURCE_SHEETNAME>
    <SOURCEAPPLICATION>EXCEL_SOURCE</SOURCEAPPLICATION>
    <UPDATEDAT>4/28/2015 9:24:35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/MSResearch/Content/ExternalAssets/2014-10/Images/4y1AoH-gpE62MQ6L3z7QWQ--.png</TARGET_BINARYFULLNAME>
    <TARGET_STORYFULLNAME>/MSResearch/Content/ExternalAssets/2014-10/Sections/20141021_084435_Linking_Range_67.xml</TARGET_STORYFULLNAME>
    <TARGET_UUID>9880e178-5984-11e4-a5f5-00b8a37746a7</TARGET_UUID>
    <TRANSPARENTBACKGROUND>False</TRANSPARENTBACKGROUND>
    <TRANSPARENTPLOTAREA>False</TRANSPARENTPLOTAREA>
    <LINKSTATUS>Unknown</LINKSTATUS>
    <EXTRACTSOURCEMODE>CopyToClipboard</EXTRACTSOURCEMODE>
  </Link>
  <Link>
    <GUID>352e1a1e-6ec7-4263-8dbf-fed9fdd0588f</GUID>
    <SOURCE_ALTADDRESS>$A$11:$J$31</SOURCE_ALTADDRESS>
    <SOURCETYPE>Table</SOURCETYPE>
    <SOURCE_OBJECTNAME>Linking_Range_42</SOURCE_OBJECTNAME>
    <OBJECTTYPE>Native</OBJECTTYPE>
    <SOURCE_SHEETCODE>Sheet22</SOURCE_SHEETCODE>
    <SOURCE_SHEETNAME>Q Variance</SOURCE_SHEETNAME>
    <SOURCEAPPLICATION>EXCEL_SOURCE</SOURCEAPPLICATION>
    <UPDATEDAT>4/28/2015 9:25:05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/MSResearch/Content/ExternalAssets/2014-10/Images/3heOE4gIUECWOPwlJkW2jQ--.png</TARGET_BINARYFULLNAME>
    <TARGET_STORYFULLNAME>/MSResearch/Content/ExternalAssets/2014-10/Sections/Linking_Range_42-021.xml</TARGET_STORYFULLNAME>
    <TARGET_UUID>bd720422-53ed-11e4-b03b-7e57cd39a3c9</TARGET_UUID>
    <LINKSTATUS>Unknown</LINKSTATUS>
    <TRANSPARENTBACKGROUND>False</TRANSPARENTBACKGROUND>
    <TRANSPARENTPLOTAREA>False</TRANSPARENTPLOTAREA>
    <EXTRACTSOURCEMODE>CopyToClipboard</EXTRACTSOURCEMODE>
  </Link>
  <Link>
    <GUID>ff3d5208-0781-48d2-b82c-9cfc3ddf6dad</GUID>
    <SOURCE_ALTADDRESS>$A$7:$BO$64</SOURCE_ALTADDRESS>
    <SOURCETYPE>Table</SOURCETYPE>
    <SOURCE_OBJECTNAME>Linking_Range_45</SOURCE_OBJECTNAME>
    <OBJECTTYPE>Native</OBJECTTYPE>
    <SOURCE_SHEETCODE>Sheet1</SOURCE_SHEETCODE>
    <SOURCE_SHEETNAME>IS</SOURCE_SHEETNAME>
    <SOURCEAPPLICATION>EXCEL_SOURCE</SOURCEAPPLICATION>
    <UPDATEDAT>4/28/2015 9:27:03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/MSResearch/Content/ExternalAssets/2014-08/Images/DiPsR6TjVkG6jOJoMNTRVw--.png</TARGET_BINARYFULLNAME>
    <TARGET_STORYFULLNAME>/MSResearch/Content/ExternalAssets/2014-08/Sections/Linking_Range_45-044.xml</TARGET_STORYFULLNAME>
    <TARGET_UUID>e5221438-2e2e-11e4-8fd1-f8d3a0aeecbc</TARGET_UUID>
    <LINKSTATUS>Unknown</LINKSTATUS>
    <TRANSPARENTBACKGROUND>False</TRANSPARENTBACKGROUND>
    <TRANSPARENTPLOTAREA>False</TRANSPARENTPLOTAREA>
    <EXTRACTSOURCEMODE>CopyToClipboard</EXTRACTSOURCEMODE>
  </Link>
  <Link>
    <GUID>f08662ba-78c3-418f-a577-b972f42cc6c5</GUID>
    <SOURCE_ALTADDRESS>$A$7:$BO$71</SOURCE_ALTADDRESS>
    <SOURCETYPE>Table</SOURCETYPE>
    <SOURCE_OBJECTNAME>Linking_Range_53</SOURCE_OBJECTNAME>
    <OBJECTTYPE>Native</OBJECTTYPE>
    <SOURCE_SHEETCODE>Sheet4</SOURCE_SHEETCODE>
    <SOURCE_SHEETNAME>RevBuild</SOURCE_SHEETNAME>
    <SOURCEAPPLICATION>EXCEL_SOURCE</SOURCEAPPLICATION>
    <UPDATEDAT>4/28/2015 9:28:55 PM</UPDATEDAT>
    <SOURCE_ISOUTOFDATE>False</SOURCE_ISOUTOFDATE>
    <SOURCE_WORKBOOKNAME>WAT.xls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/MSResearch/Content/ExternalAssets/2014-08/Images/Ct9FMZFJBkGl2OhUVbKxYA--.png</TARGET_BINARYFULLNAME>
    <TARGET_STORYFULLNAME>/MSResearch/Content/ExternalAssets/2014-08/Sections/Linking_Range_53-019.xml</TARGET_STORYFULLNAME>
    <TARGET_UUID>7dc4b68c-2e2f-11e4-8fd1-f8d3a0aeecbc</TARGET_UUID>
    <LINKSTATUS>Unknown</LINKSTATUS>
    <TRANSPARENTBACKGROUND>False</TRANSPARENTBACKGROUND>
    <TRANSPARENTPLOTAREA>False</TRANSPARENTPLOTAREA>
    <EXTRACTSOURCEMODE>CopyToClipboard</EXTRACTSOURCEMODE>
  </Link>
</lk:Links>
</file>

<file path=customXml/itemProps1.xml><?xml version="1.0" encoding="utf-8"?>
<ds:datastoreItem xmlns:ds="http://schemas.openxmlformats.org/officeDocument/2006/customXml" ds:itemID="{CD40A0F1-4441-4DFE-A4A0-3DE5391E8E46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1FCFD71B-992A-4951-BA46-E0F7E3898FDC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152</vt:i4>
      </vt:variant>
    </vt:vector>
  </HeadingPairs>
  <TitlesOfParts>
    <vt:vector size="161" baseType="lpstr">
      <vt:lpstr>ImportantDisclosures</vt:lpstr>
      <vt:lpstr>IS</vt:lpstr>
      <vt:lpstr>RevBuild</vt:lpstr>
      <vt:lpstr>OrgRev</vt:lpstr>
      <vt:lpstr>BS</vt:lpstr>
      <vt:lpstr>CFS</vt:lpstr>
      <vt:lpstr>Debt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Linking_11</vt:lpstr>
      <vt:lpstr>Linking_12</vt:lpstr>
      <vt:lpstr>Linking_16</vt:lpstr>
      <vt:lpstr>Linking_18</vt:lpstr>
      <vt:lpstr>Linking_19</vt:lpstr>
      <vt:lpstr>Linking_2</vt:lpstr>
      <vt:lpstr>Linking_20</vt:lpstr>
      <vt:lpstr>Linking_21</vt:lpstr>
      <vt:lpstr>Linking_22</vt:lpstr>
      <vt:lpstr>Linking_24</vt:lpstr>
      <vt:lpstr>Linking_25</vt:lpstr>
      <vt:lpstr>Linking_26</vt:lpstr>
      <vt:lpstr>Linking_28</vt:lpstr>
      <vt:lpstr>Linking_3</vt:lpstr>
      <vt:lpstr>Linking_30</vt:lpstr>
      <vt:lpstr>Linking_4</vt:lpstr>
      <vt:lpstr>Linking_5</vt:lpstr>
      <vt:lpstr>Linking_6</vt:lpstr>
      <vt:lpstr>Linking_7</vt:lpstr>
      <vt:lpstr>Linking_Range_10</vt:lpstr>
      <vt:lpstr>Linking_Range_11</vt:lpstr>
      <vt:lpstr>Linking_Range_12</vt:lpstr>
      <vt:lpstr>Linking_Range_13</vt:lpstr>
      <vt:lpstr>Linking_Range_15</vt:lpstr>
      <vt:lpstr>Linking_Range_16</vt:lpstr>
      <vt:lpstr>Linking_Range_23</vt:lpstr>
      <vt:lpstr>Linking_Range_24</vt:lpstr>
      <vt:lpstr>Linking_Range_25</vt:lpstr>
      <vt:lpstr>Linking_Range_26</vt:lpstr>
      <vt:lpstr>Linking_Range_27</vt:lpstr>
      <vt:lpstr>Linking_Range_28</vt:lpstr>
      <vt:lpstr>Linking_Range_29</vt:lpstr>
      <vt:lpstr>Linking_Range_30</vt:lpstr>
      <vt:lpstr>Linking_Range_31</vt:lpstr>
      <vt:lpstr>Linking_Range_32</vt:lpstr>
      <vt:lpstr>Linking_Range_33</vt:lpstr>
      <vt:lpstr>Linking_Range_34</vt:lpstr>
      <vt:lpstr>Linking_Range_36</vt:lpstr>
      <vt:lpstr>Linking_Range_37</vt:lpstr>
      <vt:lpstr>Linking_Range_38</vt:lpstr>
      <vt:lpstr>Linking_Range_39</vt:lpstr>
      <vt:lpstr>Linking_Range_45</vt:lpstr>
      <vt:lpstr>Linking_Range_46</vt:lpstr>
      <vt:lpstr>Linking_Range_47</vt:lpstr>
      <vt:lpstr>Linking_Range_48</vt:lpstr>
      <vt:lpstr>Linking_Range_49</vt:lpstr>
      <vt:lpstr>Linking_Range_5</vt:lpstr>
      <vt:lpstr>Linking_Range_50</vt:lpstr>
      <vt:lpstr>Linking_Range_51</vt:lpstr>
      <vt:lpstr>Linking_Range_52</vt:lpstr>
      <vt:lpstr>Linking_Range_53</vt:lpstr>
      <vt:lpstr>Linking_Range_55</vt:lpstr>
      <vt:lpstr>Linking_Range_56</vt:lpstr>
      <vt:lpstr>Linking_Range_57</vt:lpstr>
      <vt:lpstr>Linking_Range_59</vt:lpstr>
      <vt:lpstr>Linking_Range_6</vt:lpstr>
      <vt:lpstr>Linking_Range_61</vt:lpstr>
      <vt:lpstr>Linking_Range_62</vt:lpstr>
      <vt:lpstr>Linking_Range_63</vt:lpstr>
      <vt:lpstr>Linking_Range_64</vt:lpstr>
      <vt:lpstr>Linking_Range_65</vt:lpstr>
      <vt:lpstr>Linking_Range_66</vt:lpstr>
      <vt:lpstr>Linking_Range_7</vt:lpstr>
      <vt:lpstr>Linking_Range_72</vt:lpstr>
      <vt:lpstr>Linking_Range_76</vt:lpstr>
      <vt:lpstr>Linking_Range_77</vt:lpstr>
      <vt:lpstr>Linking_Range_78</vt:lpstr>
      <vt:lpstr>Linking_Range_8</vt:lpstr>
      <vt:lpstr>Linking_Range_81</vt:lpstr>
      <vt:lpstr>Linking_Range_83</vt:lpstr>
      <vt:lpstr>Linking_Range_84</vt:lpstr>
      <vt:lpstr>Linking_Range_85</vt:lpstr>
      <vt:lpstr>Linking_Range_86</vt:lpstr>
      <vt:lpstr>Linking_Range_87</vt:lpstr>
      <vt:lpstr>Linking_Range_9</vt:lpstr>
      <vt:lpstr>Linking_Range_90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BS!Print_Area</vt:lpstr>
      <vt:lpstr>CFS!Print_Area</vt:lpstr>
      <vt:lpstr>Debt!Print_Area</vt:lpstr>
      <vt:lpstr>IS!Print_Area</vt:lpstr>
      <vt:lpstr>OrgRev!Print_Area</vt:lpstr>
      <vt:lpstr>RevBuild!Print_Area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2011-09-27T16:11:13Z</dcterms:created>
  <dc:creator>gorinaar</dc:creator>
  <cp:lastModifiedBy>Rosenberg, Jeremy (Research)</cp:lastModifiedBy>
  <cp:lastPrinted>2018-04-09T22:28:05Z</cp:lastPrinted>
  <dcterms:modified xsi:type="dcterms:W3CDTF">2018-04-11T13:48:24Z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Text_" pid="2">
    <vt:lpwstr>3</vt:lpwstr>
  </property>
  <property fmtid="{D5CDD505-2E9C-101B-9397-08002B2CF9AE}" name="LinkingAutoNameNumberLinking_Range_" pid="3">
    <vt:lpwstr>92</vt:lpwstr>
  </property>
  <property fmtid="{D5CDD505-2E9C-101B-9397-08002B2CF9AE}" name="{A44787D4-0540-4523-9961-78E4036D8C6D}" pid="4">
    <vt:lpwstr>{19D9FF56-2E27-48F0-9FE1-8CAF547ED6AD}</vt:lpwstr>
  </property>
  <property fmtid="{D5CDD505-2E9C-101B-9397-08002B2CF9AE}" name="ERModPubTicket" pid="5">
    <vt:lpwstr>NA</vt:lpwstr>
  </property>
  <property fmtid="{D5CDD505-2E9C-101B-9397-08002B2CF9AE}" name="ERCompanyUploadState" pid="6">
    <vt:lpwstr>P</vt:lpwstr>
  </property>
  <property fmtid="{D5CDD505-2E9C-101B-9397-08002B2CF9AE}" name="ModelId" pid="7">
    <vt:lpwstr>760969</vt:lpwstr>
  </property>
  <property fmtid="{D5CDD505-2E9C-101B-9397-08002B2CF9AE}" name="ERModPubCompanyName" pid="8">
    <vt:lpwstr>Waters Corp.</vt:lpwstr>
  </property>
  <property fmtid="{D5CDD505-2E9C-101B-9397-08002B2CF9AE}" name="MSDH34TAG" pid="9">
    <vt:lpwstr>.TEZUF76X5TAHATHESADREYAK-00-INB160+*94600-06=03702254/-3d8f/-11e8/-b3f7/-7a79cfe26848,MD=20180411105742/-0400,ZZ=000Z-9002.</vt:lpwstr>
  </property>
</Properties>
</file>